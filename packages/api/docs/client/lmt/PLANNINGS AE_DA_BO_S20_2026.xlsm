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Z\PLANNINGS\"/>
    </mc:Choice>
  </mc:AlternateContent>
  <xr:revisionPtr revIDLastSave="0" documentId="13_ncr:1_{1B345FDD-FBB1-4634-9CB0-DC041B9BF3AC}" xr6:coauthVersionLast="47" xr6:coauthVersionMax="47" xr10:uidLastSave="{00000000-0000-0000-0000-000000000000}"/>
  <bookViews>
    <workbookView showHorizontalScroll="0" showVerticalScroll="0" xWindow="-120" yWindow="-120" windowWidth="29040" windowHeight="15840" firstSheet="5" activeTab="10" xr2:uid="{00000000-000D-0000-FFFF-FFFF00000000}"/>
  </bookViews>
  <sheets>
    <sheet name="AgentCalculator" sheetId="1" state="hidden" r:id="rId1"/>
    <sheet name="How to Use" sheetId="2" state="hidden" r:id="rId2"/>
    <sheet name="Day Planner" sheetId="3" state="hidden" r:id="rId3"/>
    <sheet name="Expected Service Level" sheetId="5" state="hidden" r:id="rId4"/>
    <sheet name="d" sheetId="18" state="hidden" r:id="rId5"/>
    <sheet name="FR" sheetId="8" r:id="rId6"/>
    <sheet name="PIG" sheetId="10" r:id="rId7"/>
    <sheet name="EN" sheetId="9" r:id="rId8"/>
    <sheet name="FFD" sheetId="11" r:id="rId9"/>
    <sheet name="i" sheetId="20" state="hidden" r:id="rId10"/>
    <sheet name="8911" sheetId="12" r:id="rId11"/>
    <sheet name="f" sheetId="19" state="hidden" r:id="rId12"/>
    <sheet name="Global LMT" sheetId="17" state="hidden" r:id="rId13"/>
    <sheet name="8900" sheetId="16" state="hidden" r:id="rId14"/>
    <sheet name="EN_PIG" sheetId="13" state="hidden" r:id="rId15"/>
    <sheet name="EMAIL" sheetId="22" r:id="rId16"/>
    <sheet name="KAABU" sheetId="23" r:id="rId17"/>
    <sheet name="DA TD" sheetId="24" r:id="rId18"/>
    <sheet name="DA TR" sheetId="25" r:id="rId19"/>
    <sheet name="planing NOMNATIF " sheetId="28" r:id="rId20"/>
    <sheet name="DA" sheetId="27" state="hidden" r:id="rId21"/>
    <sheet name="DA Chat C" sheetId="26" state="hidden" r:id="rId22"/>
    <sheet name="Feuil1" sheetId="21" state="hidden" r:id="rId23"/>
    <sheet name="Other Tools" sheetId="7" state="hidden" r:id="rId24"/>
    <sheet name="Changelog" sheetId="6" state="hidden" r:id="rId25"/>
  </sheets>
  <functionGroups builtInGroupCount="19"/>
  <definedNames>
    <definedName name="_xlnm._FilterDatabase" localSheetId="19" hidden="1">'planing NOMNATIF '!$A$3:$AM$184</definedName>
    <definedName name="AgentsRequiredChart">OFFSET('Day Planner'!$E$17,1,0,COUNT('Day Planner'!$D$18:$D$65))</definedName>
    <definedName name="ESLAgentsAvailable">OFFSET('Expected Service Level'!$E$17,1,0,COUNT('Expected Service Level'!$D$18:$D$49))</definedName>
    <definedName name="ESLIncomingCalls">OFFSET('Expected Service Level'!$D$17,1,0,COUNT('Expected Service Level'!$D$18:$D$49))</definedName>
    <definedName name="ESLReqAgents">OFFSET('Expected Service Level'!$G$17,1,0,COUNT('Expected Service Level'!$D$18:$D$49))</definedName>
    <definedName name="ESLTimeRange">OFFSET('Expected Service Level'!$C$17,1,0,COUNT('Expected Service Level'!$D$18:$D$49))</definedName>
    <definedName name="IncomingCalls">OFFSET('Day Planner'!$D$17,1,0,COUNT('Day Planner'!$D$18:$D$65))</definedName>
    <definedName name="ServLevel">AgentCalculator!$D$24</definedName>
    <definedName name="TimeRange">OFFSET('Day Planner'!$C$17,1,0,COUNT('Day Planner'!$D$18:$D$65))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2" i="28" l="1"/>
  <c r="AK2" i="28" s="1"/>
  <c r="AL2" i="28"/>
  <c r="AH2" i="28"/>
  <c r="AF2" i="28" s="1"/>
  <c r="AG2" i="28"/>
  <c r="AC2" i="28"/>
  <c r="Z2" i="28" s="1"/>
  <c r="AB2" i="28"/>
  <c r="AA2" i="28"/>
  <c r="X2" i="28"/>
  <c r="U2" i="28" s="1"/>
  <c r="W2" i="28"/>
  <c r="S2" i="28"/>
  <c r="Q2" i="28" s="1"/>
  <c r="R2" i="28"/>
  <c r="N2" i="28"/>
  <c r="L2" i="28" s="1"/>
  <c r="M2" i="28"/>
  <c r="H2" i="28"/>
  <c r="F2" i="28"/>
  <c r="I2" i="28"/>
  <c r="AM190" i="28"/>
  <c r="AH190" i="28"/>
  <c r="AC190" i="28"/>
  <c r="X190" i="28"/>
  <c r="S190" i="28"/>
  <c r="N190" i="28"/>
  <c r="I190" i="28"/>
  <c r="AM189" i="28"/>
  <c r="AH189" i="28"/>
  <c r="AC189" i="28"/>
  <c r="X189" i="28"/>
  <c r="S189" i="28"/>
  <c r="N189" i="28"/>
  <c r="I189" i="28"/>
  <c r="AM188" i="28"/>
  <c r="AH188" i="28"/>
  <c r="AC188" i="28"/>
  <c r="X188" i="28"/>
  <c r="S188" i="28"/>
  <c r="N188" i="28"/>
  <c r="I188" i="28"/>
  <c r="AM187" i="28"/>
  <c r="AH187" i="28"/>
  <c r="AC187" i="28"/>
  <c r="X187" i="28"/>
  <c r="S187" i="28"/>
  <c r="N187" i="28"/>
  <c r="I187" i="28"/>
  <c r="AM186" i="28"/>
  <c r="AH186" i="28"/>
  <c r="AC186" i="28"/>
  <c r="X186" i="28"/>
  <c r="S186" i="28"/>
  <c r="N186" i="28"/>
  <c r="I186" i="28"/>
  <c r="AM185" i="28"/>
  <c r="AH185" i="28"/>
  <c r="AC185" i="28"/>
  <c r="X185" i="28"/>
  <c r="N185" i="28"/>
  <c r="I185" i="28"/>
  <c r="AH184" i="28"/>
  <c r="AC184" i="28"/>
  <c r="X184" i="28"/>
  <c r="S184" i="28"/>
  <c r="N184" i="28"/>
  <c r="I184" i="28"/>
  <c r="AM183" i="28"/>
  <c r="AH183" i="28"/>
  <c r="AC183" i="28"/>
  <c r="X183" i="28"/>
  <c r="S183" i="28"/>
  <c r="N183" i="28"/>
  <c r="I183" i="28"/>
  <c r="AM182" i="28"/>
  <c r="AH182" i="28"/>
  <c r="AC182" i="28"/>
  <c r="X182" i="28"/>
  <c r="S182" i="28"/>
  <c r="N182" i="28"/>
  <c r="I182" i="28"/>
  <c r="AM181" i="28"/>
  <c r="AH181" i="28"/>
  <c r="AC181" i="28"/>
  <c r="X181" i="28"/>
  <c r="S181" i="28"/>
  <c r="N181" i="28"/>
  <c r="I181" i="28"/>
  <c r="AM180" i="28"/>
  <c r="AH180" i="28"/>
  <c r="AC180" i="28"/>
  <c r="X180" i="28"/>
  <c r="S180" i="28"/>
  <c r="N180" i="28"/>
  <c r="I180" i="28"/>
  <c r="AM179" i="28"/>
  <c r="AH179" i="28"/>
  <c r="AC179" i="28"/>
  <c r="X179" i="28"/>
  <c r="S179" i="28"/>
  <c r="N179" i="28"/>
  <c r="I179" i="28"/>
  <c r="AM178" i="28"/>
  <c r="AH178" i="28"/>
  <c r="AC178" i="28"/>
  <c r="X178" i="28"/>
  <c r="S178" i="28"/>
  <c r="N178" i="28"/>
  <c r="I178" i="28"/>
  <c r="AM177" i="28"/>
  <c r="AH177" i="28"/>
  <c r="AC177" i="28"/>
  <c r="X177" i="28"/>
  <c r="S177" i="28"/>
  <c r="N177" i="28"/>
  <c r="I177" i="28"/>
  <c r="AM176" i="28"/>
  <c r="AH176" i="28"/>
  <c r="AC176" i="28"/>
  <c r="X176" i="28"/>
  <c r="S176" i="28"/>
  <c r="N176" i="28"/>
  <c r="I176" i="28"/>
  <c r="AM175" i="28"/>
  <c r="AH175" i="28"/>
  <c r="AC175" i="28"/>
  <c r="X175" i="28"/>
  <c r="S175" i="28"/>
  <c r="N175" i="28"/>
  <c r="I175" i="28"/>
  <c r="AM174" i="28"/>
  <c r="AH174" i="28"/>
  <c r="AC174" i="28"/>
  <c r="X174" i="28"/>
  <c r="S174" i="28"/>
  <c r="N174" i="28"/>
  <c r="I174" i="28"/>
  <c r="AM173" i="28"/>
  <c r="AH173" i="28"/>
  <c r="AC173" i="28"/>
  <c r="X173" i="28"/>
  <c r="S173" i="28"/>
  <c r="N173" i="28"/>
  <c r="I173" i="28"/>
  <c r="AM172" i="28"/>
  <c r="AH172" i="28"/>
  <c r="AC172" i="28"/>
  <c r="X172" i="28"/>
  <c r="S172" i="28"/>
  <c r="N172" i="28"/>
  <c r="I172" i="28"/>
  <c r="AM171" i="28"/>
  <c r="AH171" i="28"/>
  <c r="AC171" i="28"/>
  <c r="X171" i="28"/>
  <c r="S171" i="28"/>
  <c r="N171" i="28"/>
  <c r="I171" i="28"/>
  <c r="AM170" i="28"/>
  <c r="AH170" i="28"/>
  <c r="AC170" i="28"/>
  <c r="X170" i="28"/>
  <c r="S170" i="28"/>
  <c r="N170" i="28"/>
  <c r="I170" i="28"/>
  <c r="AM169" i="28"/>
  <c r="AH169" i="28"/>
  <c r="AC169" i="28"/>
  <c r="X169" i="28"/>
  <c r="S169" i="28"/>
  <c r="N169" i="28"/>
  <c r="I169" i="28"/>
  <c r="AM168" i="28"/>
  <c r="AH168" i="28"/>
  <c r="AC168" i="28"/>
  <c r="X168" i="28"/>
  <c r="S168" i="28"/>
  <c r="N168" i="28"/>
  <c r="I168" i="28"/>
  <c r="AM167" i="28"/>
  <c r="AH167" i="28"/>
  <c r="AC167" i="28"/>
  <c r="X167" i="28"/>
  <c r="S167" i="28"/>
  <c r="N167" i="28"/>
  <c r="I167" i="28"/>
  <c r="AM166" i="28"/>
  <c r="AH166" i="28"/>
  <c r="AC166" i="28"/>
  <c r="X166" i="28"/>
  <c r="S166" i="28"/>
  <c r="N166" i="28"/>
  <c r="I166" i="28"/>
  <c r="AM165" i="28"/>
  <c r="AH165" i="28"/>
  <c r="AC165" i="28"/>
  <c r="X165" i="28"/>
  <c r="S165" i="28"/>
  <c r="N165" i="28"/>
  <c r="I165" i="28"/>
  <c r="AM164" i="28"/>
  <c r="AH164" i="28"/>
  <c r="AC164" i="28"/>
  <c r="X164" i="28"/>
  <c r="S164" i="28"/>
  <c r="N164" i="28"/>
  <c r="I164" i="28"/>
  <c r="AM163" i="28"/>
  <c r="AH163" i="28"/>
  <c r="AC163" i="28"/>
  <c r="X163" i="28"/>
  <c r="S163" i="28"/>
  <c r="N163" i="28"/>
  <c r="I163" i="28"/>
  <c r="AM162" i="28"/>
  <c r="AH162" i="28"/>
  <c r="AC162" i="28"/>
  <c r="X162" i="28"/>
  <c r="S162" i="28"/>
  <c r="N162" i="28"/>
  <c r="I162" i="28"/>
  <c r="AM161" i="28"/>
  <c r="AH161" i="28"/>
  <c r="AC161" i="28"/>
  <c r="X161" i="28"/>
  <c r="S161" i="28"/>
  <c r="N161" i="28"/>
  <c r="I161" i="28"/>
  <c r="AM160" i="28"/>
  <c r="AH160" i="28"/>
  <c r="AC160" i="28"/>
  <c r="X160" i="28"/>
  <c r="S160" i="28"/>
  <c r="N160" i="28"/>
  <c r="I160" i="28"/>
  <c r="AM159" i="28"/>
  <c r="AH159" i="28"/>
  <c r="AC159" i="28"/>
  <c r="X159" i="28"/>
  <c r="S159" i="28"/>
  <c r="N159" i="28"/>
  <c r="I159" i="28"/>
  <c r="AM158" i="28"/>
  <c r="AH158" i="28"/>
  <c r="AC158" i="28"/>
  <c r="X158" i="28"/>
  <c r="S158" i="28"/>
  <c r="N158" i="28"/>
  <c r="I158" i="28"/>
  <c r="AM157" i="28"/>
  <c r="AH157" i="28"/>
  <c r="AC157" i="28"/>
  <c r="X157" i="28"/>
  <c r="S157" i="28"/>
  <c r="N157" i="28"/>
  <c r="I157" i="28"/>
  <c r="AM156" i="28"/>
  <c r="AH156" i="28"/>
  <c r="AC156" i="28"/>
  <c r="X156" i="28"/>
  <c r="S156" i="28"/>
  <c r="N156" i="28"/>
  <c r="I156" i="28"/>
  <c r="AM155" i="28"/>
  <c r="AH155" i="28"/>
  <c r="AC155" i="28"/>
  <c r="X155" i="28"/>
  <c r="S155" i="28"/>
  <c r="N155" i="28"/>
  <c r="I155" i="28"/>
  <c r="AM154" i="28"/>
  <c r="AH154" i="28"/>
  <c r="AC154" i="28"/>
  <c r="X154" i="28"/>
  <c r="S154" i="28"/>
  <c r="N154" i="28"/>
  <c r="I154" i="28"/>
  <c r="AM153" i="28"/>
  <c r="AH153" i="28"/>
  <c r="AC153" i="28"/>
  <c r="X153" i="28"/>
  <c r="S153" i="28"/>
  <c r="N153" i="28"/>
  <c r="I153" i="28"/>
  <c r="AH152" i="28"/>
  <c r="S152" i="28"/>
  <c r="N152" i="28"/>
  <c r="AC151" i="28"/>
  <c r="X151" i="28"/>
  <c r="N151" i="28"/>
  <c r="I151" i="28"/>
  <c r="AM150" i="28"/>
  <c r="AH150" i="28"/>
  <c r="AC150" i="28"/>
  <c r="X150" i="28"/>
  <c r="S150" i="28"/>
  <c r="N150" i="28"/>
  <c r="I150" i="28"/>
  <c r="AM149" i="28"/>
  <c r="AH149" i="28"/>
  <c r="AC149" i="28"/>
  <c r="S149" i="28"/>
  <c r="N149" i="28"/>
  <c r="AC148" i="28"/>
  <c r="X148" i="28"/>
  <c r="N148" i="28"/>
  <c r="I148" i="28"/>
  <c r="AM147" i="28"/>
  <c r="AH147" i="28"/>
  <c r="AC147" i="28"/>
  <c r="X147" i="28"/>
  <c r="S147" i="28"/>
  <c r="N147" i="28"/>
  <c r="I147" i="28"/>
  <c r="AM146" i="28"/>
  <c r="AH146" i="28"/>
  <c r="AC146" i="28"/>
  <c r="X146" i="28"/>
  <c r="S146" i="28"/>
  <c r="N146" i="28"/>
  <c r="I146" i="28"/>
  <c r="AM145" i="28"/>
  <c r="AH145" i="28"/>
  <c r="AC145" i="28"/>
  <c r="X145" i="28"/>
  <c r="S145" i="28"/>
  <c r="N145" i="28"/>
  <c r="I145" i="28"/>
  <c r="AM144" i="28"/>
  <c r="AH144" i="28"/>
  <c r="AC144" i="28"/>
  <c r="X144" i="28"/>
  <c r="S144" i="28"/>
  <c r="N144" i="28"/>
  <c r="I144" i="28"/>
  <c r="AM143" i="28"/>
  <c r="AH143" i="28"/>
  <c r="AC143" i="28"/>
  <c r="X143" i="28"/>
  <c r="S143" i="28"/>
  <c r="N143" i="28"/>
  <c r="I143" i="28"/>
  <c r="AM142" i="28"/>
  <c r="AH142" i="28"/>
  <c r="AC142" i="28"/>
  <c r="X142" i="28"/>
  <c r="S142" i="28"/>
  <c r="N142" i="28"/>
  <c r="I142" i="28"/>
  <c r="AM141" i="28"/>
  <c r="AH141" i="28"/>
  <c r="AC141" i="28"/>
  <c r="X141" i="28"/>
  <c r="S141" i="28"/>
  <c r="N141" i="28"/>
  <c r="I141" i="28"/>
  <c r="AM140" i="28"/>
  <c r="AH140" i="28"/>
  <c r="AC140" i="28"/>
  <c r="X140" i="28"/>
  <c r="S140" i="28"/>
  <c r="N140" i="28"/>
  <c r="I140" i="28"/>
  <c r="AM139" i="28"/>
  <c r="AH139" i="28"/>
  <c r="AC139" i="28"/>
  <c r="X139" i="28"/>
  <c r="S139" i="28"/>
  <c r="N139" i="28"/>
  <c r="I139" i="28"/>
  <c r="AM138" i="28"/>
  <c r="AH138" i="28"/>
  <c r="AC138" i="28"/>
  <c r="X138" i="28"/>
  <c r="S138" i="28"/>
  <c r="N138" i="28"/>
  <c r="I138" i="28"/>
  <c r="AM137" i="28"/>
  <c r="AH137" i="28"/>
  <c r="AC137" i="28"/>
  <c r="X137" i="28"/>
  <c r="S137" i="28"/>
  <c r="N137" i="28"/>
  <c r="I137" i="28"/>
  <c r="AM136" i="28"/>
  <c r="AH136" i="28"/>
  <c r="AC136" i="28"/>
  <c r="X136" i="28"/>
  <c r="S136" i="28"/>
  <c r="N136" i="28"/>
  <c r="I136" i="28"/>
  <c r="AM135" i="28"/>
  <c r="AH135" i="28"/>
  <c r="AC135" i="28"/>
  <c r="X135" i="28"/>
  <c r="S135" i="28"/>
  <c r="N135" i="28"/>
  <c r="I135" i="28"/>
  <c r="AM134" i="28"/>
  <c r="AH134" i="28"/>
  <c r="AC134" i="28"/>
  <c r="X134" i="28"/>
  <c r="S134" i="28"/>
  <c r="N134" i="28"/>
  <c r="I134" i="28"/>
  <c r="AM133" i="28"/>
  <c r="AH133" i="28"/>
  <c r="AC133" i="28"/>
  <c r="X133" i="28"/>
  <c r="S133" i="28"/>
  <c r="N133" i="28"/>
  <c r="I133" i="28"/>
  <c r="AM132" i="28"/>
  <c r="AH132" i="28"/>
  <c r="AC132" i="28"/>
  <c r="X132" i="28"/>
  <c r="S132" i="28"/>
  <c r="N132" i="28"/>
  <c r="I132" i="28"/>
  <c r="AM131" i="28"/>
  <c r="AH131" i="28"/>
  <c r="AC131" i="28"/>
  <c r="X131" i="28"/>
  <c r="S131" i="28"/>
  <c r="N131" i="28"/>
  <c r="I131" i="28"/>
  <c r="AM130" i="28"/>
  <c r="AH130" i="28"/>
  <c r="AC130" i="28"/>
  <c r="X130" i="28"/>
  <c r="S130" i="28"/>
  <c r="N130" i="28"/>
  <c r="I130" i="28"/>
  <c r="AM129" i="28"/>
  <c r="AH129" i="28"/>
  <c r="AC129" i="28"/>
  <c r="X129" i="28"/>
  <c r="S129" i="28"/>
  <c r="N129" i="28"/>
  <c r="I129" i="28"/>
  <c r="AM128" i="28"/>
  <c r="AH128" i="28"/>
  <c r="AC128" i="28"/>
  <c r="X128" i="28"/>
  <c r="S128" i="28"/>
  <c r="N128" i="28"/>
  <c r="I128" i="28"/>
  <c r="AM127" i="28"/>
  <c r="AH127" i="28"/>
  <c r="AC127" i="28"/>
  <c r="X127" i="28"/>
  <c r="S127" i="28"/>
  <c r="N127" i="28"/>
  <c r="I127" i="28"/>
  <c r="AM126" i="28"/>
  <c r="AH126" i="28"/>
  <c r="AC126" i="28"/>
  <c r="X126" i="28"/>
  <c r="S126" i="28"/>
  <c r="N126" i="28"/>
  <c r="I126" i="28"/>
  <c r="AM125" i="28"/>
  <c r="AH125" i="28"/>
  <c r="AC125" i="28"/>
  <c r="X125" i="28"/>
  <c r="S125" i="28"/>
  <c r="N125" i="28"/>
  <c r="I125" i="28"/>
  <c r="AM124" i="28"/>
  <c r="AH124" i="28"/>
  <c r="AC124" i="28"/>
  <c r="X124" i="28"/>
  <c r="S124" i="28"/>
  <c r="N124" i="28"/>
  <c r="I124" i="28"/>
  <c r="AM123" i="28"/>
  <c r="AH123" i="28"/>
  <c r="AC123" i="28"/>
  <c r="X123" i="28"/>
  <c r="S123" i="28"/>
  <c r="N123" i="28"/>
  <c r="I123" i="28"/>
  <c r="AM122" i="28"/>
  <c r="AH122" i="28"/>
  <c r="AC122" i="28"/>
  <c r="X122" i="28"/>
  <c r="S122" i="28"/>
  <c r="N122" i="28"/>
  <c r="I122" i="28"/>
  <c r="AM121" i="28"/>
  <c r="AH121" i="28"/>
  <c r="AC121" i="28"/>
  <c r="X121" i="28"/>
  <c r="S121" i="28"/>
  <c r="N121" i="28"/>
  <c r="I121" i="28"/>
  <c r="AM120" i="28"/>
  <c r="AH120" i="28"/>
  <c r="AC120" i="28"/>
  <c r="X120" i="28"/>
  <c r="S120" i="28"/>
  <c r="N120" i="28"/>
  <c r="I120" i="28"/>
  <c r="AM119" i="28"/>
  <c r="AH119" i="28"/>
  <c r="AC119" i="28"/>
  <c r="X119" i="28"/>
  <c r="S119" i="28"/>
  <c r="N119" i="28"/>
  <c r="I119" i="28"/>
  <c r="AM118" i="28"/>
  <c r="AH118" i="28"/>
  <c r="AC118" i="28"/>
  <c r="X118" i="28"/>
  <c r="S118" i="28"/>
  <c r="N118" i="28"/>
  <c r="I118" i="28"/>
  <c r="AM117" i="28"/>
  <c r="AH117" i="28"/>
  <c r="AC117" i="28"/>
  <c r="X117" i="28"/>
  <c r="S117" i="28"/>
  <c r="N117" i="28"/>
  <c r="I117" i="28"/>
  <c r="AM116" i="28"/>
  <c r="AH116" i="28"/>
  <c r="AC116" i="28"/>
  <c r="X116" i="28"/>
  <c r="S116" i="28"/>
  <c r="N116" i="28"/>
  <c r="I116" i="28"/>
  <c r="AM115" i="28"/>
  <c r="AH115" i="28"/>
  <c r="AC115" i="28"/>
  <c r="X115" i="28"/>
  <c r="S115" i="28"/>
  <c r="N115" i="28"/>
  <c r="I115" i="28"/>
  <c r="AM114" i="28"/>
  <c r="AH114" i="28"/>
  <c r="AC114" i="28"/>
  <c r="X114" i="28"/>
  <c r="S114" i="28"/>
  <c r="N114" i="28"/>
  <c r="I114" i="28"/>
  <c r="AM113" i="28"/>
  <c r="AH113" i="28"/>
  <c r="AC113" i="28"/>
  <c r="X113" i="28"/>
  <c r="S113" i="28"/>
  <c r="N113" i="28"/>
  <c r="I113" i="28"/>
  <c r="AM112" i="28"/>
  <c r="AH112" i="28"/>
  <c r="AC112" i="28"/>
  <c r="X112" i="28"/>
  <c r="S112" i="28"/>
  <c r="N112" i="28"/>
  <c r="I112" i="28"/>
  <c r="AM111" i="28"/>
  <c r="AH111" i="28"/>
  <c r="AC111" i="28"/>
  <c r="X111" i="28"/>
  <c r="S111" i="28"/>
  <c r="N111" i="28"/>
  <c r="I111" i="28"/>
  <c r="AM110" i="28"/>
  <c r="AH110" i="28"/>
  <c r="AC110" i="28"/>
  <c r="X110" i="28"/>
  <c r="I110" i="28"/>
  <c r="AM109" i="28"/>
  <c r="AH109" i="28"/>
  <c r="AC109" i="28"/>
  <c r="X109" i="28"/>
  <c r="S109" i="28"/>
  <c r="N109" i="28"/>
  <c r="I109" i="28"/>
  <c r="AM108" i="28"/>
  <c r="AH108" i="28"/>
  <c r="AC108" i="28"/>
  <c r="X108" i="28"/>
  <c r="S108" i="28"/>
  <c r="N108" i="28"/>
  <c r="I108" i="28"/>
  <c r="AM107" i="28"/>
  <c r="AH107" i="28"/>
  <c r="AC107" i="28"/>
  <c r="X107" i="28"/>
  <c r="S107" i="28"/>
  <c r="N107" i="28"/>
  <c r="I107" i="28"/>
  <c r="AM106" i="28"/>
  <c r="AH106" i="28"/>
  <c r="AC106" i="28"/>
  <c r="X106" i="28"/>
  <c r="S106" i="28"/>
  <c r="N106" i="28"/>
  <c r="I106" i="28"/>
  <c r="AM105" i="28"/>
  <c r="AH105" i="28"/>
  <c r="AC105" i="28"/>
  <c r="X105" i="28"/>
  <c r="S105" i="28"/>
  <c r="N105" i="28"/>
  <c r="I105" i="28"/>
  <c r="AM104" i="28"/>
  <c r="AH104" i="28"/>
  <c r="AC104" i="28"/>
  <c r="X104" i="28"/>
  <c r="S104" i="28"/>
  <c r="N104" i="28"/>
  <c r="I104" i="28"/>
  <c r="AM103" i="28"/>
  <c r="AH103" i="28"/>
  <c r="AC103" i="28"/>
  <c r="X103" i="28"/>
  <c r="S103" i="28"/>
  <c r="N103" i="28"/>
  <c r="I103" i="28"/>
  <c r="AM102" i="28"/>
  <c r="AH102" i="28"/>
  <c r="AC102" i="28"/>
  <c r="X102" i="28"/>
  <c r="S102" i="28"/>
  <c r="N102" i="28"/>
  <c r="I102" i="28"/>
  <c r="AM101" i="28"/>
  <c r="AH101" i="28"/>
  <c r="AC101" i="28"/>
  <c r="S101" i="28"/>
  <c r="N101" i="28"/>
  <c r="I101" i="28"/>
  <c r="AM100" i="28"/>
  <c r="AH100" i="28"/>
  <c r="AC100" i="28"/>
  <c r="X100" i="28"/>
  <c r="S100" i="28"/>
  <c r="N100" i="28"/>
  <c r="I100" i="28"/>
  <c r="AM99" i="28"/>
  <c r="AH99" i="28"/>
  <c r="AC99" i="28"/>
  <c r="X99" i="28"/>
  <c r="S99" i="28"/>
  <c r="N99" i="28"/>
  <c r="I99" i="28"/>
  <c r="AM98" i="28"/>
  <c r="AH98" i="28"/>
  <c r="X98" i="28"/>
  <c r="S98" i="28"/>
  <c r="N98" i="28"/>
  <c r="I98" i="28"/>
  <c r="AM97" i="28"/>
  <c r="AH97" i="28"/>
  <c r="AC97" i="28"/>
  <c r="X97" i="28"/>
  <c r="S97" i="28"/>
  <c r="N97" i="28"/>
  <c r="I97" i="28"/>
  <c r="AM96" i="28"/>
  <c r="AH96" i="28"/>
  <c r="AC96" i="28"/>
  <c r="X96" i="28"/>
  <c r="S96" i="28"/>
  <c r="N96" i="28"/>
  <c r="I96" i="28"/>
  <c r="AM95" i="28"/>
  <c r="AH95" i="28"/>
  <c r="AC95" i="28"/>
  <c r="X95" i="28"/>
  <c r="S95" i="28"/>
  <c r="N95" i="28"/>
  <c r="I95" i="28"/>
  <c r="AM94" i="28"/>
  <c r="AH94" i="28"/>
  <c r="AC94" i="28"/>
  <c r="X94" i="28"/>
  <c r="S94" i="28"/>
  <c r="N94" i="28"/>
  <c r="I94" i="28"/>
  <c r="AM93" i="28"/>
  <c r="AH93" i="28"/>
  <c r="AC93" i="28"/>
  <c r="X93" i="28"/>
  <c r="S93" i="28"/>
  <c r="N93" i="28"/>
  <c r="I93" i="28"/>
  <c r="AM92" i="28"/>
  <c r="AH92" i="28"/>
  <c r="AC92" i="28"/>
  <c r="X92" i="28"/>
  <c r="N92" i="28"/>
  <c r="I92" i="28"/>
  <c r="AM91" i="28"/>
  <c r="AH91" i="28"/>
  <c r="AC91" i="28"/>
  <c r="X91" i="28"/>
  <c r="S91" i="28"/>
  <c r="N91" i="28"/>
  <c r="I91" i="28"/>
  <c r="AM90" i="28"/>
  <c r="AH90" i="28"/>
  <c r="AC90" i="28"/>
  <c r="X90" i="28"/>
  <c r="S90" i="28"/>
  <c r="N90" i="28"/>
  <c r="I90" i="28"/>
  <c r="AM89" i="28"/>
  <c r="AH89" i="28"/>
  <c r="AC89" i="28"/>
  <c r="X89" i="28"/>
  <c r="S89" i="28"/>
  <c r="N89" i="28"/>
  <c r="I89" i="28"/>
  <c r="AM88" i="28"/>
  <c r="AH88" i="28"/>
  <c r="AC88" i="28"/>
  <c r="X88" i="28"/>
  <c r="S88" i="28"/>
  <c r="N88" i="28"/>
  <c r="I88" i="28"/>
  <c r="AM87" i="28"/>
  <c r="AH87" i="28"/>
  <c r="AC87" i="28"/>
  <c r="X87" i="28"/>
  <c r="S87" i="28"/>
  <c r="N87" i="28"/>
  <c r="I87" i="28"/>
  <c r="AM86" i="28"/>
  <c r="AH86" i="28"/>
  <c r="AC86" i="28"/>
  <c r="X86" i="28"/>
  <c r="S86" i="28"/>
  <c r="N86" i="28"/>
  <c r="I86" i="28"/>
  <c r="AM85" i="28"/>
  <c r="AH85" i="28"/>
  <c r="AC85" i="28"/>
  <c r="X85" i="28"/>
  <c r="S85" i="28"/>
  <c r="N85" i="28"/>
  <c r="I85" i="28"/>
  <c r="AM84" i="28"/>
  <c r="AC84" i="28"/>
  <c r="X84" i="28"/>
  <c r="S84" i="28"/>
  <c r="N84" i="28"/>
  <c r="I84" i="28"/>
  <c r="AH83" i="28"/>
  <c r="AC83" i="28"/>
  <c r="S83" i="28"/>
  <c r="N83" i="28"/>
  <c r="AM82" i="28"/>
  <c r="AH82" i="28"/>
  <c r="AC82" i="28"/>
  <c r="X82" i="28"/>
  <c r="S82" i="28"/>
  <c r="N82" i="28"/>
  <c r="I82" i="28"/>
  <c r="AM81" i="28"/>
  <c r="AH81" i="28"/>
  <c r="AC81" i="28"/>
  <c r="X81" i="28"/>
  <c r="S81" i="28"/>
  <c r="N81" i="28"/>
  <c r="I81" i="28"/>
  <c r="AM80" i="28"/>
  <c r="AH80" i="28"/>
  <c r="AC80" i="28"/>
  <c r="X80" i="28"/>
  <c r="S80" i="28"/>
  <c r="N80" i="28"/>
  <c r="I80" i="28"/>
  <c r="AM79" i="28"/>
  <c r="AH79" i="28"/>
  <c r="AC79" i="28"/>
  <c r="X79" i="28"/>
  <c r="S79" i="28"/>
  <c r="N79" i="28"/>
  <c r="I79" i="28"/>
  <c r="AM78" i="28"/>
  <c r="AH78" i="28"/>
  <c r="AC78" i="28"/>
  <c r="X78" i="28"/>
  <c r="S78" i="28"/>
  <c r="N78" i="28"/>
  <c r="AM77" i="28"/>
  <c r="AH77" i="28"/>
  <c r="AC77" i="28"/>
  <c r="X77" i="28"/>
  <c r="S77" i="28"/>
  <c r="N77" i="28"/>
  <c r="I77" i="28"/>
  <c r="AM76" i="28"/>
  <c r="AH76" i="28"/>
  <c r="AC76" i="28"/>
  <c r="X76" i="28"/>
  <c r="S76" i="28"/>
  <c r="N76" i="28"/>
  <c r="I76" i="28"/>
  <c r="AM75" i="28"/>
  <c r="AH75" i="28"/>
  <c r="AC75" i="28"/>
  <c r="X75" i="28"/>
  <c r="S75" i="28"/>
  <c r="N75" i="28"/>
  <c r="I75" i="28"/>
  <c r="AM74" i="28"/>
  <c r="AH74" i="28"/>
  <c r="AC74" i="28"/>
  <c r="X74" i="28"/>
  <c r="S74" i="28"/>
  <c r="N74" i="28"/>
  <c r="I74" i="28"/>
  <c r="AM73" i="28"/>
  <c r="AH73" i="28"/>
  <c r="AC73" i="28"/>
  <c r="X73" i="28"/>
  <c r="S73" i="28"/>
  <c r="N73" i="28"/>
  <c r="I73" i="28"/>
  <c r="AM72" i="28"/>
  <c r="AH72" i="28"/>
  <c r="AC72" i="28"/>
  <c r="X72" i="28"/>
  <c r="S72" i="28"/>
  <c r="N72" i="28"/>
  <c r="I72" i="28"/>
  <c r="AM71" i="28"/>
  <c r="AH71" i="28"/>
  <c r="AC71" i="28"/>
  <c r="X71" i="28"/>
  <c r="S71" i="28"/>
  <c r="N71" i="28"/>
  <c r="I71" i="28"/>
  <c r="AM70" i="28"/>
  <c r="AH70" i="28"/>
  <c r="AC70" i="28"/>
  <c r="X70" i="28"/>
  <c r="S70" i="28"/>
  <c r="N70" i="28"/>
  <c r="I70" i="28"/>
  <c r="AM69" i="28"/>
  <c r="AH69" i="28"/>
  <c r="AC69" i="28"/>
  <c r="X69" i="28"/>
  <c r="S69" i="28"/>
  <c r="N69" i="28"/>
  <c r="I69" i="28"/>
  <c r="AM68" i="28"/>
  <c r="AH68" i="28"/>
  <c r="AC68" i="28"/>
  <c r="X68" i="28"/>
  <c r="S68" i="28"/>
  <c r="N68" i="28"/>
  <c r="I68" i="28"/>
  <c r="AM67" i="28"/>
  <c r="AH67" i="28"/>
  <c r="AC67" i="28"/>
  <c r="X67" i="28"/>
  <c r="N67" i="28"/>
  <c r="I67" i="28"/>
  <c r="AM66" i="28"/>
  <c r="AH66" i="28"/>
  <c r="AC66" i="28"/>
  <c r="X66" i="28"/>
  <c r="S66" i="28"/>
  <c r="N66" i="28"/>
  <c r="I66" i="28"/>
  <c r="AM65" i="28"/>
  <c r="AH65" i="28"/>
  <c r="AC65" i="28"/>
  <c r="X65" i="28"/>
  <c r="S65" i="28"/>
  <c r="N65" i="28"/>
  <c r="I65" i="28"/>
  <c r="AM64" i="28"/>
  <c r="AH64" i="28"/>
  <c r="AC64" i="28"/>
  <c r="X64" i="28"/>
  <c r="S64" i="28"/>
  <c r="N64" i="28"/>
  <c r="I64" i="28"/>
  <c r="AM63" i="28"/>
  <c r="AH63" i="28"/>
  <c r="AC63" i="28"/>
  <c r="X63" i="28"/>
  <c r="S63" i="28"/>
  <c r="N63" i="28"/>
  <c r="I63" i="28"/>
  <c r="AM62" i="28"/>
  <c r="AH62" i="28"/>
  <c r="AC62" i="28"/>
  <c r="X62" i="28"/>
  <c r="S62" i="28"/>
  <c r="N62" i="28"/>
  <c r="I62" i="28"/>
  <c r="AM61" i="28"/>
  <c r="AH61" i="28"/>
  <c r="AC61" i="28"/>
  <c r="X61" i="28"/>
  <c r="S61" i="28"/>
  <c r="N61" i="28"/>
  <c r="I61" i="28"/>
  <c r="AM60" i="28"/>
  <c r="AH60" i="28"/>
  <c r="AC60" i="28"/>
  <c r="X60" i="28"/>
  <c r="S60" i="28"/>
  <c r="N60" i="28"/>
  <c r="I60" i="28"/>
  <c r="AM59" i="28"/>
  <c r="AH59" i="28"/>
  <c r="AC59" i="28"/>
  <c r="X59" i="28"/>
  <c r="S59" i="28"/>
  <c r="N59" i="28"/>
  <c r="I59" i="28"/>
  <c r="AM58" i="28"/>
  <c r="AH58" i="28"/>
  <c r="AC58" i="28"/>
  <c r="X58" i="28"/>
  <c r="S58" i="28"/>
  <c r="N58" i="28"/>
  <c r="I58" i="28"/>
  <c r="AM57" i="28"/>
  <c r="AH57" i="28"/>
  <c r="AC57" i="28"/>
  <c r="X57" i="28"/>
  <c r="S57" i="28"/>
  <c r="N57" i="28"/>
  <c r="I57" i="28"/>
  <c r="AM56" i="28"/>
  <c r="AH56" i="28"/>
  <c r="AC56" i="28"/>
  <c r="X56" i="28"/>
  <c r="S56" i="28"/>
  <c r="N56" i="28"/>
  <c r="I56" i="28"/>
  <c r="AM55" i="28"/>
  <c r="AH55" i="28"/>
  <c r="AC55" i="28"/>
  <c r="X55" i="28"/>
  <c r="S55" i="28"/>
  <c r="N55" i="28"/>
  <c r="I55" i="28"/>
  <c r="AM54" i="28"/>
  <c r="AH54" i="28"/>
  <c r="AC54" i="28"/>
  <c r="X54" i="28"/>
  <c r="S54" i="28"/>
  <c r="N54" i="28"/>
  <c r="I54" i="28"/>
  <c r="AM53" i="28"/>
  <c r="AH53" i="28"/>
  <c r="AC53" i="28"/>
  <c r="X53" i="28"/>
  <c r="S53" i="28"/>
  <c r="N53" i="28"/>
  <c r="I53" i="28"/>
  <c r="AM52" i="28"/>
  <c r="AH52" i="28"/>
  <c r="AC52" i="28"/>
  <c r="X52" i="28"/>
  <c r="S52" i="28"/>
  <c r="N52" i="28"/>
  <c r="I52" i="28"/>
  <c r="AM51" i="28"/>
  <c r="AH51" i="28"/>
  <c r="AC51" i="28"/>
  <c r="X51" i="28"/>
  <c r="S51" i="28"/>
  <c r="N51" i="28"/>
  <c r="I51" i="28"/>
  <c r="AM50" i="28"/>
  <c r="AH50" i="28"/>
  <c r="AC50" i="28"/>
  <c r="X50" i="28"/>
  <c r="S50" i="28"/>
  <c r="N50" i="28"/>
  <c r="I50" i="28"/>
  <c r="AM49" i="28"/>
  <c r="AH49" i="28"/>
  <c r="AC49" i="28"/>
  <c r="X49" i="28"/>
  <c r="S49" i="28"/>
  <c r="N49" i="28"/>
  <c r="I49" i="28"/>
  <c r="AM48" i="28"/>
  <c r="AH48" i="28"/>
  <c r="AC48" i="28"/>
  <c r="X48" i="28"/>
  <c r="S48" i="28"/>
  <c r="N48" i="28"/>
  <c r="I48" i="28"/>
  <c r="AM47" i="28"/>
  <c r="AH47" i="28"/>
  <c r="AC47" i="28"/>
  <c r="X47" i="28"/>
  <c r="S47" i="28"/>
  <c r="N47" i="28"/>
  <c r="I47" i="28"/>
  <c r="AM46" i="28"/>
  <c r="AH46" i="28"/>
  <c r="AC46" i="28"/>
  <c r="X46" i="28"/>
  <c r="S46" i="28"/>
  <c r="N46" i="28"/>
  <c r="I46" i="28"/>
  <c r="AM45" i="28"/>
  <c r="AH45" i="28"/>
  <c r="AC45" i="28"/>
  <c r="X45" i="28"/>
  <c r="S45" i="28"/>
  <c r="N45" i="28"/>
  <c r="I45" i="28"/>
  <c r="AM44" i="28"/>
  <c r="AH44" i="28"/>
  <c r="AC44" i="28"/>
  <c r="X44" i="28"/>
  <c r="S44" i="28"/>
  <c r="N44" i="28"/>
  <c r="I44" i="28"/>
  <c r="AM43" i="28"/>
  <c r="AH43" i="28"/>
  <c r="AC43" i="28"/>
  <c r="X43" i="28"/>
  <c r="S43" i="28"/>
  <c r="N43" i="28"/>
  <c r="I43" i="28"/>
  <c r="AM42" i="28"/>
  <c r="AH42" i="28"/>
  <c r="AC42" i="28"/>
  <c r="X42" i="28"/>
  <c r="S42" i="28"/>
  <c r="N42" i="28"/>
  <c r="I42" i="28"/>
  <c r="AM41" i="28"/>
  <c r="AH41" i="28"/>
  <c r="AC41" i="28"/>
  <c r="X41" i="28"/>
  <c r="S41" i="28"/>
  <c r="N41" i="28"/>
  <c r="I41" i="28"/>
  <c r="AM40" i="28"/>
  <c r="AH40" i="28"/>
  <c r="AC40" i="28"/>
  <c r="X40" i="28"/>
  <c r="S40" i="28"/>
  <c r="N40" i="28"/>
  <c r="I40" i="28"/>
  <c r="AM39" i="28"/>
  <c r="AH39" i="28"/>
  <c r="AC39" i="28"/>
  <c r="X39" i="28"/>
  <c r="S39" i="28"/>
  <c r="N39" i="28"/>
  <c r="I39" i="28"/>
  <c r="AM38" i="28"/>
  <c r="AH38" i="28"/>
  <c r="AC38" i="28"/>
  <c r="X38" i="28"/>
  <c r="S38" i="28"/>
  <c r="N38" i="28"/>
  <c r="I38" i="28"/>
  <c r="AM37" i="28"/>
  <c r="AH37" i="28"/>
  <c r="AC37" i="28"/>
  <c r="X37" i="28"/>
  <c r="S37" i="28"/>
  <c r="N37" i="28"/>
  <c r="I37" i="28"/>
  <c r="AM36" i="28"/>
  <c r="AH36" i="28"/>
  <c r="AC36" i="28"/>
  <c r="X36" i="28"/>
  <c r="S36" i="28"/>
  <c r="N36" i="28"/>
  <c r="I36" i="28"/>
  <c r="AM35" i="28"/>
  <c r="AH35" i="28"/>
  <c r="AC35" i="28"/>
  <c r="X35" i="28"/>
  <c r="S35" i="28"/>
  <c r="N35" i="28"/>
  <c r="I35" i="28"/>
  <c r="AM34" i="28"/>
  <c r="AH34" i="28"/>
  <c r="AC34" i="28"/>
  <c r="X34" i="28"/>
  <c r="S34" i="28"/>
  <c r="N34" i="28"/>
  <c r="I34" i="28"/>
  <c r="AM33" i="28"/>
  <c r="AH33" i="28"/>
  <c r="AC33" i="28"/>
  <c r="X33" i="28"/>
  <c r="S33" i="28"/>
  <c r="N33" i="28"/>
  <c r="I33" i="28"/>
  <c r="AM32" i="28"/>
  <c r="AH32" i="28"/>
  <c r="AC32" i="28"/>
  <c r="X32" i="28"/>
  <c r="S32" i="28"/>
  <c r="N32" i="28"/>
  <c r="I32" i="28"/>
  <c r="AM31" i="28"/>
  <c r="AH31" i="28"/>
  <c r="AC31" i="28"/>
  <c r="X31" i="28"/>
  <c r="S31" i="28"/>
  <c r="N31" i="28"/>
  <c r="I31" i="28"/>
  <c r="AM30" i="28"/>
  <c r="AH30" i="28"/>
  <c r="AC30" i="28"/>
  <c r="X30" i="28"/>
  <c r="S30" i="28"/>
  <c r="N30" i="28"/>
  <c r="I30" i="28"/>
  <c r="AM29" i="28"/>
  <c r="AH29" i="28"/>
  <c r="AC29" i="28"/>
  <c r="X29" i="28"/>
  <c r="S29" i="28"/>
  <c r="N29" i="28"/>
  <c r="I29" i="28"/>
  <c r="AM28" i="28"/>
  <c r="AH28" i="28"/>
  <c r="AC28" i="28"/>
  <c r="X28" i="28"/>
  <c r="S28" i="28"/>
  <c r="N28" i="28"/>
  <c r="I28" i="28"/>
  <c r="AM27" i="28"/>
  <c r="AH27" i="28"/>
  <c r="AC27" i="28"/>
  <c r="X27" i="28"/>
  <c r="S27" i="28"/>
  <c r="N27" i="28"/>
  <c r="I27" i="28"/>
  <c r="AM26" i="28"/>
  <c r="AH26" i="28"/>
  <c r="AC26" i="28"/>
  <c r="X26" i="28"/>
  <c r="S26" i="28"/>
  <c r="N26" i="28"/>
  <c r="I26" i="28"/>
  <c r="AM25" i="28"/>
  <c r="AH25" i="28"/>
  <c r="AC25" i="28"/>
  <c r="X25" i="28"/>
  <c r="S25" i="28"/>
  <c r="N25" i="28"/>
  <c r="I25" i="28"/>
  <c r="AM24" i="28"/>
  <c r="AH24" i="28"/>
  <c r="AC24" i="28"/>
  <c r="X24" i="28"/>
  <c r="S24" i="28"/>
  <c r="N24" i="28"/>
  <c r="I24" i="28"/>
  <c r="AM23" i="28"/>
  <c r="AH23" i="28"/>
  <c r="AC23" i="28"/>
  <c r="X23" i="28"/>
  <c r="S23" i="28"/>
  <c r="N23" i="28"/>
  <c r="I23" i="28"/>
  <c r="AM22" i="28"/>
  <c r="AH22" i="28"/>
  <c r="X22" i="28"/>
  <c r="S22" i="28"/>
  <c r="N22" i="28"/>
  <c r="I22" i="28"/>
  <c r="AM21" i="28"/>
  <c r="AH21" i="28"/>
  <c r="AC21" i="28"/>
  <c r="X21" i="28"/>
  <c r="S21" i="28"/>
  <c r="N21" i="28"/>
  <c r="I21" i="28"/>
  <c r="AM20" i="28"/>
  <c r="AH20" i="28"/>
  <c r="AC20" i="28"/>
  <c r="X20" i="28"/>
  <c r="N20" i="28"/>
  <c r="I20" i="28"/>
  <c r="AM19" i="28"/>
  <c r="AH19" i="28"/>
  <c r="AC19" i="28"/>
  <c r="X19" i="28"/>
  <c r="S19" i="28"/>
  <c r="N19" i="28"/>
  <c r="I19" i="28"/>
  <c r="AM18" i="28"/>
  <c r="AH18" i="28"/>
  <c r="AC18" i="28"/>
  <c r="X18" i="28"/>
  <c r="S18" i="28"/>
  <c r="N18" i="28"/>
  <c r="I18" i="28"/>
  <c r="AM17" i="28"/>
  <c r="AH17" i="28"/>
  <c r="AC17" i="28"/>
  <c r="X17" i="28"/>
  <c r="S17" i="28"/>
  <c r="I17" i="28"/>
  <c r="AM16" i="28"/>
  <c r="AH16" i="28"/>
  <c r="AC16" i="28"/>
  <c r="X16" i="28"/>
  <c r="S16" i="28"/>
  <c r="N16" i="28"/>
  <c r="I16" i="28"/>
  <c r="AM15" i="28"/>
  <c r="AH15" i="28"/>
  <c r="AC15" i="28"/>
  <c r="X15" i="28"/>
  <c r="S15" i="28"/>
  <c r="N15" i="28"/>
  <c r="I15" i="28"/>
  <c r="AM14" i="28"/>
  <c r="AH14" i="28"/>
  <c r="AC14" i="28"/>
  <c r="X14" i="28"/>
  <c r="S14" i="28"/>
  <c r="N14" i="28"/>
  <c r="I14" i="28"/>
  <c r="AM13" i="28"/>
  <c r="AH13" i="28"/>
  <c r="AC13" i="28"/>
  <c r="X13" i="28"/>
  <c r="S13" i="28"/>
  <c r="N13" i="28"/>
  <c r="I13" i="28"/>
  <c r="AM12" i="28"/>
  <c r="AH12" i="28"/>
  <c r="AC12" i="28"/>
  <c r="X12" i="28"/>
  <c r="S12" i="28"/>
  <c r="N12" i="28"/>
  <c r="I12" i="28"/>
  <c r="AM11" i="28"/>
  <c r="AH11" i="28"/>
  <c r="AC11" i="28"/>
  <c r="X11" i="28"/>
  <c r="S11" i="28"/>
  <c r="N11" i="28"/>
  <c r="I11" i="28"/>
  <c r="AM10" i="28"/>
  <c r="AH10" i="28"/>
  <c r="AC10" i="28"/>
  <c r="X10" i="28"/>
  <c r="S10" i="28"/>
  <c r="N10" i="28"/>
  <c r="I10" i="28"/>
  <c r="AM9" i="28"/>
  <c r="AH9" i="28"/>
  <c r="AC9" i="28"/>
  <c r="X9" i="28"/>
  <c r="S9" i="28"/>
  <c r="N9" i="28"/>
  <c r="I9" i="28"/>
  <c r="AM8" i="28"/>
  <c r="AH8" i="28"/>
  <c r="AC8" i="28"/>
  <c r="X8" i="28"/>
  <c r="S8" i="28"/>
  <c r="N8" i="28"/>
  <c r="I8" i="28"/>
  <c r="AM7" i="28"/>
  <c r="AH7" i="28"/>
  <c r="AC7" i="28"/>
  <c r="X7" i="28"/>
  <c r="S7" i="28"/>
  <c r="N7" i="28"/>
  <c r="I7" i="28"/>
  <c r="AM6" i="28"/>
  <c r="AH6" i="28"/>
  <c r="AC6" i="28"/>
  <c r="X6" i="28"/>
  <c r="S6" i="28"/>
  <c r="N6" i="28"/>
  <c r="I6" i="28"/>
  <c r="AH5" i="28"/>
  <c r="AC5" i="28"/>
  <c r="X5" i="28"/>
  <c r="S5" i="28"/>
  <c r="N5" i="28"/>
  <c r="I5" i="28"/>
  <c r="AM4" i="28"/>
  <c r="AH4" i="28"/>
  <c r="AC4" i="28"/>
  <c r="X4" i="28"/>
  <c r="S4" i="28"/>
  <c r="N4" i="28"/>
  <c r="I4" i="28"/>
  <c r="AJ2" i="28" l="1"/>
  <c r="AE2" i="28"/>
  <c r="V2" i="28"/>
  <c r="P2" i="28"/>
  <c r="K2" i="28"/>
  <c r="G2" i="28" l="1"/>
  <c r="I61" i="10"/>
  <c r="H61" i="10"/>
  <c r="G61" i="10"/>
  <c r="F61" i="10"/>
  <c r="E61" i="10"/>
  <c r="D61" i="10"/>
  <c r="C61" i="10"/>
  <c r="I61" i="9"/>
  <c r="H61" i="9"/>
  <c r="G61" i="9"/>
  <c r="F61" i="9"/>
  <c r="E61" i="9"/>
  <c r="D61" i="9"/>
  <c r="C61" i="9"/>
  <c r="I61" i="11"/>
  <c r="H61" i="11"/>
  <c r="G61" i="11"/>
  <c r="F61" i="11"/>
  <c r="E61" i="11"/>
  <c r="D61" i="11"/>
  <c r="C61" i="11"/>
  <c r="I61" i="8"/>
  <c r="H61" i="8"/>
  <c r="G61" i="8"/>
  <c r="F61" i="8"/>
  <c r="E61" i="8"/>
  <c r="D61" i="8"/>
  <c r="C61" i="8"/>
  <c r="I61" i="12"/>
  <c r="H61" i="12"/>
  <c r="G61" i="12"/>
  <c r="F61" i="12"/>
  <c r="E61" i="12"/>
  <c r="D61" i="12"/>
  <c r="C61" i="12"/>
  <c r="J1" i="28" l="1"/>
  <c r="O1" i="28" s="1"/>
  <c r="T1" i="28" s="1"/>
  <c r="Y1" i="28" s="1"/>
  <c r="AD1" i="28" s="1"/>
  <c r="AI1" i="28" s="1"/>
  <c r="A1" i="28"/>
  <c r="L10" i="11" l="1"/>
  <c r="M10" i="11"/>
  <c r="N10" i="11"/>
  <c r="O10" i="11"/>
  <c r="P10" i="11"/>
  <c r="Q10" i="11"/>
  <c r="K10" i="11"/>
  <c r="L10" i="8"/>
  <c r="M10" i="8"/>
  <c r="N10" i="8"/>
  <c r="O10" i="8"/>
  <c r="P10" i="8"/>
  <c r="Q10" i="8"/>
  <c r="K10" i="8"/>
  <c r="Q13" i="24"/>
  <c r="K14" i="24"/>
  <c r="L14" i="24"/>
  <c r="M14" i="24"/>
  <c r="N14" i="24"/>
  <c r="O14" i="24"/>
  <c r="P14" i="24"/>
  <c r="Q14" i="24"/>
  <c r="K15" i="24"/>
  <c r="L15" i="24"/>
  <c r="M15" i="24"/>
  <c r="N15" i="24"/>
  <c r="O15" i="24"/>
  <c r="P15" i="24"/>
  <c r="Q15" i="24"/>
  <c r="K16" i="24"/>
  <c r="L16" i="24"/>
  <c r="M16" i="24"/>
  <c r="N16" i="24"/>
  <c r="O16" i="24"/>
  <c r="P16" i="24"/>
  <c r="Q16" i="24"/>
  <c r="K17" i="24"/>
  <c r="L17" i="24"/>
  <c r="M17" i="24"/>
  <c r="N17" i="24"/>
  <c r="O17" i="24"/>
  <c r="P17" i="24"/>
  <c r="Q17" i="24"/>
  <c r="K18" i="24"/>
  <c r="L18" i="24"/>
  <c r="M18" i="24"/>
  <c r="N18" i="24"/>
  <c r="O18" i="24"/>
  <c r="P18" i="24"/>
  <c r="Q18" i="24"/>
  <c r="K19" i="24"/>
  <c r="L19" i="24"/>
  <c r="M19" i="24"/>
  <c r="N19" i="24"/>
  <c r="O19" i="24"/>
  <c r="P19" i="24"/>
  <c r="Q19" i="24"/>
  <c r="K20" i="24"/>
  <c r="L20" i="24"/>
  <c r="M20" i="24"/>
  <c r="N20" i="24"/>
  <c r="O20" i="24"/>
  <c r="P20" i="24"/>
  <c r="Q20" i="24"/>
  <c r="K21" i="24"/>
  <c r="L21" i="24"/>
  <c r="M21" i="24"/>
  <c r="N21" i="24"/>
  <c r="O21" i="24"/>
  <c r="P21" i="24"/>
  <c r="Q21" i="24"/>
  <c r="K22" i="24"/>
  <c r="L22" i="24"/>
  <c r="M22" i="24"/>
  <c r="N22" i="24"/>
  <c r="O22" i="24"/>
  <c r="P22" i="24"/>
  <c r="Q22" i="24"/>
  <c r="K23" i="24"/>
  <c r="L23" i="24"/>
  <c r="M23" i="24"/>
  <c r="N23" i="24"/>
  <c r="O23" i="24"/>
  <c r="P23" i="24"/>
  <c r="Q23" i="24"/>
  <c r="K24" i="24"/>
  <c r="L24" i="24"/>
  <c r="M24" i="24"/>
  <c r="N24" i="24"/>
  <c r="O24" i="24"/>
  <c r="P24" i="24"/>
  <c r="Q24" i="24"/>
  <c r="K25" i="24"/>
  <c r="L25" i="24"/>
  <c r="M25" i="24"/>
  <c r="N25" i="24"/>
  <c r="O25" i="24"/>
  <c r="P25" i="24"/>
  <c r="Q25" i="24"/>
  <c r="K26" i="24"/>
  <c r="L26" i="24"/>
  <c r="M26" i="24"/>
  <c r="N26" i="24"/>
  <c r="O26" i="24"/>
  <c r="P26" i="24"/>
  <c r="Q26" i="24"/>
  <c r="K27" i="24"/>
  <c r="L27" i="24"/>
  <c r="M27" i="24"/>
  <c r="N27" i="24"/>
  <c r="O27" i="24"/>
  <c r="P27" i="24"/>
  <c r="Q27" i="24"/>
  <c r="K28" i="24"/>
  <c r="L28" i="24"/>
  <c r="M28" i="24"/>
  <c r="N28" i="24"/>
  <c r="O28" i="24"/>
  <c r="P28" i="24"/>
  <c r="Q28" i="24"/>
  <c r="K29" i="24"/>
  <c r="L29" i="24"/>
  <c r="M29" i="24"/>
  <c r="N29" i="24"/>
  <c r="O29" i="24"/>
  <c r="P29" i="24"/>
  <c r="Q29" i="24"/>
  <c r="K30" i="24"/>
  <c r="L30" i="24"/>
  <c r="M30" i="24"/>
  <c r="N30" i="24"/>
  <c r="O30" i="24"/>
  <c r="P30" i="24"/>
  <c r="Q30" i="24"/>
  <c r="K31" i="24"/>
  <c r="L31" i="24"/>
  <c r="M31" i="24"/>
  <c r="N31" i="24"/>
  <c r="O31" i="24"/>
  <c r="P31" i="24"/>
  <c r="Q31" i="24"/>
  <c r="K32" i="24"/>
  <c r="L32" i="24"/>
  <c r="M32" i="24"/>
  <c r="N32" i="24"/>
  <c r="O32" i="24"/>
  <c r="P32" i="24"/>
  <c r="Q32" i="24"/>
  <c r="K33" i="24"/>
  <c r="L33" i="24"/>
  <c r="M33" i="24"/>
  <c r="N33" i="24"/>
  <c r="O33" i="24"/>
  <c r="P33" i="24"/>
  <c r="Q33" i="24"/>
  <c r="K34" i="24"/>
  <c r="L34" i="24"/>
  <c r="M34" i="24"/>
  <c r="N34" i="24"/>
  <c r="O34" i="24"/>
  <c r="P34" i="24"/>
  <c r="Q34" i="24"/>
  <c r="K35" i="24"/>
  <c r="L35" i="24"/>
  <c r="M35" i="24"/>
  <c r="N35" i="24"/>
  <c r="O35" i="24"/>
  <c r="P35" i="24"/>
  <c r="Q35" i="24"/>
  <c r="K36" i="24"/>
  <c r="L36" i="24"/>
  <c r="M36" i="24"/>
  <c r="N36" i="24"/>
  <c r="O36" i="24"/>
  <c r="P36" i="24"/>
  <c r="Q36" i="24"/>
  <c r="L13" i="24"/>
  <c r="M13" i="24"/>
  <c r="N13" i="24"/>
  <c r="O13" i="24"/>
  <c r="P13" i="24"/>
  <c r="K13" i="24"/>
  <c r="K16" i="25"/>
  <c r="N22" i="25"/>
  <c r="P15" i="25"/>
  <c r="M35" i="25"/>
  <c r="K36" i="25"/>
  <c r="K24" i="25"/>
  <c r="Q28" i="25"/>
  <c r="N18" i="25"/>
  <c r="Q19" i="25"/>
  <c r="L18" i="25"/>
  <c r="N16" i="25"/>
  <c r="K14" i="25"/>
  <c r="K25" i="25"/>
  <c r="P16" i="25"/>
  <c r="P31" i="25"/>
  <c r="K21" i="25"/>
  <c r="N17" i="25"/>
  <c r="O23" i="25"/>
  <c r="Q25" i="25"/>
  <c r="M22" i="25"/>
  <c r="K35" i="25"/>
  <c r="N31" i="25"/>
  <c r="P21" i="25"/>
  <c r="O24" i="25"/>
  <c r="O15" i="25"/>
  <c r="N27" i="25"/>
  <c r="N14" i="25"/>
  <c r="M19" i="25"/>
  <c r="K18" i="25"/>
  <c r="P34" i="25"/>
  <c r="O14" i="25"/>
  <c r="K30" i="25"/>
  <c r="K34" i="25"/>
  <c r="N19" i="25"/>
  <c r="L16" i="25"/>
  <c r="N28" i="25"/>
  <c r="N35" i="25"/>
  <c r="Q29" i="25"/>
  <c r="M20" i="25"/>
  <c r="O25" i="25"/>
  <c r="Q17" i="25"/>
  <c r="O13" i="25"/>
  <c r="M30" i="25"/>
  <c r="M15" i="25"/>
  <c r="K20" i="25"/>
  <c r="L23" i="25"/>
  <c r="P35" i="25"/>
  <c r="P24" i="25"/>
  <c r="K17" i="25"/>
  <c r="Q18" i="25"/>
  <c r="P20" i="25"/>
  <c r="N24" i="25"/>
  <c r="K22" i="25"/>
  <c r="N32" i="25"/>
  <c r="M29" i="25"/>
  <c r="M17" i="25"/>
  <c r="L35" i="25"/>
  <c r="Q20" i="25"/>
  <c r="Q23" i="25"/>
  <c r="N26" i="25"/>
  <c r="M26" i="25"/>
  <c r="L31" i="25"/>
  <c r="P13" i="25"/>
  <c r="L33" i="25"/>
  <c r="N23" i="25"/>
  <c r="P22" i="25"/>
  <c r="O33" i="25"/>
  <c r="M16" i="25"/>
  <c r="M25" i="25"/>
  <c r="O36" i="25"/>
  <c r="N36" i="25"/>
  <c r="L17" i="25"/>
  <c r="O17" i="25"/>
  <c r="K13" i="25"/>
  <c r="L14" i="25"/>
  <c r="Q16" i="25"/>
  <c r="P17" i="25"/>
  <c r="P28" i="25"/>
  <c r="O30" i="25"/>
  <c r="M24" i="25"/>
  <c r="P14" i="25"/>
  <c r="Q32" i="25"/>
  <c r="Q27" i="25"/>
  <c r="Q35" i="25"/>
  <c r="P33" i="25"/>
  <c r="L34" i="25"/>
  <c r="L36" i="25"/>
  <c r="Q24" i="25"/>
  <c r="Q26" i="25"/>
  <c r="P32" i="25"/>
  <c r="N13" i="25"/>
  <c r="N30" i="25"/>
  <c r="M14" i="25"/>
  <c r="L29" i="25"/>
  <c r="K28" i="25"/>
  <c r="M13" i="25"/>
  <c r="M31" i="25"/>
  <c r="L22" i="25"/>
  <c r="K19" i="25"/>
  <c r="O28" i="25"/>
  <c r="M32" i="25"/>
  <c r="N21" i="25"/>
  <c r="O20" i="25"/>
  <c r="O35" i="25"/>
  <c r="M18" i="25"/>
  <c r="Q13" i="25"/>
  <c r="Q14" i="25"/>
  <c r="K31" i="25"/>
  <c r="K26" i="25"/>
  <c r="N15" i="25"/>
  <c r="P19" i="25"/>
  <c r="L26" i="25"/>
  <c r="M36" i="25"/>
  <c r="O21" i="25"/>
  <c r="Q31" i="25"/>
  <c r="L25" i="25"/>
  <c r="O26" i="25"/>
  <c r="N34" i="25"/>
  <c r="Q15" i="25"/>
  <c r="K15" i="25"/>
  <c r="M34" i="25"/>
  <c r="O29" i="25"/>
  <c r="P18" i="25"/>
  <c r="M21" i="25"/>
  <c r="L21" i="25"/>
  <c r="O18" i="25"/>
  <c r="O32" i="25"/>
  <c r="P30" i="25"/>
  <c r="P25" i="25"/>
  <c r="L24" i="25"/>
  <c r="P27" i="25"/>
  <c r="K27" i="25"/>
  <c r="Q21" i="25"/>
  <c r="Q33" i="25"/>
  <c r="L13" i="25"/>
  <c r="N33" i="25"/>
  <c r="M23" i="25"/>
  <c r="O16" i="25"/>
  <c r="L32" i="25"/>
  <c r="N20" i="25"/>
  <c r="K29" i="25"/>
  <c r="L30" i="25"/>
  <c r="P26" i="25"/>
  <c r="O19" i="25"/>
  <c r="O22" i="25"/>
  <c r="M28" i="25"/>
  <c r="L19" i="25"/>
  <c r="O27" i="25"/>
  <c r="P36" i="25"/>
  <c r="P29" i="25"/>
  <c r="O34" i="25"/>
  <c r="Q36" i="25"/>
  <c r="O31" i="25"/>
  <c r="Q34" i="25"/>
  <c r="N25" i="25"/>
  <c r="Q22" i="25"/>
  <c r="K23" i="25"/>
  <c r="K32" i="25"/>
  <c r="P23" i="25"/>
  <c r="L20" i="25"/>
  <c r="L28" i="25"/>
  <c r="L15" i="25"/>
  <c r="Q30" i="25"/>
  <c r="L27" i="25"/>
  <c r="N29" i="25"/>
  <c r="M33" i="25"/>
  <c r="M27" i="25"/>
  <c r="K33" i="25"/>
  <c r="K37" i="24" l="1"/>
  <c r="L10" i="12"/>
  <c r="M10" i="12"/>
  <c r="N10" i="12"/>
  <c r="O10" i="12"/>
  <c r="P10" i="12"/>
  <c r="Q10" i="12"/>
  <c r="K10" i="12"/>
  <c r="L10" i="10"/>
  <c r="M10" i="10"/>
  <c r="N10" i="10"/>
  <c r="O10" i="10"/>
  <c r="P10" i="10"/>
  <c r="Q10" i="10"/>
  <c r="K10" i="10"/>
  <c r="L10" i="9"/>
  <c r="M10" i="9"/>
  <c r="N10" i="9"/>
  <c r="O10" i="9"/>
  <c r="P10" i="9"/>
  <c r="Q10" i="9"/>
  <c r="K10" i="9"/>
  <c r="M40" i="10"/>
  <c r="M60" i="10"/>
  <c r="M44" i="10"/>
  <c r="M27" i="10"/>
  <c r="M51" i="10"/>
  <c r="M16" i="10"/>
  <c r="L37" i="10"/>
  <c r="L54" i="10"/>
  <c r="L25" i="10"/>
  <c r="L55" i="10"/>
  <c r="L56" i="10"/>
  <c r="L58" i="10"/>
  <c r="N34" i="10"/>
  <c r="N46" i="10"/>
  <c r="N45" i="10"/>
  <c r="N24" i="10"/>
  <c r="N52" i="10"/>
  <c r="N18" i="10"/>
  <c r="O31" i="10"/>
  <c r="O55" i="10"/>
  <c r="O42" i="10"/>
  <c r="O24" i="10"/>
  <c r="O38" i="10"/>
  <c r="O34" i="10"/>
  <c r="K28" i="10"/>
  <c r="K36" i="10"/>
  <c r="K39" i="10"/>
  <c r="K20" i="10"/>
  <c r="K54" i="10"/>
  <c r="K38" i="10"/>
  <c r="P23" i="10"/>
  <c r="P30" i="10"/>
  <c r="P16" i="10"/>
  <c r="P19" i="10"/>
  <c r="P57" i="10"/>
  <c r="P45" i="10"/>
  <c r="Q27" i="10"/>
  <c r="Q57" i="10"/>
  <c r="Q24" i="10"/>
  <c r="Q55" i="10"/>
  <c r="Q14" i="10"/>
  <c r="Q17" i="10"/>
  <c r="N55" i="9"/>
  <c r="N33" i="9"/>
  <c r="N29" i="9"/>
  <c r="N37" i="9"/>
  <c r="N43" i="9"/>
  <c r="N30" i="9"/>
  <c r="P60" i="9"/>
  <c r="P17" i="9"/>
  <c r="P52" i="9"/>
  <c r="P41" i="9"/>
  <c r="P51" i="9"/>
  <c r="P43" i="9"/>
  <c r="Q20" i="9"/>
  <c r="Q23" i="9"/>
  <c r="Q29" i="9"/>
  <c r="Q34" i="9"/>
  <c r="Q57" i="9"/>
  <c r="Q14" i="9"/>
  <c r="L40" i="9"/>
  <c r="L15" i="9"/>
  <c r="L20" i="9"/>
  <c r="L23" i="9"/>
  <c r="L24" i="9"/>
  <c r="L53" i="9"/>
  <c r="M57" i="9"/>
  <c r="M19" i="9"/>
  <c r="M37" i="9"/>
  <c r="M32" i="9"/>
  <c r="M18" i="9"/>
  <c r="M55" i="9"/>
  <c r="O18" i="9"/>
  <c r="O30" i="9"/>
  <c r="O45" i="9"/>
  <c r="O22" i="9"/>
  <c r="O60" i="9"/>
  <c r="O59" i="9"/>
  <c r="K56" i="9"/>
  <c r="K29" i="9"/>
  <c r="K50" i="9"/>
  <c r="K38" i="9"/>
  <c r="K30" i="9"/>
  <c r="K26" i="9"/>
  <c r="L26" i="10"/>
  <c r="N39" i="10"/>
  <c r="N22" i="10"/>
  <c r="N37" i="10"/>
  <c r="O29" i="10"/>
  <c r="O45" i="10"/>
  <c r="O13" i="10"/>
  <c r="K48" i="10"/>
  <c r="K58" i="10"/>
  <c r="K29" i="10"/>
  <c r="K31" i="10"/>
  <c r="P29" i="10"/>
  <c r="P33" i="10"/>
  <c r="P35" i="10"/>
  <c r="P55" i="10"/>
  <c r="Q20" i="10"/>
  <c r="Q28" i="10"/>
  <c r="Q56" i="10"/>
  <c r="Q52" i="10"/>
  <c r="N27" i="9"/>
  <c r="N46" i="9"/>
  <c r="N41" i="9"/>
  <c r="N45" i="9"/>
  <c r="P59" i="9"/>
  <c r="P15" i="9"/>
  <c r="P48" i="9"/>
  <c r="P34" i="9"/>
  <c r="P20" i="9"/>
  <c r="Q47" i="9"/>
  <c r="Q31" i="9"/>
  <c r="Q52" i="9"/>
  <c r="Q15" i="9"/>
  <c r="L37" i="9"/>
  <c r="L56" i="9"/>
  <c r="L42" i="9"/>
  <c r="L35" i="9"/>
  <c r="M46" i="9"/>
  <c r="M43" i="9"/>
  <c r="M49" i="9"/>
  <c r="M36" i="9"/>
  <c r="O23" i="9"/>
  <c r="O38" i="9"/>
  <c r="O50" i="9"/>
  <c r="M43" i="10"/>
  <c r="M37" i="10"/>
  <c r="M58" i="10"/>
  <c r="M53" i="10"/>
  <c r="M14" i="10"/>
  <c r="M28" i="10"/>
  <c r="L46" i="10"/>
  <c r="L15" i="10"/>
  <c r="L48" i="10"/>
  <c r="L17" i="10"/>
  <c r="L19" i="10"/>
  <c r="N30" i="10"/>
  <c r="N43" i="10"/>
  <c r="N35" i="10"/>
  <c r="O48" i="10"/>
  <c r="O28" i="10"/>
  <c r="O27" i="10"/>
  <c r="K45" i="10"/>
  <c r="K47" i="10"/>
  <c r="P48" i="10"/>
  <c r="P59" i="10"/>
  <c r="Q22" i="10"/>
  <c r="Q15" i="10"/>
  <c r="N48" i="9"/>
  <c r="N36" i="9"/>
  <c r="P19" i="9"/>
  <c r="Q42" i="9"/>
  <c r="Q16" i="9"/>
  <c r="L45" i="9"/>
  <c r="L26" i="9"/>
  <c r="M25" i="9"/>
  <c r="M44" i="9"/>
  <c r="O52" i="9"/>
  <c r="O54" i="9"/>
  <c r="K28" i="9"/>
  <c r="M29" i="10"/>
  <c r="M54" i="10"/>
  <c r="M33" i="10"/>
  <c r="M42" i="10"/>
  <c r="M23" i="10"/>
  <c r="M22" i="10"/>
  <c r="L39" i="10"/>
  <c r="L23" i="10"/>
  <c r="L31" i="10"/>
  <c r="L44" i="10"/>
  <c r="L52" i="10"/>
  <c r="L60" i="10"/>
  <c r="N42" i="10"/>
  <c r="N20" i="10"/>
  <c r="N53" i="10"/>
  <c r="N17" i="10"/>
  <c r="N48" i="10"/>
  <c r="N51" i="10"/>
  <c r="O20" i="10"/>
  <c r="O53" i="10"/>
  <c r="O43" i="10"/>
  <c r="O33" i="10"/>
  <c r="O15" i="10"/>
  <c r="O46" i="10"/>
  <c r="K37" i="10"/>
  <c r="K59" i="10"/>
  <c r="K35" i="10"/>
  <c r="K22" i="10"/>
  <c r="K56" i="10"/>
  <c r="K55" i="10"/>
  <c r="P38" i="10"/>
  <c r="P14" i="10"/>
  <c r="P42" i="10"/>
  <c r="P28" i="10"/>
  <c r="P13" i="10"/>
  <c r="P32" i="10"/>
  <c r="Q13" i="10"/>
  <c r="Q34" i="10"/>
  <c r="Q36" i="10"/>
  <c r="Q42" i="10"/>
  <c r="Q33" i="10"/>
  <c r="Q45" i="10"/>
  <c r="N58" i="9"/>
  <c r="N21" i="9"/>
  <c r="N50" i="9"/>
  <c r="N54" i="9"/>
  <c r="N34" i="9"/>
  <c r="N53" i="9"/>
  <c r="P54" i="9"/>
  <c r="P31" i="9"/>
  <c r="P27" i="9"/>
  <c r="P46" i="9"/>
  <c r="P38" i="9"/>
  <c r="P14" i="9"/>
  <c r="Q53" i="9"/>
  <c r="Q22" i="9"/>
  <c r="Q35" i="9"/>
  <c r="Q46" i="9"/>
  <c r="Q25" i="9"/>
  <c r="Q28" i="9"/>
  <c r="L30" i="9"/>
  <c r="L38" i="9"/>
  <c r="L54" i="9"/>
  <c r="L19" i="9"/>
  <c r="L27" i="9"/>
  <c r="L52" i="9"/>
  <c r="M34" i="9"/>
  <c r="M29" i="9"/>
  <c r="M14" i="9"/>
  <c r="M59" i="9"/>
  <c r="M42" i="9"/>
  <c r="M58" i="9"/>
  <c r="O42" i="9"/>
  <c r="O47" i="9"/>
  <c r="O55" i="9"/>
  <c r="O20" i="9"/>
  <c r="O34" i="9"/>
  <c r="O15" i="9"/>
  <c r="K15" i="9"/>
  <c r="K49" i="9"/>
  <c r="K41" i="9"/>
  <c r="K53" i="9"/>
  <c r="K18" i="9"/>
  <c r="K43" i="9"/>
  <c r="M49" i="10"/>
  <c r="M46" i="10"/>
  <c r="M17" i="10"/>
  <c r="M34" i="10"/>
  <c r="M24" i="10"/>
  <c r="M26" i="10"/>
  <c r="L32" i="10"/>
  <c r="L29" i="10"/>
  <c r="M59" i="10"/>
  <c r="M55" i="10"/>
  <c r="M13" i="10"/>
  <c r="M38" i="10"/>
  <c r="M56" i="10"/>
  <c r="M47" i="10"/>
  <c r="M31" i="10"/>
  <c r="L28" i="10"/>
  <c r="L30" i="10"/>
  <c r="L59" i="10"/>
  <c r="L57" i="10"/>
  <c r="L35" i="10"/>
  <c r="L22" i="10"/>
  <c r="N57" i="10"/>
  <c r="N38" i="10"/>
  <c r="N21" i="10"/>
  <c r="N23" i="10"/>
  <c r="N36" i="10"/>
  <c r="N40" i="10"/>
  <c r="O47" i="10"/>
  <c r="O44" i="10"/>
  <c r="O18" i="10"/>
  <c r="O37" i="10"/>
  <c r="O54" i="10"/>
  <c r="O49" i="10"/>
  <c r="K42" i="10"/>
  <c r="K40" i="10"/>
  <c r="K21" i="10"/>
  <c r="K24" i="10"/>
  <c r="K41" i="10"/>
  <c r="K13" i="10"/>
  <c r="P31" i="10"/>
  <c r="P27" i="10"/>
  <c r="P54" i="10"/>
  <c r="P37" i="10"/>
  <c r="P21" i="10"/>
  <c r="P58" i="10"/>
  <c r="Q26" i="10"/>
  <c r="Q46" i="10"/>
  <c r="Q31" i="10"/>
  <c r="Q38" i="10"/>
  <c r="Q59" i="10"/>
  <c r="Q58" i="10"/>
  <c r="N44" i="9"/>
  <c r="N15" i="9"/>
  <c r="N42" i="9"/>
  <c r="N35" i="9"/>
  <c r="N39" i="9"/>
  <c r="N40" i="9"/>
  <c r="P40" i="9"/>
  <c r="P56" i="9"/>
  <c r="P21" i="9"/>
  <c r="P45" i="9"/>
  <c r="M39" i="10"/>
  <c r="M57" i="10"/>
  <c r="M35" i="10"/>
  <c r="L41" i="10"/>
  <c r="L20" i="10"/>
  <c r="N41" i="10"/>
  <c r="N16" i="10"/>
  <c r="N26" i="10"/>
  <c r="O21" i="10"/>
  <c r="O25" i="10"/>
  <c r="O19" i="10"/>
  <c r="K34" i="10"/>
  <c r="K46" i="10"/>
  <c r="K25" i="10"/>
  <c r="P18" i="10"/>
  <c r="P39" i="10"/>
  <c r="P50" i="10"/>
  <c r="Q18" i="10"/>
  <c r="Q19" i="10"/>
  <c r="Q37" i="10"/>
  <c r="N14" i="9"/>
  <c r="N28" i="9"/>
  <c r="N13" i="9"/>
  <c r="P29" i="9"/>
  <c r="P26" i="9"/>
  <c r="P42" i="9"/>
  <c r="P58" i="9"/>
  <c r="Q27" i="9"/>
  <c r="Q50" i="9"/>
  <c r="Q55" i="9"/>
  <c r="L17" i="9"/>
  <c r="L55" i="9"/>
  <c r="L36" i="9"/>
  <c r="L14" i="9"/>
  <c r="M13" i="9"/>
  <c r="M20" i="9"/>
  <c r="M35" i="9"/>
  <c r="M51" i="9"/>
  <c r="O39" i="9"/>
  <c r="O44" i="9"/>
  <c r="O33" i="9"/>
  <c r="O56" i="9"/>
  <c r="K36" i="9"/>
  <c r="K37" i="9"/>
  <c r="K39" i="9"/>
  <c r="K25" i="9"/>
  <c r="M19" i="10"/>
  <c r="M18" i="10"/>
  <c r="L38" i="10"/>
  <c r="L24" i="10"/>
  <c r="L14" i="10"/>
  <c r="N44" i="10"/>
  <c r="N59" i="10"/>
  <c r="N47" i="10"/>
  <c r="O56" i="10"/>
  <c r="O51" i="10"/>
  <c r="O32" i="10"/>
  <c r="K30" i="10"/>
  <c r="K52" i="10"/>
  <c r="K43" i="10"/>
  <c r="P17" i="10"/>
  <c r="P51" i="10"/>
  <c r="P60" i="10"/>
  <c r="Q29" i="10"/>
  <c r="Q50" i="10"/>
  <c r="N22" i="9"/>
  <c r="N23" i="9"/>
  <c r="N60" i="9"/>
  <c r="P22" i="9"/>
  <c r="P47" i="9"/>
  <c r="P16" i="9"/>
  <c r="Q18" i="9"/>
  <c r="Q37" i="9"/>
  <c r="Q59" i="9"/>
  <c r="L60" i="9"/>
  <c r="L48" i="9"/>
  <c r="L41" i="9"/>
  <c r="L58" i="9"/>
  <c r="M48" i="9"/>
  <c r="M21" i="9"/>
  <c r="M38" i="9"/>
  <c r="O32" i="9"/>
  <c r="O26" i="9"/>
  <c r="K46" i="9"/>
  <c r="K55" i="9"/>
  <c r="K57" i="9"/>
  <c r="K21" i="9"/>
  <c r="K44" i="9"/>
  <c r="Q30" i="9"/>
  <c r="M39" i="9"/>
  <c r="O36" i="9"/>
  <c r="K60" i="9"/>
  <c r="L13" i="10"/>
  <c r="K53" i="10"/>
  <c r="P24" i="10"/>
  <c r="N19" i="9"/>
  <c r="Q36" i="9"/>
  <c r="L28" i="9"/>
  <c r="M52" i="9"/>
  <c r="O31" i="9"/>
  <c r="O58" i="9"/>
  <c r="K34" i="9"/>
  <c r="L43" i="10"/>
  <c r="O26" i="10"/>
  <c r="K27" i="10"/>
  <c r="Q49" i="10"/>
  <c r="P33" i="9"/>
  <c r="P49" i="9"/>
  <c r="Q60" i="9"/>
  <c r="L43" i="9"/>
  <c r="L21" i="9"/>
  <c r="M24" i="9"/>
  <c r="O43" i="9"/>
  <c r="Q39" i="10"/>
  <c r="Q43" i="9"/>
  <c r="M26" i="9"/>
  <c r="O16" i="9"/>
  <c r="O49" i="9"/>
  <c r="K16" i="9"/>
  <c r="K24" i="9"/>
  <c r="Q26" i="9"/>
  <c r="M45" i="9"/>
  <c r="K45" i="9"/>
  <c r="L47" i="10"/>
  <c r="P49" i="10"/>
  <c r="N47" i="9"/>
  <c r="Q19" i="9"/>
  <c r="L39" i="9"/>
  <c r="M16" i="9"/>
  <c r="K32" i="9"/>
  <c r="M32" i="10"/>
  <c r="P41" i="10"/>
  <c r="N59" i="9"/>
  <c r="L32" i="9"/>
  <c r="O51" i="9"/>
  <c r="K17" i="9"/>
  <c r="M48" i="10"/>
  <c r="M15" i="10"/>
  <c r="L34" i="10"/>
  <c r="L40" i="10"/>
  <c r="L21" i="10"/>
  <c r="N55" i="10"/>
  <c r="N60" i="10"/>
  <c r="N58" i="10"/>
  <c r="O52" i="10"/>
  <c r="O22" i="10"/>
  <c r="O41" i="10"/>
  <c r="K23" i="10"/>
  <c r="K17" i="10"/>
  <c r="K60" i="10"/>
  <c r="P26" i="10"/>
  <c r="P44" i="10"/>
  <c r="P15" i="10"/>
  <c r="Q32" i="10"/>
  <c r="Q54" i="10"/>
  <c r="Q30" i="10"/>
  <c r="N49" i="9"/>
  <c r="N16" i="9"/>
  <c r="N25" i="9"/>
  <c r="P23" i="9"/>
  <c r="P44" i="9"/>
  <c r="P37" i="9"/>
  <c r="Q41" i="9"/>
  <c r="Q54" i="9"/>
  <c r="Q17" i="9"/>
  <c r="Q24" i="9"/>
  <c r="L31" i="9"/>
  <c r="L25" i="9"/>
  <c r="L13" i="9"/>
  <c r="L33" i="9"/>
  <c r="M54" i="9"/>
  <c r="M50" i="9"/>
  <c r="M33" i="9"/>
  <c r="M31" i="9"/>
  <c r="O29" i="9"/>
  <c r="O25" i="9"/>
  <c r="O19" i="9"/>
  <c r="K51" i="9"/>
  <c r="K58" i="9"/>
  <c r="K31" i="9"/>
  <c r="K27" i="9"/>
  <c r="K22" i="9"/>
  <c r="M41" i="10"/>
  <c r="M50" i="10"/>
  <c r="L51" i="10"/>
  <c r="L36" i="10"/>
  <c r="L53" i="10"/>
  <c r="N50" i="10"/>
  <c r="N19" i="10"/>
  <c r="N13" i="10"/>
  <c r="O59" i="10"/>
  <c r="O30" i="10"/>
  <c r="O36" i="10"/>
  <c r="K19" i="10"/>
  <c r="K49" i="10"/>
  <c r="K14" i="10"/>
  <c r="P25" i="10"/>
  <c r="P40" i="10"/>
  <c r="P43" i="10"/>
  <c r="Q35" i="10"/>
  <c r="Q48" i="10"/>
  <c r="Q47" i="10"/>
  <c r="N56" i="9"/>
  <c r="N20" i="9"/>
  <c r="N32" i="9"/>
  <c r="P36" i="9"/>
  <c r="P35" i="9"/>
  <c r="P57" i="9"/>
  <c r="Q32" i="9"/>
  <c r="Q48" i="9"/>
  <c r="Q21" i="9"/>
  <c r="Q40" i="9"/>
  <c r="L51" i="9"/>
  <c r="L18" i="9"/>
  <c r="L59" i="9"/>
  <c r="L29" i="9"/>
  <c r="M47" i="9"/>
  <c r="M27" i="9"/>
  <c r="M53" i="9"/>
  <c r="O53" i="9"/>
  <c r="O24" i="9"/>
  <c r="O13" i="9"/>
  <c r="O48" i="9"/>
  <c r="K48" i="9"/>
  <c r="K20" i="9"/>
  <c r="Q51" i="9"/>
  <c r="L34" i="9"/>
  <c r="O14" i="9"/>
  <c r="K42" i="9"/>
  <c r="P32" i="12"/>
  <c r="L42" i="10"/>
  <c r="N31" i="10"/>
  <c r="O40" i="10"/>
  <c r="P53" i="10"/>
  <c r="Q41" i="10"/>
  <c r="P39" i="9"/>
  <c r="K23" i="9"/>
  <c r="L16" i="10"/>
  <c r="N54" i="10"/>
  <c r="N32" i="10"/>
  <c r="O35" i="10"/>
  <c r="K18" i="10"/>
  <c r="P20" i="10"/>
  <c r="Q44" i="10"/>
  <c r="P32" i="9"/>
  <c r="P24" i="9"/>
  <c r="Q39" i="9"/>
  <c r="L57" i="9"/>
  <c r="M56" i="9"/>
  <c r="O35" i="9"/>
  <c r="K59" i="9"/>
  <c r="M36" i="10"/>
  <c r="M20" i="10"/>
  <c r="L49" i="10"/>
  <c r="L18" i="10"/>
  <c r="L50" i="10"/>
  <c r="N27" i="10"/>
  <c r="N15" i="10"/>
  <c r="N25" i="10"/>
  <c r="O14" i="10"/>
  <c r="O60" i="10"/>
  <c r="O58" i="10"/>
  <c r="K16" i="10"/>
  <c r="K26" i="10"/>
  <c r="K15" i="10"/>
  <c r="P34" i="10"/>
  <c r="P52" i="10"/>
  <c r="P36" i="10"/>
  <c r="Q60" i="10"/>
  <c r="Q25" i="10"/>
  <c r="Q40" i="10"/>
  <c r="N57" i="9"/>
  <c r="N26" i="9"/>
  <c r="N52" i="9"/>
  <c r="P53" i="9"/>
  <c r="P13" i="9"/>
  <c r="P50" i="9"/>
  <c r="Q49" i="9"/>
  <c r="Q44" i="9"/>
  <c r="Q58" i="9"/>
  <c r="Q38" i="9"/>
  <c r="L16" i="9"/>
  <c r="L47" i="9"/>
  <c r="L46" i="9"/>
  <c r="L22" i="9"/>
  <c r="M41" i="9"/>
  <c r="M28" i="9"/>
  <c r="M17" i="9"/>
  <c r="O57" i="9"/>
  <c r="O17" i="9"/>
  <c r="O46" i="9"/>
  <c r="O41" i="9"/>
  <c r="K33" i="9"/>
  <c r="K52" i="9"/>
  <c r="K19" i="9"/>
  <c r="K35" i="9"/>
  <c r="K13" i="9"/>
  <c r="M21" i="10"/>
  <c r="N56" i="10"/>
  <c r="N28" i="10"/>
  <c r="O17" i="10"/>
  <c r="O23" i="10"/>
  <c r="K44" i="10"/>
  <c r="K57" i="10"/>
  <c r="P56" i="10"/>
  <c r="P46" i="10"/>
  <c r="Q51" i="10"/>
  <c r="N38" i="9"/>
  <c r="N17" i="9"/>
  <c r="P30" i="9"/>
  <c r="P25" i="9"/>
  <c r="Q33" i="9"/>
  <c r="L49" i="9"/>
  <c r="M30" i="9"/>
  <c r="O28" i="9"/>
  <c r="K54" i="9"/>
  <c r="M52" i="10"/>
  <c r="O39" i="10"/>
  <c r="K51" i="10"/>
  <c r="Q53" i="10"/>
  <c r="N24" i="9"/>
  <c r="P28" i="9"/>
  <c r="Q56" i="9"/>
  <c r="Q13" i="9"/>
  <c r="L44" i="9"/>
  <c r="M23" i="9"/>
  <c r="O27" i="9"/>
  <c r="K14" i="9"/>
  <c r="N33" i="10"/>
  <c r="K33" i="10"/>
  <c r="Q16" i="10"/>
  <c r="N51" i="9"/>
  <c r="M15" i="9"/>
  <c r="K47" i="9"/>
  <c r="M30" i="10"/>
  <c r="L45" i="10"/>
  <c r="L27" i="10"/>
  <c r="L33" i="10"/>
  <c r="N14" i="10"/>
  <c r="O50" i="10"/>
  <c r="K32" i="10"/>
  <c r="P47" i="10"/>
  <c r="Q43" i="10"/>
  <c r="Q23" i="10"/>
  <c r="N31" i="9"/>
  <c r="P18" i="9"/>
  <c r="L50" i="9"/>
  <c r="M40" i="9"/>
  <c r="O37" i="9"/>
  <c r="M25" i="10"/>
  <c r="N49" i="10"/>
  <c r="N29" i="10"/>
  <c r="O57" i="10"/>
  <c r="K50" i="10"/>
  <c r="Q21" i="10"/>
  <c r="P55" i="9"/>
  <c r="M22" i="9"/>
  <c r="O21" i="9"/>
  <c r="M45" i="10"/>
  <c r="O16" i="10"/>
  <c r="P22" i="10"/>
  <c r="N18" i="9"/>
  <c r="Q45" i="9"/>
  <c r="M60" i="9"/>
  <c r="O40" i="9"/>
  <c r="K40" i="9"/>
  <c r="AT60" i="10" l="1"/>
  <c r="AT59" i="10"/>
  <c r="AR60" i="10"/>
  <c r="AR58" i="10"/>
  <c r="AR50" i="10"/>
  <c r="AR53" i="10"/>
  <c r="AR52" i="10"/>
  <c r="AR56" i="10"/>
  <c r="AR57" i="10"/>
  <c r="AR48" i="10"/>
  <c r="AR55" i="10"/>
  <c r="AR59" i="10"/>
  <c r="AR54" i="10"/>
  <c r="AR49" i="10"/>
  <c r="AR51" i="10"/>
  <c r="L4" i="24"/>
  <c r="M4" i="24"/>
  <c r="N4" i="24"/>
  <c r="O4" i="24"/>
  <c r="P4" i="24"/>
  <c r="Q4" i="24"/>
  <c r="K4" i="24"/>
  <c r="L10" i="24"/>
  <c r="M10" i="24"/>
  <c r="N10" i="24"/>
  <c r="O10" i="24"/>
  <c r="P10" i="24"/>
  <c r="Q10" i="24"/>
  <c r="K10" i="24"/>
  <c r="L4" i="25"/>
  <c r="M4" i="25"/>
  <c r="N4" i="25"/>
  <c r="O4" i="25"/>
  <c r="P4" i="25"/>
  <c r="Q4" i="25"/>
  <c r="K4" i="25"/>
  <c r="L10" i="25"/>
  <c r="M10" i="25"/>
  <c r="N10" i="25"/>
  <c r="O10" i="25"/>
  <c r="P10" i="25"/>
  <c r="Q10" i="25"/>
  <c r="K10" i="25"/>
  <c r="N26" i="8"/>
  <c r="D8" i="13" l="1"/>
  <c r="E8" i="13"/>
  <c r="F8" i="13"/>
  <c r="G8" i="13"/>
  <c r="H8" i="13"/>
  <c r="I8" i="13"/>
  <c r="C8" i="13"/>
  <c r="Q48" i="8"/>
  <c r="AP13" i="9" l="1"/>
  <c r="AP13" i="10"/>
  <c r="Y37" i="27" l="1"/>
  <c r="X37" i="27"/>
  <c r="W37" i="27"/>
  <c r="V37" i="27"/>
  <c r="U37" i="27"/>
  <c r="T37" i="27"/>
  <c r="S37" i="27"/>
  <c r="A38" i="27" s="1"/>
  <c r="I37" i="27"/>
  <c r="H37" i="27"/>
  <c r="G37" i="27"/>
  <c r="F37" i="27"/>
  <c r="E37" i="27"/>
  <c r="D37" i="27"/>
  <c r="C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B14" i="27"/>
  <c r="B15" i="27" s="1"/>
  <c r="A14" i="27"/>
  <c r="AP13" i="27"/>
  <c r="A13" i="27"/>
  <c r="B37" i="27" l="1"/>
  <c r="T39" i="27"/>
  <c r="I39" i="27"/>
  <c r="B16" i="27"/>
  <c r="AP15" i="27"/>
  <c r="V39" i="27"/>
  <c r="U39" i="27"/>
  <c r="S41" i="27"/>
  <c r="D39" i="27"/>
  <c r="C39" i="27"/>
  <c r="E39" i="27"/>
  <c r="F39" i="27"/>
  <c r="W39" i="27"/>
  <c r="G39" i="27"/>
  <c r="X39" i="27"/>
  <c r="AP14" i="27"/>
  <c r="H39" i="27"/>
  <c r="Y39" i="27"/>
  <c r="S39" i="27"/>
  <c r="L9" i="24"/>
  <c r="M9" i="24"/>
  <c r="N9" i="24"/>
  <c r="O9" i="24"/>
  <c r="P9" i="24"/>
  <c r="Q9" i="24"/>
  <c r="K9" i="24"/>
  <c r="L9" i="22"/>
  <c r="M9" i="22"/>
  <c r="N9" i="22"/>
  <c r="O9" i="22"/>
  <c r="P9" i="22"/>
  <c r="Q9" i="22"/>
  <c r="K9" i="22"/>
  <c r="AC16" i="27"/>
  <c r="Q20" i="27"/>
  <c r="AC27" i="27"/>
  <c r="Q30" i="27"/>
  <c r="K32" i="27"/>
  <c r="AA13" i="27"/>
  <c r="L35" i="27"/>
  <c r="AB33" i="27"/>
  <c r="AD22" i="27"/>
  <c r="L24" i="27"/>
  <c r="AA33" i="27"/>
  <c r="M20" i="27"/>
  <c r="O24" i="27"/>
  <c r="AE27" i="27"/>
  <c r="P32" i="27"/>
  <c r="L23" i="27"/>
  <c r="L34" i="27"/>
  <c r="L26" i="27"/>
  <c r="P36" i="27"/>
  <c r="AF27" i="27"/>
  <c r="Q23" i="27"/>
  <c r="L21" i="27"/>
  <c r="AF35" i="27"/>
  <c r="Q35" i="27"/>
  <c r="N29" i="27"/>
  <c r="AE26" i="27"/>
  <c r="AF15" i="27"/>
  <c r="N19" i="27"/>
  <c r="AB31" i="27"/>
  <c r="AE22" i="27"/>
  <c r="P18" i="27"/>
  <c r="AC32" i="27"/>
  <c r="Q31" i="27"/>
  <c r="P28" i="27"/>
  <c r="O29" i="27"/>
  <c r="K35" i="27"/>
  <c r="AG18" i="27"/>
  <c r="P34" i="27"/>
  <c r="O28" i="27"/>
  <c r="N28" i="27"/>
  <c r="M18" i="27"/>
  <c r="AG17" i="27"/>
  <c r="AC34" i="27"/>
  <c r="N13" i="27"/>
  <c r="L16" i="27"/>
  <c r="AE31" i="27"/>
  <c r="N15" i="27"/>
  <c r="P20" i="27"/>
  <c r="AD23" i="27"/>
  <c r="AF29" i="27"/>
  <c r="AB35" i="27"/>
  <c r="M29" i="27"/>
  <c r="O26" i="27"/>
  <c r="M34" i="27"/>
  <c r="AA15" i="27"/>
  <c r="AC14" i="27"/>
  <c r="Q15" i="27"/>
  <c r="AC13" i="27"/>
  <c r="AA26" i="27"/>
  <c r="N22" i="27"/>
  <c r="K20" i="27"/>
  <c r="AG19" i="27"/>
  <c r="K16" i="27"/>
  <c r="P14" i="27"/>
  <c r="P35" i="27"/>
  <c r="AD17" i="27"/>
  <c r="AG14" i="27"/>
  <c r="L30" i="27"/>
  <c r="AC25" i="27"/>
  <c r="AB21" i="27"/>
  <c r="L22" i="27"/>
  <c r="AE25" i="27"/>
  <c r="M30" i="27"/>
  <c r="AG24" i="27"/>
  <c r="AC18" i="27"/>
  <c r="AF25" i="27"/>
  <c r="N36" i="27"/>
  <c r="AE17" i="27"/>
  <c r="M17" i="27"/>
  <c r="AE32" i="27"/>
  <c r="Q36" i="27"/>
  <c r="AG22" i="27"/>
  <c r="N34" i="27"/>
  <c r="AD28" i="27"/>
  <c r="AG36" i="27"/>
  <c r="P19" i="27"/>
  <c r="AE15" i="27"/>
  <c r="AD18" i="27"/>
  <c r="AC36" i="27"/>
  <c r="P27" i="27"/>
  <c r="P25" i="27"/>
  <c r="AA34" i="27"/>
  <c r="AF21" i="27"/>
  <c r="K21" i="27"/>
  <c r="L13" i="27"/>
  <c r="O17" i="27"/>
  <c r="AB18" i="27"/>
  <c r="AB24" i="27"/>
  <c r="L33" i="27"/>
  <c r="K36" i="27"/>
  <c r="AG15" i="27"/>
  <c r="N16" i="27"/>
  <c r="N32" i="27"/>
  <c r="N33" i="27"/>
  <c r="Q21" i="27"/>
  <c r="AE20" i="27"/>
  <c r="AA14" i="27"/>
  <c r="O27" i="27"/>
  <c r="L14" i="27"/>
  <c r="AD34" i="27"/>
  <c r="AB32" i="27"/>
  <c r="AG35" i="27"/>
  <c r="M24" i="27"/>
  <c r="AA27" i="27"/>
  <c r="L32" i="27"/>
  <c r="AG23" i="27"/>
  <c r="AC29" i="27"/>
  <c r="AE35" i="27"/>
  <c r="AC31" i="27"/>
  <c r="AF14" i="27"/>
  <c r="AC21" i="27"/>
  <c r="AG28" i="27"/>
  <c r="AF22" i="27"/>
  <c r="AG31" i="27"/>
  <c r="N17" i="27"/>
  <c r="Q24" i="27"/>
  <c r="AE14" i="27"/>
  <c r="L20" i="27"/>
  <c r="O34" i="27"/>
  <c r="AC35" i="27"/>
  <c r="K23" i="27"/>
  <c r="AB17" i="27"/>
  <c r="M31" i="27"/>
  <c r="Q14" i="27"/>
  <c r="AF13" i="27"/>
  <c r="P30" i="27"/>
  <c r="AC28" i="27"/>
  <c r="AG33" i="27"/>
  <c r="AF31" i="27"/>
  <c r="AA24" i="27"/>
  <c r="N26" i="27"/>
  <c r="P23" i="27"/>
  <c r="O31" i="27"/>
  <c r="Q26" i="27"/>
  <c r="O23" i="27"/>
  <c r="M21" i="27"/>
  <c r="M14" i="27"/>
  <c r="AC23" i="27"/>
  <c r="AD35" i="27"/>
  <c r="K22" i="27"/>
  <c r="AF34" i="27"/>
  <c r="AD25" i="27"/>
  <c r="AD30" i="27"/>
  <c r="O33" i="27"/>
  <c r="AB29" i="27"/>
  <c r="AF18" i="27"/>
  <c r="K26" i="27"/>
  <c r="N25" i="27"/>
  <c r="AD36" i="27"/>
  <c r="O13" i="27"/>
  <c r="M23" i="27"/>
  <c r="M15" i="27"/>
  <c r="AD15" i="27"/>
  <c r="AB27" i="27"/>
  <c r="P15" i="27"/>
  <c r="AE30" i="27"/>
  <c r="M28" i="27"/>
  <c r="N27" i="27"/>
  <c r="O30" i="27"/>
  <c r="AD19" i="27"/>
  <c r="AE29" i="27"/>
  <c r="M35" i="27"/>
  <c r="P17" i="27"/>
  <c r="AG20" i="27"/>
  <c r="AB23" i="27"/>
  <c r="AG30" i="27"/>
  <c r="L29" i="27"/>
  <c r="L19" i="27"/>
  <c r="AA20" i="27"/>
  <c r="AG32" i="27"/>
  <c r="N20" i="27"/>
  <c r="AC30" i="27"/>
  <c r="AC22" i="27"/>
  <c r="AA23" i="27"/>
  <c r="AA29" i="27"/>
  <c r="AG25" i="27"/>
  <c r="AA28" i="27"/>
  <c r="L31" i="27"/>
  <c r="M33" i="27"/>
  <c r="K33" i="27"/>
  <c r="AD27" i="27"/>
  <c r="AD13" i="27"/>
  <c r="P31" i="27"/>
  <c r="AG27" i="27"/>
  <c r="AC15" i="27"/>
  <c r="AA16" i="27"/>
  <c r="Q16" i="27"/>
  <c r="K18" i="27"/>
  <c r="AF23" i="27"/>
  <c r="AA21" i="27"/>
  <c r="Q29" i="27"/>
  <c r="N14" i="27"/>
  <c r="AD20" i="27"/>
  <c r="AE28" i="27"/>
  <c r="M16" i="27"/>
  <c r="AB26" i="27"/>
  <c r="O35" i="27"/>
  <c r="K15" i="27"/>
  <c r="AC26" i="27"/>
  <c r="K28" i="27"/>
  <c r="P16" i="27"/>
  <c r="AE13" i="27"/>
  <c r="N31" i="27"/>
  <c r="Q19" i="27"/>
  <c r="AE36" i="27"/>
  <c r="L17" i="27"/>
  <c r="O21" i="27"/>
  <c r="M13" i="27"/>
  <c r="AD16" i="27"/>
  <c r="AD33" i="27"/>
  <c r="K14" i="27"/>
  <c r="O22" i="27"/>
  <c r="M22" i="27"/>
  <c r="K19" i="27"/>
  <c r="Q27" i="27"/>
  <c r="M19" i="27"/>
  <c r="AA18" i="27"/>
  <c r="AD14" i="27"/>
  <c r="K27" i="27"/>
  <c r="O14" i="27"/>
  <c r="P21" i="27"/>
  <c r="K13" i="27"/>
  <c r="K17" i="27"/>
  <c r="K29" i="27"/>
  <c r="M32" i="27"/>
  <c r="AB20" i="27"/>
  <c r="P22" i="27"/>
  <c r="P24" i="27"/>
  <c r="AG34" i="27"/>
  <c r="AG13" i="27"/>
  <c r="AB16" i="27"/>
  <c r="AB36" i="27"/>
  <c r="AB15" i="27"/>
  <c r="AA35" i="27"/>
  <c r="O19" i="27"/>
  <c r="N30" i="27"/>
  <c r="AG26" i="27"/>
  <c r="L18" i="27"/>
  <c r="AD32" i="27"/>
  <c r="AA22" i="27"/>
  <c r="AA32" i="27"/>
  <c r="AA17" i="27"/>
  <c r="Q28" i="27"/>
  <c r="K30" i="27"/>
  <c r="L28" i="27"/>
  <c r="AA30" i="27"/>
  <c r="P29" i="27"/>
  <c r="AG21" i="27"/>
  <c r="Q13" i="27"/>
  <c r="AB30" i="27"/>
  <c r="AA25" i="27"/>
  <c r="AE23" i="27"/>
  <c r="AE19" i="27"/>
  <c r="K24" i="27"/>
  <c r="Q34" i="27"/>
  <c r="AC17" i="27"/>
  <c r="AA19" i="27"/>
  <c r="M26" i="27"/>
  <c r="Q25" i="27"/>
  <c r="AB34" i="27"/>
  <c r="K25" i="27"/>
  <c r="P33" i="27"/>
  <c r="Q18" i="27"/>
  <c r="AE24" i="27"/>
  <c r="AE21" i="27"/>
  <c r="O15" i="27"/>
  <c r="AG29" i="27"/>
  <c r="AC20" i="27"/>
  <c r="AB25" i="27"/>
  <c r="Q32" i="27"/>
  <c r="N24" i="27"/>
  <c r="AE33" i="27"/>
  <c r="M25" i="27"/>
  <c r="AC33" i="27"/>
  <c r="AA36" i="27"/>
  <c r="AD26" i="27"/>
  <c r="AB19" i="27"/>
  <c r="AA31" i="27"/>
  <c r="K34" i="27"/>
  <c r="AD24" i="27"/>
  <c r="P26" i="27"/>
  <c r="M36" i="27"/>
  <c r="O18" i="27"/>
  <c r="AD21" i="27"/>
  <c r="AB14" i="27"/>
  <c r="AF16" i="27"/>
  <c r="AG16" i="27"/>
  <c r="AB28" i="27"/>
  <c r="O36" i="27"/>
  <c r="O32" i="27"/>
  <c r="AF17" i="27"/>
  <c r="K31" i="27"/>
  <c r="L27" i="27"/>
  <c r="Q17" i="27"/>
  <c r="AE16" i="27"/>
  <c r="AF32" i="27"/>
  <c r="AF26" i="27"/>
  <c r="AF19" i="27"/>
  <c r="N23" i="27"/>
  <c r="AD29" i="27"/>
  <c r="AB13" i="27"/>
  <c r="O20" i="27"/>
  <c r="AE34" i="27"/>
  <c r="AF24" i="27"/>
  <c r="AB22" i="27"/>
  <c r="AE18" i="27"/>
  <c r="AF36" i="27"/>
  <c r="P13" i="27"/>
  <c r="O16" i="27"/>
  <c r="AF20" i="27"/>
  <c r="O25" i="27"/>
  <c r="AF33" i="27"/>
  <c r="L25" i="27"/>
  <c r="Q22" i="27"/>
  <c r="AF28" i="27"/>
  <c r="N18" i="27"/>
  <c r="M27" i="27"/>
  <c r="Q33" i="27"/>
  <c r="N21" i="27"/>
  <c r="AD31" i="27"/>
  <c r="L36" i="27"/>
  <c r="AC19" i="27"/>
  <c r="AF30" i="27"/>
  <c r="N35" i="27"/>
  <c r="L15" i="27"/>
  <c r="AC24" i="27"/>
  <c r="BA30" i="27" l="1"/>
  <c r="BB13" i="27"/>
  <c r="AO20" i="27"/>
  <c r="AW20" i="27"/>
  <c r="AQ25" i="27"/>
  <c r="AI25" i="27"/>
  <c r="BB14" i="27"/>
  <c r="AR15" i="27"/>
  <c r="AJ15" i="27"/>
  <c r="AS34" i="27"/>
  <c r="AK34" i="27"/>
  <c r="AY18" i="27"/>
  <c r="BD17" i="27"/>
  <c r="AN16" i="27"/>
  <c r="AV16" i="27"/>
  <c r="AR27" i="27"/>
  <c r="AJ27" i="27"/>
  <c r="AL17" i="27"/>
  <c r="AT17" i="27"/>
  <c r="AZ28" i="27"/>
  <c r="AU22" i="27"/>
  <c r="AM22" i="27"/>
  <c r="AZ15" i="27"/>
  <c r="AY21" i="27"/>
  <c r="BE19" i="27"/>
  <c r="AI28" i="27"/>
  <c r="AQ28" i="27"/>
  <c r="AL35" i="27"/>
  <c r="AT35" i="27"/>
  <c r="BA19" i="27"/>
  <c r="AR13" i="27"/>
  <c r="L37" i="27"/>
  <c r="T10" i="27"/>
  <c r="AJ13" i="27"/>
  <c r="AZ29" i="27"/>
  <c r="AS21" i="27"/>
  <c r="AK21" i="27"/>
  <c r="BE13" i="27"/>
  <c r="AR17" i="27"/>
  <c r="AJ17" i="27"/>
  <c r="AR26" i="27"/>
  <c r="AJ26" i="27"/>
  <c r="AU34" i="27"/>
  <c r="AM34" i="27"/>
  <c r="AY24" i="27"/>
  <c r="BA33" i="27"/>
  <c r="AV26" i="27"/>
  <c r="AN26" i="27"/>
  <c r="AU21" i="27"/>
  <c r="AM21" i="27"/>
  <c r="AI35" i="27"/>
  <c r="AQ35" i="27"/>
  <c r="AW29" i="27"/>
  <c r="AO29" i="27"/>
  <c r="BA15" i="27"/>
  <c r="AR19" i="27"/>
  <c r="AJ19" i="27"/>
  <c r="BE29" i="27"/>
  <c r="AN25" i="27"/>
  <c r="AV25" i="27"/>
  <c r="BD30" i="27"/>
  <c r="AT13" i="27"/>
  <c r="AL13" i="27"/>
  <c r="N37" i="27"/>
  <c r="V10" i="27"/>
  <c r="AJ22" i="27"/>
  <c r="AR22" i="27"/>
  <c r="BC35" i="27"/>
  <c r="AZ25" i="27"/>
  <c r="BB34" i="27"/>
  <c r="BA29" i="27"/>
  <c r="AV22" i="27"/>
  <c r="AN22" i="27"/>
  <c r="AQ31" i="27"/>
  <c r="AI31" i="27"/>
  <c r="BC32" i="27"/>
  <c r="AY22" i="27"/>
  <c r="AZ18" i="27"/>
  <c r="AW16" i="27"/>
  <c r="AO16" i="27"/>
  <c r="AQ15" i="27"/>
  <c r="AI15" i="27"/>
  <c r="AZ24" i="27"/>
  <c r="BB19" i="27"/>
  <c r="AT23" i="27"/>
  <c r="AL23" i="27"/>
  <c r="AV32" i="27"/>
  <c r="AN32" i="27"/>
  <c r="AS22" i="27"/>
  <c r="AK22" i="27"/>
  <c r="AU31" i="27"/>
  <c r="AM31" i="27"/>
  <c r="BA21" i="27"/>
  <c r="BC30" i="27"/>
  <c r="AQ36" i="27"/>
  <c r="AI36" i="27"/>
  <c r="AJ28" i="27"/>
  <c r="AR28" i="27"/>
  <c r="AO18" i="27"/>
  <c r="AW18" i="27"/>
  <c r="AK32" i="27"/>
  <c r="AS32" i="27"/>
  <c r="AI22" i="27"/>
  <c r="AQ22" i="27"/>
  <c r="AS31" i="27"/>
  <c r="AK31" i="27"/>
  <c r="BB16" i="27"/>
  <c r="AR23" i="27"/>
  <c r="AJ23" i="27"/>
  <c r="AK19" i="27"/>
  <c r="AS19" i="27"/>
  <c r="AQ17" i="27"/>
  <c r="AI17" i="27"/>
  <c r="BC14" i="27"/>
  <c r="AU17" i="27"/>
  <c r="AM17" i="27"/>
  <c r="AL28" i="27"/>
  <c r="AT28" i="27"/>
  <c r="AU20" i="27"/>
  <c r="AM20" i="27"/>
  <c r="BC23" i="27"/>
  <c r="BE32" i="27"/>
  <c r="BB22" i="27"/>
  <c r="BD31" i="27"/>
  <c r="AT22" i="27"/>
  <c r="AL22" i="27"/>
  <c r="AN31" i="27"/>
  <c r="AV31" i="27"/>
  <c r="AZ36" i="27"/>
  <c r="BA28" i="27"/>
  <c r="AI19" i="27"/>
  <c r="AQ19" i="27"/>
  <c r="AS28" i="27"/>
  <c r="AK28" i="27"/>
  <c r="AN33" i="27"/>
  <c r="AV33" i="27"/>
  <c r="AK27" i="27"/>
  <c r="AS27" i="27"/>
  <c r="BE17" i="27"/>
  <c r="AU16" i="27"/>
  <c r="AM16" i="27"/>
  <c r="BA14" i="27"/>
  <c r="AQ13" i="27"/>
  <c r="AI13" i="27"/>
  <c r="K37" i="27"/>
  <c r="S10" i="27"/>
  <c r="AN15" i="27"/>
  <c r="AV15" i="27"/>
  <c r="AN21" i="27"/>
  <c r="AV21" i="27"/>
  <c r="AZ16" i="27"/>
  <c r="AY15" i="27"/>
  <c r="AV24" i="27"/>
  <c r="AN24" i="27"/>
  <c r="AY33" i="27"/>
  <c r="BB18" i="27"/>
  <c r="BD27" i="27"/>
  <c r="AT18" i="27"/>
  <c r="AL18" i="27"/>
  <c r="BE31" i="27"/>
  <c r="AY14" i="27"/>
  <c r="BC20" i="27"/>
  <c r="AZ32" i="27"/>
  <c r="AO17" i="27"/>
  <c r="AW17" i="27"/>
  <c r="BB29" i="27"/>
  <c r="BC15" i="27"/>
  <c r="AY26" i="27"/>
  <c r="AS14" i="27"/>
  <c r="AK14" i="27"/>
  <c r="AO19" i="27"/>
  <c r="AW19" i="27"/>
  <c r="O37" i="27"/>
  <c r="AU13" i="27"/>
  <c r="AM13" i="27"/>
  <c r="W10" i="27"/>
  <c r="AY16" i="27"/>
  <c r="BA27" i="27"/>
  <c r="M37" i="27"/>
  <c r="U10" i="27"/>
  <c r="AS13" i="27"/>
  <c r="AK13" i="27"/>
  <c r="BB17" i="27"/>
  <c r="AU18" i="27"/>
  <c r="AM18" i="27"/>
  <c r="BA16" i="27"/>
  <c r="AK25" i="27"/>
  <c r="AS25" i="27"/>
  <c r="BE20" i="27"/>
  <c r="AY25" i="27"/>
  <c r="AJ30" i="27"/>
  <c r="AR30" i="27"/>
  <c r="BA34" i="27"/>
  <c r="BD19" i="27"/>
  <c r="AO24" i="27"/>
  <c r="AW24" i="27"/>
  <c r="AQ29" i="27"/>
  <c r="AI29" i="27"/>
  <c r="AZ33" i="27"/>
  <c r="AN19" i="27"/>
  <c r="AV19" i="27"/>
  <c r="BE23" i="27"/>
  <c r="AY28" i="27"/>
  <c r="AR33" i="27"/>
  <c r="AJ33" i="27"/>
  <c r="BB33" i="27"/>
  <c r="AT21" i="27"/>
  <c r="AL21" i="27"/>
  <c r="BC25" i="27"/>
  <c r="AV30" i="27"/>
  <c r="AN30" i="27"/>
  <c r="BE34" i="27"/>
  <c r="BB20" i="27"/>
  <c r="AU25" i="27"/>
  <c r="AM25" i="27"/>
  <c r="BD29" i="27"/>
  <c r="AO34" i="27"/>
  <c r="AW34" i="27"/>
  <c r="AJ35" i="27"/>
  <c r="AR35" i="27"/>
  <c r="AM24" i="27"/>
  <c r="AU24" i="27"/>
  <c r="BD28" i="27"/>
  <c r="AW33" i="27"/>
  <c r="AO33" i="27"/>
  <c r="AJ29" i="27"/>
  <c r="AR29" i="27"/>
  <c r="BC21" i="27"/>
  <c r="AY35" i="27"/>
  <c r="AW30" i="27"/>
  <c r="AO30" i="27"/>
  <c r="BD24" i="27"/>
  <c r="BB25" i="27"/>
  <c r="AZ20" i="27"/>
  <c r="BA23" i="27"/>
  <c r="AU14" i="27"/>
  <c r="AM14" i="27"/>
  <c r="BC17" i="27"/>
  <c r="AL31" i="27"/>
  <c r="AT31" i="27"/>
  <c r="AS30" i="27"/>
  <c r="AK30" i="27"/>
  <c r="AJ25" i="27"/>
  <c r="AR25" i="27"/>
  <c r="BD34" i="27"/>
  <c r="AY31" i="27"/>
  <c r="AR36" i="27"/>
  <c r="AJ36" i="27"/>
  <c r="AW26" i="27"/>
  <c r="AO26" i="27"/>
  <c r="AZ35" i="27"/>
  <c r="AT36" i="27"/>
  <c r="AL36" i="27"/>
  <c r="AW25" i="27"/>
  <c r="AO25" i="27"/>
  <c r="AI30" i="27"/>
  <c r="AQ30" i="27"/>
  <c r="AZ34" i="27"/>
  <c r="AT16" i="27"/>
  <c r="AL16" i="27"/>
  <c r="AV29" i="27"/>
  <c r="AN29" i="27"/>
  <c r="AZ14" i="27"/>
  <c r="BD20" i="27"/>
  <c r="AS29" i="27"/>
  <c r="AK29" i="27"/>
  <c r="AY17" i="27"/>
  <c r="AU30" i="27"/>
  <c r="AM30" i="27"/>
  <c r="BD15" i="27"/>
  <c r="AQ24" i="27"/>
  <c r="AI24" i="27"/>
  <c r="BA13" i="27"/>
  <c r="BE18" i="27"/>
  <c r="AO31" i="27"/>
  <c r="AW31" i="27"/>
  <c r="BD14" i="27"/>
  <c r="AW21" i="27"/>
  <c r="AO21" i="27"/>
  <c r="BC13" i="27"/>
  <c r="AQ18" i="27"/>
  <c r="AI18" i="27"/>
  <c r="AJ18" i="27"/>
  <c r="AR18" i="27"/>
  <c r="BA22" i="27"/>
  <c r="AL27" i="27"/>
  <c r="AT27" i="27"/>
  <c r="BC31" i="27"/>
  <c r="AN36" i="27"/>
  <c r="AV36" i="27"/>
  <c r="AZ21" i="27"/>
  <c r="AS26" i="27"/>
  <c r="AK26" i="27"/>
  <c r="BB30" i="27"/>
  <c r="AM35" i="27"/>
  <c r="AU35" i="27"/>
  <c r="AR21" i="27"/>
  <c r="AJ21" i="27"/>
  <c r="BA25" i="27"/>
  <c r="AL30" i="27"/>
  <c r="AT30" i="27"/>
  <c r="BC34" i="27"/>
  <c r="AW35" i="27"/>
  <c r="AO35" i="27"/>
  <c r="BE22" i="27"/>
  <c r="AY27" i="27"/>
  <c r="AJ32" i="27"/>
  <c r="AR32" i="27"/>
  <c r="BA36" i="27"/>
  <c r="AO22" i="27"/>
  <c r="AW22" i="27"/>
  <c r="AQ27" i="27"/>
  <c r="AI27" i="27"/>
  <c r="AZ31" i="27"/>
  <c r="AK36" i="27"/>
  <c r="AS36" i="27"/>
  <c r="BC36" i="27"/>
  <c r="AI26" i="27"/>
  <c r="AQ26" i="27"/>
  <c r="AZ30" i="27"/>
  <c r="AS35" i="27"/>
  <c r="AK35" i="27"/>
  <c r="AT14" i="27"/>
  <c r="AL14" i="27"/>
  <c r="BB35" i="27"/>
  <c r="AU36" i="27"/>
  <c r="AM36" i="27"/>
  <c r="BD36" i="27"/>
  <c r="BE30" i="27"/>
  <c r="BD25" i="27"/>
  <c r="BA35" i="27"/>
  <c r="AQ34" i="27"/>
  <c r="AI34" i="27"/>
  <c r="AI14" i="27"/>
  <c r="AQ14" i="27"/>
  <c r="BE16" i="27"/>
  <c r="AU15" i="27"/>
  <c r="AM15" i="27"/>
  <c r="BA17" i="27"/>
  <c r="AT20" i="27"/>
  <c r="AL20" i="27"/>
  <c r="AL32" i="27"/>
  <c r="AT32" i="27"/>
  <c r="BA26" i="27"/>
  <c r="AQ21" i="27"/>
  <c r="AI21" i="27"/>
  <c r="AY20" i="27"/>
  <c r="AT34" i="27"/>
  <c r="AL34" i="27"/>
  <c r="BE26" i="27"/>
  <c r="BD21" i="27"/>
  <c r="BC16" i="27"/>
  <c r="AK15" i="27"/>
  <c r="AS15" i="27"/>
  <c r="AY13" i="27"/>
  <c r="AO14" i="27"/>
  <c r="AW14" i="27"/>
  <c r="BD26" i="27"/>
  <c r="AY19" i="27"/>
  <c r="AW15" i="27"/>
  <c r="AO15" i="27"/>
  <c r="AV14" i="27"/>
  <c r="AN14" i="27"/>
  <c r="BA18" i="27"/>
  <c r="BC27" i="27"/>
  <c r="BE36" i="27"/>
  <c r="BB26" i="27"/>
  <c r="BD35" i="27"/>
  <c r="AT26" i="27"/>
  <c r="AL26" i="27"/>
  <c r="AN35" i="27"/>
  <c r="AV35" i="27"/>
  <c r="AY23" i="27"/>
  <c r="BA32" i="27"/>
  <c r="AQ23" i="27"/>
  <c r="AI23" i="27"/>
  <c r="AZ27" i="27"/>
  <c r="BB36" i="27"/>
  <c r="AZ26" i="27"/>
  <c r="AN17" i="27"/>
  <c r="AV17" i="27"/>
  <c r="BB15" i="27"/>
  <c r="AR14" i="27"/>
  <c r="AJ14" i="27"/>
  <c r="AS16" i="27"/>
  <c r="AK16" i="27"/>
  <c r="AO27" i="27"/>
  <c r="AW27" i="27"/>
  <c r="AQ20" i="27"/>
  <c r="AI20" i="27"/>
  <c r="AI16" i="27"/>
  <c r="AQ16" i="27"/>
  <c r="BE14" i="27"/>
  <c r="AL19" i="27"/>
  <c r="AT19" i="27"/>
  <c r="AV28" i="27"/>
  <c r="AN28" i="27"/>
  <c r="AK18" i="27"/>
  <c r="AS18" i="27"/>
  <c r="AM27" i="27"/>
  <c r="AU27" i="27"/>
  <c r="AO36" i="27"/>
  <c r="AW36" i="27"/>
  <c r="BC26" i="27"/>
  <c r="BE35" i="27"/>
  <c r="AR24" i="27"/>
  <c r="AJ24" i="27"/>
  <c r="AL33" i="27"/>
  <c r="AT33" i="27"/>
  <c r="AZ23" i="27"/>
  <c r="BB32" i="27"/>
  <c r="AZ22" i="27"/>
  <c r="BB31" i="27"/>
  <c r="BE21" i="27"/>
  <c r="BE25" i="27"/>
  <c r="BD22" i="27"/>
  <c r="AZ17" i="27"/>
  <c r="AY30" i="27"/>
  <c r="P37" i="27"/>
  <c r="X10" i="27"/>
  <c r="AV13" i="27"/>
  <c r="AN13" i="27"/>
  <c r="BA31" i="27"/>
  <c r="BB21" i="27"/>
  <c r="BC19" i="27"/>
  <c r="BE28" i="27"/>
  <c r="AU23" i="27"/>
  <c r="AM23" i="27"/>
  <c r="AO32" i="27"/>
  <c r="AW32" i="27"/>
  <c r="BC22" i="27"/>
  <c r="AV27" i="27"/>
  <c r="AN27" i="27"/>
  <c r="AY36" i="27"/>
  <c r="AR20" i="27"/>
  <c r="AJ20" i="27"/>
  <c r="BA24" i="27"/>
  <c r="AL29" i="27"/>
  <c r="AT29" i="27"/>
  <c r="BC33" i="27"/>
  <c r="AZ19" i="27"/>
  <c r="AK24" i="27"/>
  <c r="AS24" i="27"/>
  <c r="BB28" i="27"/>
  <c r="AM33" i="27"/>
  <c r="AU33" i="27"/>
  <c r="BE33" i="27"/>
  <c r="AK23" i="27"/>
  <c r="AS23" i="27"/>
  <c r="BB27" i="27"/>
  <c r="AU32" i="27"/>
  <c r="AM32" i="27"/>
  <c r="BD13" i="27"/>
  <c r="AV18" i="27"/>
  <c r="AN18" i="27"/>
  <c r="BC28" i="27"/>
  <c r="BD16" i="27"/>
  <c r="AU26" i="27"/>
  <c r="AM26" i="27"/>
  <c r="AL15" i="27"/>
  <c r="AT15" i="27"/>
  <c r="AO23" i="27"/>
  <c r="AW23" i="27"/>
  <c r="AZ13" i="27"/>
  <c r="BD18" i="27"/>
  <c r="AJ31" i="27"/>
  <c r="AR31" i="27"/>
  <c r="BE15" i="27"/>
  <c r="AT24" i="27"/>
  <c r="AL24" i="27"/>
  <c r="Q37" i="27"/>
  <c r="Y10" i="27"/>
  <c r="AO13" i="27"/>
  <c r="AW13" i="27"/>
  <c r="AS17" i="27"/>
  <c r="AK17" i="27"/>
  <c r="AI32" i="27"/>
  <c r="AQ32" i="27"/>
  <c r="AJ16" i="27"/>
  <c r="AR16" i="27"/>
  <c r="BC24" i="27"/>
  <c r="AN20" i="27"/>
  <c r="AV20" i="27"/>
  <c r="BE24" i="27"/>
  <c r="AY29" i="27"/>
  <c r="AR34" i="27"/>
  <c r="AJ34" i="27"/>
  <c r="AU19" i="27"/>
  <c r="AM19" i="27"/>
  <c r="BD23" i="27"/>
  <c r="AW28" i="27"/>
  <c r="AO28" i="27"/>
  <c r="AQ33" i="27"/>
  <c r="AI33" i="27"/>
  <c r="BC18" i="27"/>
  <c r="AN23" i="27"/>
  <c r="AV23" i="27"/>
  <c r="BE27" i="27"/>
  <c r="AY32" i="27"/>
  <c r="AS33" i="27"/>
  <c r="AK33" i="27"/>
  <c r="BA20" i="27"/>
  <c r="AT25" i="27"/>
  <c r="AL25" i="27"/>
  <c r="BC29" i="27"/>
  <c r="AN34" i="27"/>
  <c r="AV34" i="27"/>
  <c r="AS20" i="27"/>
  <c r="AK20" i="27"/>
  <c r="BB24" i="27"/>
  <c r="AM29" i="27"/>
  <c r="AU29" i="27"/>
  <c r="BD33" i="27"/>
  <c r="AY34" i="27"/>
  <c r="BB23" i="27"/>
  <c r="AU28" i="27"/>
  <c r="AM28" i="27"/>
  <c r="BD32" i="27"/>
  <c r="B17" i="27"/>
  <c r="AP16" i="27"/>
  <c r="L10" i="23"/>
  <c r="M10" i="23"/>
  <c r="N10" i="23"/>
  <c r="O10" i="23"/>
  <c r="P10" i="23"/>
  <c r="Q10" i="23"/>
  <c r="K10" i="23"/>
  <c r="AW37" i="27" l="1"/>
  <c r="AZ10" i="27"/>
  <c r="AB10" i="27" s="1"/>
  <c r="AQ37" i="27"/>
  <c r="AV37" i="27"/>
  <c r="AS37" i="27"/>
  <c r="AR37" i="27"/>
  <c r="AS41" i="27"/>
  <c r="AU37" i="27"/>
  <c r="AQ46" i="27"/>
  <c r="AT37" i="27"/>
  <c r="BE10" i="27"/>
  <c r="AG10" i="27" s="1"/>
  <c r="BB10" i="27"/>
  <c r="AD10" i="27" s="1"/>
  <c r="BD10" i="27"/>
  <c r="AF10" i="27" s="1"/>
  <c r="AS44" i="27"/>
  <c r="BC10" i="27"/>
  <c r="AE10" i="27" s="1"/>
  <c r="AY10" i="27"/>
  <c r="AA10" i="27" s="1"/>
  <c r="BA10" i="27"/>
  <c r="AC10" i="27" s="1"/>
  <c r="A37" i="27"/>
  <c r="N39" i="27" s="1"/>
  <c r="B18" i="27"/>
  <c r="AP17" i="27"/>
  <c r="T37" i="26"/>
  <c r="U37" i="26"/>
  <c r="V37" i="26"/>
  <c r="W37" i="26"/>
  <c r="X37" i="26"/>
  <c r="Y37" i="26"/>
  <c r="S37" i="26"/>
  <c r="T37" i="25"/>
  <c r="U37" i="25"/>
  <c r="V37" i="25"/>
  <c r="W37" i="25"/>
  <c r="X37" i="25"/>
  <c r="Y37" i="25"/>
  <c r="S37" i="25"/>
  <c r="K39" i="27" l="1"/>
  <c r="K41" i="27"/>
  <c r="L39" i="27"/>
  <c r="P39" i="27"/>
  <c r="O39" i="27"/>
  <c r="Q39" i="27"/>
  <c r="M39" i="27"/>
  <c r="B19" i="27"/>
  <c r="AP18" i="27"/>
  <c r="A38" i="25"/>
  <c r="S41" i="25" s="1"/>
  <c r="B20" i="27" l="1"/>
  <c r="AP19" i="27"/>
  <c r="I37" i="26"/>
  <c r="H37" i="26"/>
  <c r="G37" i="26"/>
  <c r="F37" i="26"/>
  <c r="E37" i="26"/>
  <c r="D37" i="26"/>
  <c r="C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B14" i="26"/>
  <c r="B15" i="26" s="1"/>
  <c r="AP15" i="26" s="1"/>
  <c r="A14" i="26"/>
  <c r="AP13" i="26"/>
  <c r="A13" i="26"/>
  <c r="M36" i="26"/>
  <c r="AE29" i="26"/>
  <c r="L25" i="26"/>
  <c r="L15" i="17"/>
  <c r="AC29" i="26"/>
  <c r="Q26" i="26"/>
  <c r="AD13" i="26"/>
  <c r="Q15" i="26"/>
  <c r="AA21" i="26"/>
  <c r="AA29" i="26"/>
  <c r="AD28" i="26"/>
  <c r="M30" i="26"/>
  <c r="AF13" i="26"/>
  <c r="AD18" i="26"/>
  <c r="K33" i="26"/>
  <c r="L24" i="26"/>
  <c r="K35" i="26"/>
  <c r="P18" i="17"/>
  <c r="AA18" i="26"/>
  <c r="AA17" i="26"/>
  <c r="AF22" i="26"/>
  <c r="AE21" i="26"/>
  <c r="Q22" i="26"/>
  <c r="AD19" i="26"/>
  <c r="AE18" i="26"/>
  <c r="AD29" i="26"/>
  <c r="O20" i="26"/>
  <c r="K25" i="26"/>
  <c r="L32" i="26"/>
  <c r="K15" i="17"/>
  <c r="AF33" i="26"/>
  <c r="M16" i="26"/>
  <c r="P35" i="26"/>
  <c r="L18" i="26"/>
  <c r="O25" i="26"/>
  <c r="AC34" i="26"/>
  <c r="AD24" i="26"/>
  <c r="P24" i="26"/>
  <c r="K23" i="26"/>
  <c r="AC26" i="26"/>
  <c r="AC27" i="26"/>
  <c r="Q14" i="26"/>
  <c r="M28" i="26"/>
  <c r="AF27" i="26"/>
  <c r="AC17" i="26"/>
  <c r="P23" i="26"/>
  <c r="AD27" i="26"/>
  <c r="P16" i="17"/>
  <c r="Q28" i="26"/>
  <c r="AA31" i="26"/>
  <c r="AB25" i="26"/>
  <c r="Q13" i="26"/>
  <c r="AG25" i="26"/>
  <c r="L18" i="17"/>
  <c r="M17" i="26"/>
  <c r="L34" i="26"/>
  <c r="AG21" i="26"/>
  <c r="AA26" i="26"/>
  <c r="Q21" i="26"/>
  <c r="M26" i="26"/>
  <c r="P13" i="17"/>
  <c r="AD16" i="26"/>
  <c r="O22" i="26"/>
  <c r="P13" i="26"/>
  <c r="AE31" i="26"/>
  <c r="AB26" i="26"/>
  <c r="O28" i="26"/>
  <c r="N17" i="26"/>
  <c r="O14" i="26"/>
  <c r="N32" i="26"/>
  <c r="L20" i="26"/>
  <c r="P17" i="17"/>
  <c r="M27" i="26"/>
  <c r="Q13" i="17"/>
  <c r="P20" i="26"/>
  <c r="AE25" i="26"/>
  <c r="O23" i="26"/>
  <c r="AE26" i="26"/>
  <c r="K22" i="26"/>
  <c r="K21" i="26"/>
  <c r="AC13" i="26"/>
  <c r="N24" i="26"/>
  <c r="P14" i="26"/>
  <c r="N34" i="26"/>
  <c r="AF16" i="26"/>
  <c r="AC18" i="26"/>
  <c r="L13" i="17"/>
  <c r="Q17" i="17"/>
  <c r="N15" i="17"/>
  <c r="K26" i="26"/>
  <c r="AB15" i="26"/>
  <c r="AB21" i="26"/>
  <c r="AG17" i="26"/>
  <c r="M13" i="17"/>
  <c r="M24" i="26"/>
  <c r="L16" i="17"/>
  <c r="N15" i="26"/>
  <c r="K28" i="26"/>
  <c r="L16" i="26"/>
  <c r="AC32" i="26"/>
  <c r="Q33" i="26"/>
  <c r="M13" i="26"/>
  <c r="M29" i="26"/>
  <c r="AA22" i="26"/>
  <c r="AC33" i="26"/>
  <c r="N19" i="17"/>
  <c r="AE20" i="26"/>
  <c r="AF29" i="26"/>
  <c r="AD23" i="26"/>
  <c r="AG27" i="26"/>
  <c r="M17" i="17"/>
  <c r="AG29" i="26"/>
  <c r="AF28" i="26"/>
  <c r="L26" i="26"/>
  <c r="O17" i="17"/>
  <c r="L36" i="26"/>
  <c r="K24" i="26"/>
  <c r="N26" i="26"/>
  <c r="O16" i="26"/>
  <c r="AG14" i="26"/>
  <c r="AC22" i="26"/>
  <c r="AD25" i="26"/>
  <c r="AG18" i="26"/>
  <c r="K14" i="26"/>
  <c r="AF36" i="26"/>
  <c r="AD22" i="26"/>
  <c r="AC14" i="26"/>
  <c r="AA34" i="26"/>
  <c r="Q32" i="26"/>
  <c r="AE34" i="26"/>
  <c r="N16" i="26"/>
  <c r="L14" i="26"/>
  <c r="K36" i="26"/>
  <c r="L19" i="17"/>
  <c r="AE15" i="26"/>
  <c r="AA30" i="26"/>
  <c r="Q18" i="17"/>
  <c r="P30" i="26"/>
  <c r="AC19" i="26"/>
  <c r="M35" i="26"/>
  <c r="O26" i="26"/>
  <c r="AF18" i="26"/>
  <c r="Q29" i="26"/>
  <c r="P34" i="26"/>
  <c r="AD14" i="26"/>
  <c r="AB20" i="26"/>
  <c r="N27" i="26"/>
  <c r="P28" i="26"/>
  <c r="AE33" i="26"/>
  <c r="AC20" i="26"/>
  <c r="N36" i="26"/>
  <c r="AE22" i="26"/>
  <c r="AB34" i="26"/>
  <c r="P21" i="26"/>
  <c r="AD32" i="26"/>
  <c r="L31" i="26"/>
  <c r="AD36" i="26"/>
  <c r="AC21" i="26"/>
  <c r="Q24" i="26"/>
  <c r="Q23" i="26"/>
  <c r="AE28" i="26"/>
  <c r="O15" i="17"/>
  <c r="AA14" i="26"/>
  <c r="K29" i="26"/>
  <c r="AB24" i="26"/>
  <c r="AA32" i="26"/>
  <c r="L33" i="26"/>
  <c r="AB14" i="26"/>
  <c r="P31" i="26"/>
  <c r="AE36" i="26"/>
  <c r="AA24" i="26"/>
  <c r="K32" i="26"/>
  <c r="O30" i="26"/>
  <c r="AF31" i="26"/>
  <c r="O31" i="26"/>
  <c r="AB18" i="26"/>
  <c r="Q25" i="26"/>
  <c r="AE24" i="26"/>
  <c r="AG15" i="26"/>
  <c r="AB16" i="26"/>
  <c r="L17" i="26"/>
  <c r="N16" i="17"/>
  <c r="AB28" i="26"/>
  <c r="P26" i="26"/>
  <c r="K16" i="17"/>
  <c r="L13" i="26"/>
  <c r="N14" i="26"/>
  <c r="M23" i="26"/>
  <c r="AC28" i="26"/>
  <c r="L22" i="26"/>
  <c r="P25" i="26"/>
  <c r="P14" i="17"/>
  <c r="M14" i="17"/>
  <c r="L17" i="17"/>
  <c r="AC15" i="26"/>
  <c r="L30" i="26"/>
  <c r="O19" i="17"/>
  <c r="O18" i="26"/>
  <c r="K17" i="17"/>
  <c r="AD26" i="26"/>
  <c r="P32" i="26"/>
  <c r="M14" i="26"/>
  <c r="P15" i="26"/>
  <c r="AB33" i="26"/>
  <c r="K17" i="26"/>
  <c r="M16" i="17"/>
  <c r="M15" i="26"/>
  <c r="O16" i="17"/>
  <c r="P15" i="17"/>
  <c r="M34" i="26"/>
  <c r="N13" i="17"/>
  <c r="AA25" i="26"/>
  <c r="AD17" i="26"/>
  <c r="N31" i="26"/>
  <c r="AD15" i="26"/>
  <c r="AD20" i="26"/>
  <c r="Q20" i="26"/>
  <c r="AB27" i="26"/>
  <c r="AG16" i="26"/>
  <c r="L21" i="26"/>
  <c r="AF23" i="26"/>
  <c r="Q17" i="26"/>
  <c r="AC30" i="26"/>
  <c r="Q31" i="26"/>
  <c r="AF15" i="26"/>
  <c r="N17" i="17"/>
  <c r="O35" i="26"/>
  <c r="L14" i="17"/>
  <c r="AA19" i="26"/>
  <c r="K14" i="17"/>
  <c r="AG31" i="26"/>
  <c r="N23" i="26"/>
  <c r="P19" i="17"/>
  <c r="M22" i="26"/>
  <c r="O15" i="26"/>
  <c r="AF35" i="26"/>
  <c r="AA35" i="26"/>
  <c r="Q16" i="26"/>
  <c r="O36" i="26"/>
  <c r="M19" i="26"/>
  <c r="AA20" i="26"/>
  <c r="AG36" i="26"/>
  <c r="L29" i="26"/>
  <c r="AE30" i="26"/>
  <c r="AF30" i="26"/>
  <c r="AE16" i="26"/>
  <c r="N18" i="26"/>
  <c r="AB35" i="26"/>
  <c r="AD31" i="26"/>
  <c r="Q15" i="17"/>
  <c r="Q16" i="17"/>
  <c r="AG24" i="26"/>
  <c r="L23" i="26"/>
  <c r="AE19" i="26"/>
  <c r="AG34" i="26"/>
  <c r="K15" i="26"/>
  <c r="AF19" i="26"/>
  <c r="AA16" i="26"/>
  <c r="AD30" i="26"/>
  <c r="AE17" i="26"/>
  <c r="AE23" i="26"/>
  <c r="Q19" i="26"/>
  <c r="L27" i="26"/>
  <c r="AA36" i="26"/>
  <c r="AF21" i="26"/>
  <c r="N13" i="26"/>
  <c r="Q30" i="26"/>
  <c r="K19" i="26"/>
  <c r="AC24" i="26"/>
  <c r="P29" i="26"/>
  <c r="O13" i="17"/>
  <c r="AB22" i="26"/>
  <c r="L28" i="26"/>
  <c r="O27" i="26"/>
  <c r="M19" i="17"/>
  <c r="M32" i="26"/>
  <c r="K19" i="17"/>
  <c r="O14" i="17"/>
  <c r="N14" i="17"/>
  <c r="M18" i="17"/>
  <c r="K30" i="26"/>
  <c r="AG35" i="26"/>
  <c r="AC36" i="26"/>
  <c r="AB36" i="26"/>
  <c r="AG30" i="26"/>
  <c r="AG23" i="26"/>
  <c r="K20" i="26"/>
  <c r="M33" i="26"/>
  <c r="AG13" i="26"/>
  <c r="O29" i="26"/>
  <c r="AF25" i="26"/>
  <c r="K34" i="26"/>
  <c r="O18" i="17"/>
  <c r="AC23" i="26"/>
  <c r="K18" i="17"/>
  <c r="K13" i="26"/>
  <c r="M31" i="26"/>
  <c r="AF17" i="26"/>
  <c r="L15" i="26"/>
  <c r="AD34" i="26"/>
  <c r="M20" i="26"/>
  <c r="P27" i="26"/>
  <c r="AA33" i="26"/>
  <c r="N19" i="26"/>
  <c r="P33" i="26"/>
  <c r="O33" i="26"/>
  <c r="N21" i="26"/>
  <c r="Q34" i="26"/>
  <c r="N33" i="26"/>
  <c r="P36" i="26"/>
  <c r="AF20" i="26"/>
  <c r="N18" i="17"/>
  <c r="AG32" i="26"/>
  <c r="N29" i="26"/>
  <c r="AB17" i="26"/>
  <c r="Q18" i="26"/>
  <c r="O19" i="26"/>
  <c r="AB32" i="26"/>
  <c r="O13" i="26"/>
  <c r="P19" i="26"/>
  <c r="O34" i="26"/>
  <c r="M18" i="26"/>
  <c r="L35" i="26"/>
  <c r="AB30" i="26"/>
  <c r="P18" i="26"/>
  <c r="AF26" i="26"/>
  <c r="AE32" i="26"/>
  <c r="AD35" i="26"/>
  <c r="AG19" i="26"/>
  <c r="P16" i="26"/>
  <c r="AE27" i="26"/>
  <c r="AF14" i="26"/>
  <c r="AG28" i="26"/>
  <c r="AD21" i="26"/>
  <c r="AE14" i="26"/>
  <c r="AA13" i="26"/>
  <c r="AG33" i="26"/>
  <c r="AF32" i="26"/>
  <c r="K13" i="17"/>
  <c r="O24" i="26"/>
  <c r="Q19" i="17"/>
  <c r="P22" i="26"/>
  <c r="N35" i="26"/>
  <c r="N30" i="26"/>
  <c r="AB31" i="26"/>
  <c r="Q36" i="26"/>
  <c r="AE35" i="26"/>
  <c r="AA27" i="26"/>
  <c r="AD33" i="26"/>
  <c r="O17" i="26"/>
  <c r="O21" i="26"/>
  <c r="AC31" i="26"/>
  <c r="AA15" i="26"/>
  <c r="M25" i="26"/>
  <c r="N25" i="26"/>
  <c r="Q14" i="17"/>
  <c r="AB19" i="26"/>
  <c r="P17" i="26"/>
  <c r="AB23" i="26"/>
  <c r="N20" i="26"/>
  <c r="M21" i="26"/>
  <c r="K31" i="26"/>
  <c r="AC16" i="26"/>
  <c r="AA28" i="26"/>
  <c r="AF34" i="26"/>
  <c r="AB29" i="26"/>
  <c r="AG22" i="26"/>
  <c r="AE13" i="26"/>
  <c r="Q27" i="26"/>
  <c r="AG20" i="26"/>
  <c r="N22" i="26"/>
  <c r="AC25" i="26"/>
  <c r="K16" i="26"/>
  <c r="K27" i="26"/>
  <c r="AG26" i="26"/>
  <c r="AC35" i="26"/>
  <c r="O32" i="26"/>
  <c r="L19" i="26"/>
  <c r="AA23" i="26"/>
  <c r="AF24" i="26"/>
  <c r="AB13" i="26"/>
  <c r="M15" i="17"/>
  <c r="N28" i="26"/>
  <c r="Q35" i="26"/>
  <c r="K18" i="26"/>
  <c r="B21" i="27" l="1"/>
  <c r="AP20" i="27"/>
  <c r="M37" i="26"/>
  <c r="N37" i="26"/>
  <c r="P37" i="26"/>
  <c r="L37" i="26"/>
  <c r="O37" i="26"/>
  <c r="Q37" i="26"/>
  <c r="K37" i="26"/>
  <c r="AV15" i="26"/>
  <c r="AN15" i="26"/>
  <c r="AL32" i="26"/>
  <c r="AT32" i="26"/>
  <c r="BA13" i="26"/>
  <c r="AU13" i="26"/>
  <c r="AM13" i="26"/>
  <c r="W10" i="26"/>
  <c r="BA14" i="26"/>
  <c r="BD16" i="26"/>
  <c r="AQ25" i="26"/>
  <c r="AI25" i="26"/>
  <c r="AY26" i="26"/>
  <c r="Y10" i="26"/>
  <c r="AW13" i="26"/>
  <c r="AO13" i="26"/>
  <c r="BC14" i="26"/>
  <c r="AT15" i="26"/>
  <c r="AL15" i="26"/>
  <c r="BE16" i="26"/>
  <c r="BC21" i="26"/>
  <c r="AN25" i="26"/>
  <c r="AV25" i="26"/>
  <c r="BA28" i="26"/>
  <c r="AY34" i="26"/>
  <c r="AY13" i="26"/>
  <c r="BE30" i="26"/>
  <c r="AQ14" i="26"/>
  <c r="AI14" i="26"/>
  <c r="AZ15" i="26"/>
  <c r="AS18" i="26"/>
  <c r="AK18" i="26"/>
  <c r="BA20" i="26"/>
  <c r="AW24" i="26"/>
  <c r="AO24" i="26"/>
  <c r="BD13" i="26"/>
  <c r="AR14" i="26"/>
  <c r="AJ14" i="26"/>
  <c r="BB15" i="26"/>
  <c r="AS16" i="26"/>
  <c r="AK16" i="26"/>
  <c r="AU17" i="26"/>
  <c r="AM17" i="26"/>
  <c r="AM18" i="26"/>
  <c r="AU18" i="26"/>
  <c r="AU19" i="26"/>
  <c r="AM19" i="26"/>
  <c r="AU27" i="26"/>
  <c r="AM27" i="26"/>
  <c r="BA35" i="26"/>
  <c r="BC15" i="26"/>
  <c r="BA27" i="26"/>
  <c r="AZ25" i="26"/>
  <c r="AL14" i="26"/>
  <c r="AT14" i="26"/>
  <c r="AW17" i="26"/>
  <c r="AO17" i="26"/>
  <c r="BB18" i="26"/>
  <c r="AR23" i="26"/>
  <c r="AJ23" i="26"/>
  <c r="AW14" i="26"/>
  <c r="AO14" i="26"/>
  <c r="BE15" i="26"/>
  <c r="AV16" i="26"/>
  <c r="AN16" i="26"/>
  <c r="AY17" i="26"/>
  <c r="BE18" i="26"/>
  <c r="BD19" i="26"/>
  <c r="BC29" i="26"/>
  <c r="AN33" i="26"/>
  <c r="AV33" i="26"/>
  <c r="AL24" i="26"/>
  <c r="AT24" i="26"/>
  <c r="AU16" i="26"/>
  <c r="AM16" i="26"/>
  <c r="BA19" i="26"/>
  <c r="T10" i="26"/>
  <c r="AJ13" i="26"/>
  <c r="AR13" i="26"/>
  <c r="AZ14" i="26"/>
  <c r="AQ15" i="26"/>
  <c r="AI15" i="26"/>
  <c r="BB16" i="26"/>
  <c r="BD17" i="26"/>
  <c r="BE22" i="26"/>
  <c r="AS26" i="26"/>
  <c r="AK26" i="26"/>
  <c r="AK15" i="26"/>
  <c r="AS15" i="26"/>
  <c r="AQ33" i="26"/>
  <c r="AI33" i="26"/>
  <c r="AS34" i="26"/>
  <c r="AK34" i="26"/>
  <c r="AU35" i="26"/>
  <c r="AM35" i="26"/>
  <c r="BA36" i="26"/>
  <c r="AV13" i="26"/>
  <c r="AN13" i="26"/>
  <c r="X10" i="26"/>
  <c r="BE13" i="26"/>
  <c r="AY14" i="26"/>
  <c r="AR15" i="26"/>
  <c r="AJ15" i="26"/>
  <c r="BA15" i="26"/>
  <c r="AT16" i="26"/>
  <c r="AL16" i="26"/>
  <c r="BC16" i="26"/>
  <c r="AV17" i="26"/>
  <c r="AN17" i="26"/>
  <c r="BE17" i="26"/>
  <c r="AQ18" i="26"/>
  <c r="AI18" i="26"/>
  <c r="BD18" i="26"/>
  <c r="AY19" i="26"/>
  <c r="BC20" i="26"/>
  <c r="BE21" i="26"/>
  <c r="AR24" i="26"/>
  <c r="AJ24" i="26"/>
  <c r="AT25" i="26"/>
  <c r="AL25" i="26"/>
  <c r="AV26" i="26"/>
  <c r="AN26" i="26"/>
  <c r="AY27" i="26"/>
  <c r="BC28" i="26"/>
  <c r="BE29" i="26"/>
  <c r="AR32" i="26"/>
  <c r="AJ32" i="26"/>
  <c r="AT33" i="26"/>
  <c r="AL33" i="26"/>
  <c r="AV34" i="26"/>
  <c r="AN34" i="26"/>
  <c r="AY35" i="26"/>
  <c r="BC36" i="26"/>
  <c r="BB26" i="26"/>
  <c r="BD27" i="26"/>
  <c r="AR31" i="26"/>
  <c r="AJ31" i="26"/>
  <c r="AW32" i="26"/>
  <c r="AO32" i="26"/>
  <c r="AZ33" i="26"/>
  <c r="BB34" i="26"/>
  <c r="BD35" i="26"/>
  <c r="S10" i="26"/>
  <c r="AI13" i="26"/>
  <c r="AQ13" i="26"/>
  <c r="AZ13" i="26"/>
  <c r="AS14" i="26"/>
  <c r="AK14" i="26"/>
  <c r="BB14" i="26"/>
  <c r="AU15" i="26"/>
  <c r="AM15" i="26"/>
  <c r="BD15" i="26"/>
  <c r="AW16" i="26"/>
  <c r="AO16" i="26"/>
  <c r="AQ17" i="26"/>
  <c r="AI17" i="26"/>
  <c r="AZ17" i="26"/>
  <c r="AV18" i="26"/>
  <c r="AN18" i="26"/>
  <c r="AQ21" i="26"/>
  <c r="AI21" i="26"/>
  <c r="AS22" i="26"/>
  <c r="AK22" i="26"/>
  <c r="AU23" i="26"/>
  <c r="AM23" i="26"/>
  <c r="BA24" i="26"/>
  <c r="BC25" i="26"/>
  <c r="BE26" i="26"/>
  <c r="AQ29" i="26"/>
  <c r="AI29" i="26"/>
  <c r="AS30" i="26"/>
  <c r="AK30" i="26"/>
  <c r="AU31" i="26"/>
  <c r="AM31" i="26"/>
  <c r="BA32" i="26"/>
  <c r="BC33" i="26"/>
  <c r="BE34" i="26"/>
  <c r="BA17" i="26"/>
  <c r="AT21" i="26"/>
  <c r="AL21" i="26"/>
  <c r="AV22" i="26"/>
  <c r="AN22" i="26"/>
  <c r="BC24" i="26"/>
  <c r="AT29" i="26"/>
  <c r="AL29" i="26"/>
  <c r="AV30" i="26"/>
  <c r="AN30" i="26"/>
  <c r="AY31" i="26"/>
  <c r="BE33" i="26"/>
  <c r="AR36" i="26"/>
  <c r="AJ36" i="26"/>
  <c r="AS13" i="26"/>
  <c r="AK13" i="26"/>
  <c r="U10" i="26"/>
  <c r="BB13" i="26"/>
  <c r="AU14" i="26"/>
  <c r="AM14" i="26"/>
  <c r="BD14" i="26"/>
  <c r="AW15" i="26"/>
  <c r="AO15" i="26"/>
  <c r="AQ16" i="26"/>
  <c r="AI16" i="26"/>
  <c r="AZ16" i="26"/>
  <c r="AS17" i="26"/>
  <c r="AK17" i="26"/>
  <c r="BB17" i="26"/>
  <c r="AY18" i="26"/>
  <c r="AT20" i="26"/>
  <c r="AL20" i="26"/>
  <c r="AV21" i="26"/>
  <c r="AN21" i="26"/>
  <c r="AY22" i="26"/>
  <c r="BA23" i="26"/>
  <c r="AT28" i="26"/>
  <c r="AL28" i="26"/>
  <c r="AV29" i="26"/>
  <c r="AN29" i="26"/>
  <c r="AY30" i="26"/>
  <c r="BA31" i="26"/>
  <c r="AT36" i="26"/>
  <c r="AL36" i="26"/>
  <c r="AY16" i="26"/>
  <c r="AR17" i="26"/>
  <c r="AJ17" i="26"/>
  <c r="AO18" i="26"/>
  <c r="AW18" i="26"/>
  <c r="AR20" i="26"/>
  <c r="AJ20" i="26"/>
  <c r="AY23" i="26"/>
  <c r="BE25" i="26"/>
  <c r="AR28" i="26"/>
  <c r="AJ28" i="26"/>
  <c r="BC32" i="26"/>
  <c r="V10" i="26"/>
  <c r="AL13" i="26"/>
  <c r="AT13" i="26"/>
  <c r="BC13" i="26"/>
  <c r="AN14" i="26"/>
  <c r="AV14" i="26"/>
  <c r="BE14" i="26"/>
  <c r="AY15" i="26"/>
  <c r="AR16" i="26"/>
  <c r="AJ16" i="26"/>
  <c r="BA16" i="26"/>
  <c r="AT17" i="26"/>
  <c r="AL17" i="26"/>
  <c r="BC17" i="26"/>
  <c r="AZ18" i="26"/>
  <c r="AR19" i="26"/>
  <c r="AJ19" i="26"/>
  <c r="AW20" i="26"/>
  <c r="AO20" i="26"/>
  <c r="AZ21" i="26"/>
  <c r="BB22" i="26"/>
  <c r="BD23" i="26"/>
  <c r="AR27" i="26"/>
  <c r="AJ27" i="26"/>
  <c r="AW28" i="26"/>
  <c r="AO28" i="26"/>
  <c r="AZ29" i="26"/>
  <c r="BB30" i="26"/>
  <c r="BD31" i="26"/>
  <c r="AR35" i="26"/>
  <c r="AJ35" i="26"/>
  <c r="AW36" i="26"/>
  <c r="AO36" i="26"/>
  <c r="AR18" i="26"/>
  <c r="AJ18" i="26"/>
  <c r="BA18" i="26"/>
  <c r="AL19" i="26"/>
  <c r="AT19" i="26"/>
  <c r="BC19" i="26"/>
  <c r="AV20" i="26"/>
  <c r="AN20" i="26"/>
  <c r="BE20" i="26"/>
  <c r="AY21" i="26"/>
  <c r="AR22" i="26"/>
  <c r="AJ22" i="26"/>
  <c r="BA22" i="26"/>
  <c r="AT23" i="26"/>
  <c r="AL23" i="26"/>
  <c r="BC23" i="26"/>
  <c r="AV24" i="26"/>
  <c r="AN24" i="26"/>
  <c r="BE24" i="26"/>
  <c r="AY25" i="26"/>
  <c r="AJ26" i="26"/>
  <c r="AR26" i="26"/>
  <c r="BA26" i="26"/>
  <c r="AL27" i="26"/>
  <c r="AT27" i="26"/>
  <c r="BC27" i="26"/>
  <c r="AV28" i="26"/>
  <c r="AN28" i="26"/>
  <c r="BE28" i="26"/>
  <c r="AY29" i="26"/>
  <c r="AR30" i="26"/>
  <c r="AJ30" i="26"/>
  <c r="BA30" i="26"/>
  <c r="AT31" i="26"/>
  <c r="AL31" i="26"/>
  <c r="BC31" i="26"/>
  <c r="AV32" i="26"/>
  <c r="AN32" i="26"/>
  <c r="BE32" i="26"/>
  <c r="AY33" i="26"/>
  <c r="AJ34" i="26"/>
  <c r="AR34" i="26"/>
  <c r="BA34" i="26"/>
  <c r="AL35" i="26"/>
  <c r="AT35" i="26"/>
  <c r="BC35" i="26"/>
  <c r="AV36" i="26"/>
  <c r="AN36" i="26"/>
  <c r="BE36" i="26"/>
  <c r="AT18" i="26"/>
  <c r="AL18" i="26"/>
  <c r="BC18" i="26"/>
  <c r="AV19" i="26"/>
  <c r="AN19" i="26"/>
  <c r="BE19" i="26"/>
  <c r="AY20" i="26"/>
  <c r="AR21" i="26"/>
  <c r="AJ21" i="26"/>
  <c r="BA21" i="26"/>
  <c r="AT22" i="26"/>
  <c r="AL22" i="26"/>
  <c r="BC22" i="26"/>
  <c r="AV23" i="26"/>
  <c r="AN23" i="26"/>
  <c r="BE23" i="26"/>
  <c r="AY24" i="26"/>
  <c r="AR25" i="26"/>
  <c r="AJ25" i="26"/>
  <c r="BA25" i="26"/>
  <c r="AT26" i="26"/>
  <c r="AL26" i="26"/>
  <c r="BC26" i="26"/>
  <c r="AV27" i="26"/>
  <c r="AN27" i="26"/>
  <c r="BE27" i="26"/>
  <c r="AY28" i="26"/>
  <c r="AR29" i="26"/>
  <c r="AJ29" i="26"/>
  <c r="BA29" i="26"/>
  <c r="AT30" i="26"/>
  <c r="AL30" i="26"/>
  <c r="BC30" i="26"/>
  <c r="AV31" i="26"/>
  <c r="AN31" i="26"/>
  <c r="BE31" i="26"/>
  <c r="AY32" i="26"/>
  <c r="AR33" i="26"/>
  <c r="AJ33" i="26"/>
  <c r="BA33" i="26"/>
  <c r="AT34" i="26"/>
  <c r="AL34" i="26"/>
  <c r="BC34" i="26"/>
  <c r="AV35" i="26"/>
  <c r="AN35" i="26"/>
  <c r="BE35" i="26"/>
  <c r="AY36" i="26"/>
  <c r="AO19" i="26"/>
  <c r="AW19" i="26"/>
  <c r="AQ20" i="26"/>
  <c r="AI20" i="26"/>
  <c r="AZ20" i="26"/>
  <c r="AS21" i="26"/>
  <c r="AK21" i="26"/>
  <c r="BB21" i="26"/>
  <c r="AU22" i="26"/>
  <c r="AM22" i="26"/>
  <c r="BD22" i="26"/>
  <c r="AW23" i="26"/>
  <c r="AO23" i="26"/>
  <c r="AI24" i="26"/>
  <c r="AQ24" i="26"/>
  <c r="AZ24" i="26"/>
  <c r="AK25" i="26"/>
  <c r="AS25" i="26"/>
  <c r="BB25" i="26"/>
  <c r="AM26" i="26"/>
  <c r="AU26" i="26"/>
  <c r="BD26" i="26"/>
  <c r="AO27" i="26"/>
  <c r="AW27" i="26"/>
  <c r="AQ28" i="26"/>
  <c r="AI28" i="26"/>
  <c r="AZ28" i="26"/>
  <c r="AS29" i="26"/>
  <c r="AK29" i="26"/>
  <c r="BB29" i="26"/>
  <c r="AU30" i="26"/>
  <c r="AM30" i="26"/>
  <c r="BD30" i="26"/>
  <c r="AW31" i="26"/>
  <c r="AO31" i="26"/>
  <c r="AI32" i="26"/>
  <c r="AQ32" i="26"/>
  <c r="AZ32" i="26"/>
  <c r="AK33" i="26"/>
  <c r="AS33" i="26"/>
  <c r="BB33" i="26"/>
  <c r="AM34" i="26"/>
  <c r="AU34" i="26"/>
  <c r="BD34" i="26"/>
  <c r="AO35" i="26"/>
  <c r="AW35" i="26"/>
  <c r="AQ36" i="26"/>
  <c r="AI36" i="26"/>
  <c r="AZ36" i="26"/>
  <c r="AQ19" i="26"/>
  <c r="AI19" i="26"/>
  <c r="AZ19" i="26"/>
  <c r="AS20" i="26"/>
  <c r="AK20" i="26"/>
  <c r="BB20" i="26"/>
  <c r="AU21" i="26"/>
  <c r="AM21" i="26"/>
  <c r="BD21" i="26"/>
  <c r="AW22" i="26"/>
  <c r="AO22" i="26"/>
  <c r="AQ23" i="26"/>
  <c r="AI23" i="26"/>
  <c r="AZ23" i="26"/>
  <c r="AS24" i="26"/>
  <c r="AK24" i="26"/>
  <c r="BB24" i="26"/>
  <c r="AU25" i="26"/>
  <c r="AM25" i="26"/>
  <c r="BD25" i="26"/>
  <c r="AW26" i="26"/>
  <c r="AO26" i="26"/>
  <c r="AQ27" i="26"/>
  <c r="AI27" i="26"/>
  <c r="AZ27" i="26"/>
  <c r="AS28" i="26"/>
  <c r="AK28" i="26"/>
  <c r="BB28" i="26"/>
  <c r="AU29" i="26"/>
  <c r="AM29" i="26"/>
  <c r="BD29" i="26"/>
  <c r="AW30" i="26"/>
  <c r="AO30" i="26"/>
  <c r="AQ31" i="26"/>
  <c r="AI31" i="26"/>
  <c r="AZ31" i="26"/>
  <c r="AS32" i="26"/>
  <c r="AK32" i="26"/>
  <c r="BB32" i="26"/>
  <c r="AU33" i="26"/>
  <c r="AM33" i="26"/>
  <c r="BD33" i="26"/>
  <c r="AW34" i="26"/>
  <c r="AO34" i="26"/>
  <c r="AQ35" i="26"/>
  <c r="AI35" i="26"/>
  <c r="AZ35" i="26"/>
  <c r="AS36" i="26"/>
  <c r="AK36" i="26"/>
  <c r="BB36" i="26"/>
  <c r="AS19" i="26"/>
  <c r="AK19" i="26"/>
  <c r="BB19" i="26"/>
  <c r="AU20" i="26"/>
  <c r="AM20" i="26"/>
  <c r="BD20" i="26"/>
  <c r="AW21" i="26"/>
  <c r="AO21" i="26"/>
  <c r="AQ22" i="26"/>
  <c r="AI22" i="26"/>
  <c r="AZ22" i="26"/>
  <c r="AS23" i="26"/>
  <c r="AK23" i="26"/>
  <c r="BB23" i="26"/>
  <c r="AU24" i="26"/>
  <c r="AM24" i="26"/>
  <c r="BD24" i="26"/>
  <c r="AW25" i="26"/>
  <c r="AO25" i="26"/>
  <c r="AQ26" i="26"/>
  <c r="AI26" i="26"/>
  <c r="AZ26" i="26"/>
  <c r="AS27" i="26"/>
  <c r="AK27" i="26"/>
  <c r="BB27" i="26"/>
  <c r="AU28" i="26"/>
  <c r="AM28" i="26"/>
  <c r="BD28" i="26"/>
  <c r="AW29" i="26"/>
  <c r="AO29" i="26"/>
  <c r="AQ30" i="26"/>
  <c r="AI30" i="26"/>
  <c r="AZ30" i="26"/>
  <c r="AS31" i="26"/>
  <c r="AK31" i="26"/>
  <c r="BB31" i="26"/>
  <c r="AU32" i="26"/>
  <c r="AM32" i="26"/>
  <c r="BD32" i="26"/>
  <c r="AW33" i="26"/>
  <c r="AO33" i="26"/>
  <c r="AQ34" i="26"/>
  <c r="AI34" i="26"/>
  <c r="AZ34" i="26"/>
  <c r="AS35" i="26"/>
  <c r="AK35" i="26"/>
  <c r="BB35" i="26"/>
  <c r="AU36" i="26"/>
  <c r="AM36" i="26"/>
  <c r="BD36" i="26"/>
  <c r="B16" i="26"/>
  <c r="H39" i="26"/>
  <c r="B37" i="26"/>
  <c r="D39" i="26" s="1"/>
  <c r="E39" i="26"/>
  <c r="A38" i="26"/>
  <c r="W39" i="26" s="1"/>
  <c r="AP14" i="26"/>
  <c r="G39" i="26"/>
  <c r="C39" i="26"/>
  <c r="A33" i="25"/>
  <c r="A30" i="25"/>
  <c r="A27" i="25"/>
  <c r="A23" i="25"/>
  <c r="A21" i="25"/>
  <c r="A19" i="25"/>
  <c r="A15" i="25"/>
  <c r="B14" i="25"/>
  <c r="AP13" i="25"/>
  <c r="B22" i="27" l="1"/>
  <c r="AP21" i="27"/>
  <c r="T39" i="26"/>
  <c r="V39" i="26"/>
  <c r="Y39" i="26"/>
  <c r="BB10" i="26"/>
  <c r="AD10" i="26" s="1"/>
  <c r="S41" i="26"/>
  <c r="U39" i="26"/>
  <c r="S39" i="26"/>
  <c r="X39" i="26"/>
  <c r="BE10" i="26"/>
  <c r="AG10" i="26" s="1"/>
  <c r="AU37" i="26"/>
  <c r="AS41" i="26"/>
  <c r="AS44" i="26"/>
  <c r="AV37" i="26"/>
  <c r="BA10" i="26"/>
  <c r="AC10" i="26" s="1"/>
  <c r="AZ10" i="26"/>
  <c r="AB10" i="26" s="1"/>
  <c r="I39" i="26"/>
  <c r="F39" i="26"/>
  <c r="BC10" i="26"/>
  <c r="AE10" i="26" s="1"/>
  <c r="AY10" i="26"/>
  <c r="AA10" i="26" s="1"/>
  <c r="AP16" i="26"/>
  <c r="B17" i="26"/>
  <c r="AS37" i="26"/>
  <c r="AT37" i="26"/>
  <c r="A37" i="26"/>
  <c r="K41" i="26" s="1"/>
  <c r="AQ46" i="26"/>
  <c r="AQ37" i="26"/>
  <c r="AR37" i="26"/>
  <c r="BD10" i="26"/>
  <c r="AF10" i="26" s="1"/>
  <c r="AW37" i="26"/>
  <c r="A20" i="25"/>
  <c r="A36" i="25"/>
  <c r="A17" i="25"/>
  <c r="A34" i="25"/>
  <c r="A35" i="25"/>
  <c r="A25" i="25"/>
  <c r="A18" i="25"/>
  <c r="A26" i="25"/>
  <c r="A24" i="25"/>
  <c r="A14" i="25"/>
  <c r="A22" i="25"/>
  <c r="A31" i="25"/>
  <c r="B15" i="25"/>
  <c r="AP14" i="25"/>
  <c r="A13" i="25"/>
  <c r="A16" i="25"/>
  <c r="A29" i="25"/>
  <c r="A28" i="25"/>
  <c r="A32" i="25"/>
  <c r="Y39" i="25"/>
  <c r="B23" i="27" l="1"/>
  <c r="AP22" i="27"/>
  <c r="L39" i="26"/>
  <c r="AP17" i="26"/>
  <c r="B18" i="26"/>
  <c r="N39" i="26"/>
  <c r="Q39" i="26"/>
  <c r="P39" i="26"/>
  <c r="K39" i="26"/>
  <c r="M39" i="26"/>
  <c r="O39" i="26"/>
  <c r="W39" i="25"/>
  <c r="T39" i="25"/>
  <c r="V39" i="25"/>
  <c r="U39" i="25"/>
  <c r="S39" i="25"/>
  <c r="B37" i="25"/>
  <c r="X39" i="25"/>
  <c r="B16" i="25"/>
  <c r="AP15" i="25"/>
  <c r="B24" i="27" l="1"/>
  <c r="AP23" i="27"/>
  <c r="O37" i="25"/>
  <c r="N37" i="25"/>
  <c r="M37" i="25"/>
  <c r="P37" i="25"/>
  <c r="Q37" i="25"/>
  <c r="L37" i="25"/>
  <c r="K37" i="25"/>
  <c r="B19" i="26"/>
  <c r="AP18" i="26"/>
  <c r="AV36" i="25"/>
  <c r="AN36" i="25"/>
  <c r="AV35" i="25"/>
  <c r="AN35" i="25"/>
  <c r="AN31" i="25"/>
  <c r="AV31" i="25"/>
  <c r="AV34" i="25"/>
  <c r="AN34" i="25"/>
  <c r="AV26" i="25"/>
  <c r="AN26" i="25"/>
  <c r="AN30" i="25"/>
  <c r="AV30" i="25"/>
  <c r="AV33" i="25"/>
  <c r="AN33" i="25"/>
  <c r="AN24" i="25"/>
  <c r="AV24" i="25"/>
  <c r="AV16" i="25"/>
  <c r="AN16" i="25"/>
  <c r="AV22" i="25"/>
  <c r="AN22" i="25"/>
  <c r="AV17" i="25"/>
  <c r="AN17" i="25"/>
  <c r="AV21" i="25"/>
  <c r="AN21" i="25"/>
  <c r="AN27" i="25"/>
  <c r="AV27" i="25"/>
  <c r="AN19" i="25"/>
  <c r="AV19" i="25"/>
  <c r="AN14" i="25"/>
  <c r="AV14" i="25"/>
  <c r="AN29" i="25"/>
  <c r="AV29" i="25"/>
  <c r="AV28" i="25"/>
  <c r="AN28" i="25"/>
  <c r="AV25" i="25"/>
  <c r="AN25" i="25"/>
  <c r="AV32" i="25"/>
  <c r="AN32" i="25"/>
  <c r="AN20" i="25"/>
  <c r="AV20" i="25"/>
  <c r="AN23" i="25"/>
  <c r="AV23" i="25"/>
  <c r="AN15" i="25"/>
  <c r="AV15" i="25"/>
  <c r="AV18" i="25"/>
  <c r="AN18" i="25"/>
  <c r="AV13" i="25"/>
  <c r="AN13" i="25"/>
  <c r="X10" i="25"/>
  <c r="AT35" i="25"/>
  <c r="AL35" i="25"/>
  <c r="AL33" i="25"/>
  <c r="AT33" i="25"/>
  <c r="AL36" i="25"/>
  <c r="AT36" i="25"/>
  <c r="AL28" i="25"/>
  <c r="AT28" i="25"/>
  <c r="AL32" i="25"/>
  <c r="AT32" i="25"/>
  <c r="AT26" i="25"/>
  <c r="AL26" i="25"/>
  <c r="AT18" i="25"/>
  <c r="AL18" i="25"/>
  <c r="AL16" i="25"/>
  <c r="AT16" i="25"/>
  <c r="AT14" i="25"/>
  <c r="AL14" i="25"/>
  <c r="AT23" i="25"/>
  <c r="AL23" i="25"/>
  <c r="AT21" i="25"/>
  <c r="AL21" i="25"/>
  <c r="AL13" i="25"/>
  <c r="AT13" i="25"/>
  <c r="V10" i="25"/>
  <c r="AT19" i="25"/>
  <c r="AL19" i="25"/>
  <c r="AT34" i="25"/>
  <c r="AL34" i="25"/>
  <c r="AT27" i="25"/>
  <c r="AL27" i="25"/>
  <c r="AT24" i="25"/>
  <c r="AL24" i="25"/>
  <c r="AL29" i="25"/>
  <c r="AT29" i="25"/>
  <c r="AT22" i="25"/>
  <c r="AL22" i="25"/>
  <c r="AT30" i="25"/>
  <c r="AL30" i="25"/>
  <c r="AL25" i="25"/>
  <c r="AT25" i="25"/>
  <c r="AT17" i="25"/>
  <c r="AL17" i="25"/>
  <c r="AT20" i="25"/>
  <c r="AL20" i="25"/>
  <c r="AT31" i="25"/>
  <c r="AL31" i="25"/>
  <c r="AT15" i="25"/>
  <c r="AL15" i="25"/>
  <c r="AM36" i="25"/>
  <c r="AU36" i="25"/>
  <c r="AM28" i="25"/>
  <c r="AU28" i="25"/>
  <c r="AU31" i="25"/>
  <c r="AM31" i="25"/>
  <c r="AM27" i="25"/>
  <c r="AU27" i="25"/>
  <c r="AU32" i="25"/>
  <c r="AM32" i="25"/>
  <c r="AU21" i="25"/>
  <c r="AM21" i="25"/>
  <c r="AU13" i="25"/>
  <c r="AM13" i="25"/>
  <c r="W10" i="25"/>
  <c r="AU14" i="25"/>
  <c r="AM14" i="25"/>
  <c r="AM17" i="25"/>
  <c r="AU17" i="25"/>
  <c r="AU34" i="25"/>
  <c r="AM34" i="25"/>
  <c r="AU33" i="25"/>
  <c r="AM33" i="25"/>
  <c r="AU24" i="25"/>
  <c r="AM24" i="25"/>
  <c r="AM16" i="25"/>
  <c r="AU16" i="25"/>
  <c r="AU19" i="25"/>
  <c r="AM19" i="25"/>
  <c r="AU26" i="25"/>
  <c r="AM26" i="25"/>
  <c r="AU35" i="25"/>
  <c r="AM35" i="25"/>
  <c r="AU29" i="25"/>
  <c r="AM29" i="25"/>
  <c r="AU22" i="25"/>
  <c r="AM22" i="25"/>
  <c r="AU30" i="25"/>
  <c r="AM30" i="25"/>
  <c r="AU25" i="25"/>
  <c r="AM25" i="25"/>
  <c r="AU20" i="25"/>
  <c r="AM20" i="25"/>
  <c r="AU15" i="25"/>
  <c r="AM15" i="25"/>
  <c r="AU23" i="25"/>
  <c r="AM23" i="25"/>
  <c r="AU18" i="25"/>
  <c r="AM18" i="25"/>
  <c r="AJ35" i="25"/>
  <c r="AR35" i="25"/>
  <c r="AJ27" i="25"/>
  <c r="AR27" i="25"/>
  <c r="AR30" i="25"/>
  <c r="AJ30" i="25"/>
  <c r="AR34" i="25"/>
  <c r="AJ34" i="25"/>
  <c r="AR31" i="25"/>
  <c r="AJ31" i="25"/>
  <c r="AJ20" i="25"/>
  <c r="AR20" i="25"/>
  <c r="AJ26" i="25"/>
  <c r="AR26" i="25"/>
  <c r="AJ18" i="25"/>
  <c r="AR18" i="25"/>
  <c r="AR23" i="25"/>
  <c r="AJ23" i="25"/>
  <c r="AR15" i="25"/>
  <c r="AJ15" i="25"/>
  <c r="T10" i="25"/>
  <c r="AR13" i="25"/>
  <c r="AJ13" i="25"/>
  <c r="AJ33" i="25"/>
  <c r="AR33" i="25"/>
  <c r="AR32" i="25"/>
  <c r="AJ32" i="25"/>
  <c r="AR21" i="25"/>
  <c r="AJ21" i="25"/>
  <c r="AR25" i="25"/>
  <c r="AJ25" i="25"/>
  <c r="AR28" i="25"/>
  <c r="AJ28" i="25"/>
  <c r="AJ24" i="25"/>
  <c r="AR24" i="25"/>
  <c r="AR16" i="25"/>
  <c r="AJ16" i="25"/>
  <c r="AR36" i="25"/>
  <c r="AJ36" i="25"/>
  <c r="AR29" i="25"/>
  <c r="AJ29" i="25"/>
  <c r="AJ19" i="25"/>
  <c r="AR19" i="25"/>
  <c r="AR22" i="25"/>
  <c r="AJ22" i="25"/>
  <c r="AR14" i="25"/>
  <c r="AJ14" i="25"/>
  <c r="AR17" i="25"/>
  <c r="AJ17" i="25"/>
  <c r="AI36" i="25"/>
  <c r="AQ36" i="25"/>
  <c r="AI32" i="25"/>
  <c r="AQ32" i="25"/>
  <c r="AI35" i="25"/>
  <c r="AQ35" i="25"/>
  <c r="AI27" i="25"/>
  <c r="AQ27" i="25"/>
  <c r="AI31" i="25"/>
  <c r="AQ31" i="25"/>
  <c r="AQ25" i="25"/>
  <c r="AI25" i="25"/>
  <c r="AQ17" i="25"/>
  <c r="AI17" i="25"/>
  <c r="AQ15" i="25"/>
  <c r="AI15" i="25"/>
  <c r="AQ18" i="25"/>
  <c r="AI18" i="25"/>
  <c r="AI20" i="25"/>
  <c r="AQ20" i="25"/>
  <c r="AQ23" i="25"/>
  <c r="AI23" i="25"/>
  <c r="S10" i="25"/>
  <c r="AI13" i="25"/>
  <c r="AQ13" i="25"/>
  <c r="AQ33" i="25"/>
  <c r="AI33" i="25"/>
  <c r="AQ26" i="25"/>
  <c r="AI26" i="25"/>
  <c r="AQ34" i="25"/>
  <c r="AI34" i="25"/>
  <c r="AI21" i="25"/>
  <c r="AQ21" i="25"/>
  <c r="AQ28" i="25"/>
  <c r="AI28" i="25"/>
  <c r="AI24" i="25"/>
  <c r="AQ24" i="25"/>
  <c r="AI16" i="25"/>
  <c r="AQ16" i="25"/>
  <c r="AQ30" i="25"/>
  <c r="AI30" i="25"/>
  <c r="AQ29" i="25"/>
  <c r="AI29" i="25"/>
  <c r="AQ19" i="25"/>
  <c r="AI19" i="25"/>
  <c r="AQ22" i="25"/>
  <c r="AI22" i="25"/>
  <c r="AQ14" i="25"/>
  <c r="AI14" i="25"/>
  <c r="AW36" i="25"/>
  <c r="AO36" i="25"/>
  <c r="AO34" i="25"/>
  <c r="AW34" i="25"/>
  <c r="AW26" i="25"/>
  <c r="AO26" i="25"/>
  <c r="AO29" i="25"/>
  <c r="AW29" i="25"/>
  <c r="AW33" i="25"/>
  <c r="AO33" i="25"/>
  <c r="AW27" i="25"/>
  <c r="AO27" i="25"/>
  <c r="AW19" i="25"/>
  <c r="AO19" i="25"/>
  <c r="AO15" i="25"/>
  <c r="AW15" i="25"/>
  <c r="AW35" i="25"/>
  <c r="AO35" i="25"/>
  <c r="AW28" i="25"/>
  <c r="AO28" i="25"/>
  <c r="AW22" i="25"/>
  <c r="AO22" i="25"/>
  <c r="AW14" i="25"/>
  <c r="AO14" i="25"/>
  <c r="AW17" i="25"/>
  <c r="AO17" i="25"/>
  <c r="AW24" i="25"/>
  <c r="AO24" i="25"/>
  <c r="AW25" i="25"/>
  <c r="AO25" i="25"/>
  <c r="AO30" i="25"/>
  <c r="AW30" i="25"/>
  <c r="AW20" i="25"/>
  <c r="AO20" i="25"/>
  <c r="AW23" i="25"/>
  <c r="AO23" i="25"/>
  <c r="AW31" i="25"/>
  <c r="AO31" i="25"/>
  <c r="AO18" i="25"/>
  <c r="AW18" i="25"/>
  <c r="AW21" i="25"/>
  <c r="AO21" i="25"/>
  <c r="AW32" i="25"/>
  <c r="AO32" i="25"/>
  <c r="AW13" i="25"/>
  <c r="AO13" i="25"/>
  <c r="Y10" i="25"/>
  <c r="AW16" i="25"/>
  <c r="AO16" i="25"/>
  <c r="AS35" i="25"/>
  <c r="AK35" i="25"/>
  <c r="AS30" i="25"/>
  <c r="AK30" i="25"/>
  <c r="AK33" i="25"/>
  <c r="AS33" i="25"/>
  <c r="AS29" i="25"/>
  <c r="AK29" i="25"/>
  <c r="AK23" i="25"/>
  <c r="AS23" i="25"/>
  <c r="AS15" i="25"/>
  <c r="AK15" i="25"/>
  <c r="AK13" i="25"/>
  <c r="AS13" i="25"/>
  <c r="U10" i="25"/>
  <c r="AS31" i="25"/>
  <c r="AK31" i="25"/>
  <c r="AS32" i="25"/>
  <c r="AK32" i="25"/>
  <c r="AK26" i="25"/>
  <c r="AS26" i="25"/>
  <c r="AS18" i="25"/>
  <c r="AK18" i="25"/>
  <c r="AS16" i="25"/>
  <c r="AK16" i="25"/>
  <c r="AS20" i="25"/>
  <c r="AK20" i="25"/>
  <c r="AS21" i="25"/>
  <c r="AK21" i="25"/>
  <c r="AK34" i="25"/>
  <c r="AS34" i="25"/>
  <c r="AK28" i="25"/>
  <c r="AS28" i="25"/>
  <c r="AS27" i="25"/>
  <c r="AK27" i="25"/>
  <c r="AS24" i="25"/>
  <c r="AK24" i="25"/>
  <c r="AS36" i="25"/>
  <c r="AK36" i="25"/>
  <c r="AS19" i="25"/>
  <c r="AK19" i="25"/>
  <c r="AS22" i="25"/>
  <c r="AK22" i="25"/>
  <c r="AK14" i="25"/>
  <c r="AS14" i="25"/>
  <c r="AS25" i="25"/>
  <c r="AK25" i="25"/>
  <c r="AS17" i="25"/>
  <c r="AK17" i="25"/>
  <c r="B17" i="25"/>
  <c r="AP16" i="25"/>
  <c r="AD14" i="25"/>
  <c r="AC35" i="25"/>
  <c r="AC13" i="25"/>
  <c r="AF16" i="25"/>
  <c r="AE27" i="25"/>
  <c r="AD20" i="25"/>
  <c r="AA27" i="25"/>
  <c r="AF30" i="25"/>
  <c r="AE28" i="25"/>
  <c r="AC16" i="25"/>
  <c r="AB25" i="25"/>
  <c r="AF36" i="25"/>
  <c r="AD23" i="25"/>
  <c r="AB33" i="25"/>
  <c r="AE23" i="25"/>
  <c r="AC33" i="25"/>
  <c r="AC21" i="25"/>
  <c r="AB18" i="25"/>
  <c r="AD31" i="25"/>
  <c r="AB34" i="25"/>
  <c r="AG17" i="25"/>
  <c r="AC15" i="25"/>
  <c r="AD25" i="25"/>
  <c r="AB36" i="25"/>
  <c r="AD33" i="25"/>
  <c r="AG19" i="25"/>
  <c r="AA23" i="25"/>
  <c r="AA18" i="25"/>
  <c r="AG35" i="25"/>
  <c r="AA26" i="25"/>
  <c r="AE16" i="25"/>
  <c r="AA35" i="25"/>
  <c r="AA24" i="25"/>
  <c r="AC29" i="25"/>
  <c r="AF14" i="25"/>
  <c r="AB17" i="25"/>
  <c r="AG24" i="25"/>
  <c r="AA32" i="25"/>
  <c r="AB30" i="25"/>
  <c r="AC23" i="25"/>
  <c r="AC27" i="25"/>
  <c r="AG21" i="25"/>
  <c r="AB32" i="25"/>
  <c r="AF22" i="25"/>
  <c r="AF29" i="25"/>
  <c r="AD21" i="25"/>
  <c r="AG26" i="25"/>
  <c r="AC34" i="25"/>
  <c r="AE30" i="25"/>
  <c r="AG31" i="25"/>
  <c r="AC14" i="25"/>
  <c r="AB19" i="25"/>
  <c r="AD27" i="25"/>
  <c r="AC28" i="25"/>
  <c r="AG20" i="25"/>
  <c r="AE21" i="25"/>
  <c r="AE32" i="25"/>
  <c r="AB24" i="25"/>
  <c r="AE20" i="25"/>
  <c r="AC24" i="25"/>
  <c r="AA21" i="25"/>
  <c r="AF19" i="25"/>
  <c r="AE35" i="25"/>
  <c r="AB21" i="25"/>
  <c r="AF26" i="25"/>
  <c r="AD32" i="25"/>
  <c r="AB20" i="25"/>
  <c r="AE22" i="25"/>
  <c r="AG13" i="25"/>
  <c r="AF18" i="25"/>
  <c r="AF21" i="25"/>
  <c r="AA16" i="25"/>
  <c r="AF34" i="25"/>
  <c r="AG15" i="25"/>
  <c r="AG32" i="25"/>
  <c r="AE15" i="25"/>
  <c r="AF35" i="25"/>
  <c r="AE31" i="25"/>
  <c r="AC36" i="25"/>
  <c r="AB14" i="25"/>
  <c r="AE24" i="25"/>
  <c r="AA15" i="25"/>
  <c r="AA30" i="25"/>
  <c r="AE36" i="25"/>
  <c r="AC25" i="25"/>
  <c r="AA31" i="25"/>
  <c r="AA22" i="25"/>
  <c r="AB16" i="25"/>
  <c r="AF20" i="25"/>
  <c r="AA28" i="25"/>
  <c r="AB22" i="25"/>
  <c r="AB27" i="25"/>
  <c r="AB23" i="25"/>
  <c r="AD30" i="25"/>
  <c r="AG33" i="25"/>
  <c r="AF31" i="25"/>
  <c r="AD29" i="25"/>
  <c r="AB13" i="25"/>
  <c r="AC19" i="25"/>
  <c r="AD17" i="25"/>
  <c r="AD36" i="25"/>
  <c r="AB35" i="25"/>
  <c r="AB31" i="25"/>
  <c r="AE25" i="25"/>
  <c r="AC20" i="25"/>
  <c r="AD18" i="25"/>
  <c r="AD26" i="25"/>
  <c r="AF15" i="25"/>
  <c r="AA29" i="25"/>
  <c r="AC30" i="25"/>
  <c r="AA19" i="25"/>
  <c r="AG30" i="25"/>
  <c r="AD15" i="25"/>
  <c r="AC22" i="25"/>
  <c r="AE14" i="25"/>
  <c r="AF32" i="25"/>
  <c r="AF13" i="25"/>
  <c r="AE18" i="25"/>
  <c r="AF27" i="25"/>
  <c r="AD28" i="25"/>
  <c r="AE29" i="25"/>
  <c r="AA13" i="25"/>
  <c r="AD35" i="25"/>
  <c r="AD24" i="25"/>
  <c r="AF24" i="25"/>
  <c r="AD16" i="25"/>
  <c r="AE34" i="25"/>
  <c r="AF23" i="25"/>
  <c r="AC31" i="25"/>
  <c r="AF17" i="25"/>
  <c r="AG18" i="25"/>
  <c r="AA33" i="25"/>
  <c r="AF33" i="25"/>
  <c r="AA36" i="25"/>
  <c r="AG23" i="25"/>
  <c r="AG25" i="25"/>
  <c r="AE19" i="25"/>
  <c r="AG16" i="25"/>
  <c r="AE33" i="25"/>
  <c r="AC26" i="25"/>
  <c r="AA34" i="25"/>
  <c r="AF25" i="25"/>
  <c r="AG34" i="25"/>
  <c r="AB29" i="25"/>
  <c r="AB28" i="25"/>
  <c r="AD34" i="25"/>
  <c r="AA17" i="25"/>
  <c r="AG29" i="25"/>
  <c r="AE17" i="25"/>
  <c r="AF28" i="25"/>
  <c r="AE26" i="25"/>
  <c r="AA25" i="25"/>
  <c r="AD19" i="25"/>
  <c r="AG28" i="25"/>
  <c r="AD22" i="25"/>
  <c r="AA14" i="25"/>
  <c r="AE13" i="25"/>
  <c r="AG27" i="25"/>
  <c r="AB15" i="25"/>
  <c r="AC17" i="25"/>
  <c r="AG14" i="25"/>
  <c r="AC32" i="25"/>
  <c r="AA20" i="25"/>
  <c r="AG36" i="25"/>
  <c r="AG22" i="25"/>
  <c r="AC18" i="25"/>
  <c r="AD13" i="25"/>
  <c r="AB26" i="25"/>
  <c r="AS41" i="25" l="1"/>
  <c r="AQ47" i="25"/>
  <c r="AQ38" i="25"/>
  <c r="AQ46" i="25"/>
  <c r="AQ37" i="25"/>
  <c r="AS44" i="25"/>
  <c r="AS37" i="25"/>
  <c r="AS38" i="25"/>
  <c r="AR37" i="25"/>
  <c r="AR38" i="25"/>
  <c r="AT37" i="25"/>
  <c r="AT38" i="25"/>
  <c r="AW37" i="25"/>
  <c r="AW38" i="25"/>
  <c r="AU37" i="25"/>
  <c r="AU38" i="25"/>
  <c r="AV37" i="25"/>
  <c r="AV38" i="25"/>
  <c r="BC32" i="25"/>
  <c r="BB31" i="25"/>
  <c r="AY27" i="25"/>
  <c r="AZ17" i="25"/>
  <c r="BA33" i="25"/>
  <c r="BE20" i="25"/>
  <c r="BC15" i="25"/>
  <c r="BD26" i="25"/>
  <c r="BE14" i="25"/>
  <c r="AZ14" i="25"/>
  <c r="BD29" i="25"/>
  <c r="BB30" i="25"/>
  <c r="AZ36" i="25"/>
  <c r="BA15" i="25"/>
  <c r="BD22" i="25"/>
  <c r="BE24" i="25"/>
  <c r="BA16" i="25"/>
  <c r="BD16" i="25"/>
  <c r="BD33" i="25"/>
  <c r="AY24" i="25"/>
  <c r="AY21" i="25"/>
  <c r="BC22" i="25"/>
  <c r="BA18" i="25"/>
  <c r="AZ33" i="25"/>
  <c r="AY33" i="25"/>
  <c r="BC20" i="25"/>
  <c r="BA27" i="25"/>
  <c r="BC30" i="25"/>
  <c r="BA21" i="25"/>
  <c r="BB13" i="25"/>
  <c r="BA24" i="25"/>
  <c r="BA31" i="25"/>
  <c r="BA14" i="25"/>
  <c r="AZ34" i="25"/>
  <c r="BD30" i="25"/>
  <c r="BA36" i="25"/>
  <c r="BA19" i="25"/>
  <c r="BB15" i="25"/>
  <c r="AZ30" i="25"/>
  <c r="BC31" i="25"/>
  <c r="AY31" i="25"/>
  <c r="AZ26" i="25"/>
  <c r="AZ16" i="25"/>
  <c r="BD19" i="25"/>
  <c r="BD21" i="25"/>
  <c r="BA34" i="25"/>
  <c r="BE27" i="25"/>
  <c r="AY18" i="25"/>
  <c r="BC28" i="25"/>
  <c r="BE32" i="25"/>
  <c r="BC13" i="25"/>
  <c r="AY35" i="25"/>
  <c r="BD20" i="25"/>
  <c r="BD13" i="25"/>
  <c r="AZ27" i="25"/>
  <c r="AY28" i="25"/>
  <c r="BC19" i="25"/>
  <c r="BE34" i="25"/>
  <c r="BB27" i="25"/>
  <c r="BC16" i="25"/>
  <c r="BE19" i="25"/>
  <c r="BE31" i="25"/>
  <c r="BE26" i="25"/>
  <c r="AZ31" i="25"/>
  <c r="AZ15" i="25"/>
  <c r="AY26" i="25"/>
  <c r="AY13" i="25"/>
  <c r="BC27" i="25"/>
  <c r="BB34" i="25"/>
  <c r="BD17" i="25"/>
  <c r="BD18" i="25"/>
  <c r="AY15" i="25"/>
  <c r="AZ13" i="25"/>
  <c r="BC34" i="25"/>
  <c r="BC29" i="25"/>
  <c r="BB22" i="25"/>
  <c r="BD28" i="25"/>
  <c r="BA26" i="25"/>
  <c r="AZ19" i="25"/>
  <c r="BD25" i="25"/>
  <c r="BD35" i="25"/>
  <c r="AZ35" i="25"/>
  <c r="BB17" i="25"/>
  <c r="AY25" i="25"/>
  <c r="BE23" i="25"/>
  <c r="BB24" i="25"/>
  <c r="BC23" i="25"/>
  <c r="AY36" i="25"/>
  <c r="AY19" i="25"/>
  <c r="BD36" i="25"/>
  <c r="AZ29" i="25"/>
  <c r="AY14" i="25"/>
  <c r="AY32" i="25"/>
  <c r="BB18" i="25"/>
  <c r="BA32" i="25"/>
  <c r="BC25" i="25"/>
  <c r="BB26" i="25"/>
  <c r="BB35" i="25"/>
  <c r="BA29" i="25"/>
  <c r="BE33" i="25"/>
  <c r="AY30" i="25"/>
  <c r="BC35" i="25"/>
  <c r="BA25" i="25"/>
  <c r="BE25" i="25"/>
  <c r="BB28" i="25"/>
  <c r="AZ22" i="25"/>
  <c r="BD32" i="25"/>
  <c r="AZ21" i="25"/>
  <c r="BB16" i="25"/>
  <c r="BB33" i="25"/>
  <c r="AY16" i="25"/>
  <c r="BE17" i="25"/>
  <c r="BE13" i="25"/>
  <c r="BE29" i="25"/>
  <c r="AZ25" i="25"/>
  <c r="AZ32" i="25"/>
  <c r="BB14" i="25"/>
  <c r="BA20" i="25"/>
  <c r="BC14" i="25"/>
  <c r="BD24" i="25"/>
  <c r="BE15" i="25"/>
  <c r="BC33" i="25"/>
  <c r="BB20" i="25"/>
  <c r="BA22" i="25"/>
  <c r="AZ28" i="25"/>
  <c r="BA17" i="25"/>
  <c r="BD31" i="25"/>
  <c r="AY29" i="25"/>
  <c r="BE21" i="25"/>
  <c r="BD27" i="25"/>
  <c r="BB25" i="25"/>
  <c r="BE35" i="25"/>
  <c r="BB23" i="25"/>
  <c r="BA13" i="25"/>
  <c r="AY22" i="25"/>
  <c r="AY34" i="25"/>
  <c r="BE18" i="25"/>
  <c r="BE16" i="25"/>
  <c r="BE22" i="25"/>
  <c r="BC36" i="25"/>
  <c r="BB32" i="25"/>
  <c r="AZ24" i="25"/>
  <c r="BA23" i="25"/>
  <c r="BC18" i="25"/>
  <c r="BE30" i="25"/>
  <c r="BD34" i="25"/>
  <c r="BD23" i="25"/>
  <c r="BC21" i="25"/>
  <c r="BA28" i="25"/>
  <c r="BA35" i="25"/>
  <c r="BD14" i="25"/>
  <c r="BB19" i="25"/>
  <c r="BD15" i="25"/>
  <c r="BC24" i="25"/>
  <c r="BB36" i="25"/>
  <c r="BE36" i="25"/>
  <c r="AY23" i="25"/>
  <c r="AY20" i="25"/>
  <c r="BE28" i="25"/>
  <c r="BB29" i="25"/>
  <c r="AY17" i="25"/>
  <c r="AZ18" i="25"/>
  <c r="BC17" i="25"/>
  <c r="BA30" i="25"/>
  <c r="BB21" i="25"/>
  <c r="AZ23" i="25"/>
  <c r="BC26" i="25"/>
  <c r="AZ20" i="25"/>
  <c r="B25" i="27"/>
  <c r="AP24" i="27"/>
  <c r="B20" i="26"/>
  <c r="AP19" i="26"/>
  <c r="AP17" i="25"/>
  <c r="B18" i="25"/>
  <c r="A37" i="25"/>
  <c r="K41" i="25" s="1"/>
  <c r="BE10" i="25" l="1"/>
  <c r="AG10" i="25" s="1"/>
  <c r="BC10" i="25"/>
  <c r="AE10" i="25" s="1"/>
  <c r="AY10" i="25"/>
  <c r="AA10" i="25" s="1"/>
  <c r="BA10" i="25"/>
  <c r="AC10" i="25" s="1"/>
  <c r="BD10" i="25"/>
  <c r="AF10" i="25" s="1"/>
  <c r="BB10" i="25"/>
  <c r="AD10" i="25" s="1"/>
  <c r="AZ10" i="25"/>
  <c r="AB10" i="25" s="1"/>
  <c r="AP25" i="27"/>
  <c r="B26" i="27"/>
  <c r="B21" i="26"/>
  <c r="AP20" i="26"/>
  <c r="K39" i="25"/>
  <c r="N39" i="25"/>
  <c r="P39" i="25"/>
  <c r="L39" i="25"/>
  <c r="M39" i="25"/>
  <c r="Q39" i="25"/>
  <c r="O39" i="25"/>
  <c r="B19" i="25"/>
  <c r="AP18" i="25"/>
  <c r="B27" i="27" l="1"/>
  <c r="AP26" i="27"/>
  <c r="AP21" i="26"/>
  <c r="B22" i="26"/>
  <c r="B20" i="25"/>
  <c r="AP19" i="25"/>
  <c r="B28" i="27" l="1"/>
  <c r="AP27" i="27"/>
  <c r="B23" i="26"/>
  <c r="AP22" i="26"/>
  <c r="B21" i="25"/>
  <c r="AP20" i="25"/>
  <c r="B29" i="27" l="1"/>
  <c r="AP28" i="27"/>
  <c r="B24" i="26"/>
  <c r="AP23" i="26"/>
  <c r="B22" i="25"/>
  <c r="AP21" i="25"/>
  <c r="AP29" i="27" l="1"/>
  <c r="B30" i="27"/>
  <c r="B25" i="26"/>
  <c r="AP24" i="26"/>
  <c r="B23" i="25"/>
  <c r="AP22" i="25"/>
  <c r="B31" i="27" l="1"/>
  <c r="AP30" i="27"/>
  <c r="B26" i="26"/>
  <c r="AP25" i="26"/>
  <c r="B24" i="25"/>
  <c r="AP23" i="25"/>
  <c r="B32" i="27" l="1"/>
  <c r="AP31" i="27"/>
  <c r="AP26" i="26"/>
  <c r="B27" i="26"/>
  <c r="B25" i="25"/>
  <c r="AP24" i="25"/>
  <c r="B33" i="27" l="1"/>
  <c r="AP32" i="27"/>
  <c r="B28" i="26"/>
  <c r="AP27" i="26"/>
  <c r="B26" i="25"/>
  <c r="AP25" i="25"/>
  <c r="B34" i="27" l="1"/>
  <c r="AP33" i="27"/>
  <c r="B29" i="26"/>
  <c r="AP28" i="26"/>
  <c r="B27" i="25"/>
  <c r="AP26" i="25"/>
  <c r="B35" i="27" l="1"/>
  <c r="AP34" i="27"/>
  <c r="AP29" i="26"/>
  <c r="B30" i="26"/>
  <c r="B28" i="25"/>
  <c r="AP27" i="25"/>
  <c r="B36" i="27" l="1"/>
  <c r="AP36" i="27" s="1"/>
  <c r="AP35" i="27"/>
  <c r="AP30" i="26"/>
  <c r="B31" i="26"/>
  <c r="AP28" i="25"/>
  <c r="B29" i="25"/>
  <c r="B32" i="26" l="1"/>
  <c r="AP31" i="26"/>
  <c r="AP29" i="25"/>
  <c r="B30" i="25"/>
  <c r="B33" i="26" l="1"/>
  <c r="AP32" i="26"/>
  <c r="B31" i="25"/>
  <c r="AP30" i="25"/>
  <c r="B34" i="26" l="1"/>
  <c r="AP33" i="26"/>
  <c r="B32" i="25"/>
  <c r="AP31" i="25"/>
  <c r="AP34" i="26" l="1"/>
  <c r="B35" i="26"/>
  <c r="B33" i="25"/>
  <c r="AP32" i="25"/>
  <c r="B36" i="26" l="1"/>
  <c r="AP36" i="26" s="1"/>
  <c r="AP35" i="26"/>
  <c r="B34" i="25"/>
  <c r="AP33" i="25"/>
  <c r="B35" i="25" l="1"/>
  <c r="AP34" i="25"/>
  <c r="B36" i="25" l="1"/>
  <c r="AP35" i="25"/>
  <c r="AP36" i="25" l="1"/>
  <c r="AP13" i="13" l="1"/>
  <c r="AP13" i="12"/>
  <c r="AP13" i="11"/>
  <c r="Y37" i="22" l="1"/>
  <c r="X37" i="22"/>
  <c r="W37" i="22"/>
  <c r="V37" i="22"/>
  <c r="U37" i="22"/>
  <c r="T37" i="22"/>
  <c r="S37" i="22"/>
  <c r="I37" i="22"/>
  <c r="H37" i="22"/>
  <c r="G37" i="22"/>
  <c r="O2" i="22" s="1"/>
  <c r="F37" i="22"/>
  <c r="N2" i="22" s="1"/>
  <c r="E37" i="22"/>
  <c r="M2" i="22" s="1"/>
  <c r="D37" i="22"/>
  <c r="L2" i="22" s="1"/>
  <c r="C37" i="22"/>
  <c r="K2" i="22" s="1"/>
  <c r="AP36" i="22"/>
  <c r="AO36" i="22"/>
  <c r="AN36" i="22"/>
  <c r="AM36" i="22"/>
  <c r="AL36" i="22"/>
  <c r="AK36" i="22"/>
  <c r="AJ36" i="22"/>
  <c r="A36" i="22"/>
  <c r="AP35" i="22"/>
  <c r="AO35" i="22"/>
  <c r="AN35" i="22"/>
  <c r="AM35" i="22"/>
  <c r="AL35" i="22"/>
  <c r="AK35" i="22"/>
  <c r="AJ35" i="22"/>
  <c r="A35" i="22"/>
  <c r="AP34" i="22"/>
  <c r="AO34" i="22"/>
  <c r="AN34" i="22"/>
  <c r="AM34" i="22"/>
  <c r="AL34" i="22"/>
  <c r="AK34" i="22"/>
  <c r="AJ34" i="22"/>
  <c r="A34" i="22"/>
  <c r="AP33" i="22"/>
  <c r="AO33" i="22"/>
  <c r="AN33" i="22"/>
  <c r="AM33" i="22"/>
  <c r="AL33" i="22"/>
  <c r="AK33" i="22"/>
  <c r="AJ33" i="22"/>
  <c r="A33" i="22"/>
  <c r="AP32" i="22"/>
  <c r="AO32" i="22"/>
  <c r="AN32" i="22"/>
  <c r="AM32" i="22"/>
  <c r="AL32" i="22"/>
  <c r="AK32" i="22"/>
  <c r="AJ32" i="22"/>
  <c r="A32" i="22"/>
  <c r="AP31" i="22"/>
  <c r="AO31" i="22"/>
  <c r="AN31" i="22"/>
  <c r="AM31" i="22"/>
  <c r="AL31" i="22"/>
  <c r="AK31" i="22"/>
  <c r="AJ31" i="22"/>
  <c r="A31" i="22"/>
  <c r="AP30" i="22"/>
  <c r="AO30" i="22"/>
  <c r="AN30" i="22"/>
  <c r="AM30" i="22"/>
  <c r="AL30" i="22"/>
  <c r="AK30" i="22"/>
  <c r="AJ30" i="22"/>
  <c r="A30" i="22"/>
  <c r="AP29" i="22"/>
  <c r="AO29" i="22"/>
  <c r="AN29" i="22"/>
  <c r="AM29" i="22"/>
  <c r="AL29" i="22"/>
  <c r="AK29" i="22"/>
  <c r="AJ29" i="22"/>
  <c r="A29" i="22"/>
  <c r="AP28" i="22"/>
  <c r="AO28" i="22"/>
  <c r="AN28" i="22"/>
  <c r="AM28" i="22"/>
  <c r="AL28" i="22"/>
  <c r="AK28" i="22"/>
  <c r="AJ28" i="22"/>
  <c r="A28" i="22"/>
  <c r="AP27" i="22"/>
  <c r="AO27" i="22"/>
  <c r="AN27" i="22"/>
  <c r="AM27" i="22"/>
  <c r="AL27" i="22"/>
  <c r="AK27" i="22"/>
  <c r="AJ27" i="22"/>
  <c r="A27" i="22"/>
  <c r="AP26" i="22"/>
  <c r="AO26" i="22"/>
  <c r="AN26" i="22"/>
  <c r="AM26" i="22"/>
  <c r="AL26" i="22"/>
  <c r="AK26" i="22"/>
  <c r="AJ26" i="22"/>
  <c r="A26" i="22"/>
  <c r="AP25" i="22"/>
  <c r="AO25" i="22"/>
  <c r="AN25" i="22"/>
  <c r="AM25" i="22"/>
  <c r="AL25" i="22"/>
  <c r="AK25" i="22"/>
  <c r="AJ25" i="22"/>
  <c r="A25" i="22"/>
  <c r="AP24" i="22"/>
  <c r="AO24" i="22"/>
  <c r="AN24" i="22"/>
  <c r="AM24" i="22"/>
  <c r="AL24" i="22"/>
  <c r="AK24" i="22"/>
  <c r="AJ24" i="22"/>
  <c r="A24" i="22"/>
  <c r="AP23" i="22"/>
  <c r="AO23" i="22"/>
  <c r="AN23" i="22"/>
  <c r="AM23" i="22"/>
  <c r="AL23" i="22"/>
  <c r="AK23" i="22"/>
  <c r="AJ23" i="22"/>
  <c r="A23" i="22"/>
  <c r="AP22" i="22"/>
  <c r="AO22" i="22"/>
  <c r="AN22" i="22"/>
  <c r="AM22" i="22"/>
  <c r="AL22" i="22"/>
  <c r="AK22" i="22"/>
  <c r="AJ22" i="22"/>
  <c r="A22" i="22"/>
  <c r="AP21" i="22"/>
  <c r="AO21" i="22"/>
  <c r="AN21" i="22"/>
  <c r="AM21" i="22"/>
  <c r="AL21" i="22"/>
  <c r="AK21" i="22"/>
  <c r="AJ21" i="22"/>
  <c r="A21" i="22"/>
  <c r="AP20" i="22"/>
  <c r="AO20" i="22"/>
  <c r="AN20" i="22"/>
  <c r="AM20" i="22"/>
  <c r="AL20" i="22"/>
  <c r="AK20" i="22"/>
  <c r="AJ20" i="22"/>
  <c r="A20" i="22"/>
  <c r="AP19" i="22"/>
  <c r="AO19" i="22"/>
  <c r="AN19" i="22"/>
  <c r="AM19" i="22"/>
  <c r="AL19" i="22"/>
  <c r="AK19" i="22"/>
  <c r="AJ19" i="22"/>
  <c r="P19" i="22"/>
  <c r="AG19" i="22" s="1"/>
  <c r="A19" i="22"/>
  <c r="AP18" i="22"/>
  <c r="AO18" i="22"/>
  <c r="AN18" i="22"/>
  <c r="AM18" i="22"/>
  <c r="AL18" i="22"/>
  <c r="AK18" i="22"/>
  <c r="AJ18" i="22"/>
  <c r="A18" i="22"/>
  <c r="AP17" i="22"/>
  <c r="AO17" i="22"/>
  <c r="AN17" i="22"/>
  <c r="AM17" i="22"/>
  <c r="AL17" i="22"/>
  <c r="AK17" i="22"/>
  <c r="AJ17" i="22"/>
  <c r="A17" i="22"/>
  <c r="AP16" i="22"/>
  <c r="AO16" i="22"/>
  <c r="AN16" i="22"/>
  <c r="AM16" i="22"/>
  <c r="AL16" i="22"/>
  <c r="AK16" i="22"/>
  <c r="AJ16" i="22"/>
  <c r="A16" i="22"/>
  <c r="AP15" i="22"/>
  <c r="AO15" i="22"/>
  <c r="AN15" i="22"/>
  <c r="AM15" i="22"/>
  <c r="AL15" i="22"/>
  <c r="AK15" i="22"/>
  <c r="AJ15" i="22"/>
  <c r="A15" i="22"/>
  <c r="AP14" i="22"/>
  <c r="AO14" i="22"/>
  <c r="AN14" i="22"/>
  <c r="AM14" i="22"/>
  <c r="AL14" i="22"/>
  <c r="AK14" i="22"/>
  <c r="AJ14" i="22"/>
  <c r="B14" i="22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A14" i="22"/>
  <c r="AP13" i="22"/>
  <c r="AP10" i="22" s="1"/>
  <c r="AO13" i="22"/>
  <c r="AO10" i="22" s="1"/>
  <c r="AN13" i="22"/>
  <c r="AN10" i="22" s="1"/>
  <c r="AM13" i="22"/>
  <c r="AM10" i="22" s="1"/>
  <c r="AL13" i="22"/>
  <c r="AL10" i="22" s="1"/>
  <c r="AK13" i="22"/>
  <c r="AK10" i="22" s="1"/>
  <c r="AJ13" i="22"/>
  <c r="AJ10" i="22" s="1"/>
  <c r="A13" i="22"/>
  <c r="Q29" i="22"/>
  <c r="AH29" i="22" s="1"/>
  <c r="P36" i="22"/>
  <c r="AG36" i="22" s="1"/>
  <c r="O35" i="22"/>
  <c r="AF35" i="22" s="1"/>
  <c r="N34" i="22"/>
  <c r="AE34" i="22" s="1"/>
  <c r="M33" i="22"/>
  <c r="AD33" i="22" s="1"/>
  <c r="L32" i="22"/>
  <c r="AC32" i="22" s="1"/>
  <c r="P2" i="22"/>
  <c r="Y37" i="23"/>
  <c r="X37" i="23"/>
  <c r="W37" i="23"/>
  <c r="W40" i="23" s="1"/>
  <c r="V37" i="23"/>
  <c r="V40" i="23" s="1"/>
  <c r="U37" i="23"/>
  <c r="U40" i="23" s="1"/>
  <c r="T37" i="23"/>
  <c r="T40" i="23" s="1"/>
  <c r="S37" i="23"/>
  <c r="S40" i="23" s="1"/>
  <c r="I36" i="23"/>
  <c r="H36" i="23"/>
  <c r="G36" i="23"/>
  <c r="AN36" i="23" s="1"/>
  <c r="F36" i="23"/>
  <c r="E36" i="23"/>
  <c r="D36" i="23"/>
  <c r="C36" i="23"/>
  <c r="I35" i="23"/>
  <c r="H35" i="23"/>
  <c r="G35" i="23"/>
  <c r="AN35" i="23" s="1"/>
  <c r="F35" i="23"/>
  <c r="AM35" i="23" s="1"/>
  <c r="E35" i="23"/>
  <c r="AL35" i="23" s="1"/>
  <c r="D35" i="23"/>
  <c r="AK35" i="23" s="1"/>
  <c r="C35" i="23"/>
  <c r="I34" i="23"/>
  <c r="AP34" i="23" s="1"/>
  <c r="H34" i="23"/>
  <c r="G34" i="23"/>
  <c r="AN34" i="23" s="1"/>
  <c r="F34" i="23"/>
  <c r="E34" i="23"/>
  <c r="D34" i="23"/>
  <c r="AK34" i="23" s="1"/>
  <c r="C34" i="23"/>
  <c r="I33" i="23"/>
  <c r="AP33" i="23" s="1"/>
  <c r="H33" i="23"/>
  <c r="G33" i="23"/>
  <c r="AN33" i="23" s="1"/>
  <c r="F33" i="23"/>
  <c r="AM33" i="23" s="1"/>
  <c r="E33" i="23"/>
  <c r="D33" i="23"/>
  <c r="AK33" i="23" s="1"/>
  <c r="C33" i="23"/>
  <c r="I32" i="23"/>
  <c r="AP32" i="23" s="1"/>
  <c r="H32" i="23"/>
  <c r="G32" i="23"/>
  <c r="F32" i="23"/>
  <c r="E32" i="23"/>
  <c r="D32" i="23"/>
  <c r="AK32" i="23" s="1"/>
  <c r="C32" i="23"/>
  <c r="AJ32" i="23" s="1"/>
  <c r="I31" i="23"/>
  <c r="H31" i="23"/>
  <c r="G31" i="23"/>
  <c r="F31" i="23"/>
  <c r="AM31" i="23" s="1"/>
  <c r="E31" i="23"/>
  <c r="D31" i="23"/>
  <c r="C31" i="23"/>
  <c r="I30" i="23"/>
  <c r="H30" i="23"/>
  <c r="G30" i="23"/>
  <c r="AN30" i="23" s="1"/>
  <c r="F30" i="23"/>
  <c r="AM30" i="23" s="1"/>
  <c r="E30" i="23"/>
  <c r="AL30" i="23" s="1"/>
  <c r="D30" i="23"/>
  <c r="C30" i="23"/>
  <c r="AJ30" i="23" s="1"/>
  <c r="I29" i="23"/>
  <c r="H29" i="23"/>
  <c r="AO29" i="23" s="1"/>
  <c r="G29" i="23"/>
  <c r="F29" i="23"/>
  <c r="E29" i="23"/>
  <c r="D29" i="23"/>
  <c r="AK29" i="23" s="1"/>
  <c r="C29" i="23"/>
  <c r="I28" i="23"/>
  <c r="AP28" i="23" s="1"/>
  <c r="H28" i="23"/>
  <c r="AO28" i="23" s="1"/>
  <c r="G28" i="23"/>
  <c r="AN28" i="23" s="1"/>
  <c r="F28" i="23"/>
  <c r="E28" i="23"/>
  <c r="AL28" i="23" s="1"/>
  <c r="D28" i="23"/>
  <c r="C28" i="23"/>
  <c r="I27" i="23"/>
  <c r="H27" i="23"/>
  <c r="G27" i="23"/>
  <c r="F27" i="23"/>
  <c r="AM27" i="23" s="1"/>
  <c r="E27" i="23"/>
  <c r="D27" i="23"/>
  <c r="AK27" i="23" s="1"/>
  <c r="C27" i="23"/>
  <c r="I26" i="23"/>
  <c r="H26" i="23"/>
  <c r="G26" i="23"/>
  <c r="AN26" i="23" s="1"/>
  <c r="F26" i="23"/>
  <c r="E26" i="23"/>
  <c r="D26" i="23"/>
  <c r="C26" i="23"/>
  <c r="I25" i="23"/>
  <c r="H25" i="23"/>
  <c r="AO25" i="23" s="1"/>
  <c r="G25" i="23"/>
  <c r="AN25" i="23" s="1"/>
  <c r="F25" i="23"/>
  <c r="AM25" i="23" s="1"/>
  <c r="E25" i="23"/>
  <c r="D25" i="23"/>
  <c r="AK25" i="23" s="1"/>
  <c r="C25" i="23"/>
  <c r="I24" i="23"/>
  <c r="AP24" i="23" s="1"/>
  <c r="H24" i="23"/>
  <c r="G24" i="23"/>
  <c r="F24" i="23"/>
  <c r="E24" i="23"/>
  <c r="AL24" i="23" s="1"/>
  <c r="D24" i="23"/>
  <c r="C24" i="23"/>
  <c r="I23" i="23"/>
  <c r="AP23" i="23" s="1"/>
  <c r="H23" i="23"/>
  <c r="AO23" i="23" s="1"/>
  <c r="G23" i="23"/>
  <c r="F23" i="23"/>
  <c r="AM23" i="23" s="1"/>
  <c r="E23" i="23"/>
  <c r="D23" i="23"/>
  <c r="C23" i="23"/>
  <c r="I22" i="23"/>
  <c r="H22" i="23"/>
  <c r="G22" i="23"/>
  <c r="F22" i="23"/>
  <c r="E22" i="23"/>
  <c r="AL22" i="23" s="1"/>
  <c r="D22" i="23"/>
  <c r="C22" i="23"/>
  <c r="AJ22" i="23" s="1"/>
  <c r="I21" i="23"/>
  <c r="H21" i="23"/>
  <c r="AO21" i="23" s="1"/>
  <c r="G21" i="23"/>
  <c r="F21" i="23"/>
  <c r="E21" i="23"/>
  <c r="D21" i="23"/>
  <c r="C21" i="23"/>
  <c r="I20" i="23"/>
  <c r="AP20" i="23" s="1"/>
  <c r="H20" i="23"/>
  <c r="AO20" i="23" s="1"/>
  <c r="G20" i="23"/>
  <c r="AN20" i="23" s="1"/>
  <c r="F20" i="23"/>
  <c r="E20" i="23"/>
  <c r="AL20" i="23" s="1"/>
  <c r="D20" i="23"/>
  <c r="C20" i="23"/>
  <c r="I19" i="23"/>
  <c r="H19" i="23"/>
  <c r="G19" i="23"/>
  <c r="F19" i="23"/>
  <c r="E19" i="23"/>
  <c r="D19" i="23"/>
  <c r="AK19" i="23" s="1"/>
  <c r="C19" i="23"/>
  <c r="I18" i="23"/>
  <c r="AP18" i="23" s="1"/>
  <c r="H18" i="23"/>
  <c r="G18" i="23"/>
  <c r="AN18" i="23" s="1"/>
  <c r="F18" i="23"/>
  <c r="E18" i="23"/>
  <c r="D18" i="23"/>
  <c r="C18" i="23"/>
  <c r="I17" i="23"/>
  <c r="H17" i="23"/>
  <c r="AO17" i="23" s="1"/>
  <c r="G17" i="23"/>
  <c r="AN17" i="23" s="1"/>
  <c r="F17" i="23"/>
  <c r="AM17" i="23" s="1"/>
  <c r="E17" i="23"/>
  <c r="D17" i="23"/>
  <c r="AK17" i="23" s="1"/>
  <c r="C17" i="23"/>
  <c r="I16" i="23"/>
  <c r="AP16" i="23" s="1"/>
  <c r="H16" i="23"/>
  <c r="G16" i="23"/>
  <c r="F16" i="23"/>
  <c r="E16" i="23"/>
  <c r="AL16" i="23" s="1"/>
  <c r="D16" i="23"/>
  <c r="C16" i="23"/>
  <c r="AJ16" i="23" s="1"/>
  <c r="I15" i="23"/>
  <c r="H15" i="23"/>
  <c r="G15" i="23"/>
  <c r="F15" i="23"/>
  <c r="AM15" i="23" s="1"/>
  <c r="E15" i="23"/>
  <c r="D15" i="23"/>
  <c r="C15" i="23"/>
  <c r="I14" i="23"/>
  <c r="H14" i="23"/>
  <c r="G14" i="23"/>
  <c r="F14" i="23"/>
  <c r="E14" i="23"/>
  <c r="D14" i="23"/>
  <c r="C14" i="23"/>
  <c r="AJ14" i="23" s="1"/>
  <c r="B14" i="23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I13" i="23"/>
  <c r="H13" i="23"/>
  <c r="AO13" i="23" s="1"/>
  <c r="AO10" i="23" s="1"/>
  <c r="G13" i="23"/>
  <c r="F13" i="23"/>
  <c r="E13" i="23"/>
  <c r="D13" i="23"/>
  <c r="AK13" i="23" s="1"/>
  <c r="AK10" i="23" s="1"/>
  <c r="C13" i="23"/>
  <c r="M40" i="23"/>
  <c r="L40" i="23"/>
  <c r="Y37" i="24"/>
  <c r="X37" i="24"/>
  <c r="W37" i="24"/>
  <c r="V37" i="24"/>
  <c r="U37" i="24"/>
  <c r="T37" i="24"/>
  <c r="S37" i="24"/>
  <c r="AP36" i="24"/>
  <c r="AO36" i="24"/>
  <c r="AN36" i="24"/>
  <c r="AM36" i="24"/>
  <c r="AL36" i="24"/>
  <c r="AK36" i="24"/>
  <c r="AJ36" i="24"/>
  <c r="A36" i="24"/>
  <c r="AP35" i="24"/>
  <c r="AO35" i="24"/>
  <c r="AN35" i="24"/>
  <c r="AM35" i="24"/>
  <c r="AL35" i="24"/>
  <c r="AK35" i="24"/>
  <c r="AJ35" i="24"/>
  <c r="A35" i="24"/>
  <c r="AP34" i="24"/>
  <c r="AO34" i="24"/>
  <c r="AN34" i="24"/>
  <c r="AM34" i="24"/>
  <c r="AL34" i="24"/>
  <c r="AK34" i="24"/>
  <c r="AJ34" i="24"/>
  <c r="A34" i="24"/>
  <c r="AP33" i="24"/>
  <c r="AO33" i="24"/>
  <c r="AN33" i="24"/>
  <c r="AM33" i="24"/>
  <c r="AL33" i="24"/>
  <c r="AK33" i="24"/>
  <c r="AJ33" i="24"/>
  <c r="A33" i="24"/>
  <c r="AP32" i="24"/>
  <c r="AO32" i="24"/>
  <c r="AN32" i="24"/>
  <c r="AM32" i="24"/>
  <c r="AL32" i="24"/>
  <c r="AK32" i="24"/>
  <c r="AJ32" i="24"/>
  <c r="A32" i="24"/>
  <c r="AP31" i="24"/>
  <c r="AO31" i="24"/>
  <c r="AN31" i="24"/>
  <c r="AM31" i="24"/>
  <c r="AL31" i="24"/>
  <c r="AK31" i="24"/>
  <c r="AJ31" i="24"/>
  <c r="A31" i="24"/>
  <c r="AP30" i="24"/>
  <c r="AO30" i="24"/>
  <c r="AN30" i="24"/>
  <c r="AM30" i="24"/>
  <c r="AL30" i="24"/>
  <c r="AK30" i="24"/>
  <c r="AJ30" i="24"/>
  <c r="A30" i="24"/>
  <c r="AP29" i="24"/>
  <c r="AO29" i="24"/>
  <c r="AN29" i="24"/>
  <c r="AM29" i="24"/>
  <c r="AL29" i="24"/>
  <c r="AK29" i="24"/>
  <c r="AJ29" i="24"/>
  <c r="A29" i="24"/>
  <c r="AP28" i="24"/>
  <c r="AO28" i="24"/>
  <c r="AN28" i="24"/>
  <c r="AM28" i="24"/>
  <c r="AL28" i="24"/>
  <c r="AK28" i="24"/>
  <c r="AJ28" i="24"/>
  <c r="A28" i="24"/>
  <c r="AP27" i="24"/>
  <c r="AO27" i="24"/>
  <c r="AN27" i="24"/>
  <c r="AM27" i="24"/>
  <c r="AL27" i="24"/>
  <c r="AK27" i="24"/>
  <c r="AJ27" i="24"/>
  <c r="A27" i="24"/>
  <c r="AP26" i="24"/>
  <c r="AO26" i="24"/>
  <c r="AN26" i="24"/>
  <c r="AM26" i="24"/>
  <c r="AL26" i="24"/>
  <c r="AK26" i="24"/>
  <c r="AJ26" i="24"/>
  <c r="A26" i="24"/>
  <c r="AP25" i="24"/>
  <c r="AO25" i="24"/>
  <c r="AN25" i="24"/>
  <c r="AM25" i="24"/>
  <c r="AL25" i="24"/>
  <c r="AK25" i="24"/>
  <c r="AJ25" i="24"/>
  <c r="A25" i="24"/>
  <c r="AP24" i="24"/>
  <c r="AO24" i="24"/>
  <c r="AN24" i="24"/>
  <c r="AM24" i="24"/>
  <c r="AL24" i="24"/>
  <c r="AK24" i="24"/>
  <c r="AJ24" i="24"/>
  <c r="A24" i="24"/>
  <c r="AP23" i="24"/>
  <c r="AO23" i="24"/>
  <c r="AN23" i="24"/>
  <c r="AM23" i="24"/>
  <c r="AL23" i="24"/>
  <c r="AK23" i="24"/>
  <c r="AJ23" i="24"/>
  <c r="A23" i="24"/>
  <c r="AP22" i="24"/>
  <c r="AO22" i="24"/>
  <c r="AN22" i="24"/>
  <c r="AM22" i="24"/>
  <c r="AL22" i="24"/>
  <c r="AK22" i="24"/>
  <c r="AJ22" i="24"/>
  <c r="A22" i="24"/>
  <c r="AP21" i="24"/>
  <c r="AO21" i="24"/>
  <c r="AN21" i="24"/>
  <c r="AM21" i="24"/>
  <c r="AL21" i="24"/>
  <c r="AK21" i="24"/>
  <c r="AJ21" i="24"/>
  <c r="A21" i="24"/>
  <c r="AP20" i="24"/>
  <c r="AO20" i="24"/>
  <c r="AN20" i="24"/>
  <c r="AM20" i="24"/>
  <c r="AL20" i="24"/>
  <c r="AK20" i="24"/>
  <c r="AJ20" i="24"/>
  <c r="A20" i="24"/>
  <c r="AP19" i="24"/>
  <c r="AO19" i="24"/>
  <c r="AN19" i="24"/>
  <c r="AM19" i="24"/>
  <c r="AL19" i="24"/>
  <c r="AK19" i="24"/>
  <c r="AJ19" i="24"/>
  <c r="A19" i="24"/>
  <c r="AP18" i="24"/>
  <c r="AO18" i="24"/>
  <c r="AN18" i="24"/>
  <c r="AM18" i="24"/>
  <c r="AL18" i="24"/>
  <c r="AK18" i="24"/>
  <c r="AJ18" i="24"/>
  <c r="A18" i="24"/>
  <c r="AP17" i="24"/>
  <c r="AO17" i="24"/>
  <c r="AN17" i="24"/>
  <c r="AM17" i="24"/>
  <c r="AL17" i="24"/>
  <c r="AK17" i="24"/>
  <c r="AJ17" i="24"/>
  <c r="A17" i="24"/>
  <c r="AP16" i="24"/>
  <c r="AO16" i="24"/>
  <c r="AN16" i="24"/>
  <c r="AM16" i="24"/>
  <c r="AL16" i="24"/>
  <c r="AK16" i="24"/>
  <c r="AJ16" i="24"/>
  <c r="A16" i="24"/>
  <c r="AP15" i="24"/>
  <c r="AO15" i="24"/>
  <c r="AN15" i="24"/>
  <c r="AM15" i="24"/>
  <c r="AL15" i="24"/>
  <c r="AK15" i="24"/>
  <c r="AJ15" i="24"/>
  <c r="B15" i="24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A15" i="24"/>
  <c r="AP14" i="24"/>
  <c r="AO14" i="24"/>
  <c r="AN14" i="24"/>
  <c r="AM14" i="24"/>
  <c r="AL14" i="24"/>
  <c r="AK14" i="24"/>
  <c r="AJ14" i="24"/>
  <c r="B14" i="24"/>
  <c r="A14" i="24"/>
  <c r="AP13" i="24"/>
  <c r="AP10" i="24" s="1"/>
  <c r="AO13" i="24"/>
  <c r="AO10" i="24" s="1"/>
  <c r="AN13" i="24"/>
  <c r="AN10" i="24" s="1"/>
  <c r="AM13" i="24"/>
  <c r="AM10" i="24" s="1"/>
  <c r="AL13" i="24"/>
  <c r="AL10" i="24" s="1"/>
  <c r="AK13" i="24"/>
  <c r="AK10" i="24" s="1"/>
  <c r="AJ13" i="24"/>
  <c r="AJ10" i="24" s="1"/>
  <c r="A13" i="24"/>
  <c r="AH35" i="24"/>
  <c r="AG36" i="24"/>
  <c r="AF35" i="24"/>
  <c r="AE34" i="24"/>
  <c r="AD33" i="24"/>
  <c r="AC30" i="24"/>
  <c r="AB21" i="24"/>
  <c r="K31" i="22" l="1"/>
  <c r="AB31" i="22" s="1"/>
  <c r="K13" i="22"/>
  <c r="AB13" i="22" s="1"/>
  <c r="K17" i="23"/>
  <c r="AB17" i="23" s="1"/>
  <c r="O22" i="23"/>
  <c r="AF22" i="23" s="1"/>
  <c r="O27" i="23"/>
  <c r="AF27" i="23" s="1"/>
  <c r="N14" i="23"/>
  <c r="AE14" i="23" s="1"/>
  <c r="O15" i="23"/>
  <c r="AF15" i="23" s="1"/>
  <c r="O24" i="23"/>
  <c r="AF24" i="23" s="1"/>
  <c r="O25" i="23"/>
  <c r="AF25" i="23" s="1"/>
  <c r="K15" i="23"/>
  <c r="AB15" i="23" s="1"/>
  <c r="N32" i="23"/>
  <c r="AE32" i="23" s="1"/>
  <c r="O21" i="23"/>
  <c r="AF21" i="23" s="1"/>
  <c r="O32" i="23"/>
  <c r="AF32" i="23" s="1"/>
  <c r="N21" i="23"/>
  <c r="AE21" i="23" s="1"/>
  <c r="O31" i="23"/>
  <c r="AF31" i="23" s="1"/>
  <c r="Q32" i="23"/>
  <c r="AH32" i="23" s="1"/>
  <c r="L23" i="22"/>
  <c r="AC23" i="22" s="1"/>
  <c r="M24" i="22"/>
  <c r="AD24" i="22" s="1"/>
  <c r="P13" i="22"/>
  <c r="AG13" i="22" s="1"/>
  <c r="O18" i="22"/>
  <c r="AF18" i="22" s="1"/>
  <c r="P29" i="23"/>
  <c r="AG29" i="23" s="1"/>
  <c r="N17" i="23"/>
  <c r="AE17" i="23" s="1"/>
  <c r="N31" i="23"/>
  <c r="AE31" i="23" s="1"/>
  <c r="K30" i="23"/>
  <c r="AB30" i="23" s="1"/>
  <c r="P27" i="22"/>
  <c r="AG27" i="22" s="1"/>
  <c r="N14" i="22"/>
  <c r="AE14" i="22" s="1"/>
  <c r="M16" i="22"/>
  <c r="AD16" i="22" s="1"/>
  <c r="L27" i="23"/>
  <c r="AC27" i="23" s="1"/>
  <c r="N19" i="23"/>
  <c r="AE19" i="23" s="1"/>
  <c r="N20" i="23"/>
  <c r="AE20" i="23" s="1"/>
  <c r="L21" i="23"/>
  <c r="AC21" i="23" s="1"/>
  <c r="M23" i="23"/>
  <c r="AD23" i="23" s="1"/>
  <c r="L24" i="23"/>
  <c r="AC24" i="23" s="1"/>
  <c r="N18" i="23"/>
  <c r="AE18" i="23" s="1"/>
  <c r="O19" i="23"/>
  <c r="AF19" i="23" s="1"/>
  <c r="M21" i="23"/>
  <c r="AD21" i="23" s="1"/>
  <c r="N22" i="23"/>
  <c r="AE22" i="23" s="1"/>
  <c r="L26" i="23"/>
  <c r="AC26" i="23" s="1"/>
  <c r="N33" i="23"/>
  <c r="AE33" i="23" s="1"/>
  <c r="N36" i="23"/>
  <c r="AE36" i="23" s="1"/>
  <c r="L16" i="23"/>
  <c r="AC16" i="23" s="1"/>
  <c r="L35" i="23"/>
  <c r="AC35" i="23" s="1"/>
  <c r="N26" i="23"/>
  <c r="AE26" i="23" s="1"/>
  <c r="L29" i="23"/>
  <c r="AC29" i="23" s="1"/>
  <c r="L30" i="23"/>
  <c r="AC30" i="23" s="1"/>
  <c r="L15" i="23"/>
  <c r="AC15" i="23" s="1"/>
  <c r="M16" i="23"/>
  <c r="AD16" i="23" s="1"/>
  <c r="M15" i="23"/>
  <c r="AD15" i="23" s="1"/>
  <c r="N16" i="23"/>
  <c r="AE16" i="23" s="1"/>
  <c r="L23" i="23"/>
  <c r="AC23" i="23" s="1"/>
  <c r="N34" i="23"/>
  <c r="AE34" i="23" s="1"/>
  <c r="N35" i="23"/>
  <c r="AE35" i="23" s="1"/>
  <c r="L36" i="23"/>
  <c r="AC36" i="23" s="1"/>
  <c r="Q20" i="23"/>
  <c r="AH20" i="23" s="1"/>
  <c r="P22" i="23"/>
  <c r="AG22" i="23" s="1"/>
  <c r="M24" i="23"/>
  <c r="AD24" i="23" s="1"/>
  <c r="M25" i="23"/>
  <c r="AD25" i="23" s="1"/>
  <c r="M27" i="23"/>
  <c r="AD27" i="23" s="1"/>
  <c r="K28" i="23"/>
  <c r="AB28" i="23" s="1"/>
  <c r="P31" i="23"/>
  <c r="AG31" i="23" s="1"/>
  <c r="P34" i="23"/>
  <c r="AG34" i="23" s="1"/>
  <c r="P35" i="23"/>
  <c r="AG35" i="23" s="1"/>
  <c r="M14" i="23"/>
  <c r="AD14" i="23" s="1"/>
  <c r="O16" i="23"/>
  <c r="AF16" i="23" s="1"/>
  <c r="M17" i="23"/>
  <c r="AD17" i="23" s="1"/>
  <c r="Q18" i="23"/>
  <c r="AH18" i="23" s="1"/>
  <c r="Q22" i="23"/>
  <c r="AH22" i="23" s="1"/>
  <c r="N24" i="23"/>
  <c r="AE24" i="23" s="1"/>
  <c r="M26" i="23"/>
  <c r="AD26" i="23" s="1"/>
  <c r="N27" i="23"/>
  <c r="AE27" i="23" s="1"/>
  <c r="L28" i="23"/>
  <c r="AC28" i="23" s="1"/>
  <c r="K29" i="23"/>
  <c r="AB29" i="23" s="1"/>
  <c r="Q31" i="23"/>
  <c r="AH31" i="23" s="1"/>
  <c r="K33" i="23"/>
  <c r="AB33" i="23" s="1"/>
  <c r="Q34" i="23"/>
  <c r="AH34" i="23" s="1"/>
  <c r="Q35" i="23"/>
  <c r="AH35" i="23" s="1"/>
  <c r="P16" i="23"/>
  <c r="AG16" i="23" s="1"/>
  <c r="P36" i="23"/>
  <c r="AG36" i="23" s="1"/>
  <c r="K19" i="23"/>
  <c r="AB19" i="23" s="1"/>
  <c r="K22" i="23"/>
  <c r="AB22" i="23" s="1"/>
  <c r="O14" i="23"/>
  <c r="AF14" i="23" s="1"/>
  <c r="P15" i="23"/>
  <c r="AG15" i="23" s="1"/>
  <c r="L18" i="23"/>
  <c r="AC18" i="23" s="1"/>
  <c r="L19" i="23"/>
  <c r="AC19" i="23" s="1"/>
  <c r="L20" i="23"/>
  <c r="AC20" i="23" s="1"/>
  <c r="P23" i="23"/>
  <c r="AG23" i="23" s="1"/>
  <c r="P24" i="23"/>
  <c r="AG24" i="23" s="1"/>
  <c r="P25" i="23"/>
  <c r="AG25" i="23" s="1"/>
  <c r="P27" i="23"/>
  <c r="AG27" i="23" s="1"/>
  <c r="N28" i="23"/>
  <c r="AE28" i="23" s="1"/>
  <c r="M29" i="23"/>
  <c r="AD29" i="23" s="1"/>
  <c r="K31" i="23"/>
  <c r="AB31" i="23" s="1"/>
  <c r="M33" i="23"/>
  <c r="AD33" i="23" s="1"/>
  <c r="K34" i="23"/>
  <c r="AB34" i="23" s="1"/>
  <c r="K35" i="23"/>
  <c r="AB35" i="23" s="1"/>
  <c r="Q36" i="23"/>
  <c r="AH36" i="23" s="1"/>
  <c r="Q19" i="23"/>
  <c r="AH19" i="23" s="1"/>
  <c r="K18" i="23"/>
  <c r="AB18" i="23" s="1"/>
  <c r="K20" i="23"/>
  <c r="AB20" i="23" s="1"/>
  <c r="Q21" i="23"/>
  <c r="AH21" i="23" s="1"/>
  <c r="Q23" i="23"/>
  <c r="AH23" i="23" s="1"/>
  <c r="P14" i="23"/>
  <c r="AG14" i="23" s="1"/>
  <c r="Q15" i="23"/>
  <c r="AH15" i="23" s="1"/>
  <c r="K16" i="23"/>
  <c r="AB16" i="23" s="1"/>
  <c r="P17" i="23"/>
  <c r="AG17" i="23" s="1"/>
  <c r="M18" i="23"/>
  <c r="AD18" i="23" s="1"/>
  <c r="M19" i="23"/>
  <c r="AD19" i="23" s="1"/>
  <c r="K21" i="23"/>
  <c r="AB21" i="23" s="1"/>
  <c r="L22" i="23"/>
  <c r="AC22" i="23" s="1"/>
  <c r="K23" i="23"/>
  <c r="AB23" i="23" s="1"/>
  <c r="Q25" i="23"/>
  <c r="AH25" i="23" s="1"/>
  <c r="P26" i="23"/>
  <c r="AG26" i="23" s="1"/>
  <c r="Q27" i="23"/>
  <c r="AH27" i="23" s="1"/>
  <c r="N29" i="23"/>
  <c r="AE29" i="23" s="1"/>
  <c r="L31" i="23"/>
  <c r="AC31" i="23" s="1"/>
  <c r="M32" i="23"/>
  <c r="AD32" i="23" s="1"/>
  <c r="Q14" i="23"/>
  <c r="AH14" i="23" s="1"/>
  <c r="Q17" i="23"/>
  <c r="AH17" i="23" s="1"/>
  <c r="M22" i="23"/>
  <c r="AD22" i="23" s="1"/>
  <c r="Q26" i="23"/>
  <c r="AH26" i="23" s="1"/>
  <c r="P28" i="23"/>
  <c r="AG28" i="23" s="1"/>
  <c r="M31" i="23"/>
  <c r="AD31" i="23" s="1"/>
  <c r="M34" i="23"/>
  <c r="AD34" i="23" s="1"/>
  <c r="K36" i="23"/>
  <c r="AB36" i="23" s="1"/>
  <c r="K24" i="23"/>
  <c r="AB24" i="23" s="1"/>
  <c r="K25" i="23"/>
  <c r="AB25" i="23" s="1"/>
  <c r="K27" i="23"/>
  <c r="AB27" i="23" s="1"/>
  <c r="Q28" i="23"/>
  <c r="AH28" i="23" s="1"/>
  <c r="P30" i="23"/>
  <c r="AG30" i="23" s="1"/>
  <c r="P33" i="23"/>
  <c r="AG33" i="23" s="1"/>
  <c r="K40" i="23"/>
  <c r="P18" i="23"/>
  <c r="AG18" i="23" s="1"/>
  <c r="P19" i="23"/>
  <c r="AG19" i="23" s="1"/>
  <c r="P20" i="23"/>
  <c r="AG20" i="23" s="1"/>
  <c r="K26" i="23"/>
  <c r="AB26" i="23" s="1"/>
  <c r="Q29" i="23"/>
  <c r="AH29" i="23" s="1"/>
  <c r="Q30" i="23"/>
  <c r="AH30" i="23" s="1"/>
  <c r="P32" i="23"/>
  <c r="AG32" i="23" s="1"/>
  <c r="M36" i="23"/>
  <c r="AD36" i="23" s="1"/>
  <c r="AF26" i="24"/>
  <c r="AG33" i="24"/>
  <c r="AG35" i="24"/>
  <c r="AF24" i="24"/>
  <c r="AG18" i="24"/>
  <c r="AG25" i="24"/>
  <c r="AH33" i="24"/>
  <c r="AD14" i="24"/>
  <c r="AG21" i="24"/>
  <c r="AG26" i="24"/>
  <c r="AE19" i="24"/>
  <c r="AF14" i="24"/>
  <c r="AD22" i="24"/>
  <c r="AE29" i="24"/>
  <c r="AE22" i="24"/>
  <c r="AF31" i="24"/>
  <c r="AE16" i="24"/>
  <c r="AG23" i="24"/>
  <c r="AF16" i="24"/>
  <c r="AE24" i="24"/>
  <c r="AE33" i="24"/>
  <c r="A38" i="22"/>
  <c r="T39" i="22" s="1"/>
  <c r="A38" i="23"/>
  <c r="U39" i="23" s="1"/>
  <c r="AD13" i="24"/>
  <c r="AD15" i="24"/>
  <c r="AG16" i="24"/>
  <c r="AG19" i="24"/>
  <c r="AF22" i="24"/>
  <c r="AG24" i="24"/>
  <c r="AE30" i="24"/>
  <c r="AD32" i="24"/>
  <c r="AF34" i="24"/>
  <c r="AE13" i="24"/>
  <c r="AE15" i="24"/>
  <c r="AE17" i="24"/>
  <c r="AH20" i="24"/>
  <c r="AD23" i="24"/>
  <c r="AE27" i="24"/>
  <c r="AE32" i="24"/>
  <c r="AG34" i="24"/>
  <c r="AG13" i="24"/>
  <c r="AF15" i="24"/>
  <c r="AF17" i="24"/>
  <c r="AD21" i="24"/>
  <c r="AE23" i="24"/>
  <c r="AE25" i="24"/>
  <c r="AG27" i="24"/>
  <c r="AD31" i="24"/>
  <c r="AF32" i="24"/>
  <c r="AD30" i="24"/>
  <c r="AG15" i="24"/>
  <c r="AG17" i="24"/>
  <c r="AE21" i="24"/>
  <c r="AF23" i="24"/>
  <c r="AF25" i="24"/>
  <c r="AD29" i="24"/>
  <c r="AE31" i="24"/>
  <c r="AG32" i="24"/>
  <c r="AE35" i="24"/>
  <c r="AE14" i="24"/>
  <c r="AD16" i="24"/>
  <c r="AF18" i="24"/>
  <c r="AD24" i="24"/>
  <c r="AH25" i="24"/>
  <c r="AG29" i="24"/>
  <c r="AG31" i="24"/>
  <c r="AF33" i="24"/>
  <c r="AH36" i="24"/>
  <c r="B37" i="24"/>
  <c r="AM14" i="23"/>
  <c r="C37" i="23"/>
  <c r="AJ13" i="23"/>
  <c r="AJ10" i="23" s="1"/>
  <c r="AP26" i="23"/>
  <c r="AP15" i="23"/>
  <c r="AJ18" i="23"/>
  <c r="AK21" i="23"/>
  <c r="AJ24" i="23"/>
  <c r="AO31" i="23"/>
  <c r="AO33" i="23"/>
  <c r="AL14" i="23"/>
  <c r="AO15" i="23"/>
  <c r="AJ21" i="23"/>
  <c r="E37" i="23"/>
  <c r="M2" i="23" s="1"/>
  <c r="K14" i="23"/>
  <c r="AB14" i="23" s="1"/>
  <c r="Q16" i="23"/>
  <c r="AH16" i="23" s="1"/>
  <c r="AK24" i="23"/>
  <c r="AL27" i="23"/>
  <c r="AP31" i="23"/>
  <c r="K32" i="23"/>
  <c r="AB32" i="23" s="1"/>
  <c r="AO36" i="23"/>
  <c r="F37" i="23"/>
  <c r="N2" i="23" s="1"/>
  <c r="N25" i="23"/>
  <c r="AE25" i="23" s="1"/>
  <c r="AJ34" i="23"/>
  <c r="AP36" i="23"/>
  <c r="K13" i="23"/>
  <c r="AB13" i="23" s="1"/>
  <c r="Q24" i="23"/>
  <c r="AH24" i="23" s="1"/>
  <c r="G37" i="23"/>
  <c r="O2" i="23" s="1"/>
  <c r="AK16" i="23"/>
  <c r="AL19" i="23"/>
  <c r="AM22" i="23"/>
  <c r="AM19" i="23"/>
  <c r="AN22" i="23"/>
  <c r="AJ29" i="23"/>
  <c r="AL32" i="23"/>
  <c r="AM32" i="23"/>
  <c r="P13" i="23"/>
  <c r="AG13" i="23" s="1"/>
  <c r="AN14" i="23"/>
  <c r="P21" i="23"/>
  <c r="AG21" i="23" s="1"/>
  <c r="AJ26" i="23"/>
  <c r="L13" i="22"/>
  <c r="AC13" i="22" s="1"/>
  <c r="L31" i="22"/>
  <c r="AC31" i="22" s="1"/>
  <c r="N13" i="22"/>
  <c r="AE13" i="22" s="1"/>
  <c r="L15" i="22"/>
  <c r="AC15" i="22" s="1"/>
  <c r="K22" i="22"/>
  <c r="AB22" i="22" s="1"/>
  <c r="M32" i="22"/>
  <c r="AD32" i="22" s="1"/>
  <c r="O34" i="22"/>
  <c r="AF34" i="22" s="1"/>
  <c r="N33" i="22"/>
  <c r="AE33" i="22" s="1"/>
  <c r="K14" i="22"/>
  <c r="AB14" i="22" s="1"/>
  <c r="L17" i="22"/>
  <c r="AC17" i="22" s="1"/>
  <c r="N25" i="22"/>
  <c r="AE25" i="22" s="1"/>
  <c r="P35" i="22"/>
  <c r="AG35" i="22" s="1"/>
  <c r="N15" i="22"/>
  <c r="AE15" i="22" s="1"/>
  <c r="M14" i="22"/>
  <c r="AD14" i="22" s="1"/>
  <c r="N17" i="22"/>
  <c r="AE17" i="22" s="1"/>
  <c r="O26" i="22"/>
  <c r="AF26" i="22" s="1"/>
  <c r="N19" i="22"/>
  <c r="AE19" i="22" s="1"/>
  <c r="K30" i="22"/>
  <c r="AB30" i="22" s="1"/>
  <c r="B37" i="22"/>
  <c r="C39" i="22" s="1"/>
  <c r="Q2" i="22"/>
  <c r="L14" i="22"/>
  <c r="AC14" i="22" s="1"/>
  <c r="M15" i="22"/>
  <c r="AD15" i="22" s="1"/>
  <c r="N16" i="22"/>
  <c r="AE16" i="22" s="1"/>
  <c r="O17" i="22"/>
  <c r="AF17" i="22" s="1"/>
  <c r="P18" i="22"/>
  <c r="AG18" i="22" s="1"/>
  <c r="Q19" i="22"/>
  <c r="AH19" i="22" s="1"/>
  <c r="K21" i="22"/>
  <c r="AB21" i="22" s="1"/>
  <c r="L22" i="22"/>
  <c r="AC22" i="22" s="1"/>
  <c r="M23" i="22"/>
  <c r="AD23" i="22" s="1"/>
  <c r="N24" i="22"/>
  <c r="AE24" i="22" s="1"/>
  <c r="O25" i="22"/>
  <c r="AF25" i="22" s="1"/>
  <c r="P26" i="22"/>
  <c r="AG26" i="22" s="1"/>
  <c r="Q27" i="22"/>
  <c r="AH27" i="22" s="1"/>
  <c r="K29" i="22"/>
  <c r="AB29" i="22" s="1"/>
  <c r="L30" i="22"/>
  <c r="AC30" i="22" s="1"/>
  <c r="M31" i="22"/>
  <c r="AD31" i="22" s="1"/>
  <c r="N32" i="22"/>
  <c r="AE32" i="22" s="1"/>
  <c r="O33" i="22"/>
  <c r="AF33" i="22" s="1"/>
  <c r="P34" i="22"/>
  <c r="AG34" i="22" s="1"/>
  <c r="Q35" i="22"/>
  <c r="AH35" i="22" s="1"/>
  <c r="Q20" i="22"/>
  <c r="AH20" i="22" s="1"/>
  <c r="O16" i="22"/>
  <c r="AF16" i="22" s="1"/>
  <c r="P17" i="22"/>
  <c r="AG17" i="22" s="1"/>
  <c r="Q18" i="22"/>
  <c r="AH18" i="22" s="1"/>
  <c r="K20" i="22"/>
  <c r="AB20" i="22" s="1"/>
  <c r="L21" i="22"/>
  <c r="AC21" i="22" s="1"/>
  <c r="M22" i="22"/>
  <c r="AD22" i="22" s="1"/>
  <c r="N23" i="22"/>
  <c r="AE23" i="22" s="1"/>
  <c r="O24" i="22"/>
  <c r="AF24" i="22" s="1"/>
  <c r="P25" i="22"/>
  <c r="AG25" i="22" s="1"/>
  <c r="Q26" i="22"/>
  <c r="AH26" i="22" s="1"/>
  <c r="K28" i="22"/>
  <c r="AB28" i="22" s="1"/>
  <c r="L29" i="22"/>
  <c r="AC29" i="22" s="1"/>
  <c r="M30" i="22"/>
  <c r="AD30" i="22" s="1"/>
  <c r="N31" i="22"/>
  <c r="AE31" i="22" s="1"/>
  <c r="O32" i="22"/>
  <c r="AF32" i="22" s="1"/>
  <c r="P33" i="22"/>
  <c r="AG33" i="22" s="1"/>
  <c r="Q34" i="22"/>
  <c r="AH34" i="22" s="1"/>
  <c r="K36" i="22"/>
  <c r="AB36" i="22" s="1"/>
  <c r="M13" i="22"/>
  <c r="AD13" i="22" s="1"/>
  <c r="O15" i="22"/>
  <c r="AF15" i="22" s="1"/>
  <c r="P16" i="22"/>
  <c r="AG16" i="22" s="1"/>
  <c r="Q17" i="22"/>
  <c r="AH17" i="22" s="1"/>
  <c r="K19" i="22"/>
  <c r="AB19" i="22" s="1"/>
  <c r="L20" i="22"/>
  <c r="AC20" i="22" s="1"/>
  <c r="M21" i="22"/>
  <c r="AD21" i="22" s="1"/>
  <c r="N22" i="22"/>
  <c r="AE22" i="22" s="1"/>
  <c r="O23" i="22"/>
  <c r="AF23" i="22" s="1"/>
  <c r="P24" i="22"/>
  <c r="AG24" i="22" s="1"/>
  <c r="Q25" i="22"/>
  <c r="AH25" i="22" s="1"/>
  <c r="K27" i="22"/>
  <c r="AB27" i="22" s="1"/>
  <c r="L28" i="22"/>
  <c r="AC28" i="22" s="1"/>
  <c r="M29" i="22"/>
  <c r="AD29" i="22" s="1"/>
  <c r="N30" i="22"/>
  <c r="AE30" i="22" s="1"/>
  <c r="O31" i="22"/>
  <c r="AF31" i="22" s="1"/>
  <c r="P32" i="22"/>
  <c r="AG32" i="22" s="1"/>
  <c r="Q33" i="22"/>
  <c r="AH33" i="22" s="1"/>
  <c r="K35" i="22"/>
  <c r="AB35" i="22" s="1"/>
  <c r="L36" i="22"/>
  <c r="AC36" i="22" s="1"/>
  <c r="E39" i="22"/>
  <c r="O14" i="22"/>
  <c r="AF14" i="22" s="1"/>
  <c r="P15" i="22"/>
  <c r="AG15" i="22" s="1"/>
  <c r="Q16" i="22"/>
  <c r="AH16" i="22" s="1"/>
  <c r="K18" i="22"/>
  <c r="AB18" i="22" s="1"/>
  <c r="L19" i="22"/>
  <c r="AC19" i="22" s="1"/>
  <c r="M20" i="22"/>
  <c r="AD20" i="22" s="1"/>
  <c r="N21" i="22"/>
  <c r="AE21" i="22" s="1"/>
  <c r="O22" i="22"/>
  <c r="AF22" i="22" s="1"/>
  <c r="P23" i="22"/>
  <c r="AG23" i="22" s="1"/>
  <c r="Q24" i="22"/>
  <c r="AH24" i="22" s="1"/>
  <c r="K26" i="22"/>
  <c r="AB26" i="22" s="1"/>
  <c r="L27" i="22"/>
  <c r="AC27" i="22" s="1"/>
  <c r="M28" i="22"/>
  <c r="AD28" i="22" s="1"/>
  <c r="N29" i="22"/>
  <c r="AE29" i="22" s="1"/>
  <c r="O30" i="22"/>
  <c r="AF30" i="22" s="1"/>
  <c r="P31" i="22"/>
  <c r="AG31" i="22" s="1"/>
  <c r="Q32" i="22"/>
  <c r="AH32" i="22" s="1"/>
  <c r="K34" i="22"/>
  <c r="AB34" i="22" s="1"/>
  <c r="L35" i="22"/>
  <c r="AC35" i="22" s="1"/>
  <c r="M36" i="22"/>
  <c r="AD36" i="22" s="1"/>
  <c r="O13" i="22"/>
  <c r="AF13" i="22" s="1"/>
  <c r="P14" i="22"/>
  <c r="AG14" i="22" s="1"/>
  <c r="Q15" i="22"/>
  <c r="AH15" i="22" s="1"/>
  <c r="K17" i="22"/>
  <c r="AB17" i="22" s="1"/>
  <c r="L18" i="22"/>
  <c r="AC18" i="22" s="1"/>
  <c r="M19" i="22"/>
  <c r="AD19" i="22" s="1"/>
  <c r="N20" i="22"/>
  <c r="AE20" i="22" s="1"/>
  <c r="O21" i="22"/>
  <c r="AF21" i="22" s="1"/>
  <c r="P22" i="22"/>
  <c r="AG22" i="22" s="1"/>
  <c r="Q23" i="22"/>
  <c r="AH23" i="22" s="1"/>
  <c r="K25" i="22"/>
  <c r="AB25" i="22" s="1"/>
  <c r="L26" i="22"/>
  <c r="AC26" i="22" s="1"/>
  <c r="M27" i="22"/>
  <c r="AD27" i="22" s="1"/>
  <c r="N28" i="22"/>
  <c r="AE28" i="22" s="1"/>
  <c r="O29" i="22"/>
  <c r="AF29" i="22" s="1"/>
  <c r="P30" i="22"/>
  <c r="AG30" i="22" s="1"/>
  <c r="Q31" i="22"/>
  <c r="AH31" i="22" s="1"/>
  <c r="K33" i="22"/>
  <c r="AB33" i="22" s="1"/>
  <c r="L34" i="22"/>
  <c r="AC34" i="22" s="1"/>
  <c r="M35" i="22"/>
  <c r="AD35" i="22" s="1"/>
  <c r="N36" i="22"/>
  <c r="AE36" i="22" s="1"/>
  <c r="Q28" i="22"/>
  <c r="AH28" i="22" s="1"/>
  <c r="Q36" i="22"/>
  <c r="AH36" i="22" s="1"/>
  <c r="Q14" i="22"/>
  <c r="AH14" i="22" s="1"/>
  <c r="K16" i="22"/>
  <c r="AB16" i="22" s="1"/>
  <c r="M18" i="22"/>
  <c r="AD18" i="22" s="1"/>
  <c r="O20" i="22"/>
  <c r="AF20" i="22" s="1"/>
  <c r="P21" i="22"/>
  <c r="AG21" i="22" s="1"/>
  <c r="Q22" i="22"/>
  <c r="AH22" i="22" s="1"/>
  <c r="K24" i="22"/>
  <c r="AB24" i="22" s="1"/>
  <c r="L25" i="22"/>
  <c r="AC25" i="22" s="1"/>
  <c r="M26" i="22"/>
  <c r="AD26" i="22" s="1"/>
  <c r="N27" i="22"/>
  <c r="AE27" i="22" s="1"/>
  <c r="O28" i="22"/>
  <c r="AF28" i="22" s="1"/>
  <c r="P29" i="22"/>
  <c r="AG29" i="22" s="1"/>
  <c r="Q30" i="22"/>
  <c r="AH30" i="22" s="1"/>
  <c r="K32" i="22"/>
  <c r="AB32" i="22" s="1"/>
  <c r="L33" i="22"/>
  <c r="AC33" i="22" s="1"/>
  <c r="M34" i="22"/>
  <c r="AD34" i="22" s="1"/>
  <c r="N35" i="22"/>
  <c r="AE35" i="22" s="1"/>
  <c r="O36" i="22"/>
  <c r="AF36" i="22" s="1"/>
  <c r="Q13" i="22"/>
  <c r="AH13" i="22" s="1"/>
  <c r="K15" i="22"/>
  <c r="AB15" i="22" s="1"/>
  <c r="L16" i="22"/>
  <c r="AC16" i="22" s="1"/>
  <c r="M17" i="22"/>
  <c r="AD17" i="22" s="1"/>
  <c r="N18" i="22"/>
  <c r="AE18" i="22" s="1"/>
  <c r="O19" i="22"/>
  <c r="AF19" i="22" s="1"/>
  <c r="P20" i="22"/>
  <c r="AG20" i="22" s="1"/>
  <c r="Q21" i="22"/>
  <c r="AH21" i="22" s="1"/>
  <c r="K23" i="22"/>
  <c r="AB23" i="22" s="1"/>
  <c r="L24" i="22"/>
  <c r="AC24" i="22" s="1"/>
  <c r="M25" i="22"/>
  <c r="AD25" i="22" s="1"/>
  <c r="N26" i="22"/>
  <c r="AE26" i="22" s="1"/>
  <c r="O27" i="22"/>
  <c r="AF27" i="22" s="1"/>
  <c r="P28" i="22"/>
  <c r="AG28" i="22" s="1"/>
  <c r="D37" i="23"/>
  <c r="O17" i="23"/>
  <c r="AF17" i="23" s="1"/>
  <c r="O23" i="23"/>
  <c r="AF23" i="23" s="1"/>
  <c r="O29" i="23"/>
  <c r="AF29" i="23" s="1"/>
  <c r="L14" i="23"/>
  <c r="AC14" i="23" s="1"/>
  <c r="AK14" i="23"/>
  <c r="O34" i="23"/>
  <c r="AF34" i="23" s="1"/>
  <c r="O26" i="23"/>
  <c r="AF26" i="23" s="1"/>
  <c r="O18" i="23"/>
  <c r="AF18" i="23" s="1"/>
  <c r="O35" i="23"/>
  <c r="AF35" i="23" s="1"/>
  <c r="O36" i="23"/>
  <c r="AF36" i="23" s="1"/>
  <c r="O28" i="23"/>
  <c r="AF28" i="23" s="1"/>
  <c r="O20" i="23"/>
  <c r="AF20" i="23" s="1"/>
  <c r="O40" i="23"/>
  <c r="O33" i="23"/>
  <c r="AF33" i="23" s="1"/>
  <c r="O30" i="23"/>
  <c r="AF30" i="23" s="1"/>
  <c r="Q13" i="23"/>
  <c r="AH13" i="23" s="1"/>
  <c r="AP13" i="23"/>
  <c r="AP10" i="23" s="1"/>
  <c r="I37" i="23"/>
  <c r="H37" i="23"/>
  <c r="AL13" i="23"/>
  <c r="AL10" i="23" s="1"/>
  <c r="AO14" i="23"/>
  <c r="AJ15" i="23"/>
  <c r="AM16" i="23"/>
  <c r="AP17" i="23"/>
  <c r="AK18" i="23"/>
  <c r="AN19" i="23"/>
  <c r="AL21" i="23"/>
  <c r="AO22" i="23"/>
  <c r="AJ23" i="23"/>
  <c r="AM24" i="23"/>
  <c r="AP25" i="23"/>
  <c r="AK26" i="23"/>
  <c r="AN27" i="23"/>
  <c r="AL29" i="23"/>
  <c r="N30" i="23"/>
  <c r="AE30" i="23" s="1"/>
  <c r="AO30" i="23"/>
  <c r="AJ31" i="23"/>
  <c r="L32" i="23"/>
  <c r="AC32" i="23" s="1"/>
  <c r="M35" i="23"/>
  <c r="AD35" i="23" s="1"/>
  <c r="X40" i="23"/>
  <c r="M30" i="23"/>
  <c r="AD30" i="23" s="1"/>
  <c r="L13" i="23"/>
  <c r="AC13" i="23" s="1"/>
  <c r="AM13" i="23"/>
  <c r="AM10" i="23" s="1"/>
  <c r="AP14" i="23"/>
  <c r="AK15" i="23"/>
  <c r="AN16" i="23"/>
  <c r="AL18" i="23"/>
  <c r="AO19" i="23"/>
  <c r="AJ20" i="23"/>
  <c r="AM21" i="23"/>
  <c r="AP22" i="23"/>
  <c r="AK23" i="23"/>
  <c r="AN24" i="23"/>
  <c r="AL26" i="23"/>
  <c r="AO27" i="23"/>
  <c r="AJ28" i="23"/>
  <c r="AM29" i="23"/>
  <c r="AP30" i="23"/>
  <c r="AK31" i="23"/>
  <c r="AN32" i="23"/>
  <c r="AL34" i="23"/>
  <c r="AO35" i="23"/>
  <c r="AJ36" i="23"/>
  <c r="P40" i="23"/>
  <c r="Y40" i="23"/>
  <c r="M13" i="23"/>
  <c r="AD13" i="23" s="1"/>
  <c r="AN13" i="23"/>
  <c r="AN10" i="23" s="1"/>
  <c r="AL15" i="23"/>
  <c r="AO16" i="23"/>
  <c r="AJ17" i="23"/>
  <c r="AM18" i="23"/>
  <c r="AP19" i="23"/>
  <c r="AK20" i="23"/>
  <c r="AN21" i="23"/>
  <c r="AL23" i="23"/>
  <c r="AO24" i="23"/>
  <c r="AJ25" i="23"/>
  <c r="AM26" i="23"/>
  <c r="AP27" i="23"/>
  <c r="AK28" i="23"/>
  <c r="AN29" i="23"/>
  <c r="AL31" i="23"/>
  <c r="AO32" i="23"/>
  <c r="Q33" i="23"/>
  <c r="AH33" i="23" s="1"/>
  <c r="AJ33" i="23"/>
  <c r="L34" i="23"/>
  <c r="AC34" i="23" s="1"/>
  <c r="AM34" i="23"/>
  <c r="AP35" i="23"/>
  <c r="AK36" i="23"/>
  <c r="Q40" i="23"/>
  <c r="N40" i="23"/>
  <c r="N13" i="23"/>
  <c r="AE13" i="23" s="1"/>
  <c r="AL36" i="23"/>
  <c r="O13" i="23"/>
  <c r="AF13" i="23" s="1"/>
  <c r="AN15" i="23"/>
  <c r="AL17" i="23"/>
  <c r="AO18" i="23"/>
  <c r="AJ19" i="23"/>
  <c r="AM20" i="23"/>
  <c r="AP21" i="23"/>
  <c r="AK22" i="23"/>
  <c r="AN23" i="23"/>
  <c r="AL25" i="23"/>
  <c r="AO26" i="23"/>
  <c r="AJ27" i="23"/>
  <c r="AM28" i="23"/>
  <c r="AP29" i="23"/>
  <c r="AK30" i="23"/>
  <c r="AN31" i="23"/>
  <c r="AL33" i="23"/>
  <c r="AO34" i="23"/>
  <c r="AJ35" i="23"/>
  <c r="AM36" i="23"/>
  <c r="N15" i="23"/>
  <c r="AE15" i="23" s="1"/>
  <c r="L17" i="23"/>
  <c r="AC17" i="23" s="1"/>
  <c r="M20" i="23"/>
  <c r="AD20" i="23" s="1"/>
  <c r="N23" i="23"/>
  <c r="AE23" i="23" s="1"/>
  <c r="L25" i="23"/>
  <c r="AC25" i="23" s="1"/>
  <c r="M28" i="23"/>
  <c r="AD28" i="23" s="1"/>
  <c r="L33" i="23"/>
  <c r="AC33" i="23" s="1"/>
  <c r="AC28" i="24"/>
  <c r="AH18" i="24"/>
  <c r="AH19" i="24"/>
  <c r="AH28" i="24"/>
  <c r="AB13" i="24"/>
  <c r="AH17" i="24"/>
  <c r="AH26" i="24"/>
  <c r="AH27" i="24"/>
  <c r="AH34" i="24"/>
  <c r="AC32" i="24"/>
  <c r="AC24" i="24"/>
  <c r="AC16" i="24"/>
  <c r="AC17" i="24"/>
  <c r="AC27" i="24"/>
  <c r="AC33" i="24"/>
  <c r="AC25" i="24"/>
  <c r="AC36" i="24"/>
  <c r="AC34" i="24"/>
  <c r="AC26" i="24"/>
  <c r="AC18" i="24"/>
  <c r="AC35" i="24"/>
  <c r="AC19" i="24"/>
  <c r="AC20" i="24"/>
  <c r="AC13" i="24"/>
  <c r="AH29" i="24"/>
  <c r="AH21" i="24"/>
  <c r="AH13" i="24"/>
  <c r="AH30" i="24"/>
  <c r="AH22" i="24"/>
  <c r="AH14" i="24"/>
  <c r="AH16" i="24"/>
  <c r="AH31" i="24"/>
  <c r="AH23" i="24"/>
  <c r="AH15" i="24"/>
  <c r="AH32" i="24"/>
  <c r="AH24" i="24"/>
  <c r="AB14" i="24"/>
  <c r="AC14" i="24"/>
  <c r="A38" i="24"/>
  <c r="T39" i="24" s="1"/>
  <c r="AB31" i="24"/>
  <c r="AB23" i="24"/>
  <c r="AB15" i="24"/>
  <c r="AB24" i="24"/>
  <c r="AB32" i="24"/>
  <c r="AB16" i="24"/>
  <c r="AB33" i="24"/>
  <c r="AB25" i="24"/>
  <c r="AB17" i="24"/>
  <c r="AB34" i="24"/>
  <c r="AB26" i="24"/>
  <c r="AB18" i="24"/>
  <c r="AC15" i="24"/>
  <c r="AB19" i="24"/>
  <c r="AB20" i="24"/>
  <c r="AC21" i="24"/>
  <c r="AB22" i="24"/>
  <c r="AB29" i="24"/>
  <c r="AC22" i="24"/>
  <c r="AC23" i="24"/>
  <c r="AB27" i="24"/>
  <c r="AB28" i="24"/>
  <c r="AC29" i="24"/>
  <c r="AB30" i="24"/>
  <c r="AC31" i="24"/>
  <c r="AB35" i="24"/>
  <c r="AB36" i="24"/>
  <c r="AD20" i="24"/>
  <c r="AD28" i="24"/>
  <c r="AF30" i="24"/>
  <c r="AD36" i="24"/>
  <c r="AF13" i="24"/>
  <c r="AG14" i="24"/>
  <c r="AD19" i="24"/>
  <c r="AE20" i="24"/>
  <c r="AF21" i="24"/>
  <c r="AG22" i="24"/>
  <c r="AD27" i="24"/>
  <c r="AE28" i="24"/>
  <c r="AF29" i="24"/>
  <c r="AG30" i="24"/>
  <c r="AD35" i="24"/>
  <c r="AE36" i="24"/>
  <c r="AD34" i="24"/>
  <c r="AF36" i="24"/>
  <c r="AD18" i="24"/>
  <c r="AF20" i="24"/>
  <c r="AD26" i="24"/>
  <c r="AF28" i="24"/>
  <c r="AD17" i="24"/>
  <c r="AE18" i="24"/>
  <c r="AF19" i="24"/>
  <c r="AG20" i="24"/>
  <c r="AD25" i="24"/>
  <c r="AE26" i="24"/>
  <c r="AF27" i="24"/>
  <c r="AG28" i="24"/>
  <c r="AC37" i="23" l="1"/>
  <c r="AC38" i="23"/>
  <c r="AG38" i="23"/>
  <c r="AG37" i="23"/>
  <c r="AD38" i="23"/>
  <c r="AD37" i="23"/>
  <c r="AH37" i="23"/>
  <c r="AH38" i="23"/>
  <c r="AE38" i="23"/>
  <c r="AE37" i="23"/>
  <c r="AF37" i="23"/>
  <c r="AF38" i="23"/>
  <c r="AD41" i="23"/>
  <c r="AB37" i="23"/>
  <c r="AB38" i="23"/>
  <c r="AB46" i="23"/>
  <c r="AB47" i="23"/>
  <c r="AD44" i="23"/>
  <c r="AH37" i="22"/>
  <c r="AH38" i="22"/>
  <c r="AF38" i="22"/>
  <c r="AF37" i="22"/>
  <c r="AD37" i="22"/>
  <c r="AD38" i="22"/>
  <c r="AG38" i="22"/>
  <c r="AG37" i="22"/>
  <c r="AE37" i="22"/>
  <c r="AE38" i="22"/>
  <c r="AC37" i="22"/>
  <c r="AC38" i="22"/>
  <c r="AD41" i="22"/>
  <c r="AB37" i="22"/>
  <c r="AB46" i="22"/>
  <c r="AB38" i="22"/>
  <c r="AB47" i="22"/>
  <c r="AD44" i="22"/>
  <c r="AH37" i="24"/>
  <c r="AH38" i="24"/>
  <c r="AB37" i="24"/>
  <c r="AD44" i="24"/>
  <c r="AB47" i="24"/>
  <c r="AB46" i="24"/>
  <c r="AD41" i="24"/>
  <c r="AB38" i="24"/>
  <c r="AC37" i="24"/>
  <c r="AC38" i="24"/>
  <c r="AG38" i="24"/>
  <c r="AG37" i="24"/>
  <c r="AE38" i="24"/>
  <c r="AE37" i="24"/>
  <c r="AF38" i="24"/>
  <c r="AF37" i="24"/>
  <c r="AD37" i="24"/>
  <c r="AD38" i="24"/>
  <c r="V39" i="22"/>
  <c r="W39" i="22"/>
  <c r="Y39" i="22"/>
  <c r="S41" i="22"/>
  <c r="S39" i="22"/>
  <c r="U39" i="22"/>
  <c r="X39" i="22"/>
  <c r="F39" i="22"/>
  <c r="G39" i="22"/>
  <c r="D39" i="22"/>
  <c r="S39" i="23"/>
  <c r="T39" i="23"/>
  <c r="W39" i="23"/>
  <c r="Y39" i="23"/>
  <c r="S41" i="23"/>
  <c r="P37" i="23"/>
  <c r="V39" i="23"/>
  <c r="X39" i="23"/>
  <c r="N37" i="24"/>
  <c r="M37" i="24"/>
  <c r="K2" i="23"/>
  <c r="I39" i="22"/>
  <c r="H39" i="22"/>
  <c r="O37" i="22"/>
  <c r="L37" i="22"/>
  <c r="P37" i="22"/>
  <c r="M37" i="22"/>
  <c r="K37" i="22"/>
  <c r="Q37" i="22"/>
  <c r="N37" i="22"/>
  <c r="O37" i="23"/>
  <c r="K37" i="23"/>
  <c r="P2" i="23"/>
  <c r="M37" i="23"/>
  <c r="L37" i="23"/>
  <c r="L2" i="23"/>
  <c r="Q37" i="23"/>
  <c r="Q2" i="23"/>
  <c r="N37" i="23"/>
  <c r="B37" i="23"/>
  <c r="H39" i="23" s="1"/>
  <c r="O37" i="24"/>
  <c r="Q37" i="24"/>
  <c r="P37" i="24"/>
  <c r="S41" i="24"/>
  <c r="S39" i="24"/>
  <c r="Y39" i="24"/>
  <c r="X39" i="24"/>
  <c r="W39" i="24"/>
  <c r="U39" i="24"/>
  <c r="L37" i="24"/>
  <c r="V39" i="24"/>
  <c r="D39" i="23" l="1"/>
  <c r="C39" i="23"/>
  <c r="A37" i="22"/>
  <c r="K41" i="22" s="1"/>
  <c r="I39" i="23"/>
  <c r="F39" i="23"/>
  <c r="E39" i="23"/>
  <c r="G39" i="23"/>
  <c r="A37" i="23"/>
  <c r="N39" i="23" s="1"/>
  <c r="A37" i="24"/>
  <c r="L39" i="24" s="1"/>
  <c r="O39" i="22" l="1"/>
  <c r="K39" i="22"/>
  <c r="K39" i="24"/>
  <c r="P39" i="24"/>
  <c r="O39" i="24"/>
  <c r="Q39" i="24"/>
  <c r="Q39" i="23"/>
  <c r="O39" i="23"/>
  <c r="L39" i="23"/>
  <c r="K39" i="23"/>
  <c r="N39" i="22"/>
  <c r="Q39" i="22"/>
  <c r="L39" i="22"/>
  <c r="P39" i="22"/>
  <c r="M39" i="22"/>
  <c r="M39" i="23"/>
  <c r="K41" i="23"/>
  <c r="P39" i="23"/>
  <c r="K41" i="24"/>
  <c r="N39" i="24"/>
  <c r="M39" i="24"/>
  <c r="AP13" i="8" l="1"/>
  <c r="S37" i="16" l="1"/>
  <c r="S37" i="17" s="1"/>
  <c r="S38" i="16"/>
  <c r="S38" i="17" s="1"/>
  <c r="S39" i="16"/>
  <c r="S39" i="17" s="1"/>
  <c r="S40" i="16"/>
  <c r="S40" i="17" s="1"/>
  <c r="T8" i="17"/>
  <c r="T8" i="16" s="1"/>
  <c r="U8" i="17"/>
  <c r="U8" i="16" s="1"/>
  <c r="V8" i="17"/>
  <c r="V8" i="16" s="1"/>
  <c r="W8" i="17"/>
  <c r="W8" i="16" s="1"/>
  <c r="X8" i="17"/>
  <c r="X8" i="16" s="1"/>
  <c r="Y8" i="17"/>
  <c r="Y8" i="16" s="1"/>
  <c r="S8" i="17"/>
  <c r="S8" i="16" s="1"/>
  <c r="S14" i="16"/>
  <c r="S14" i="17" s="1"/>
  <c r="T14" i="16"/>
  <c r="T14" i="17" s="1"/>
  <c r="U14" i="16"/>
  <c r="U14" i="17" s="1"/>
  <c r="V14" i="16"/>
  <c r="V14" i="17" s="1"/>
  <c r="W14" i="16"/>
  <c r="W14" i="17" s="1"/>
  <c r="X14" i="16"/>
  <c r="X14" i="17" s="1"/>
  <c r="Y14" i="16"/>
  <c r="Y14" i="17" s="1"/>
  <c r="S15" i="16"/>
  <c r="S15" i="17" s="1"/>
  <c r="T15" i="16"/>
  <c r="T15" i="17" s="1"/>
  <c r="U15" i="16"/>
  <c r="U15" i="17" s="1"/>
  <c r="V15" i="16"/>
  <c r="V15" i="17" s="1"/>
  <c r="W15" i="16"/>
  <c r="W15" i="17" s="1"/>
  <c r="X15" i="16"/>
  <c r="X15" i="17" s="1"/>
  <c r="Y15" i="16"/>
  <c r="Y15" i="17" s="1"/>
  <c r="S16" i="16"/>
  <c r="S16" i="17" s="1"/>
  <c r="T16" i="16"/>
  <c r="T16" i="17" s="1"/>
  <c r="U16" i="16"/>
  <c r="U16" i="17" s="1"/>
  <c r="V16" i="16"/>
  <c r="V16" i="17" s="1"/>
  <c r="W16" i="16"/>
  <c r="W16" i="17" s="1"/>
  <c r="X16" i="16"/>
  <c r="X16" i="17" s="1"/>
  <c r="Y16" i="16"/>
  <c r="Y16" i="17" s="1"/>
  <c r="S17" i="16"/>
  <c r="S17" i="17" s="1"/>
  <c r="T17" i="16"/>
  <c r="T17" i="17" s="1"/>
  <c r="U17" i="16"/>
  <c r="U17" i="17" s="1"/>
  <c r="V17" i="16"/>
  <c r="V17" i="17" s="1"/>
  <c r="W17" i="16"/>
  <c r="W17" i="17" s="1"/>
  <c r="X17" i="16"/>
  <c r="X17" i="17" s="1"/>
  <c r="Y17" i="16"/>
  <c r="Y17" i="17" s="1"/>
  <c r="S18" i="16"/>
  <c r="S18" i="17" s="1"/>
  <c r="T18" i="16"/>
  <c r="T18" i="17" s="1"/>
  <c r="U18" i="16"/>
  <c r="U18" i="17" s="1"/>
  <c r="V18" i="16"/>
  <c r="V18" i="17" s="1"/>
  <c r="W18" i="16"/>
  <c r="W18" i="17" s="1"/>
  <c r="X18" i="16"/>
  <c r="X18" i="17" s="1"/>
  <c r="Y18" i="16"/>
  <c r="Y18" i="17" s="1"/>
  <c r="S19" i="16"/>
  <c r="S19" i="17" s="1"/>
  <c r="T19" i="16"/>
  <c r="T19" i="17" s="1"/>
  <c r="U19" i="16"/>
  <c r="U19" i="17" s="1"/>
  <c r="V19" i="16"/>
  <c r="V19" i="17" s="1"/>
  <c r="W19" i="16"/>
  <c r="W19" i="17" s="1"/>
  <c r="X19" i="16"/>
  <c r="X19" i="17" s="1"/>
  <c r="Y19" i="16"/>
  <c r="Y19" i="17" s="1"/>
  <c r="S20" i="16"/>
  <c r="S20" i="17" s="1"/>
  <c r="T20" i="16"/>
  <c r="T20" i="17" s="1"/>
  <c r="U20" i="16"/>
  <c r="U20" i="17" s="1"/>
  <c r="V20" i="16"/>
  <c r="V20" i="17" s="1"/>
  <c r="W20" i="16"/>
  <c r="W20" i="17" s="1"/>
  <c r="X20" i="16"/>
  <c r="X20" i="17" s="1"/>
  <c r="Y20" i="16"/>
  <c r="Y20" i="17" s="1"/>
  <c r="S21" i="16"/>
  <c r="S21" i="17" s="1"/>
  <c r="T21" i="16"/>
  <c r="T21" i="17" s="1"/>
  <c r="U21" i="16"/>
  <c r="U21" i="17" s="1"/>
  <c r="V21" i="16"/>
  <c r="V21" i="17" s="1"/>
  <c r="W21" i="16"/>
  <c r="W21" i="17" s="1"/>
  <c r="X21" i="16"/>
  <c r="X21" i="17" s="1"/>
  <c r="Y21" i="16"/>
  <c r="Y21" i="17" s="1"/>
  <c r="S22" i="16"/>
  <c r="S22" i="17" s="1"/>
  <c r="T22" i="16"/>
  <c r="T22" i="17" s="1"/>
  <c r="U22" i="16"/>
  <c r="U22" i="17" s="1"/>
  <c r="V22" i="16"/>
  <c r="V22" i="17" s="1"/>
  <c r="W22" i="16"/>
  <c r="W22" i="17" s="1"/>
  <c r="X22" i="16"/>
  <c r="X22" i="17" s="1"/>
  <c r="Y22" i="16"/>
  <c r="Y22" i="17" s="1"/>
  <c r="S23" i="16"/>
  <c r="S23" i="17" s="1"/>
  <c r="T23" i="16"/>
  <c r="T23" i="17" s="1"/>
  <c r="U23" i="16"/>
  <c r="U23" i="17" s="1"/>
  <c r="V23" i="16"/>
  <c r="V23" i="17" s="1"/>
  <c r="W23" i="16"/>
  <c r="W23" i="17" s="1"/>
  <c r="X23" i="16"/>
  <c r="X23" i="17" s="1"/>
  <c r="Y23" i="16"/>
  <c r="Y23" i="17" s="1"/>
  <c r="S24" i="16"/>
  <c r="S24" i="17" s="1"/>
  <c r="T24" i="16"/>
  <c r="T24" i="17" s="1"/>
  <c r="U24" i="16"/>
  <c r="U24" i="17" s="1"/>
  <c r="V24" i="16"/>
  <c r="V24" i="17" s="1"/>
  <c r="W24" i="16"/>
  <c r="W24" i="17" s="1"/>
  <c r="X24" i="16"/>
  <c r="X24" i="17" s="1"/>
  <c r="Y24" i="16"/>
  <c r="Y24" i="17" s="1"/>
  <c r="S25" i="16"/>
  <c r="S25" i="17" s="1"/>
  <c r="T25" i="16"/>
  <c r="T25" i="17" s="1"/>
  <c r="U25" i="16"/>
  <c r="U25" i="17" s="1"/>
  <c r="V25" i="16"/>
  <c r="V25" i="17" s="1"/>
  <c r="W25" i="16"/>
  <c r="W25" i="17" s="1"/>
  <c r="X25" i="16"/>
  <c r="X25" i="17" s="1"/>
  <c r="Y25" i="16"/>
  <c r="Y25" i="17" s="1"/>
  <c r="S26" i="16"/>
  <c r="S26" i="17" s="1"/>
  <c r="T26" i="16"/>
  <c r="T26" i="17" s="1"/>
  <c r="U26" i="16"/>
  <c r="U26" i="17" s="1"/>
  <c r="V26" i="16"/>
  <c r="V26" i="17" s="1"/>
  <c r="W26" i="16"/>
  <c r="W26" i="17" s="1"/>
  <c r="X26" i="16"/>
  <c r="X26" i="17" s="1"/>
  <c r="Y26" i="16"/>
  <c r="Y26" i="17" s="1"/>
  <c r="S27" i="16"/>
  <c r="S27" i="17" s="1"/>
  <c r="T27" i="16"/>
  <c r="T27" i="17" s="1"/>
  <c r="U27" i="16"/>
  <c r="U27" i="17" s="1"/>
  <c r="V27" i="16"/>
  <c r="V27" i="17" s="1"/>
  <c r="W27" i="16"/>
  <c r="W27" i="17" s="1"/>
  <c r="X27" i="16"/>
  <c r="X27" i="17" s="1"/>
  <c r="Y27" i="16"/>
  <c r="Y27" i="17" s="1"/>
  <c r="S28" i="16"/>
  <c r="S28" i="17" s="1"/>
  <c r="T28" i="16"/>
  <c r="T28" i="17" s="1"/>
  <c r="U28" i="16"/>
  <c r="U28" i="17" s="1"/>
  <c r="V28" i="16"/>
  <c r="V28" i="17" s="1"/>
  <c r="W28" i="16"/>
  <c r="W28" i="17" s="1"/>
  <c r="X28" i="16"/>
  <c r="X28" i="17" s="1"/>
  <c r="Y28" i="16"/>
  <c r="Y28" i="17" s="1"/>
  <c r="S29" i="16"/>
  <c r="S29" i="17" s="1"/>
  <c r="T29" i="16"/>
  <c r="T29" i="17" s="1"/>
  <c r="U29" i="16"/>
  <c r="U29" i="17" s="1"/>
  <c r="V29" i="16"/>
  <c r="V29" i="17" s="1"/>
  <c r="W29" i="16"/>
  <c r="W29" i="17" s="1"/>
  <c r="X29" i="16"/>
  <c r="X29" i="17" s="1"/>
  <c r="Y29" i="16"/>
  <c r="Y29" i="17" s="1"/>
  <c r="S30" i="16"/>
  <c r="S30" i="17" s="1"/>
  <c r="T30" i="16"/>
  <c r="T30" i="17" s="1"/>
  <c r="U30" i="16"/>
  <c r="U30" i="17" s="1"/>
  <c r="V30" i="16"/>
  <c r="V30" i="17" s="1"/>
  <c r="W30" i="16"/>
  <c r="W30" i="17" s="1"/>
  <c r="X30" i="16"/>
  <c r="X30" i="17" s="1"/>
  <c r="Y30" i="16"/>
  <c r="Y30" i="17" s="1"/>
  <c r="S31" i="16"/>
  <c r="S31" i="17" s="1"/>
  <c r="T31" i="16"/>
  <c r="T31" i="17" s="1"/>
  <c r="U31" i="16"/>
  <c r="U31" i="17" s="1"/>
  <c r="V31" i="16"/>
  <c r="V31" i="17" s="1"/>
  <c r="W31" i="16"/>
  <c r="W31" i="17" s="1"/>
  <c r="X31" i="16"/>
  <c r="X31" i="17" s="1"/>
  <c r="Y31" i="16"/>
  <c r="Y31" i="17" s="1"/>
  <c r="S32" i="16"/>
  <c r="S32" i="17" s="1"/>
  <c r="T32" i="16"/>
  <c r="T32" i="17" s="1"/>
  <c r="U32" i="16"/>
  <c r="U32" i="17" s="1"/>
  <c r="V32" i="16"/>
  <c r="V32" i="17" s="1"/>
  <c r="W32" i="16"/>
  <c r="W32" i="17" s="1"/>
  <c r="X32" i="16"/>
  <c r="X32" i="17" s="1"/>
  <c r="Y32" i="16"/>
  <c r="Y32" i="17" s="1"/>
  <c r="S33" i="16"/>
  <c r="S33" i="17" s="1"/>
  <c r="T33" i="16"/>
  <c r="T33" i="17" s="1"/>
  <c r="U33" i="16"/>
  <c r="U33" i="17" s="1"/>
  <c r="V33" i="16"/>
  <c r="V33" i="17" s="1"/>
  <c r="W33" i="16"/>
  <c r="W33" i="17" s="1"/>
  <c r="X33" i="16"/>
  <c r="X33" i="17" s="1"/>
  <c r="Y33" i="16"/>
  <c r="Y33" i="17" s="1"/>
  <c r="S34" i="16"/>
  <c r="S34" i="17" s="1"/>
  <c r="T34" i="16"/>
  <c r="T34" i="17" s="1"/>
  <c r="U34" i="16"/>
  <c r="U34" i="17" s="1"/>
  <c r="V34" i="16"/>
  <c r="V34" i="17" s="1"/>
  <c r="W34" i="16"/>
  <c r="W34" i="17" s="1"/>
  <c r="X34" i="16"/>
  <c r="X34" i="17" s="1"/>
  <c r="Y34" i="16"/>
  <c r="Y34" i="17" s="1"/>
  <c r="S35" i="16"/>
  <c r="S35" i="17" s="1"/>
  <c r="T35" i="16"/>
  <c r="T35" i="17" s="1"/>
  <c r="U35" i="16"/>
  <c r="U35" i="17" s="1"/>
  <c r="V35" i="16"/>
  <c r="V35" i="17" s="1"/>
  <c r="W35" i="16"/>
  <c r="W35" i="17" s="1"/>
  <c r="X35" i="16"/>
  <c r="X35" i="17" s="1"/>
  <c r="Y35" i="16"/>
  <c r="Y35" i="17" s="1"/>
  <c r="S36" i="16"/>
  <c r="S36" i="17" s="1"/>
  <c r="T36" i="16"/>
  <c r="T36" i="17" s="1"/>
  <c r="U36" i="16"/>
  <c r="U36" i="17" s="1"/>
  <c r="V36" i="16"/>
  <c r="V36" i="17" s="1"/>
  <c r="W36" i="16"/>
  <c r="W36" i="17" s="1"/>
  <c r="X36" i="16"/>
  <c r="X36" i="17" s="1"/>
  <c r="Y36" i="16"/>
  <c r="Y36" i="17" s="1"/>
  <c r="T37" i="16"/>
  <c r="T37" i="17" s="1"/>
  <c r="U37" i="16"/>
  <c r="U37" i="17" s="1"/>
  <c r="V37" i="16"/>
  <c r="V37" i="17" s="1"/>
  <c r="W37" i="16"/>
  <c r="W37" i="17" s="1"/>
  <c r="X37" i="16"/>
  <c r="X37" i="17" s="1"/>
  <c r="Y37" i="16"/>
  <c r="Y37" i="17" s="1"/>
  <c r="T38" i="16"/>
  <c r="T38" i="17" s="1"/>
  <c r="U38" i="16"/>
  <c r="U38" i="17" s="1"/>
  <c r="V38" i="16"/>
  <c r="V38" i="17" s="1"/>
  <c r="W38" i="16"/>
  <c r="W38" i="17" s="1"/>
  <c r="X38" i="16"/>
  <c r="X38" i="17" s="1"/>
  <c r="Y38" i="16"/>
  <c r="Y38" i="17" s="1"/>
  <c r="T39" i="16"/>
  <c r="T39" i="17" s="1"/>
  <c r="U39" i="16"/>
  <c r="U39" i="17" s="1"/>
  <c r="V39" i="16"/>
  <c r="V39" i="17" s="1"/>
  <c r="W39" i="16"/>
  <c r="W39" i="17" s="1"/>
  <c r="X39" i="16"/>
  <c r="X39" i="17" s="1"/>
  <c r="Y39" i="16"/>
  <c r="Y39" i="17" s="1"/>
  <c r="T40" i="16"/>
  <c r="T40" i="17" s="1"/>
  <c r="U40" i="16"/>
  <c r="U40" i="17" s="1"/>
  <c r="V40" i="16"/>
  <c r="V40" i="17" s="1"/>
  <c r="W40" i="16"/>
  <c r="W40" i="17" s="1"/>
  <c r="X40" i="16"/>
  <c r="X40" i="17" s="1"/>
  <c r="Y40" i="16"/>
  <c r="Y40" i="17" s="1"/>
  <c r="S41" i="16"/>
  <c r="S41" i="17" s="1"/>
  <c r="T41" i="16"/>
  <c r="T41" i="17" s="1"/>
  <c r="U41" i="16"/>
  <c r="U41" i="17" s="1"/>
  <c r="V41" i="16"/>
  <c r="V41" i="17" s="1"/>
  <c r="W41" i="16"/>
  <c r="W41" i="17" s="1"/>
  <c r="X41" i="16"/>
  <c r="X41" i="17" s="1"/>
  <c r="Y41" i="16"/>
  <c r="Y41" i="17" s="1"/>
  <c r="S42" i="16"/>
  <c r="S42" i="17" s="1"/>
  <c r="T42" i="16"/>
  <c r="T42" i="17" s="1"/>
  <c r="U42" i="16"/>
  <c r="U42" i="17" s="1"/>
  <c r="V42" i="16"/>
  <c r="V42" i="17" s="1"/>
  <c r="W42" i="16"/>
  <c r="W42" i="17" s="1"/>
  <c r="X42" i="16"/>
  <c r="X42" i="17" s="1"/>
  <c r="Y42" i="16"/>
  <c r="Y42" i="17" s="1"/>
  <c r="S43" i="16"/>
  <c r="S43" i="17" s="1"/>
  <c r="T43" i="16"/>
  <c r="T43" i="17" s="1"/>
  <c r="U43" i="16"/>
  <c r="U43" i="17" s="1"/>
  <c r="V43" i="16"/>
  <c r="V43" i="17" s="1"/>
  <c r="W43" i="16"/>
  <c r="W43" i="17" s="1"/>
  <c r="X43" i="16"/>
  <c r="X43" i="17" s="1"/>
  <c r="Y43" i="16"/>
  <c r="Y43" i="17" s="1"/>
  <c r="S44" i="16"/>
  <c r="S44" i="17" s="1"/>
  <c r="T44" i="16"/>
  <c r="T44" i="17" s="1"/>
  <c r="U44" i="16"/>
  <c r="U44" i="17" s="1"/>
  <c r="V44" i="16"/>
  <c r="V44" i="17" s="1"/>
  <c r="W44" i="16"/>
  <c r="W44" i="17" s="1"/>
  <c r="X44" i="16"/>
  <c r="X44" i="17" s="1"/>
  <c r="Y44" i="16"/>
  <c r="Y44" i="17" s="1"/>
  <c r="S45" i="16"/>
  <c r="S45" i="17" s="1"/>
  <c r="T45" i="16"/>
  <c r="T45" i="17" s="1"/>
  <c r="U45" i="16"/>
  <c r="U45" i="17" s="1"/>
  <c r="V45" i="16"/>
  <c r="V45" i="17" s="1"/>
  <c r="W45" i="16"/>
  <c r="W45" i="17" s="1"/>
  <c r="X45" i="16"/>
  <c r="X45" i="17" s="1"/>
  <c r="Y45" i="16"/>
  <c r="Y45" i="17" s="1"/>
  <c r="S46" i="16"/>
  <c r="S46" i="17" s="1"/>
  <c r="T46" i="16"/>
  <c r="T46" i="17" s="1"/>
  <c r="U46" i="16"/>
  <c r="U46" i="17" s="1"/>
  <c r="V46" i="16"/>
  <c r="V46" i="17" s="1"/>
  <c r="W46" i="16"/>
  <c r="W46" i="17" s="1"/>
  <c r="X46" i="16"/>
  <c r="X46" i="17" s="1"/>
  <c r="Y46" i="16"/>
  <c r="Y46" i="17" s="1"/>
  <c r="S47" i="16"/>
  <c r="S47" i="17" s="1"/>
  <c r="T47" i="16"/>
  <c r="T47" i="17" s="1"/>
  <c r="U47" i="16"/>
  <c r="U47" i="17" s="1"/>
  <c r="V47" i="16"/>
  <c r="V47" i="17" s="1"/>
  <c r="W47" i="16"/>
  <c r="W47" i="17" s="1"/>
  <c r="X47" i="16"/>
  <c r="X47" i="17" s="1"/>
  <c r="Y47" i="16"/>
  <c r="Y47" i="17" s="1"/>
  <c r="S48" i="16"/>
  <c r="S48" i="17" s="1"/>
  <c r="T48" i="16"/>
  <c r="T48" i="17" s="1"/>
  <c r="U48" i="16"/>
  <c r="U48" i="17" s="1"/>
  <c r="V48" i="16"/>
  <c r="V48" i="17" s="1"/>
  <c r="W48" i="16"/>
  <c r="W48" i="17" s="1"/>
  <c r="X48" i="16"/>
  <c r="X48" i="17" s="1"/>
  <c r="Y48" i="16"/>
  <c r="Y48" i="17" s="1"/>
  <c r="S49" i="16"/>
  <c r="S49" i="17" s="1"/>
  <c r="T49" i="16"/>
  <c r="T49" i="17" s="1"/>
  <c r="U49" i="16"/>
  <c r="U49" i="17" s="1"/>
  <c r="V49" i="16"/>
  <c r="V49" i="17" s="1"/>
  <c r="W49" i="16"/>
  <c r="W49" i="17" s="1"/>
  <c r="X49" i="16"/>
  <c r="X49" i="17" s="1"/>
  <c r="Y49" i="16"/>
  <c r="Y49" i="17" s="1"/>
  <c r="S50" i="16"/>
  <c r="S50" i="17" s="1"/>
  <c r="T50" i="16"/>
  <c r="T50" i="17" s="1"/>
  <c r="U50" i="16"/>
  <c r="U50" i="17" s="1"/>
  <c r="V50" i="16"/>
  <c r="V50" i="17" s="1"/>
  <c r="W50" i="16"/>
  <c r="W50" i="17" s="1"/>
  <c r="X50" i="16"/>
  <c r="X50" i="17" s="1"/>
  <c r="Y50" i="16"/>
  <c r="Y50" i="17" s="1"/>
  <c r="S51" i="16"/>
  <c r="S51" i="17" s="1"/>
  <c r="T51" i="16"/>
  <c r="T51" i="17" s="1"/>
  <c r="U51" i="16"/>
  <c r="U51" i="17" s="1"/>
  <c r="V51" i="16"/>
  <c r="V51" i="17" s="1"/>
  <c r="W51" i="16"/>
  <c r="W51" i="17" s="1"/>
  <c r="X51" i="16"/>
  <c r="X51" i="17" s="1"/>
  <c r="Y51" i="16"/>
  <c r="Y51" i="17" s="1"/>
  <c r="S52" i="16"/>
  <c r="S52" i="17" s="1"/>
  <c r="T52" i="16"/>
  <c r="T52" i="17" s="1"/>
  <c r="U52" i="16"/>
  <c r="U52" i="17" s="1"/>
  <c r="V52" i="16"/>
  <c r="V52" i="17" s="1"/>
  <c r="W52" i="16"/>
  <c r="W52" i="17" s="1"/>
  <c r="X52" i="16"/>
  <c r="X52" i="17" s="1"/>
  <c r="Y52" i="16"/>
  <c r="Y52" i="17" s="1"/>
  <c r="S53" i="16"/>
  <c r="S53" i="17" s="1"/>
  <c r="T53" i="16"/>
  <c r="T53" i="17" s="1"/>
  <c r="U53" i="16"/>
  <c r="U53" i="17" s="1"/>
  <c r="V53" i="16"/>
  <c r="V53" i="17" s="1"/>
  <c r="W53" i="16"/>
  <c r="W53" i="17" s="1"/>
  <c r="X53" i="16"/>
  <c r="X53" i="17" s="1"/>
  <c r="Y53" i="16"/>
  <c r="Y53" i="17" s="1"/>
  <c r="S54" i="16"/>
  <c r="S54" i="17" s="1"/>
  <c r="T54" i="16"/>
  <c r="T54" i="17" s="1"/>
  <c r="U54" i="16"/>
  <c r="U54" i="17" s="1"/>
  <c r="V54" i="16"/>
  <c r="V54" i="17" s="1"/>
  <c r="W54" i="16"/>
  <c r="W54" i="17" s="1"/>
  <c r="X54" i="16"/>
  <c r="X54" i="17" s="1"/>
  <c r="Y54" i="16"/>
  <c r="Y54" i="17" s="1"/>
  <c r="S55" i="16"/>
  <c r="S55" i="17" s="1"/>
  <c r="T55" i="16"/>
  <c r="T55" i="17" s="1"/>
  <c r="U55" i="16"/>
  <c r="U55" i="17" s="1"/>
  <c r="V55" i="16"/>
  <c r="V55" i="17" s="1"/>
  <c r="W55" i="16"/>
  <c r="W55" i="17" s="1"/>
  <c r="X55" i="16"/>
  <c r="X55" i="17" s="1"/>
  <c r="Y55" i="16"/>
  <c r="Y55" i="17" s="1"/>
  <c r="S56" i="16"/>
  <c r="S56" i="17" s="1"/>
  <c r="T56" i="16"/>
  <c r="T56" i="17" s="1"/>
  <c r="U56" i="16"/>
  <c r="U56" i="17" s="1"/>
  <c r="V56" i="16"/>
  <c r="V56" i="17" s="1"/>
  <c r="W56" i="16"/>
  <c r="W56" i="17" s="1"/>
  <c r="X56" i="16"/>
  <c r="X56" i="17" s="1"/>
  <c r="Y56" i="16"/>
  <c r="Y56" i="17" s="1"/>
  <c r="S57" i="16"/>
  <c r="S57" i="17" s="1"/>
  <c r="T57" i="16"/>
  <c r="T57" i="17" s="1"/>
  <c r="U57" i="16"/>
  <c r="U57" i="17" s="1"/>
  <c r="V57" i="16"/>
  <c r="V57" i="17" s="1"/>
  <c r="W57" i="16"/>
  <c r="W57" i="17" s="1"/>
  <c r="X57" i="16"/>
  <c r="X57" i="17" s="1"/>
  <c r="Y57" i="16"/>
  <c r="Y57" i="17" s="1"/>
  <c r="S58" i="16"/>
  <c r="S58" i="17" s="1"/>
  <c r="T58" i="16"/>
  <c r="T58" i="17" s="1"/>
  <c r="U58" i="16"/>
  <c r="U58" i="17" s="1"/>
  <c r="V58" i="16"/>
  <c r="V58" i="17" s="1"/>
  <c r="W58" i="16"/>
  <c r="W58" i="17" s="1"/>
  <c r="X58" i="16"/>
  <c r="X58" i="17" s="1"/>
  <c r="Y58" i="16"/>
  <c r="Y58" i="17" s="1"/>
  <c r="S59" i="16"/>
  <c r="S59" i="17" s="1"/>
  <c r="T59" i="16"/>
  <c r="T59" i="17" s="1"/>
  <c r="U59" i="16"/>
  <c r="U59" i="17" s="1"/>
  <c r="V59" i="16"/>
  <c r="V59" i="17" s="1"/>
  <c r="W59" i="16"/>
  <c r="W59" i="17" s="1"/>
  <c r="X59" i="16"/>
  <c r="X59" i="17" s="1"/>
  <c r="Y59" i="16"/>
  <c r="Y59" i="17" s="1"/>
  <c r="S60" i="16"/>
  <c r="S60" i="17" s="1"/>
  <c r="T60" i="16"/>
  <c r="T60" i="17" s="1"/>
  <c r="U60" i="16"/>
  <c r="U60" i="17" s="1"/>
  <c r="V60" i="16"/>
  <c r="V60" i="17" s="1"/>
  <c r="W60" i="16"/>
  <c r="W60" i="17" s="1"/>
  <c r="X60" i="16"/>
  <c r="X60" i="17" s="1"/>
  <c r="Y60" i="16"/>
  <c r="Y60" i="17" s="1"/>
  <c r="T13" i="16"/>
  <c r="T13" i="17" s="1"/>
  <c r="U13" i="16"/>
  <c r="U13" i="17" s="1"/>
  <c r="V13" i="16"/>
  <c r="V13" i="17" s="1"/>
  <c r="W13" i="16"/>
  <c r="W13" i="17" s="1"/>
  <c r="X13" i="16"/>
  <c r="X13" i="17" s="1"/>
  <c r="Y13" i="16"/>
  <c r="Y13" i="17" s="1"/>
  <c r="S13" i="16"/>
  <c r="S13" i="17" s="1"/>
  <c r="S61" i="12"/>
  <c r="AK13" i="17"/>
  <c r="AL13" i="17"/>
  <c r="AK19" i="17"/>
  <c r="AL14" i="17"/>
  <c r="AN14" i="17"/>
  <c r="AO13" i="17"/>
  <c r="AK16" i="17"/>
  <c r="AA15" i="17"/>
  <c r="AE14" i="17"/>
  <c r="AE17" i="17"/>
  <c r="AE15" i="17"/>
  <c r="AN13" i="17"/>
  <c r="AN19" i="17"/>
  <c r="AB19" i="17"/>
  <c r="AJ17" i="17"/>
  <c r="AG14" i="17"/>
  <c r="AE16" i="17"/>
  <c r="AB13" i="17"/>
  <c r="AA19" i="17"/>
  <c r="AM19" i="17"/>
  <c r="AD13" i="17"/>
  <c r="AE13" i="17"/>
  <c r="AN17" i="17"/>
  <c r="AI14" i="17"/>
  <c r="AK15" i="17"/>
  <c r="AF14" i="17"/>
  <c r="AC16" i="17"/>
  <c r="AD14" i="17"/>
  <c r="AL19" i="17"/>
  <c r="AI18" i="17"/>
  <c r="AJ14" i="17"/>
  <c r="AF13" i="17"/>
  <c r="AI17" i="17"/>
  <c r="AO17" i="17"/>
  <c r="AI19" i="17"/>
  <c r="AN15" i="17"/>
  <c r="AF19" i="17"/>
  <c r="AB16" i="17"/>
  <c r="AG16" i="17"/>
  <c r="AE19" i="17"/>
  <c r="AC19" i="17"/>
  <c r="AO19" i="17"/>
  <c r="AF16" i="17"/>
  <c r="AC13" i="17"/>
  <c r="AM18" i="17"/>
  <c r="AK14" i="17"/>
  <c r="AO14" i="17"/>
  <c r="AC15" i="17"/>
  <c r="AA18" i="17"/>
  <c r="AI13" i="17"/>
  <c r="AG17" i="17"/>
  <c r="AN16" i="17"/>
  <c r="AA17" i="17"/>
  <c r="AG15" i="17"/>
  <c r="AO15" i="17"/>
  <c r="AG18" i="17"/>
  <c r="AI16" i="17"/>
  <c r="AD16" i="17"/>
  <c r="AL18" i="17"/>
  <c r="AI15" i="17"/>
  <c r="AL16" i="17"/>
  <c r="AD18" i="17"/>
  <c r="AJ16" i="17"/>
  <c r="AM15" i="17"/>
  <c r="AL17" i="17"/>
  <c r="AC17" i="17"/>
  <c r="AJ13" i="17"/>
  <c r="AD19" i="17"/>
  <c r="AA16" i="17"/>
  <c r="AC14" i="17"/>
  <c r="AJ19" i="17"/>
  <c r="AD17" i="17"/>
  <c r="AG19" i="17"/>
  <c r="AB18" i="17"/>
  <c r="AF18" i="17"/>
  <c r="AM17" i="17"/>
  <c r="AE18" i="17"/>
  <c r="AL15" i="17"/>
  <c r="AK17" i="17"/>
  <c r="AK18" i="17"/>
  <c r="AG13" i="17"/>
  <c r="AO16" i="17"/>
  <c r="AA14" i="17"/>
  <c r="AC18" i="17"/>
  <c r="AA13" i="17"/>
  <c r="AB17" i="17"/>
  <c r="AF17" i="17"/>
  <c r="AJ18" i="17"/>
  <c r="AM13" i="17"/>
  <c r="AM16" i="17"/>
  <c r="AN18" i="17"/>
  <c r="AO18" i="17"/>
  <c r="AD15" i="17"/>
  <c r="AB15" i="17"/>
  <c r="AM14" i="17"/>
  <c r="AF15" i="17"/>
  <c r="AJ15" i="17"/>
  <c r="AB14" i="17"/>
  <c r="AR19" i="17" l="1"/>
  <c r="AQ13" i="17"/>
  <c r="AQ19" i="17"/>
  <c r="AW17" i="17"/>
  <c r="AV16" i="17"/>
  <c r="AU15" i="17"/>
  <c r="AT14" i="17"/>
  <c r="AW13" i="17"/>
  <c r="AW18" i="17"/>
  <c r="AV17" i="17"/>
  <c r="AU16" i="17"/>
  <c r="AT15" i="17"/>
  <c r="AS14" i="17"/>
  <c r="AQ18" i="17"/>
  <c r="AV13" i="17"/>
  <c r="AW19" i="17"/>
  <c r="AV18" i="17"/>
  <c r="AU17" i="17"/>
  <c r="AT16" i="17"/>
  <c r="AS15" i="17"/>
  <c r="AR14" i="17"/>
  <c r="AV15" i="17"/>
  <c r="AU13" i="17"/>
  <c r="AV19" i="17"/>
  <c r="AU18" i="17"/>
  <c r="AT17" i="17"/>
  <c r="AS16" i="17"/>
  <c r="AR15" i="17"/>
  <c r="AQ14" i="17"/>
  <c r="AT13" i="17"/>
  <c r="AU19" i="17"/>
  <c r="AT18" i="17"/>
  <c r="AS17" i="17"/>
  <c r="AR16" i="17"/>
  <c r="AQ15" i="17"/>
  <c r="AW16" i="17"/>
  <c r="AS13" i="17"/>
  <c r="AT19" i="17"/>
  <c r="AS18" i="17"/>
  <c r="AR17" i="17"/>
  <c r="AQ16" i="17"/>
  <c r="AW14" i="17"/>
  <c r="AU14" i="17"/>
  <c r="AR13" i="17"/>
  <c r="AS19" i="17"/>
  <c r="AR18" i="17"/>
  <c r="AQ17" i="17"/>
  <c r="AW15" i="17"/>
  <c r="AV14" i="17"/>
  <c r="C14" i="16"/>
  <c r="D14" i="16"/>
  <c r="E14" i="16"/>
  <c r="F14" i="16"/>
  <c r="G14" i="16"/>
  <c r="H14" i="16"/>
  <c r="I14" i="16"/>
  <c r="C15" i="16"/>
  <c r="D15" i="16"/>
  <c r="E15" i="16"/>
  <c r="F15" i="16"/>
  <c r="G15" i="16"/>
  <c r="H15" i="16"/>
  <c r="I15" i="16"/>
  <c r="C16" i="16"/>
  <c r="D16" i="16"/>
  <c r="E16" i="16"/>
  <c r="F16" i="16"/>
  <c r="G16" i="16"/>
  <c r="H16" i="16"/>
  <c r="I16" i="16"/>
  <c r="C17" i="16"/>
  <c r="D17" i="16"/>
  <c r="E17" i="16"/>
  <c r="F17" i="16"/>
  <c r="G17" i="16"/>
  <c r="H17" i="16"/>
  <c r="I17" i="16"/>
  <c r="C18" i="16"/>
  <c r="D18" i="16"/>
  <c r="E18" i="16"/>
  <c r="F18" i="16"/>
  <c r="G18" i="16"/>
  <c r="H18" i="16"/>
  <c r="I18" i="16"/>
  <c r="C19" i="16"/>
  <c r="D19" i="16"/>
  <c r="E19" i="16"/>
  <c r="F19" i="16"/>
  <c r="G19" i="16"/>
  <c r="H19" i="16"/>
  <c r="I19" i="16"/>
  <c r="C20" i="16"/>
  <c r="D20" i="16"/>
  <c r="E20" i="16"/>
  <c r="F20" i="16"/>
  <c r="G20" i="16"/>
  <c r="H20" i="16"/>
  <c r="I20" i="16"/>
  <c r="C21" i="16"/>
  <c r="D21" i="16"/>
  <c r="E21" i="16"/>
  <c r="F21" i="16"/>
  <c r="G21" i="16"/>
  <c r="H21" i="16"/>
  <c r="I21" i="16"/>
  <c r="C22" i="16"/>
  <c r="D22" i="16"/>
  <c r="E22" i="16"/>
  <c r="F22" i="16"/>
  <c r="G22" i="16"/>
  <c r="H22" i="16"/>
  <c r="I22" i="16"/>
  <c r="C23" i="16"/>
  <c r="D23" i="16"/>
  <c r="E23" i="16"/>
  <c r="F23" i="16"/>
  <c r="G23" i="16"/>
  <c r="H23" i="16"/>
  <c r="I23" i="16"/>
  <c r="C24" i="16"/>
  <c r="D24" i="16"/>
  <c r="E24" i="16"/>
  <c r="F24" i="16"/>
  <c r="G24" i="16"/>
  <c r="H24" i="16"/>
  <c r="I24" i="16"/>
  <c r="C25" i="16"/>
  <c r="D25" i="16"/>
  <c r="E25" i="16"/>
  <c r="F25" i="16"/>
  <c r="G25" i="16"/>
  <c r="H25" i="16"/>
  <c r="I25" i="16"/>
  <c r="C26" i="16"/>
  <c r="D26" i="16"/>
  <c r="E26" i="16"/>
  <c r="F26" i="16"/>
  <c r="G26" i="16"/>
  <c r="H26" i="16"/>
  <c r="I26" i="16"/>
  <c r="C27" i="16"/>
  <c r="D27" i="16"/>
  <c r="E27" i="16"/>
  <c r="F27" i="16"/>
  <c r="G27" i="16"/>
  <c r="H27" i="16"/>
  <c r="I27" i="16"/>
  <c r="C28" i="16"/>
  <c r="D28" i="16"/>
  <c r="E28" i="16"/>
  <c r="F28" i="16"/>
  <c r="G28" i="16"/>
  <c r="H28" i="16"/>
  <c r="I28" i="16"/>
  <c r="C29" i="16"/>
  <c r="D29" i="16"/>
  <c r="E29" i="16"/>
  <c r="F29" i="16"/>
  <c r="G29" i="16"/>
  <c r="H29" i="16"/>
  <c r="I29" i="16"/>
  <c r="C30" i="16"/>
  <c r="D30" i="16"/>
  <c r="E30" i="16"/>
  <c r="F30" i="16"/>
  <c r="G30" i="16"/>
  <c r="H30" i="16"/>
  <c r="I30" i="16"/>
  <c r="C31" i="16"/>
  <c r="D31" i="16"/>
  <c r="E31" i="16"/>
  <c r="F31" i="16"/>
  <c r="G31" i="16"/>
  <c r="H31" i="16"/>
  <c r="I31" i="16"/>
  <c r="C32" i="16"/>
  <c r="D32" i="16"/>
  <c r="E32" i="16"/>
  <c r="F32" i="16"/>
  <c r="G32" i="16"/>
  <c r="H32" i="16"/>
  <c r="I32" i="16"/>
  <c r="C33" i="16"/>
  <c r="D33" i="16"/>
  <c r="E33" i="16"/>
  <c r="F33" i="16"/>
  <c r="G33" i="16"/>
  <c r="H33" i="16"/>
  <c r="I33" i="16"/>
  <c r="C34" i="16"/>
  <c r="D34" i="16"/>
  <c r="E34" i="16"/>
  <c r="F34" i="16"/>
  <c r="G34" i="16"/>
  <c r="H34" i="16"/>
  <c r="I34" i="16"/>
  <c r="C35" i="16"/>
  <c r="D35" i="16"/>
  <c r="E35" i="16"/>
  <c r="F35" i="16"/>
  <c r="G35" i="16"/>
  <c r="H35" i="16"/>
  <c r="I35" i="16"/>
  <c r="C36" i="16"/>
  <c r="D36" i="16"/>
  <c r="E36" i="16"/>
  <c r="F36" i="16"/>
  <c r="G36" i="16"/>
  <c r="H36" i="16"/>
  <c r="I36" i="16"/>
  <c r="C37" i="16"/>
  <c r="D37" i="16"/>
  <c r="E37" i="16"/>
  <c r="F37" i="16"/>
  <c r="G37" i="16"/>
  <c r="H37" i="16"/>
  <c r="I37" i="16"/>
  <c r="C38" i="16"/>
  <c r="D38" i="16"/>
  <c r="E38" i="16"/>
  <c r="F38" i="16"/>
  <c r="G38" i="16"/>
  <c r="H38" i="16"/>
  <c r="I38" i="16"/>
  <c r="C39" i="16"/>
  <c r="D39" i="16"/>
  <c r="E39" i="16"/>
  <c r="F39" i="16"/>
  <c r="G39" i="16"/>
  <c r="H39" i="16"/>
  <c r="I39" i="16"/>
  <c r="C40" i="16"/>
  <c r="D40" i="16"/>
  <c r="E40" i="16"/>
  <c r="F40" i="16"/>
  <c r="G40" i="16"/>
  <c r="H40" i="16"/>
  <c r="I40" i="16"/>
  <c r="C41" i="16"/>
  <c r="D41" i="16"/>
  <c r="E41" i="16"/>
  <c r="F41" i="16"/>
  <c r="G41" i="16"/>
  <c r="H41" i="16"/>
  <c r="I41" i="16"/>
  <c r="C42" i="16"/>
  <c r="D42" i="16"/>
  <c r="E42" i="16"/>
  <c r="F42" i="16"/>
  <c r="G42" i="16"/>
  <c r="H42" i="16"/>
  <c r="I42" i="16"/>
  <c r="C43" i="16"/>
  <c r="D43" i="16"/>
  <c r="E43" i="16"/>
  <c r="F43" i="16"/>
  <c r="G43" i="16"/>
  <c r="H43" i="16"/>
  <c r="I43" i="16"/>
  <c r="C44" i="16"/>
  <c r="D44" i="16"/>
  <c r="E44" i="16"/>
  <c r="F44" i="16"/>
  <c r="G44" i="16"/>
  <c r="H44" i="16"/>
  <c r="I44" i="16"/>
  <c r="C45" i="16"/>
  <c r="D45" i="16"/>
  <c r="E45" i="16"/>
  <c r="F45" i="16"/>
  <c r="G45" i="16"/>
  <c r="H45" i="16"/>
  <c r="I45" i="16"/>
  <c r="C46" i="16"/>
  <c r="D46" i="16"/>
  <c r="E46" i="16"/>
  <c r="F46" i="16"/>
  <c r="G46" i="16"/>
  <c r="H46" i="16"/>
  <c r="I46" i="16"/>
  <c r="C47" i="16"/>
  <c r="D47" i="16"/>
  <c r="E47" i="16"/>
  <c r="F47" i="16"/>
  <c r="G47" i="16"/>
  <c r="H47" i="16"/>
  <c r="I47" i="16"/>
  <c r="C48" i="16"/>
  <c r="D48" i="16"/>
  <c r="E48" i="16"/>
  <c r="F48" i="16"/>
  <c r="G48" i="16"/>
  <c r="H48" i="16"/>
  <c r="I48" i="16"/>
  <c r="C49" i="16"/>
  <c r="D49" i="16"/>
  <c r="E49" i="16"/>
  <c r="F49" i="16"/>
  <c r="G49" i="16"/>
  <c r="H49" i="16"/>
  <c r="I49" i="16"/>
  <c r="C50" i="16"/>
  <c r="D50" i="16"/>
  <c r="E50" i="16"/>
  <c r="F50" i="16"/>
  <c r="G50" i="16"/>
  <c r="H50" i="16"/>
  <c r="I50" i="16"/>
  <c r="C51" i="16"/>
  <c r="D51" i="16"/>
  <c r="E51" i="16"/>
  <c r="F51" i="16"/>
  <c r="G51" i="16"/>
  <c r="H51" i="16"/>
  <c r="I51" i="16"/>
  <c r="C52" i="16"/>
  <c r="D52" i="16"/>
  <c r="E52" i="16"/>
  <c r="F52" i="16"/>
  <c r="G52" i="16"/>
  <c r="H52" i="16"/>
  <c r="I52" i="16"/>
  <c r="C53" i="16"/>
  <c r="D53" i="16"/>
  <c r="E53" i="16"/>
  <c r="F53" i="16"/>
  <c r="G53" i="16"/>
  <c r="H53" i="16"/>
  <c r="I53" i="16"/>
  <c r="C54" i="16"/>
  <c r="D54" i="16"/>
  <c r="E54" i="16"/>
  <c r="F54" i="16"/>
  <c r="G54" i="16"/>
  <c r="H54" i="16"/>
  <c r="I54" i="16"/>
  <c r="C55" i="16"/>
  <c r="D55" i="16"/>
  <c r="E55" i="16"/>
  <c r="F55" i="16"/>
  <c r="G55" i="16"/>
  <c r="H55" i="16"/>
  <c r="I55" i="16"/>
  <c r="C56" i="16"/>
  <c r="D56" i="16"/>
  <c r="E56" i="16"/>
  <c r="F56" i="16"/>
  <c r="G56" i="16"/>
  <c r="H56" i="16"/>
  <c r="I56" i="16"/>
  <c r="C57" i="16"/>
  <c r="D57" i="16"/>
  <c r="E57" i="16"/>
  <c r="F57" i="16"/>
  <c r="G57" i="16"/>
  <c r="H57" i="16"/>
  <c r="I57" i="16"/>
  <c r="C58" i="16"/>
  <c r="D58" i="16"/>
  <c r="E58" i="16"/>
  <c r="F58" i="16"/>
  <c r="G58" i="16"/>
  <c r="H58" i="16"/>
  <c r="I58" i="16"/>
  <c r="C59" i="16"/>
  <c r="D59" i="16"/>
  <c r="E59" i="16"/>
  <c r="F59" i="16"/>
  <c r="G59" i="16"/>
  <c r="H59" i="16"/>
  <c r="I59" i="16"/>
  <c r="C60" i="16"/>
  <c r="D60" i="16"/>
  <c r="E60" i="16"/>
  <c r="F60" i="16"/>
  <c r="G60" i="16"/>
  <c r="H60" i="16"/>
  <c r="I60" i="16"/>
  <c r="D13" i="16"/>
  <c r="E13" i="16"/>
  <c r="F13" i="16"/>
  <c r="G13" i="16"/>
  <c r="H13" i="16"/>
  <c r="I13" i="16"/>
  <c r="C13" i="16"/>
  <c r="AF15" i="9"/>
  <c r="AF16" i="9"/>
  <c r="AF13" i="9"/>
  <c r="AA17" i="9"/>
  <c r="AB18" i="9"/>
  <c r="AB17" i="9"/>
  <c r="AF19" i="9"/>
  <c r="AE19" i="9"/>
  <c r="AD13" i="9"/>
  <c r="AC18" i="9"/>
  <c r="AC17" i="9"/>
  <c r="AD16" i="9"/>
  <c r="AB19" i="9"/>
  <c r="AF18" i="9"/>
  <c r="K13" i="8"/>
  <c r="AF14" i="9"/>
  <c r="AG13" i="9"/>
  <c r="AC14" i="9"/>
  <c r="AF17" i="9"/>
  <c r="AE18" i="9"/>
  <c r="AD18" i="9"/>
  <c r="AA16" i="9"/>
  <c r="L13" i="8"/>
  <c r="AE15" i="9"/>
  <c r="AG17" i="9"/>
  <c r="AG15" i="9"/>
  <c r="AG16" i="9"/>
  <c r="AD19" i="9"/>
  <c r="AG14" i="9"/>
  <c r="AE14" i="9"/>
  <c r="AC15" i="9"/>
  <c r="AB14" i="9"/>
  <c r="AE13" i="9"/>
  <c r="AB15" i="9"/>
  <c r="AA19" i="9"/>
  <c r="AC16" i="9"/>
  <c r="AD14" i="9"/>
  <c r="AD17" i="9"/>
  <c r="AG18" i="9"/>
  <c r="AA14" i="9"/>
  <c r="AD15" i="9"/>
  <c r="AE16" i="9"/>
  <c r="AA15" i="9"/>
  <c r="AB13" i="9"/>
  <c r="AG19" i="9"/>
  <c r="AB16" i="9"/>
  <c r="AC13" i="9"/>
  <c r="AA18" i="9"/>
  <c r="AC19" i="9"/>
  <c r="AE17" i="9"/>
  <c r="AI13" i="8" l="1"/>
  <c r="AS17" i="9"/>
  <c r="AK17" i="9"/>
  <c r="AW16" i="9"/>
  <c r="AO16" i="9"/>
  <c r="AS18" i="9"/>
  <c r="AK18" i="9"/>
  <c r="AT19" i="9"/>
  <c r="AL19" i="9"/>
  <c r="AL13" i="9"/>
  <c r="AT13" i="9"/>
  <c r="AU13" i="9"/>
  <c r="AM13" i="9"/>
  <c r="AS15" i="9"/>
  <c r="AK15" i="9"/>
  <c r="AR16" i="9"/>
  <c r="AJ16" i="9"/>
  <c r="AT15" i="9"/>
  <c r="AL15" i="9"/>
  <c r="AS19" i="9"/>
  <c r="AK19" i="9"/>
  <c r="AN17" i="9"/>
  <c r="AV17" i="9"/>
  <c r="AN15" i="9"/>
  <c r="AV15" i="9"/>
  <c r="AR19" i="9"/>
  <c r="AJ19" i="9"/>
  <c r="AN16" i="9"/>
  <c r="AV16" i="9"/>
  <c r="AW15" i="9"/>
  <c r="AO15" i="9"/>
  <c r="AS16" i="9"/>
  <c r="AK16" i="9"/>
  <c r="AM17" i="9"/>
  <c r="AU17" i="9"/>
  <c r="AQ18" i="9"/>
  <c r="AI18" i="9"/>
  <c r="AS13" i="9"/>
  <c r="AK13" i="9"/>
  <c r="AS14" i="9"/>
  <c r="AK14" i="9"/>
  <c r="AJ14" i="9"/>
  <c r="AR14" i="9"/>
  <c r="AM15" i="9"/>
  <c r="AU15" i="9"/>
  <c r="AM16" i="9"/>
  <c r="AU16" i="9"/>
  <c r="AR18" i="9"/>
  <c r="AJ18" i="9"/>
  <c r="AW13" i="9"/>
  <c r="AO13" i="9"/>
  <c r="AO18" i="9"/>
  <c r="AW18" i="9"/>
  <c r="AJ13" i="9"/>
  <c r="AR13" i="9"/>
  <c r="AO19" i="9"/>
  <c r="AW19" i="9"/>
  <c r="AQ17" i="9"/>
  <c r="AI17" i="9"/>
  <c r="AR17" i="9"/>
  <c r="AJ17" i="9"/>
  <c r="AV14" i="9"/>
  <c r="AN14" i="9"/>
  <c r="AU18" i="9"/>
  <c r="AM18" i="9"/>
  <c r="AM14" i="9"/>
  <c r="AU14" i="9"/>
  <c r="AT17" i="9"/>
  <c r="AL17" i="9"/>
  <c r="AT14" i="9"/>
  <c r="AL14" i="9"/>
  <c r="AQ19" i="9"/>
  <c r="AI19" i="9"/>
  <c r="AW14" i="9"/>
  <c r="AO14" i="9"/>
  <c r="AT16" i="9"/>
  <c r="AL16" i="9"/>
  <c r="AQ14" i="9"/>
  <c r="AI14" i="9"/>
  <c r="AQ16" i="9"/>
  <c r="AI16" i="9"/>
  <c r="AQ15" i="9"/>
  <c r="AI15" i="9"/>
  <c r="AU19" i="9"/>
  <c r="AM19" i="9"/>
  <c r="AT18" i="9"/>
  <c r="AL18" i="9"/>
  <c r="AW17" i="9"/>
  <c r="AO17" i="9"/>
  <c r="AV19" i="9"/>
  <c r="AN19" i="9"/>
  <c r="AN18" i="9"/>
  <c r="AV18" i="9"/>
  <c r="AR15" i="9"/>
  <c r="AJ15" i="9"/>
  <c r="AV13" i="9"/>
  <c r="AN13" i="9"/>
  <c r="AQ13" i="8"/>
  <c r="AR13" i="8"/>
  <c r="AJ13" i="8"/>
  <c r="A27" i="12"/>
  <c r="A28" i="12"/>
  <c r="C14" i="13" l="1"/>
  <c r="D14" i="13"/>
  <c r="E14" i="13"/>
  <c r="F14" i="13"/>
  <c r="G14" i="13"/>
  <c r="H14" i="13"/>
  <c r="I14" i="13"/>
  <c r="C15" i="13"/>
  <c r="D15" i="13"/>
  <c r="E15" i="13"/>
  <c r="F15" i="13"/>
  <c r="G15" i="13"/>
  <c r="H15" i="13"/>
  <c r="I15" i="13"/>
  <c r="C16" i="13"/>
  <c r="D16" i="13"/>
  <c r="E16" i="13"/>
  <c r="F16" i="13"/>
  <c r="G16" i="13"/>
  <c r="H16" i="13"/>
  <c r="I16" i="13"/>
  <c r="C17" i="13"/>
  <c r="D17" i="13"/>
  <c r="E17" i="13"/>
  <c r="F17" i="13"/>
  <c r="G17" i="13"/>
  <c r="H17" i="13"/>
  <c r="I17" i="13"/>
  <c r="C18" i="13"/>
  <c r="D18" i="13"/>
  <c r="E18" i="13"/>
  <c r="F18" i="13"/>
  <c r="G18" i="13"/>
  <c r="H18" i="13"/>
  <c r="I18" i="13"/>
  <c r="C19" i="13"/>
  <c r="D19" i="13"/>
  <c r="E19" i="13"/>
  <c r="F19" i="13"/>
  <c r="G19" i="13"/>
  <c r="H19" i="13"/>
  <c r="I19" i="13"/>
  <c r="C20" i="13"/>
  <c r="D20" i="13"/>
  <c r="E20" i="13"/>
  <c r="F20" i="13"/>
  <c r="G20" i="13"/>
  <c r="H20" i="13"/>
  <c r="I20" i="13"/>
  <c r="C21" i="13"/>
  <c r="D21" i="13"/>
  <c r="E21" i="13"/>
  <c r="F21" i="13"/>
  <c r="G21" i="13"/>
  <c r="H21" i="13"/>
  <c r="I21" i="13"/>
  <c r="C22" i="13"/>
  <c r="D22" i="13"/>
  <c r="E22" i="13"/>
  <c r="F22" i="13"/>
  <c r="G22" i="13"/>
  <c r="H22" i="13"/>
  <c r="I22" i="13"/>
  <c r="C23" i="13"/>
  <c r="D23" i="13"/>
  <c r="E23" i="13"/>
  <c r="F23" i="13"/>
  <c r="G23" i="13"/>
  <c r="H23" i="13"/>
  <c r="I23" i="13"/>
  <c r="C24" i="13"/>
  <c r="D24" i="13"/>
  <c r="E24" i="13"/>
  <c r="F24" i="13"/>
  <c r="G24" i="13"/>
  <c r="H24" i="13"/>
  <c r="I24" i="13"/>
  <c r="C25" i="13"/>
  <c r="D25" i="13"/>
  <c r="E25" i="13"/>
  <c r="F25" i="13"/>
  <c r="G25" i="13"/>
  <c r="H25" i="13"/>
  <c r="I25" i="13"/>
  <c r="C26" i="13"/>
  <c r="D26" i="13"/>
  <c r="E26" i="13"/>
  <c r="F26" i="13"/>
  <c r="G26" i="13"/>
  <c r="H26" i="13"/>
  <c r="I26" i="13"/>
  <c r="C27" i="13"/>
  <c r="D27" i="13"/>
  <c r="E27" i="13"/>
  <c r="F27" i="13"/>
  <c r="G27" i="13"/>
  <c r="H27" i="13"/>
  <c r="I27" i="13"/>
  <c r="C28" i="13"/>
  <c r="D28" i="13"/>
  <c r="E28" i="13"/>
  <c r="F28" i="13"/>
  <c r="G28" i="13"/>
  <c r="H28" i="13"/>
  <c r="I28" i="13"/>
  <c r="C29" i="13"/>
  <c r="D29" i="13"/>
  <c r="E29" i="13"/>
  <c r="F29" i="13"/>
  <c r="G29" i="13"/>
  <c r="H29" i="13"/>
  <c r="I29" i="13"/>
  <c r="C30" i="13"/>
  <c r="D30" i="13"/>
  <c r="E30" i="13"/>
  <c r="F30" i="13"/>
  <c r="G30" i="13"/>
  <c r="H30" i="13"/>
  <c r="I30" i="13"/>
  <c r="C31" i="13"/>
  <c r="D31" i="13"/>
  <c r="E31" i="13"/>
  <c r="F31" i="13"/>
  <c r="G31" i="13"/>
  <c r="H31" i="13"/>
  <c r="I31" i="13"/>
  <c r="C32" i="13"/>
  <c r="D32" i="13"/>
  <c r="E32" i="13"/>
  <c r="F32" i="13"/>
  <c r="G32" i="13"/>
  <c r="H32" i="13"/>
  <c r="I32" i="13"/>
  <c r="C33" i="13"/>
  <c r="D33" i="13"/>
  <c r="E33" i="13"/>
  <c r="F33" i="13"/>
  <c r="G33" i="13"/>
  <c r="H33" i="13"/>
  <c r="I33" i="13"/>
  <c r="C34" i="13"/>
  <c r="D34" i="13"/>
  <c r="E34" i="13"/>
  <c r="F34" i="13"/>
  <c r="G34" i="13"/>
  <c r="H34" i="13"/>
  <c r="I34" i="13"/>
  <c r="C35" i="13"/>
  <c r="D35" i="13"/>
  <c r="E35" i="13"/>
  <c r="F35" i="13"/>
  <c r="G35" i="13"/>
  <c r="H35" i="13"/>
  <c r="I35" i="13"/>
  <c r="C36" i="13"/>
  <c r="D36" i="13"/>
  <c r="E36" i="13"/>
  <c r="F36" i="13"/>
  <c r="G36" i="13"/>
  <c r="H36" i="13"/>
  <c r="I36" i="13"/>
  <c r="C37" i="13"/>
  <c r="D37" i="13"/>
  <c r="E37" i="13"/>
  <c r="F37" i="13"/>
  <c r="G37" i="13"/>
  <c r="H37" i="13"/>
  <c r="I37" i="13"/>
  <c r="C38" i="13"/>
  <c r="D38" i="13"/>
  <c r="E38" i="13"/>
  <c r="F38" i="13"/>
  <c r="G38" i="13"/>
  <c r="H38" i="13"/>
  <c r="I38" i="13"/>
  <c r="C39" i="13"/>
  <c r="D39" i="13"/>
  <c r="E39" i="13"/>
  <c r="F39" i="13"/>
  <c r="G39" i="13"/>
  <c r="H39" i="13"/>
  <c r="I39" i="13"/>
  <c r="C40" i="13"/>
  <c r="D40" i="13"/>
  <c r="E40" i="13"/>
  <c r="F40" i="13"/>
  <c r="G40" i="13"/>
  <c r="H40" i="13"/>
  <c r="I40" i="13"/>
  <c r="C41" i="13"/>
  <c r="D41" i="13"/>
  <c r="E41" i="13"/>
  <c r="F41" i="13"/>
  <c r="G41" i="13"/>
  <c r="H41" i="13"/>
  <c r="I41" i="13"/>
  <c r="C42" i="13"/>
  <c r="D42" i="13"/>
  <c r="E42" i="13"/>
  <c r="F42" i="13"/>
  <c r="G42" i="13"/>
  <c r="H42" i="13"/>
  <c r="I42" i="13"/>
  <c r="C43" i="13"/>
  <c r="D43" i="13"/>
  <c r="E43" i="13"/>
  <c r="F43" i="13"/>
  <c r="G43" i="13"/>
  <c r="H43" i="13"/>
  <c r="I43" i="13"/>
  <c r="C44" i="13"/>
  <c r="D44" i="13"/>
  <c r="E44" i="13"/>
  <c r="F44" i="13"/>
  <c r="G44" i="13"/>
  <c r="H44" i="13"/>
  <c r="I44" i="13"/>
  <c r="C45" i="13"/>
  <c r="D45" i="13"/>
  <c r="E45" i="13"/>
  <c r="F45" i="13"/>
  <c r="G45" i="13"/>
  <c r="H45" i="13"/>
  <c r="I45" i="13"/>
  <c r="C46" i="13"/>
  <c r="D46" i="13"/>
  <c r="E46" i="13"/>
  <c r="F46" i="13"/>
  <c r="G46" i="13"/>
  <c r="H46" i="13"/>
  <c r="I46" i="13"/>
  <c r="C47" i="13"/>
  <c r="D47" i="13"/>
  <c r="E47" i="13"/>
  <c r="F47" i="13"/>
  <c r="G47" i="13"/>
  <c r="H47" i="13"/>
  <c r="I47" i="13"/>
  <c r="C48" i="13"/>
  <c r="D48" i="13"/>
  <c r="E48" i="13"/>
  <c r="F48" i="13"/>
  <c r="G48" i="13"/>
  <c r="H48" i="13"/>
  <c r="I48" i="13"/>
  <c r="C49" i="13"/>
  <c r="D49" i="13"/>
  <c r="E49" i="13"/>
  <c r="F49" i="13"/>
  <c r="G49" i="13"/>
  <c r="H49" i="13"/>
  <c r="I49" i="13"/>
  <c r="C50" i="13"/>
  <c r="D50" i="13"/>
  <c r="E50" i="13"/>
  <c r="F50" i="13"/>
  <c r="G50" i="13"/>
  <c r="H50" i="13"/>
  <c r="I50" i="13"/>
  <c r="C51" i="13"/>
  <c r="D51" i="13"/>
  <c r="E51" i="13"/>
  <c r="F51" i="13"/>
  <c r="G51" i="13"/>
  <c r="H51" i="13"/>
  <c r="I51" i="13"/>
  <c r="C52" i="13"/>
  <c r="D52" i="13"/>
  <c r="E52" i="13"/>
  <c r="F52" i="13"/>
  <c r="G52" i="13"/>
  <c r="H52" i="13"/>
  <c r="I52" i="13"/>
  <c r="C53" i="13"/>
  <c r="D53" i="13"/>
  <c r="E53" i="13"/>
  <c r="F53" i="13"/>
  <c r="G53" i="13"/>
  <c r="H53" i="13"/>
  <c r="I53" i="13"/>
  <c r="C54" i="13"/>
  <c r="D54" i="13"/>
  <c r="E54" i="13"/>
  <c r="F54" i="13"/>
  <c r="G54" i="13"/>
  <c r="H54" i="13"/>
  <c r="I54" i="13"/>
  <c r="C55" i="13"/>
  <c r="D55" i="13"/>
  <c r="E55" i="13"/>
  <c r="F55" i="13"/>
  <c r="G55" i="13"/>
  <c r="H55" i="13"/>
  <c r="I55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8" i="13"/>
  <c r="D58" i="13"/>
  <c r="E58" i="13"/>
  <c r="F58" i="13"/>
  <c r="G58" i="13"/>
  <c r="H58" i="13"/>
  <c r="I58" i="13"/>
  <c r="C59" i="13"/>
  <c r="D59" i="13"/>
  <c r="E59" i="13"/>
  <c r="F59" i="13"/>
  <c r="G59" i="13"/>
  <c r="H59" i="13"/>
  <c r="I59" i="13"/>
  <c r="C60" i="13"/>
  <c r="D60" i="13"/>
  <c r="E60" i="13"/>
  <c r="F60" i="13"/>
  <c r="G60" i="13"/>
  <c r="H60" i="13"/>
  <c r="I60" i="13"/>
  <c r="D13" i="13"/>
  <c r="E13" i="13"/>
  <c r="F13" i="13"/>
  <c r="G13" i="13"/>
  <c r="H13" i="13"/>
  <c r="I13" i="13"/>
  <c r="C13" i="13"/>
  <c r="C61" i="13" l="1"/>
  <c r="A14" i="16" l="1"/>
  <c r="A29" i="16"/>
  <c r="Y61" i="17"/>
  <c r="X61" i="17"/>
  <c r="W61" i="17"/>
  <c r="V61" i="17"/>
  <c r="U61" i="17"/>
  <c r="T61" i="17"/>
  <c r="A34" i="17"/>
  <c r="B14" i="17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s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Y61" i="16"/>
  <c r="X61" i="16"/>
  <c r="W61" i="16"/>
  <c r="V61" i="16"/>
  <c r="U61" i="16"/>
  <c r="T6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A45" i="16" l="1"/>
  <c r="A43" i="16"/>
  <c r="A38" i="16"/>
  <c r="A22" i="16"/>
  <c r="A27" i="16"/>
  <c r="A44" i="16"/>
  <c r="A42" i="17"/>
  <c r="A18" i="17"/>
  <c r="A54" i="16"/>
  <c r="A46" i="16"/>
  <c r="A37" i="16"/>
  <c r="A35" i="16"/>
  <c r="A21" i="16"/>
  <c r="A19" i="16"/>
  <c r="G61" i="16"/>
  <c r="A60" i="16"/>
  <c r="A52" i="16"/>
  <c r="A50" i="17"/>
  <c r="A26" i="17"/>
  <c r="A55" i="16"/>
  <c r="A47" i="16"/>
  <c r="A39" i="16"/>
  <c r="A31" i="16"/>
  <c r="A30" i="16"/>
  <c r="A23" i="16"/>
  <c r="A15" i="16"/>
  <c r="A54" i="17"/>
  <c r="A46" i="17"/>
  <c r="A59" i="17"/>
  <c r="A58" i="17"/>
  <c r="A55" i="17"/>
  <c r="A51" i="17"/>
  <c r="A47" i="17"/>
  <c r="A43" i="17"/>
  <c r="A39" i="17"/>
  <c r="A35" i="17"/>
  <c r="A31" i="17"/>
  <c r="A27" i="17"/>
  <c r="A23" i="17"/>
  <c r="H61" i="17"/>
  <c r="G61" i="17"/>
  <c r="F61" i="17"/>
  <c r="A17" i="17"/>
  <c r="A15" i="17"/>
  <c r="A59" i="16"/>
  <c r="A58" i="16"/>
  <c r="A57" i="16"/>
  <c r="A56" i="16"/>
  <c r="A53" i="16"/>
  <c r="A51" i="16"/>
  <c r="A50" i="16"/>
  <c r="E61" i="16"/>
  <c r="A48" i="16"/>
  <c r="A42" i="16"/>
  <c r="A41" i="16"/>
  <c r="A40" i="16"/>
  <c r="A34" i="16"/>
  <c r="A33" i="16"/>
  <c r="A32" i="16"/>
  <c r="A28" i="16"/>
  <c r="A26" i="16"/>
  <c r="A25" i="16"/>
  <c r="A24" i="16"/>
  <c r="I61" i="16"/>
  <c r="A20" i="16"/>
  <c r="F61" i="16"/>
  <c r="A17" i="16"/>
  <c r="A16" i="16"/>
  <c r="A57" i="17"/>
  <c r="A56" i="17"/>
  <c r="A53" i="17"/>
  <c r="A49" i="17"/>
  <c r="A48" i="17"/>
  <c r="A45" i="17"/>
  <c r="A41" i="17"/>
  <c r="A40" i="17"/>
  <c r="A38" i="17"/>
  <c r="A37" i="17"/>
  <c r="A36" i="17"/>
  <c r="A33" i="17"/>
  <c r="A32" i="17"/>
  <c r="A30" i="17"/>
  <c r="A29" i="17"/>
  <c r="A28" i="17"/>
  <c r="A25" i="17"/>
  <c r="A24" i="17"/>
  <c r="A22" i="17"/>
  <c r="A21" i="17"/>
  <c r="A20" i="17"/>
  <c r="A16" i="17"/>
  <c r="I61" i="17"/>
  <c r="A60" i="17"/>
  <c r="A52" i="17"/>
  <c r="A44" i="17"/>
  <c r="A36" i="16"/>
  <c r="H61" i="16"/>
  <c r="A49" i="16"/>
  <c r="A18" i="16"/>
  <c r="D61" i="16"/>
  <c r="A13" i="16"/>
  <c r="C61" i="16"/>
  <c r="A19" i="17"/>
  <c r="A14" i="17"/>
  <c r="E61" i="17"/>
  <c r="D61" i="17"/>
  <c r="A13" i="17"/>
  <c r="C61" i="17"/>
  <c r="B61" i="16" l="1"/>
  <c r="C63" i="16" s="1"/>
  <c r="B61" i="17"/>
  <c r="I63" i="17" s="1"/>
  <c r="Y61" i="12"/>
  <c r="X61" i="12"/>
  <c r="W61" i="12"/>
  <c r="V61" i="12"/>
  <c r="U61" i="12"/>
  <c r="T61" i="12"/>
  <c r="P2" i="12"/>
  <c r="O2" i="12"/>
  <c r="N2" i="12"/>
  <c r="L2" i="12"/>
  <c r="Y61" i="11"/>
  <c r="X61" i="11"/>
  <c r="W61" i="11"/>
  <c r="V61" i="11"/>
  <c r="U61" i="11"/>
  <c r="T61" i="11"/>
  <c r="S61" i="11"/>
  <c r="Q2" i="11"/>
  <c r="O2" i="11"/>
  <c r="N2" i="11"/>
  <c r="M2" i="11"/>
  <c r="L2" i="11"/>
  <c r="Q2" i="10"/>
  <c r="O2" i="10"/>
  <c r="N2" i="10"/>
  <c r="M2" i="10"/>
  <c r="L2" i="10"/>
  <c r="Y61" i="9"/>
  <c r="X61" i="9"/>
  <c r="W61" i="9"/>
  <c r="V61" i="9"/>
  <c r="U61" i="9"/>
  <c r="T61" i="9"/>
  <c r="Q2" i="9"/>
  <c r="P2" i="9"/>
  <c r="O2" i="9"/>
  <c r="M2" i="9"/>
  <c r="L2" i="9"/>
  <c r="Y61" i="8"/>
  <c r="X61" i="8"/>
  <c r="W61" i="8"/>
  <c r="V61" i="8"/>
  <c r="U61" i="8"/>
  <c r="T61" i="8"/>
  <c r="S61" i="8"/>
  <c r="Q2" i="8"/>
  <c r="P2" i="8"/>
  <c r="O2" i="8"/>
  <c r="N2" i="8"/>
  <c r="M2" i="8"/>
  <c r="K2" i="8"/>
  <c r="Y61" i="13"/>
  <c r="X61" i="13"/>
  <c r="W61" i="13"/>
  <c r="V61" i="13"/>
  <c r="U61" i="13"/>
  <c r="T61" i="13"/>
  <c r="S61" i="13"/>
  <c r="I61" i="13"/>
  <c r="H61" i="13"/>
  <c r="G61" i="13"/>
  <c r="F61" i="13"/>
  <c r="E61" i="13"/>
  <c r="D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B14" i="13"/>
  <c r="A14" i="13"/>
  <c r="A13" i="13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B14" i="12"/>
  <c r="A14" i="12"/>
  <c r="A13" i="12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B14" i="11"/>
  <c r="A14" i="11"/>
  <c r="A13" i="11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B14" i="10"/>
  <c r="A14" i="10"/>
  <c r="A13" i="10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B14" i="9"/>
  <c r="A14" i="9"/>
  <c r="A13" i="9"/>
  <c r="A13" i="8"/>
  <c r="B14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B15" i="12" l="1"/>
  <c r="AP14" i="12"/>
  <c r="B15" i="8"/>
  <c r="AP14" i="8"/>
  <c r="B15" i="9"/>
  <c r="AP14" i="9"/>
  <c r="B15" i="11"/>
  <c r="AP14" i="11"/>
  <c r="B15" i="13"/>
  <c r="AP14" i="13"/>
  <c r="B15" i="10"/>
  <c r="AP14" i="10"/>
  <c r="A62" i="8"/>
  <c r="S65" i="8" s="1"/>
  <c r="L2" i="13"/>
  <c r="L10" i="13" s="1"/>
  <c r="L2" i="8"/>
  <c r="B61" i="8"/>
  <c r="E63" i="8" s="1"/>
  <c r="Q2" i="13"/>
  <c r="Q10" i="13" s="1"/>
  <c r="M2" i="13"/>
  <c r="M10" i="13" s="1"/>
  <c r="O2" i="13"/>
  <c r="O10" i="13" s="1"/>
  <c r="I63" i="16"/>
  <c r="F63" i="16"/>
  <c r="M2" i="16"/>
  <c r="M10" i="16" s="1"/>
  <c r="O2" i="16"/>
  <c r="O10" i="16" s="1"/>
  <c r="F63" i="17"/>
  <c r="H63" i="16"/>
  <c r="E63" i="17"/>
  <c r="H63" i="17"/>
  <c r="D63" i="17"/>
  <c r="G63" i="17"/>
  <c r="C63" i="17"/>
  <c r="E63" i="16"/>
  <c r="Q2" i="16"/>
  <c r="Q10" i="16" s="1"/>
  <c r="B61" i="10"/>
  <c r="H63" i="10" s="1"/>
  <c r="K2" i="10"/>
  <c r="Q2" i="12"/>
  <c r="B61" i="9"/>
  <c r="G63" i="9" s="1"/>
  <c r="K2" i="9"/>
  <c r="P2" i="11"/>
  <c r="L2" i="16"/>
  <c r="L10" i="16" s="1"/>
  <c r="B61" i="12"/>
  <c r="I63" i="12" s="1"/>
  <c r="K2" i="12"/>
  <c r="B61" i="13"/>
  <c r="F63" i="13" s="1"/>
  <c r="P2" i="10"/>
  <c r="P2" i="13" s="1"/>
  <c r="P10" i="13" s="1"/>
  <c r="G63" i="16"/>
  <c r="N2" i="9"/>
  <c r="N2" i="13" s="1"/>
  <c r="N10" i="13" s="1"/>
  <c r="B61" i="11"/>
  <c r="G63" i="11" s="1"/>
  <c r="K2" i="11"/>
  <c r="M2" i="12"/>
  <c r="D63" i="16"/>
  <c r="A62" i="12"/>
  <c r="S65" i="12" s="1"/>
  <c r="A62" i="13"/>
  <c r="T63" i="13" s="1"/>
  <c r="A62" i="11"/>
  <c r="S65" i="11" s="1"/>
  <c r="A62" i="10"/>
  <c r="S65" i="10" s="1"/>
  <c r="L31" i="13"/>
  <c r="B16" i="11" l="1"/>
  <c r="AP15" i="11"/>
  <c r="B16" i="9"/>
  <c r="AP15" i="9"/>
  <c r="B16" i="10"/>
  <c r="AP15" i="10"/>
  <c r="B16" i="8"/>
  <c r="AP15" i="8"/>
  <c r="B16" i="13"/>
  <c r="AP15" i="13"/>
  <c r="B16" i="12"/>
  <c r="AP15" i="12"/>
  <c r="AJ31" i="13"/>
  <c r="AR31" i="13"/>
  <c r="K2" i="16"/>
  <c r="K10" i="16" s="1"/>
  <c r="C63" i="11"/>
  <c r="C63" i="10"/>
  <c r="K2" i="13"/>
  <c r="K10" i="13" s="1"/>
  <c r="I63" i="10"/>
  <c r="D63" i="10"/>
  <c r="U63" i="11"/>
  <c r="V63" i="11"/>
  <c r="W63" i="11"/>
  <c r="Y63" i="11"/>
  <c r="S63" i="11"/>
  <c r="E63" i="11"/>
  <c r="C63" i="12"/>
  <c r="D63" i="8"/>
  <c r="I63" i="8"/>
  <c r="X63" i="11"/>
  <c r="U63" i="8"/>
  <c r="G63" i="12"/>
  <c r="E63" i="12"/>
  <c r="F63" i="12"/>
  <c r="D63" i="12"/>
  <c r="H63" i="12"/>
  <c r="I63" i="11"/>
  <c r="H63" i="11"/>
  <c r="D63" i="11"/>
  <c r="F63" i="11"/>
  <c r="P2" i="16"/>
  <c r="P10" i="16" s="1"/>
  <c r="E63" i="10"/>
  <c r="F63" i="10"/>
  <c r="G63" i="10"/>
  <c r="N2" i="16"/>
  <c r="N10" i="16" s="1"/>
  <c r="C63" i="9"/>
  <c r="E63" i="13"/>
  <c r="H63" i="9"/>
  <c r="D63" i="9"/>
  <c r="I63" i="9"/>
  <c r="F63" i="9"/>
  <c r="D63" i="13"/>
  <c r="I63" i="13"/>
  <c r="E63" i="9"/>
  <c r="C63" i="13"/>
  <c r="G63" i="13"/>
  <c r="H63" i="13"/>
  <c r="T63" i="11"/>
  <c r="T63" i="8"/>
  <c r="S63" i="8"/>
  <c r="V63" i="8"/>
  <c r="X63" i="8"/>
  <c r="Y63" i="8"/>
  <c r="W63" i="8"/>
  <c r="S63" i="12"/>
  <c r="Y63" i="12"/>
  <c r="X63" i="12"/>
  <c r="U63" i="12"/>
  <c r="T63" i="12"/>
  <c r="W63" i="12"/>
  <c r="V63" i="12"/>
  <c r="U63" i="13"/>
  <c r="W63" i="13"/>
  <c r="S65" i="13"/>
  <c r="S63" i="13"/>
  <c r="X63" i="13"/>
  <c r="Y63" i="13"/>
  <c r="V63" i="13"/>
  <c r="V63" i="10"/>
  <c r="S63" i="10"/>
  <c r="U63" i="10"/>
  <c r="Y63" i="10"/>
  <c r="X63" i="10"/>
  <c r="W63" i="10"/>
  <c r="T63" i="10"/>
  <c r="C63" i="8"/>
  <c r="H63" i="8"/>
  <c r="G63" i="8"/>
  <c r="F63" i="8"/>
  <c r="D37" i="1"/>
  <c r="B17" i="10" l="1"/>
  <c r="AP16" i="10"/>
  <c r="B17" i="12"/>
  <c r="AP16" i="12"/>
  <c r="B17" i="9"/>
  <c r="AP16" i="9"/>
  <c r="B17" i="8"/>
  <c r="AP16" i="8"/>
  <c r="B17" i="13"/>
  <c r="AP16" i="13"/>
  <c r="B17" i="11"/>
  <c r="AP16" i="11"/>
  <c r="I28" i="1"/>
  <c r="B18" i="8" l="1"/>
  <c r="AP17" i="8"/>
  <c r="B18" i="11"/>
  <c r="AP17" i="11"/>
  <c r="B18" i="12"/>
  <c r="AP17" i="12"/>
  <c r="B18" i="9"/>
  <c r="AP17" i="9"/>
  <c r="B18" i="13"/>
  <c r="AP17" i="13"/>
  <c r="B18" i="10"/>
  <c r="AP17" i="10"/>
  <c r="C19" i="5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B19" i="9" l="1"/>
  <c r="AP18" i="9"/>
  <c r="B19" i="12"/>
  <c r="AP18" i="12"/>
  <c r="B19" i="11"/>
  <c r="AP18" i="11"/>
  <c r="B19" i="10"/>
  <c r="AP18" i="10"/>
  <c r="B19" i="13"/>
  <c r="AP18" i="13"/>
  <c r="B19" i="8"/>
  <c r="AP18" i="8"/>
  <c r="C19" i="3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B20" i="10" l="1"/>
  <c r="AP19" i="10"/>
  <c r="B20" i="11"/>
  <c r="AP19" i="11"/>
  <c r="B20" i="8"/>
  <c r="AP19" i="8"/>
  <c r="B20" i="12"/>
  <c r="AP19" i="12"/>
  <c r="B20" i="13"/>
  <c r="AP19" i="13"/>
  <c r="B20" i="9"/>
  <c r="AP19" i="9"/>
  <c r="BD15" i="9"/>
  <c r="AZ19" i="9"/>
  <c r="BC15" i="9"/>
  <c r="BE18" i="9"/>
  <c r="AY15" i="9"/>
  <c r="BD18" i="9"/>
  <c r="AZ16" i="9"/>
  <c r="AY14" i="9"/>
  <c r="AZ18" i="9"/>
  <c r="BE15" i="9"/>
  <c r="BA17" i="9"/>
  <c r="BB18" i="9"/>
  <c r="BB14" i="9"/>
  <c r="AY16" i="9"/>
  <c r="BA15" i="9"/>
  <c r="AY17" i="9"/>
  <c r="BC18" i="9"/>
  <c r="BB13" i="9"/>
  <c r="BD16" i="9"/>
  <c r="BB15" i="9"/>
  <c r="BA19" i="9"/>
  <c r="BB17" i="9"/>
  <c r="BE19" i="9"/>
  <c r="AZ13" i="9"/>
  <c r="BC19" i="9"/>
  <c r="BD17" i="9"/>
  <c r="BD19" i="9"/>
  <c r="BC14" i="9"/>
  <c r="BE17" i="9"/>
  <c r="BA16" i="9"/>
  <c r="BA14" i="9"/>
  <c r="AZ15" i="9"/>
  <c r="AY18" i="9"/>
  <c r="AZ17" i="9"/>
  <c r="BB16" i="9"/>
  <c r="BD14" i="9"/>
  <c r="BC16" i="9"/>
  <c r="BB19" i="9"/>
  <c r="BC13" i="9"/>
  <c r="BE16" i="9"/>
  <c r="BC17" i="9"/>
  <c r="AY19" i="9"/>
  <c r="BA13" i="9"/>
  <c r="BA18" i="9"/>
  <c r="AZ14" i="9"/>
  <c r="BE13" i="9"/>
  <c r="BE14" i="9"/>
  <c r="BD13" i="9"/>
  <c r="B21" i="12" l="1"/>
  <c r="AP20" i="12"/>
  <c r="B21" i="8"/>
  <c r="AP20" i="8"/>
  <c r="B21" i="11"/>
  <c r="AP20" i="11"/>
  <c r="B21" i="9"/>
  <c r="AP20" i="9"/>
  <c r="B21" i="13"/>
  <c r="AP20" i="13"/>
  <c r="B21" i="10"/>
  <c r="AP20" i="10"/>
  <c r="S61" i="17"/>
  <c r="A62" i="17" s="1"/>
  <c r="B22" i="8" l="1"/>
  <c r="AP21" i="8"/>
  <c r="B22" i="11"/>
  <c r="AP21" i="11"/>
  <c r="B22" i="10"/>
  <c r="AP21" i="10"/>
  <c r="B22" i="9"/>
  <c r="AP21" i="9"/>
  <c r="B22" i="13"/>
  <c r="AP21" i="13"/>
  <c r="B22" i="12"/>
  <c r="AP21" i="12"/>
  <c r="Y63" i="17"/>
  <c r="S65" i="17"/>
  <c r="W63" i="17"/>
  <c r="U63" i="17"/>
  <c r="V63" i="17"/>
  <c r="X63" i="17"/>
  <c r="T63" i="17"/>
  <c r="S63" i="17"/>
  <c r="S61" i="16"/>
  <c r="B23" i="9" l="1"/>
  <c r="AP22" i="9"/>
  <c r="B23" i="12"/>
  <c r="AP22" i="12"/>
  <c r="B23" i="11"/>
  <c r="AP22" i="11"/>
  <c r="B23" i="10"/>
  <c r="AP22" i="10"/>
  <c r="B23" i="13"/>
  <c r="AP22" i="13"/>
  <c r="B23" i="8"/>
  <c r="AP22" i="8"/>
  <c r="A62" i="16"/>
  <c r="B24" i="10" l="1"/>
  <c r="AP23" i="10"/>
  <c r="B24" i="8"/>
  <c r="AP23" i="8"/>
  <c r="B24" i="12"/>
  <c r="AP23" i="12"/>
  <c r="B24" i="11"/>
  <c r="AP23" i="11"/>
  <c r="B24" i="13"/>
  <c r="AP23" i="13"/>
  <c r="B24" i="9"/>
  <c r="AP23" i="9"/>
  <c r="Y63" i="16"/>
  <c r="S65" i="16"/>
  <c r="U63" i="16"/>
  <c r="W63" i="16"/>
  <c r="T63" i="16"/>
  <c r="X63" i="16"/>
  <c r="V63" i="16"/>
  <c r="S63" i="16"/>
  <c r="B25" i="11" l="1"/>
  <c r="AP24" i="11"/>
  <c r="B25" i="9"/>
  <c r="AP24" i="9"/>
  <c r="B25" i="8"/>
  <c r="AP24" i="8"/>
  <c r="B25" i="12"/>
  <c r="AP24" i="12"/>
  <c r="B25" i="13"/>
  <c r="AP24" i="13"/>
  <c r="B25" i="10"/>
  <c r="AP24" i="10"/>
  <c r="BE18" i="17"/>
  <c r="BD15" i="17"/>
  <c r="BD18" i="17"/>
  <c r="BC16" i="17"/>
  <c r="BB18" i="17"/>
  <c r="BA14" i="17"/>
  <c r="AZ16" i="17"/>
  <c r="BE14" i="17"/>
  <c r="BA18" i="17"/>
  <c r="BE15" i="17"/>
  <c r="AZ18" i="17"/>
  <c r="BD13" i="17"/>
  <c r="BE16" i="17"/>
  <c r="BE13" i="17"/>
  <c r="AY18" i="17"/>
  <c r="AY19" i="17"/>
  <c r="AZ13" i="17"/>
  <c r="BB19" i="17"/>
  <c r="BD17" i="17"/>
  <c r="AY13" i="17"/>
  <c r="BC19" i="17"/>
  <c r="AZ15" i="17"/>
  <c r="BE19" i="17"/>
  <c r="AY14" i="17"/>
  <c r="AY17" i="17"/>
  <c r="AZ14" i="17"/>
  <c r="BA16" i="17"/>
  <c r="AY16" i="17"/>
  <c r="BE17" i="17"/>
  <c r="BB14" i="17"/>
  <c r="BD16" i="17"/>
  <c r="AZ19" i="17"/>
  <c r="BB17" i="17"/>
  <c r="BD19" i="17"/>
  <c r="BA13" i="17"/>
  <c r="AY15" i="17"/>
  <c r="BC17" i="17"/>
  <c r="BB13" i="17"/>
  <c r="BA15" i="17"/>
  <c r="BA17" i="17"/>
  <c r="BC18" i="17"/>
  <c r="BC13" i="17"/>
  <c r="BB15" i="17"/>
  <c r="BA19" i="17"/>
  <c r="BB16" i="17"/>
  <c r="BC15" i="17"/>
  <c r="BD14" i="17"/>
  <c r="BC14" i="17"/>
  <c r="AZ17" i="17"/>
  <c r="B26" i="12" l="1"/>
  <c r="AP25" i="12"/>
  <c r="B26" i="8"/>
  <c r="AP25" i="8"/>
  <c r="B26" i="10"/>
  <c r="AP25" i="10"/>
  <c r="B26" i="9"/>
  <c r="AP25" i="9"/>
  <c r="B26" i="13"/>
  <c r="AP25" i="13"/>
  <c r="B26" i="11"/>
  <c r="AP25" i="11"/>
  <c r="AW48" i="8"/>
  <c r="AO48" i="8"/>
  <c r="AT26" i="8" l="1"/>
  <c r="AL26" i="8"/>
  <c r="B27" i="9"/>
  <c r="AP26" i="9"/>
  <c r="B27" i="10"/>
  <c r="AP26" i="10"/>
  <c r="B27" i="11"/>
  <c r="AP26" i="11"/>
  <c r="B27" i="8"/>
  <c r="AP26" i="8"/>
  <c r="B27" i="13"/>
  <c r="AP26" i="13"/>
  <c r="B27" i="12"/>
  <c r="AP26" i="12"/>
  <c r="AV32" i="12" l="1"/>
  <c r="AN32" i="12"/>
  <c r="B28" i="8"/>
  <c r="AP27" i="8"/>
  <c r="B28" i="11"/>
  <c r="AP27" i="11"/>
  <c r="B28" i="12"/>
  <c r="AP27" i="12"/>
  <c r="B28" i="10"/>
  <c r="AP27" i="10"/>
  <c r="B28" i="13"/>
  <c r="AP27" i="13"/>
  <c r="B28" i="9"/>
  <c r="AP27" i="9"/>
  <c r="AJ59" i="9" l="1"/>
  <c r="AR59" i="9"/>
  <c r="AI43" i="9"/>
  <c r="AQ43" i="9"/>
  <c r="AT48" i="9"/>
  <c r="AL48" i="9"/>
  <c r="AN25" i="9"/>
  <c r="AV25" i="9"/>
  <c r="AN35" i="9"/>
  <c r="AV35" i="9"/>
  <c r="AN34" i="9"/>
  <c r="AV34" i="9"/>
  <c r="AR23" i="9"/>
  <c r="AJ23" i="9"/>
  <c r="AN28" i="9"/>
  <c r="AV28" i="9"/>
  <c r="AN40" i="9"/>
  <c r="AV40" i="9"/>
  <c r="AU30" i="9"/>
  <c r="AM30" i="9"/>
  <c r="AN52" i="9"/>
  <c r="AV52" i="9"/>
  <c r="AM54" i="9"/>
  <c r="AU54" i="9"/>
  <c r="AO54" i="9"/>
  <c r="AW54" i="9"/>
  <c r="AT23" i="9"/>
  <c r="AL23" i="9"/>
  <c r="AR25" i="9"/>
  <c r="AJ25" i="9"/>
  <c r="AM52" i="9"/>
  <c r="AU52" i="9"/>
  <c r="AS57" i="9"/>
  <c r="AK57" i="9"/>
  <c r="AI55" i="9"/>
  <c r="AQ55" i="9"/>
  <c r="AK38" i="9"/>
  <c r="AS38" i="9"/>
  <c r="AK53" i="9"/>
  <c r="AS53" i="9"/>
  <c r="AV47" i="9"/>
  <c r="AN47" i="9"/>
  <c r="AW48" i="9"/>
  <c r="AO48" i="9"/>
  <c r="AM49" i="9"/>
  <c r="AU49" i="9"/>
  <c r="AJ39" i="9"/>
  <c r="AR39" i="9"/>
  <c r="AN48" i="9"/>
  <c r="AV48" i="9"/>
  <c r="AN56" i="9"/>
  <c r="AV56" i="9"/>
  <c r="L61" i="9"/>
  <c r="AJ20" i="9"/>
  <c r="T10" i="9"/>
  <c r="AR20" i="9"/>
  <c r="AK21" i="9"/>
  <c r="AS21" i="9"/>
  <c r="AQ40" i="9"/>
  <c r="AI40" i="9"/>
  <c r="AW57" i="9"/>
  <c r="AO57" i="9"/>
  <c r="AK47" i="9"/>
  <c r="AS47" i="9"/>
  <c r="AR46" i="9"/>
  <c r="AJ46" i="9"/>
  <c r="AV27" i="9"/>
  <c r="AN27" i="9"/>
  <c r="AT20" i="9"/>
  <c r="AL20" i="9"/>
  <c r="N61" i="9"/>
  <c r="V10" i="9"/>
  <c r="AS34" i="9"/>
  <c r="AK34" i="9"/>
  <c r="AO41" i="9"/>
  <c r="AW41" i="9"/>
  <c r="AT26" i="9"/>
  <c r="AL26" i="9"/>
  <c r="AJ33" i="9"/>
  <c r="AR33" i="9"/>
  <c r="AJ56" i="9"/>
  <c r="AR56" i="9"/>
  <c r="AQ23" i="9"/>
  <c r="AI23" i="9"/>
  <c r="AS30" i="9"/>
  <c r="AK30" i="9"/>
  <c r="AU36" i="9"/>
  <c r="AM36" i="9"/>
  <c r="AU37" i="9"/>
  <c r="AM37" i="9"/>
  <c r="AK46" i="9"/>
  <c r="AS46" i="9"/>
  <c r="AS56" i="9"/>
  <c r="AK56" i="9"/>
  <c r="AW35" i="9"/>
  <c r="AO35" i="9"/>
  <c r="AV55" i="9"/>
  <c r="AN55" i="9"/>
  <c r="AV38" i="9"/>
  <c r="AN38" i="9"/>
  <c r="AK33" i="9"/>
  <c r="AS33" i="9"/>
  <c r="AS37" i="9"/>
  <c r="AK37" i="9"/>
  <c r="AS36" i="9"/>
  <c r="AK36" i="9"/>
  <c r="AO26" i="9"/>
  <c r="AW26" i="9"/>
  <c r="AU28" i="9"/>
  <c r="AM28" i="9"/>
  <c r="AW37" i="9"/>
  <c r="AO37" i="9"/>
  <c r="AQ54" i="9"/>
  <c r="AI54" i="9"/>
  <c r="AV51" i="9"/>
  <c r="AN51" i="9"/>
  <c r="AJ27" i="9"/>
  <c r="AR27" i="9"/>
  <c r="AL31" i="9"/>
  <c r="AT31" i="9"/>
  <c r="AS58" i="9"/>
  <c r="AK58" i="9"/>
  <c r="AK52" i="9"/>
  <c r="AS52" i="9"/>
  <c r="AN22" i="9"/>
  <c r="AV22" i="9"/>
  <c r="AL47" i="9"/>
  <c r="AT47" i="9"/>
  <c r="AM39" i="9"/>
  <c r="AU39" i="9"/>
  <c r="AI24" i="9"/>
  <c r="AQ24" i="9"/>
  <c r="AO22" i="9"/>
  <c r="AW22" i="9"/>
  <c r="AV39" i="9"/>
  <c r="AN39" i="9"/>
  <c r="AL36" i="9"/>
  <c r="AT36" i="9"/>
  <c r="AI47" i="9"/>
  <c r="AQ47" i="9"/>
  <c r="AI60" i="9"/>
  <c r="AQ60" i="9"/>
  <c r="AI28" i="9"/>
  <c r="AQ28" i="9"/>
  <c r="AS41" i="9"/>
  <c r="AK41" i="9"/>
  <c r="AU32" i="9"/>
  <c r="AM32" i="9"/>
  <c r="AU27" i="9"/>
  <c r="AM27" i="9"/>
  <c r="AK32" i="9"/>
  <c r="AS32" i="9"/>
  <c r="AN54" i="9"/>
  <c r="AV54" i="9"/>
  <c r="AV30" i="9"/>
  <c r="AN30" i="9"/>
  <c r="AS22" i="9"/>
  <c r="AK22" i="9"/>
  <c r="AU25" i="9"/>
  <c r="AM25" i="9"/>
  <c r="AM21" i="9"/>
  <c r="AU21" i="9"/>
  <c r="AV46" i="9"/>
  <c r="AN46" i="9"/>
  <c r="AI46" i="9"/>
  <c r="AQ46" i="9"/>
  <c r="AV36" i="9"/>
  <c r="AN36" i="9"/>
  <c r="AJ50" i="9"/>
  <c r="AR50" i="9"/>
  <c r="AK44" i="9"/>
  <c r="AS44" i="9"/>
  <c r="AK39" i="9"/>
  <c r="AS39" i="9"/>
  <c r="AO31" i="9"/>
  <c r="AW31" i="9"/>
  <c r="AW40" i="9"/>
  <c r="AO40" i="9"/>
  <c r="AJ22" i="9"/>
  <c r="AR22" i="9"/>
  <c r="AU43" i="9"/>
  <c r="AM43" i="9"/>
  <c r="AM24" i="9"/>
  <c r="AU24" i="9"/>
  <c r="AT35" i="9"/>
  <c r="AL35" i="9"/>
  <c r="AI29" i="10"/>
  <c r="AQ29" i="10"/>
  <c r="AJ44" i="9"/>
  <c r="AR44" i="9"/>
  <c r="AS49" i="9"/>
  <c r="AK49" i="9"/>
  <c r="AK20" i="9"/>
  <c r="M61" i="9"/>
  <c r="AS20" i="9"/>
  <c r="U10" i="9"/>
  <c r="AM40" i="9"/>
  <c r="AU40" i="9"/>
  <c r="AN26" i="9"/>
  <c r="AV26" i="9"/>
  <c r="AO45" i="9"/>
  <c r="AW45" i="9"/>
  <c r="AO47" i="9"/>
  <c r="AW47" i="9"/>
  <c r="AQ53" i="9"/>
  <c r="AI53" i="9"/>
  <c r="AK59" i="9"/>
  <c r="AS59" i="9"/>
  <c r="AI25" i="9"/>
  <c r="AQ25" i="9"/>
  <c r="AJ49" i="9"/>
  <c r="AR49" i="9"/>
  <c r="AK24" i="9"/>
  <c r="AS24" i="9"/>
  <c r="AU38" i="9"/>
  <c r="AM38" i="9"/>
  <c r="AW51" i="9"/>
  <c r="AO51" i="9"/>
  <c r="AO33" i="9"/>
  <c r="AW33" i="9"/>
  <c r="AU60" i="9"/>
  <c r="AM60" i="9"/>
  <c r="AQ29" i="9"/>
  <c r="AI29" i="9"/>
  <c r="AI50" i="9"/>
  <c r="AQ50" i="9"/>
  <c r="AQ42" i="9"/>
  <c r="AI42" i="9"/>
  <c r="AQ32" i="9"/>
  <c r="AI32" i="9"/>
  <c r="AL24" i="9"/>
  <c r="AT24" i="9"/>
  <c r="AK28" i="9"/>
  <c r="AS28" i="9"/>
  <c r="AJ52" i="9"/>
  <c r="AR52" i="9"/>
  <c r="AQ21" i="9"/>
  <c r="AI21" i="9"/>
  <c r="AU47" i="9"/>
  <c r="AM47" i="9"/>
  <c r="AK43" i="9"/>
  <c r="AS43" i="9"/>
  <c r="AR57" i="9"/>
  <c r="AJ57" i="9"/>
  <c r="AK50" i="9"/>
  <c r="AS50" i="9"/>
  <c r="AM57" i="9"/>
  <c r="AU57" i="9"/>
  <c r="AW34" i="9"/>
  <c r="AO34" i="9"/>
  <c r="AN24" i="9"/>
  <c r="AV24" i="9"/>
  <c r="AL42" i="9"/>
  <c r="AT42" i="9"/>
  <c r="AO55" i="9"/>
  <c r="AW55" i="9"/>
  <c r="AT27" i="9"/>
  <c r="AL27" i="9"/>
  <c r="AO52" i="9"/>
  <c r="AW52" i="9"/>
  <c r="AW59" i="9"/>
  <c r="AO59" i="9"/>
  <c r="AW56" i="9"/>
  <c r="AO56" i="9"/>
  <c r="AT37" i="9"/>
  <c r="AL37" i="9"/>
  <c r="AT40" i="9"/>
  <c r="AL40" i="9"/>
  <c r="AN41" i="9"/>
  <c r="AV41" i="9"/>
  <c r="AQ30" i="9"/>
  <c r="AI30" i="9"/>
  <c r="AK42" i="9"/>
  <c r="AS42" i="9"/>
  <c r="AQ39" i="9"/>
  <c r="AI39" i="9"/>
  <c r="AK23" i="9"/>
  <c r="AS23" i="9"/>
  <c r="AT46" i="9"/>
  <c r="AL46" i="9"/>
  <c r="AT37" i="10"/>
  <c r="AL37" i="10"/>
  <c r="AR54" i="9"/>
  <c r="AJ54" i="9"/>
  <c r="AR24" i="9"/>
  <c r="AJ24" i="9"/>
  <c r="AL28" i="9"/>
  <c r="AT28" i="9"/>
  <c r="AR43" i="9"/>
  <c r="AJ43" i="9"/>
  <c r="AK40" i="9"/>
  <c r="AS40" i="9"/>
  <c r="AU59" i="9"/>
  <c r="AM59" i="9"/>
  <c r="AS55" i="9"/>
  <c r="AK55" i="9"/>
  <c r="AL33" i="9"/>
  <c r="AT33" i="9"/>
  <c r="AL57" i="9"/>
  <c r="AT57" i="9"/>
  <c r="AW42" i="9"/>
  <c r="AO42" i="9"/>
  <c r="AJ34" i="9"/>
  <c r="AR34" i="9"/>
  <c r="AW36" i="9"/>
  <c r="AO36" i="9"/>
  <c r="AI38" i="9"/>
  <c r="AQ38" i="9"/>
  <c r="AJ21" i="9"/>
  <c r="AR21" i="9"/>
  <c r="AW49" i="9"/>
  <c r="AO49" i="9"/>
  <c r="AI56" i="9"/>
  <c r="AQ56" i="9"/>
  <c r="AU50" i="9"/>
  <c r="AM50" i="9"/>
  <c r="AN53" i="9"/>
  <c r="AV53" i="9"/>
  <c r="AI55" i="10"/>
  <c r="AQ55" i="10"/>
  <c r="AW21" i="9"/>
  <c r="AO21" i="9"/>
  <c r="AQ41" i="9"/>
  <c r="AI41" i="9"/>
  <c r="AM20" i="9"/>
  <c r="W10" i="9"/>
  <c r="O61" i="9"/>
  <c r="AU20" i="9"/>
  <c r="AM44" i="9"/>
  <c r="AU44" i="9"/>
  <c r="AI58" i="9"/>
  <c r="AQ58" i="9"/>
  <c r="AT32" i="9"/>
  <c r="AL32" i="9"/>
  <c r="AS25" i="9"/>
  <c r="AK25" i="9"/>
  <c r="AW58" i="9"/>
  <c r="AO58" i="9"/>
  <c r="AW43" i="9"/>
  <c r="AO43" i="9"/>
  <c r="AL25" i="9"/>
  <c r="AT25" i="9"/>
  <c r="AK31" i="9"/>
  <c r="AS31" i="9"/>
  <c r="AR55" i="9"/>
  <c r="AJ55" i="9"/>
  <c r="AL49" i="9"/>
  <c r="AT49" i="9"/>
  <c r="AS60" i="9"/>
  <c r="AK60" i="9"/>
  <c r="AU55" i="9"/>
  <c r="AM55" i="9"/>
  <c r="AL21" i="9"/>
  <c r="AT21" i="9"/>
  <c r="AJ29" i="9"/>
  <c r="AR29" i="9"/>
  <c r="AR35" i="9"/>
  <c r="AJ35" i="9"/>
  <c r="AJ36" i="9"/>
  <c r="AR36" i="9"/>
  <c r="AW23" i="9"/>
  <c r="AO23" i="9"/>
  <c r="AV44" i="9"/>
  <c r="AN44" i="9"/>
  <c r="AQ35" i="9"/>
  <c r="AI35" i="9"/>
  <c r="AS54" i="9"/>
  <c r="AK54" i="9"/>
  <c r="AL50" i="9"/>
  <c r="AT50" i="9"/>
  <c r="AV32" i="10"/>
  <c r="AN32" i="10"/>
  <c r="AN29" i="9"/>
  <c r="AV29" i="9"/>
  <c r="AT56" i="9"/>
  <c r="AL56" i="9"/>
  <c r="AT44" i="9"/>
  <c r="AL44" i="9"/>
  <c r="AW38" i="9"/>
  <c r="AO38" i="9"/>
  <c r="AK35" i="9"/>
  <c r="AS35" i="9"/>
  <c r="AK51" i="9"/>
  <c r="AS51" i="9"/>
  <c r="AL45" i="9"/>
  <c r="AT45" i="9"/>
  <c r="AL51" i="9"/>
  <c r="AT51" i="9"/>
  <c r="AJ45" i="9"/>
  <c r="AR45" i="9"/>
  <c r="AU42" i="9"/>
  <c r="AM42" i="9"/>
  <c r="AU22" i="9"/>
  <c r="AM22" i="9"/>
  <c r="AJ41" i="9"/>
  <c r="AR41" i="9"/>
  <c r="AS26" i="9"/>
  <c r="AK26" i="9"/>
  <c r="AN21" i="9"/>
  <c r="AV21" i="9"/>
  <c r="AI57" i="9"/>
  <c r="AQ57" i="9"/>
  <c r="AO30" i="9"/>
  <c r="AW30" i="9"/>
  <c r="AJ51" i="9"/>
  <c r="AR51" i="9"/>
  <c r="AQ49" i="9"/>
  <c r="AI49" i="9"/>
  <c r="AN60" i="9"/>
  <c r="AV60" i="9"/>
  <c r="AV33" i="9"/>
  <c r="AN33" i="9"/>
  <c r="AU56" i="9"/>
  <c r="AM56" i="9"/>
  <c r="AR32" i="9"/>
  <c r="AJ32" i="9"/>
  <c r="AI52" i="9"/>
  <c r="AQ52" i="9"/>
  <c r="AJ34" i="10"/>
  <c r="AR34" i="10"/>
  <c r="AT52" i="10"/>
  <c r="AL52" i="10"/>
  <c r="AV42" i="9"/>
  <c r="AN42" i="9"/>
  <c r="AN31" i="9"/>
  <c r="AV31" i="9"/>
  <c r="AO27" i="9"/>
  <c r="AW27" i="9"/>
  <c r="AI13" i="10"/>
  <c r="S10" i="10"/>
  <c r="AQ13" i="10"/>
  <c r="K61" i="10"/>
  <c r="AT55" i="9"/>
  <c r="AL55" i="9"/>
  <c r="AW44" i="9"/>
  <c r="AO44" i="9"/>
  <c r="AW28" i="9"/>
  <c r="AO28" i="9"/>
  <c r="AL41" i="9"/>
  <c r="AT41" i="9"/>
  <c r="AW39" i="9"/>
  <c r="AO39" i="9"/>
  <c r="AJ47" i="9"/>
  <c r="AR47" i="9"/>
  <c r="AK48" i="9"/>
  <c r="AS48" i="9"/>
  <c r="AM53" i="9"/>
  <c r="AU53" i="9"/>
  <c r="AV23" i="9"/>
  <c r="AN23" i="9"/>
  <c r="AL38" i="9"/>
  <c r="AT38" i="9"/>
  <c r="AT52" i="9"/>
  <c r="AL52" i="9"/>
  <c r="AI31" i="9"/>
  <c r="AQ31" i="9"/>
  <c r="AJ26" i="9"/>
  <c r="AR26" i="9"/>
  <c r="AU31" i="9"/>
  <c r="AM31" i="9"/>
  <c r="AM48" i="9"/>
  <c r="AU48" i="9"/>
  <c r="AI34" i="9"/>
  <c r="AQ34" i="9"/>
  <c r="AR53" i="9"/>
  <c r="AJ53" i="9"/>
  <c r="AI33" i="9"/>
  <c r="AQ33" i="9"/>
  <c r="AM35" i="9"/>
  <c r="AU35" i="9"/>
  <c r="AU45" i="9"/>
  <c r="AM45" i="9"/>
  <c r="AN59" i="9"/>
  <c r="AV59" i="9"/>
  <c r="AK29" i="9"/>
  <c r="AS29" i="9"/>
  <c r="AR31" i="9"/>
  <c r="AJ31" i="9"/>
  <c r="AL39" i="9"/>
  <c r="AT39" i="9"/>
  <c r="AU41" i="9"/>
  <c r="AM41" i="9"/>
  <c r="AI22" i="9"/>
  <c r="AQ22" i="9"/>
  <c r="AS27" i="10"/>
  <c r="AK27" i="10"/>
  <c r="AI18" i="10"/>
  <c r="AQ18" i="10"/>
  <c r="AN14" i="10"/>
  <c r="AV14" i="10"/>
  <c r="AL29" i="9"/>
  <c r="AT29" i="9"/>
  <c r="AL53" i="9"/>
  <c r="AT53" i="9"/>
  <c r="AN58" i="9"/>
  <c r="AV58" i="9"/>
  <c r="AR40" i="9"/>
  <c r="AJ40" i="9"/>
  <c r="AT60" i="9"/>
  <c r="AL60" i="9"/>
  <c r="AU33" i="9"/>
  <c r="AM33" i="9"/>
  <c r="AW29" i="9"/>
  <c r="AO29" i="9"/>
  <c r="AJ37" i="9"/>
  <c r="AR37" i="9"/>
  <c r="AJ30" i="9"/>
  <c r="AR30" i="9"/>
  <c r="AW25" i="9"/>
  <c r="AO25" i="9"/>
  <c r="AM29" i="9"/>
  <c r="AU29" i="9"/>
  <c r="AT59" i="9"/>
  <c r="AL59" i="9"/>
  <c r="AM51" i="9"/>
  <c r="AU51" i="9"/>
  <c r="AW32" i="9"/>
  <c r="AO32" i="9"/>
  <c r="AN49" i="9"/>
  <c r="AV49" i="9"/>
  <c r="AU58" i="9"/>
  <c r="AM58" i="9"/>
  <c r="AR48" i="9"/>
  <c r="AJ48" i="9"/>
  <c r="AW50" i="9"/>
  <c r="AO50" i="9"/>
  <c r="AI26" i="9"/>
  <c r="AQ26" i="9"/>
  <c r="AO32" i="10"/>
  <c r="AW32" i="10"/>
  <c r="AO42" i="10"/>
  <c r="AW42" i="10"/>
  <c r="AU23" i="9"/>
  <c r="AM23" i="9"/>
  <c r="AO60" i="9"/>
  <c r="AW60" i="9"/>
  <c r="AU34" i="9"/>
  <c r="AM34" i="9"/>
  <c r="AN57" i="9"/>
  <c r="AV57" i="9"/>
  <c r="AI48" i="9"/>
  <c r="AQ48" i="9"/>
  <c r="AN50" i="9"/>
  <c r="AV50" i="9"/>
  <c r="AV43" i="9"/>
  <c r="AN43" i="9"/>
  <c r="AT22" i="9"/>
  <c r="AL22" i="9"/>
  <c r="S10" i="9"/>
  <c r="K61" i="9"/>
  <c r="AQ20" i="9"/>
  <c r="AI20" i="9"/>
  <c r="AI27" i="9"/>
  <c r="AQ27" i="9"/>
  <c r="AS24" i="10"/>
  <c r="AK24" i="10"/>
  <c r="AL21" i="10"/>
  <c r="AT21" i="10"/>
  <c r="AO53" i="9"/>
  <c r="AW53" i="9"/>
  <c r="AQ37" i="9"/>
  <c r="AI37" i="9"/>
  <c r="AL58" i="9"/>
  <c r="AT58" i="9"/>
  <c r="AN37" i="9"/>
  <c r="AV37" i="9"/>
  <c r="AV32" i="9"/>
  <c r="AN32" i="9"/>
  <c r="AR28" i="9"/>
  <c r="AJ28" i="9"/>
  <c r="AT54" i="9"/>
  <c r="AL54" i="9"/>
  <c r="P61" i="9"/>
  <c r="AN20" i="9"/>
  <c r="AV20" i="9"/>
  <c r="X10" i="9"/>
  <c r="AR60" i="9"/>
  <c r="AJ60" i="9"/>
  <c r="AT43" i="9"/>
  <c r="AL43" i="9"/>
  <c r="AI51" i="9"/>
  <c r="AQ51" i="9"/>
  <c r="AQ45" i="9"/>
  <c r="AI45" i="9"/>
  <c r="AR38" i="9"/>
  <c r="AJ38" i="9"/>
  <c r="AM26" i="9"/>
  <c r="AU26" i="9"/>
  <c r="AS45" i="9"/>
  <c r="AK45" i="9"/>
  <c r="AT34" i="9"/>
  <c r="AL34" i="9"/>
  <c r="AO46" i="9"/>
  <c r="AW46" i="9"/>
  <c r="AW24" i="9"/>
  <c r="AO24" i="9"/>
  <c r="AJ58" i="9"/>
  <c r="AR58" i="9"/>
  <c r="AR42" i="9"/>
  <c r="AJ42" i="9"/>
  <c r="Y10" i="9"/>
  <c r="AO20" i="9"/>
  <c r="AW20" i="9"/>
  <c r="Q61" i="9"/>
  <c r="AI36" i="9"/>
  <c r="AQ36" i="9"/>
  <c r="AL30" i="9"/>
  <c r="AT30" i="9"/>
  <c r="AQ59" i="9"/>
  <c r="AI59" i="9"/>
  <c r="AV45" i="9"/>
  <c r="AN45" i="9"/>
  <c r="AS27" i="9"/>
  <c r="AK27" i="9"/>
  <c r="AS59" i="10"/>
  <c r="AK59" i="10"/>
  <c r="AU46" i="9"/>
  <c r="AM46" i="9"/>
  <c r="AN56" i="10"/>
  <c r="AV56" i="10"/>
  <c r="AO45" i="10"/>
  <c r="AW45" i="10"/>
  <c r="AJ41" i="10"/>
  <c r="AR41" i="10"/>
  <c r="AJ22" i="10"/>
  <c r="AR22" i="10"/>
  <c r="AN44" i="10"/>
  <c r="AV44" i="10"/>
  <c r="AV40" i="10"/>
  <c r="AN40" i="10"/>
  <c r="AL35" i="10"/>
  <c r="AT35" i="10"/>
  <c r="AW36" i="10"/>
  <c r="AO36" i="10"/>
  <c r="AJ37" i="10"/>
  <c r="AR37" i="10"/>
  <c r="AU53" i="10"/>
  <c r="AM53" i="10"/>
  <c r="AV36" i="10"/>
  <c r="AN36" i="10"/>
  <c r="AR16" i="10"/>
  <c r="AJ16" i="10"/>
  <c r="AU17" i="10"/>
  <c r="AM17" i="10"/>
  <c r="AK57" i="10"/>
  <c r="AS57" i="10"/>
  <c r="AM29" i="10"/>
  <c r="AU29" i="10"/>
  <c r="AV47" i="10"/>
  <c r="AN47" i="10"/>
  <c r="AK51" i="10"/>
  <c r="AS51" i="10"/>
  <c r="AJ30" i="10"/>
  <c r="AR30" i="10"/>
  <c r="AN29" i="10"/>
  <c r="AV29" i="10"/>
  <c r="AO37" i="10"/>
  <c r="AW37" i="10"/>
  <c r="AM59" i="10"/>
  <c r="AU59" i="10"/>
  <c r="AO59" i="10"/>
  <c r="AW59" i="10"/>
  <c r="AJ58" i="10"/>
  <c r="AN54" i="10"/>
  <c r="AV54" i="10"/>
  <c r="AK46" i="10"/>
  <c r="AS46" i="10"/>
  <c r="AN27" i="10"/>
  <c r="AV27" i="10"/>
  <c r="AV25" i="10"/>
  <c r="AN25" i="10"/>
  <c r="AO39" i="10"/>
  <c r="AW39" i="10"/>
  <c r="AT19" i="10"/>
  <c r="AL19" i="10"/>
  <c r="AO22" i="10"/>
  <c r="AW22" i="10"/>
  <c r="AJ51" i="10"/>
  <c r="AO13" i="10"/>
  <c r="Y10" i="10"/>
  <c r="Q61" i="10"/>
  <c r="AW13" i="10"/>
  <c r="AL46" i="10"/>
  <c r="AT46" i="10"/>
  <c r="AU60" i="10"/>
  <c r="AM60" i="10"/>
  <c r="AT56" i="10"/>
  <c r="AL56" i="10"/>
  <c r="AU23" i="10"/>
  <c r="AM23" i="10"/>
  <c r="AJ13" i="10"/>
  <c r="L61" i="10"/>
  <c r="AR13" i="10"/>
  <c r="T10" i="10"/>
  <c r="AS29" i="10"/>
  <c r="AK29" i="10"/>
  <c r="AW55" i="10"/>
  <c r="AO55" i="10"/>
  <c r="P61" i="10"/>
  <c r="AN13" i="10"/>
  <c r="X10" i="10"/>
  <c r="AV13" i="10"/>
  <c r="AK49" i="10"/>
  <c r="AS49" i="10"/>
  <c r="AS25" i="10"/>
  <c r="AK25" i="10"/>
  <c r="AJ48" i="10"/>
  <c r="AM18" i="10"/>
  <c r="AU18" i="10"/>
  <c r="AI44" i="9"/>
  <c r="AQ44" i="9"/>
  <c r="AN30" i="10"/>
  <c r="AV30" i="10"/>
  <c r="AM42" i="10"/>
  <c r="AU42" i="10"/>
  <c r="AJ40" i="10"/>
  <c r="AR40" i="10"/>
  <c r="AN49" i="10"/>
  <c r="AV49" i="10"/>
  <c r="AW60" i="10"/>
  <c r="AO60" i="10"/>
  <c r="AI33" i="10"/>
  <c r="AQ33" i="10"/>
  <c r="AK19" i="10"/>
  <c r="AS19" i="10"/>
  <c r="AO34" i="10"/>
  <c r="AW34" i="10"/>
  <c r="AL17" i="10"/>
  <c r="AT17" i="10"/>
  <c r="AW14" i="10"/>
  <c r="AO14" i="10"/>
  <c r="AI52" i="10"/>
  <c r="AQ52" i="10"/>
  <c r="AR28" i="10"/>
  <c r="AJ28" i="10"/>
  <c r="AN53" i="10"/>
  <c r="AV53" i="10"/>
  <c r="AS44" i="10"/>
  <c r="AK44" i="10"/>
  <c r="AL26" i="10"/>
  <c r="AT26" i="10"/>
  <c r="AS58" i="10"/>
  <c r="AK58" i="10"/>
  <c r="AM15" i="10"/>
  <c r="AU15" i="10"/>
  <c r="AL24" i="10"/>
  <c r="AT24" i="10"/>
  <c r="AM16" i="10"/>
  <c r="AU16" i="10"/>
  <c r="AN23" i="10"/>
  <c r="AV23" i="10"/>
  <c r="AK48" i="10"/>
  <c r="AS48" i="10"/>
  <c r="AU34" i="10"/>
  <c r="AM34" i="10"/>
  <c r="AL28" i="10"/>
  <c r="AT28" i="10"/>
  <c r="AW56" i="10"/>
  <c r="AO56" i="10"/>
  <c r="AO31" i="10"/>
  <c r="AW31" i="10"/>
  <c r="AJ52" i="10"/>
  <c r="AU57" i="10"/>
  <c r="AM57" i="10"/>
  <c r="AL57" i="10"/>
  <c r="AT57" i="10"/>
  <c r="AQ44" i="10"/>
  <c r="AI44" i="10"/>
  <c r="AW20" i="10"/>
  <c r="AO20" i="10"/>
  <c r="AL16" i="10"/>
  <c r="AT16" i="10"/>
  <c r="AT30" i="10"/>
  <c r="AL30" i="10"/>
  <c r="AJ35" i="10"/>
  <c r="AR35" i="10"/>
  <c r="AQ31" i="10"/>
  <c r="AI31" i="10"/>
  <c r="AJ59" i="10"/>
  <c r="AT18" i="10"/>
  <c r="AL18" i="10"/>
  <c r="AW19" i="10"/>
  <c r="AO19" i="10"/>
  <c r="AR42" i="10"/>
  <c r="AJ42" i="10"/>
  <c r="AR44" i="10"/>
  <c r="AJ44" i="10"/>
  <c r="AU44" i="10"/>
  <c r="AM44" i="10"/>
  <c r="U10" i="10"/>
  <c r="AS13" i="10"/>
  <c r="AK13" i="10"/>
  <c r="M61" i="10"/>
  <c r="AS41" i="10"/>
  <c r="AK41" i="10"/>
  <c r="AI36" i="10"/>
  <c r="AQ36" i="10"/>
  <c r="AQ19" i="10"/>
  <c r="AI19" i="10"/>
  <c r="AS52" i="10"/>
  <c r="AK52" i="10"/>
  <c r="AK22" i="10"/>
  <c r="AS22" i="10"/>
  <c r="AN46" i="10"/>
  <c r="AV46" i="10"/>
  <c r="AQ53" i="10"/>
  <c r="AI53" i="10"/>
  <c r="AR25" i="10"/>
  <c r="AJ25" i="10"/>
  <c r="AQ40" i="10"/>
  <c r="AI40" i="10"/>
  <c r="AN22" i="10"/>
  <c r="AV22" i="10"/>
  <c r="AQ54" i="10"/>
  <c r="AI54" i="10"/>
  <c r="AV24" i="10"/>
  <c r="AN24" i="10"/>
  <c r="AU49" i="10"/>
  <c r="AM49" i="10"/>
  <c r="AI22" i="10"/>
  <c r="AQ22" i="10"/>
  <c r="AM21" i="10"/>
  <c r="AU21" i="10"/>
  <c r="AQ15" i="10"/>
  <c r="AI15" i="10"/>
  <c r="AK54" i="10"/>
  <c r="AS54" i="10"/>
  <c r="AL22" i="10"/>
  <c r="AT22" i="10"/>
  <c r="AO52" i="10"/>
  <c r="AW52" i="10"/>
  <c r="AL29" i="10"/>
  <c r="AT29" i="10"/>
  <c r="AN50" i="10"/>
  <c r="AV50" i="10"/>
  <c r="AI57" i="10"/>
  <c r="AQ57" i="10"/>
  <c r="AJ54" i="10"/>
  <c r="AJ57" i="10"/>
  <c r="AI14" i="10"/>
  <c r="AQ14" i="10"/>
  <c r="AR29" i="10"/>
  <c r="AJ29" i="10"/>
  <c r="AL60" i="10"/>
  <c r="AM20" i="10"/>
  <c r="AU20" i="10"/>
  <c r="AS53" i="10"/>
  <c r="AK53" i="10"/>
  <c r="AM56" i="10"/>
  <c r="AU56" i="10"/>
  <c r="AJ21" i="10"/>
  <c r="AR21" i="10"/>
  <c r="AK43" i="10"/>
  <c r="AS43" i="10"/>
  <c r="AK18" i="10"/>
  <c r="AS18" i="10"/>
  <c r="AW21" i="10"/>
  <c r="AO21" i="10"/>
  <c r="AN57" i="10"/>
  <c r="AV57" i="10"/>
  <c r="AV58" i="10"/>
  <c r="AN58" i="10"/>
  <c r="AI16" i="10"/>
  <c r="AQ16" i="10"/>
  <c r="AO54" i="10"/>
  <c r="AW54" i="10"/>
  <c r="AV17" i="10"/>
  <c r="AN17" i="10"/>
  <c r="AI25" i="10"/>
  <c r="AQ25" i="10"/>
  <c r="AJ18" i="10"/>
  <c r="AR18" i="10"/>
  <c r="AQ58" i="10"/>
  <c r="AI58" i="10"/>
  <c r="AI35" i="10"/>
  <c r="AQ35" i="10"/>
  <c r="AI34" i="10"/>
  <c r="AQ34" i="10"/>
  <c r="AV45" i="10"/>
  <c r="AN45" i="10"/>
  <c r="AU40" i="10"/>
  <c r="AM40" i="10"/>
  <c r="AL44" i="10"/>
  <c r="AT44" i="10"/>
  <c r="AO38" i="10"/>
  <c r="AW38" i="10"/>
  <c r="AR32" i="10"/>
  <c r="AJ32" i="10"/>
  <c r="AJ50" i="10"/>
  <c r="AJ23" i="10"/>
  <c r="AR23" i="10"/>
  <c r="AO53" i="10"/>
  <c r="AW53" i="10"/>
  <c r="AM47" i="10"/>
  <c r="AU47" i="10"/>
  <c r="AJ14" i="10"/>
  <c r="AR14" i="10"/>
  <c r="AU46" i="10"/>
  <c r="AM46" i="10"/>
  <c r="AI21" i="10"/>
  <c r="AQ21" i="10"/>
  <c r="AL15" i="10"/>
  <c r="AT15" i="10"/>
  <c r="AN60" i="10"/>
  <c r="AV60" i="10"/>
  <c r="AT25" i="10"/>
  <c r="AL25" i="10"/>
  <c r="AW23" i="10"/>
  <c r="AO23" i="10"/>
  <c r="AU31" i="10"/>
  <c r="AM31" i="10"/>
  <c r="AS16" i="10"/>
  <c r="AK16" i="10"/>
  <c r="AS20" i="10"/>
  <c r="AK20" i="10"/>
  <c r="AT50" i="10"/>
  <c r="AL50" i="10"/>
  <c r="AM35" i="10"/>
  <c r="AU35" i="10"/>
  <c r="AK36" i="10"/>
  <c r="AS36" i="10"/>
  <c r="AW24" i="10"/>
  <c r="AO24" i="10"/>
  <c r="AS50" i="10"/>
  <c r="AK50" i="10"/>
  <c r="AU51" i="10"/>
  <c r="AM51" i="10"/>
  <c r="AR17" i="10"/>
  <c r="AJ17" i="10"/>
  <c r="AW15" i="10"/>
  <c r="AO15" i="10"/>
  <c r="AW27" i="10"/>
  <c r="AO27" i="10"/>
  <c r="AN38" i="10"/>
  <c r="AV38" i="10"/>
  <c r="AU32" i="10"/>
  <c r="AM32" i="10"/>
  <c r="AI27" i="10"/>
  <c r="AQ27" i="10"/>
  <c r="AV51" i="10"/>
  <c r="AN51" i="10"/>
  <c r="AI39" i="10"/>
  <c r="AQ39" i="10"/>
  <c r="AW41" i="10"/>
  <c r="AO41" i="10"/>
  <c r="AS15" i="10"/>
  <c r="AK15" i="10"/>
  <c r="AT38" i="10"/>
  <c r="AL38" i="10"/>
  <c r="AM55" i="10"/>
  <c r="AU55" i="10"/>
  <c r="AR20" i="10"/>
  <c r="AJ20" i="10"/>
  <c r="AR43" i="10"/>
  <c r="AJ43" i="10"/>
  <c r="AJ19" i="10"/>
  <c r="AR19" i="10"/>
  <c r="AT33" i="10"/>
  <c r="AL33" i="10"/>
  <c r="AQ48" i="10"/>
  <c r="AI48" i="10"/>
  <c r="AL34" i="10"/>
  <c r="AT34" i="10"/>
  <c r="AR45" i="10"/>
  <c r="AJ45" i="10"/>
  <c r="AS21" i="10"/>
  <c r="AK21" i="10"/>
  <c r="AM50" i="10"/>
  <c r="AU50" i="10"/>
  <c r="AJ53" i="10"/>
  <c r="AK17" i="10"/>
  <c r="AS17" i="10"/>
  <c r="AI56" i="10"/>
  <c r="AQ56" i="10"/>
  <c r="AS42" i="10"/>
  <c r="AK42" i="10"/>
  <c r="AS32" i="10"/>
  <c r="AK32" i="10"/>
  <c r="AR27" i="10"/>
  <c r="AJ27" i="10"/>
  <c r="AJ26" i="10"/>
  <c r="AR26" i="10"/>
  <c r="AM22" i="10"/>
  <c r="AU22" i="10"/>
  <c r="AL41" i="10"/>
  <c r="AT41" i="10"/>
  <c r="AT14" i="10"/>
  <c r="AL14" i="10"/>
  <c r="AR33" i="10"/>
  <c r="AJ33" i="10"/>
  <c r="AM28" i="10"/>
  <c r="AU28" i="10"/>
  <c r="AW40" i="10"/>
  <c r="AO40" i="10"/>
  <c r="AR46" i="10"/>
  <c r="AJ46" i="10"/>
  <c r="AQ50" i="10"/>
  <c r="AI50" i="10"/>
  <c r="AK23" i="10"/>
  <c r="AS23" i="10"/>
  <c r="AK45" i="10"/>
  <c r="AS45" i="10"/>
  <c r="AV43" i="10"/>
  <c r="AN43" i="10"/>
  <c r="AR47" i="10"/>
  <c r="AJ47" i="10"/>
  <c r="AU58" i="10"/>
  <c r="AM58" i="10"/>
  <c r="AM30" i="10"/>
  <c r="AU30" i="10"/>
  <c r="AW17" i="10"/>
  <c r="AO17" i="10"/>
  <c r="AI42" i="10"/>
  <c r="AQ42" i="10"/>
  <c r="AQ28" i="10"/>
  <c r="AI28" i="10"/>
  <c r="AW33" i="10"/>
  <c r="AO33" i="10"/>
  <c r="AU27" i="10"/>
  <c r="AM27" i="10"/>
  <c r="AS37" i="10"/>
  <c r="AK37" i="10"/>
  <c r="AL32" i="10"/>
  <c r="AT32" i="10"/>
  <c r="AI47" i="10"/>
  <c r="AQ47" i="10"/>
  <c r="AQ45" i="10"/>
  <c r="AI45" i="10"/>
  <c r="AO50" i="10"/>
  <c r="AW50" i="10"/>
  <c r="AL53" i="10"/>
  <c r="AT53" i="10"/>
  <c r="AV19" i="10"/>
  <c r="AN19" i="10"/>
  <c r="AT31" i="10"/>
  <c r="AL31" i="10"/>
  <c r="AW26" i="10"/>
  <c r="AO26" i="10"/>
  <c r="AL23" i="10"/>
  <c r="AT23" i="10"/>
  <c r="AI38" i="10"/>
  <c r="AQ38" i="10"/>
  <c r="AV20" i="10"/>
  <c r="AN20" i="10"/>
  <c r="AW25" i="10"/>
  <c r="AO25" i="10"/>
  <c r="AU25" i="10"/>
  <c r="AM25" i="10"/>
  <c r="AL42" i="10"/>
  <c r="AT42" i="10"/>
  <c r="AS30" i="10"/>
  <c r="AK30" i="10"/>
  <c r="AT51" i="10"/>
  <c r="AL51" i="10"/>
  <c r="AN35" i="10"/>
  <c r="AV35" i="10"/>
  <c r="AQ24" i="10"/>
  <c r="AI24" i="10"/>
  <c r="AO44" i="10"/>
  <c r="AW44" i="10"/>
  <c r="AO47" i="10"/>
  <c r="AW47" i="10"/>
  <c r="AV42" i="10"/>
  <c r="AN42" i="10"/>
  <c r="AJ60" i="10"/>
  <c r="AN31" i="10"/>
  <c r="AV31" i="10"/>
  <c r="AI23" i="10"/>
  <c r="AQ23" i="10"/>
  <c r="AN15" i="10"/>
  <c r="AV15" i="10"/>
  <c r="AM45" i="10"/>
  <c r="AU45" i="10"/>
  <c r="AM39" i="10"/>
  <c r="AU39" i="10"/>
  <c r="AS40" i="10"/>
  <c r="AK40" i="10"/>
  <c r="AU43" i="10"/>
  <c r="AM43" i="10"/>
  <c r="AS31" i="10"/>
  <c r="AK31" i="10"/>
  <c r="AS55" i="10"/>
  <c r="AK55" i="10"/>
  <c r="AT39" i="10"/>
  <c r="AL39" i="10"/>
  <c r="AR31" i="10"/>
  <c r="AJ31" i="10"/>
  <c r="AN34" i="10"/>
  <c r="AV34" i="10"/>
  <c r="AQ49" i="10"/>
  <c r="AI49" i="10"/>
  <c r="AT47" i="10"/>
  <c r="AL47" i="10"/>
  <c r="AL36" i="10"/>
  <c r="AT36" i="10"/>
  <c r="AJ38" i="10"/>
  <c r="AR38" i="10"/>
  <c r="AV16" i="10"/>
  <c r="AN16" i="10"/>
  <c r="AM19" i="10"/>
  <c r="AU19" i="10"/>
  <c r="AJ49" i="10"/>
  <c r="AR24" i="10"/>
  <c r="AJ24" i="10"/>
  <c r="AQ43" i="10"/>
  <c r="AI43" i="10"/>
  <c r="AV52" i="10"/>
  <c r="AN52" i="10"/>
  <c r="AO43" i="10"/>
  <c r="AW43" i="10"/>
  <c r="AN28" i="10"/>
  <c r="AV28" i="10"/>
  <c r="AK34" i="10"/>
  <c r="AS34" i="10"/>
  <c r="AN41" i="10"/>
  <c r="AV41" i="10"/>
  <c r="AU41" i="10"/>
  <c r="AM41" i="10"/>
  <c r="AM54" i="10"/>
  <c r="AU54" i="10"/>
  <c r="AU36" i="10"/>
  <c r="AM36" i="10"/>
  <c r="AQ26" i="10"/>
  <c r="AI26" i="10"/>
  <c r="AO58" i="10"/>
  <c r="AW58" i="10"/>
  <c r="AL55" i="10"/>
  <c r="AT55" i="10"/>
  <c r="AV26" i="10"/>
  <c r="AN26" i="10"/>
  <c r="AS35" i="10"/>
  <c r="AK35" i="10"/>
  <c r="AL27" i="10"/>
  <c r="AT27" i="10"/>
  <c r="AO16" i="10"/>
  <c r="AW16" i="10"/>
  <c r="AL59" i="10"/>
  <c r="AO30" i="10"/>
  <c r="AW30" i="10"/>
  <c r="AM37" i="10"/>
  <c r="AU37" i="10"/>
  <c r="AV37" i="10"/>
  <c r="AN37" i="10"/>
  <c r="AL45" i="10"/>
  <c r="AT45" i="10"/>
  <c r="AQ51" i="10"/>
  <c r="AI51" i="10"/>
  <c r="AO57" i="10"/>
  <c r="AW57" i="10"/>
  <c r="AU26" i="10"/>
  <c r="AM26" i="10"/>
  <c r="AR36" i="10"/>
  <c r="AJ36" i="10"/>
  <c r="AQ46" i="10"/>
  <c r="AI46" i="10"/>
  <c r="AN39" i="10"/>
  <c r="AV39" i="10"/>
  <c r="AN59" i="10"/>
  <c r="AV59" i="10"/>
  <c r="AK56" i="10"/>
  <c r="AS56" i="10"/>
  <c r="AW49" i="10"/>
  <c r="AO49" i="10"/>
  <c r="AS26" i="10"/>
  <c r="AK26" i="10"/>
  <c r="AW28" i="10"/>
  <c r="AO28" i="10"/>
  <c r="AW35" i="10"/>
  <c r="AO35" i="10"/>
  <c r="AJ55" i="10"/>
  <c r="AS39" i="10"/>
  <c r="AK39" i="10"/>
  <c r="AQ30" i="10"/>
  <c r="AI30" i="10"/>
  <c r="V10" i="10"/>
  <c r="AL13" i="10"/>
  <c r="N61" i="10"/>
  <c r="AT13" i="10"/>
  <c r="AT54" i="10"/>
  <c r="AL54" i="10"/>
  <c r="AT43" i="10"/>
  <c r="AL43" i="10"/>
  <c r="AI32" i="10"/>
  <c r="AQ32" i="10"/>
  <c r="AO51" i="10"/>
  <c r="AW51" i="10"/>
  <c r="AT20" i="10"/>
  <c r="AL20" i="10"/>
  <c r="AK38" i="10"/>
  <c r="AS38" i="10"/>
  <c r="AO29" i="10"/>
  <c r="AW29" i="10"/>
  <c r="AV21" i="10"/>
  <c r="AN21" i="10"/>
  <c r="AN48" i="10"/>
  <c r="AV48" i="10"/>
  <c r="AK60" i="10"/>
  <c r="AS60" i="10"/>
  <c r="AO18" i="10"/>
  <c r="AW18" i="10"/>
  <c r="AI17" i="10"/>
  <c r="AQ17" i="10"/>
  <c r="AQ20" i="10"/>
  <c r="AI20" i="10"/>
  <c r="AK47" i="10"/>
  <c r="AS47" i="10"/>
  <c r="AQ37" i="10"/>
  <c r="AI37" i="10"/>
  <c r="AT48" i="10"/>
  <c r="AL48" i="10"/>
  <c r="AU14" i="10"/>
  <c r="AM14" i="10"/>
  <c r="AS28" i="10"/>
  <c r="AK28" i="10"/>
  <c r="AS33" i="10"/>
  <c r="AK33" i="10"/>
  <c r="AL58" i="10"/>
  <c r="AT58" i="10"/>
  <c r="AM48" i="10"/>
  <c r="AU48" i="10"/>
  <c r="AU24" i="10"/>
  <c r="AM24" i="10"/>
  <c r="AN33" i="10"/>
  <c r="AV33" i="10"/>
  <c r="AU33" i="10"/>
  <c r="AM33" i="10"/>
  <c r="AV55" i="10"/>
  <c r="AN55" i="10"/>
  <c r="AM52" i="10"/>
  <c r="AU52" i="10"/>
  <c r="AR15" i="10"/>
  <c r="AJ15" i="10"/>
  <c r="W10" i="10"/>
  <c r="AM13" i="10"/>
  <c r="AU13" i="10"/>
  <c r="O61" i="10"/>
  <c r="AW46" i="10"/>
  <c r="AO46" i="10"/>
  <c r="AQ41" i="10"/>
  <c r="AI41" i="10"/>
  <c r="AL40" i="10"/>
  <c r="AT40" i="10"/>
  <c r="AV18" i="10"/>
  <c r="AN18" i="10"/>
  <c r="AI59" i="10"/>
  <c r="AQ59" i="10"/>
  <c r="AR39" i="10"/>
  <c r="AJ39" i="10"/>
  <c r="AW48" i="10"/>
  <c r="AO48" i="10"/>
  <c r="AQ60" i="10"/>
  <c r="AI60" i="10"/>
  <c r="AS14" i="10"/>
  <c r="AK14" i="10"/>
  <c r="AJ56" i="10"/>
  <c r="AT49" i="10"/>
  <c r="AL49" i="10"/>
  <c r="AU38" i="10"/>
  <c r="AM38" i="10"/>
  <c r="B29" i="12"/>
  <c r="AP28" i="12"/>
  <c r="B29" i="13"/>
  <c r="AP28" i="13"/>
  <c r="B29" i="11"/>
  <c r="AP28" i="11"/>
  <c r="B29" i="9"/>
  <c r="AP28" i="9"/>
  <c r="B29" i="10"/>
  <c r="AP28" i="10"/>
  <c r="B29" i="8"/>
  <c r="AP28" i="8"/>
  <c r="P56" i="17"/>
  <c r="K37" i="17"/>
  <c r="N58" i="17"/>
  <c r="I30" i="5" a="1"/>
  <c r="Q50" i="17"/>
  <c r="K43" i="17"/>
  <c r="I22" i="5" a="1"/>
  <c r="G38" i="5" a="1"/>
  <c r="G28" i="5" a="1"/>
  <c r="E34" i="3" a="1"/>
  <c r="N42" i="17"/>
  <c r="I44" i="5" a="1"/>
  <c r="L50" i="17"/>
  <c r="P46" i="17"/>
  <c r="P23" i="17"/>
  <c r="O40" i="17"/>
  <c r="J23" i="5" a="1"/>
  <c r="M44" i="17"/>
  <c r="J40" i="5" a="1"/>
  <c r="E45" i="3" a="1"/>
  <c r="E26" i="3" a="1"/>
  <c r="G43" i="5" a="1"/>
  <c r="P43" i="17"/>
  <c r="M22" i="17"/>
  <c r="Q53" i="17"/>
  <c r="G45" i="5" a="1"/>
  <c r="J33" i="5" a="1"/>
  <c r="O33" i="17"/>
  <c r="E54" i="3" a="1"/>
  <c r="G29" i="5" a="1"/>
  <c r="L42" i="17"/>
  <c r="I33" i="5" a="1"/>
  <c r="O49" i="17"/>
  <c r="M21" i="17"/>
  <c r="P49" i="17"/>
  <c r="O36" i="17"/>
  <c r="K33" i="17"/>
  <c r="L36" i="17"/>
  <c r="Q60" i="17"/>
  <c r="P39" i="17"/>
  <c r="M43" i="17"/>
  <c r="J37" i="5" a="1"/>
  <c r="I45" i="5" a="1"/>
  <c r="E61" i="3" a="1"/>
  <c r="O56" i="17"/>
  <c r="L31" i="17"/>
  <c r="Q32" i="17"/>
  <c r="Q52" i="17"/>
  <c r="K28" i="17"/>
  <c r="N47" i="17"/>
  <c r="M25" i="17"/>
  <c r="P52" i="17"/>
  <c r="Q31" i="17"/>
  <c r="O37" i="17"/>
  <c r="E32" i="3" a="1"/>
  <c r="E31" i="3" a="1"/>
  <c r="AB50" i="17"/>
  <c r="AN41" i="17"/>
  <c r="AM29" i="17"/>
  <c r="AF49" i="17"/>
  <c r="AA41" i="17"/>
  <c r="AK25" i="17"/>
  <c r="AO21" i="17"/>
  <c r="AO53" i="17"/>
  <c r="AC30" i="17"/>
  <c r="AN51" i="17"/>
  <c r="AO28" i="17"/>
  <c r="AI24" i="17"/>
  <c r="AM44" i="17"/>
  <c r="AA57" i="17"/>
  <c r="AI23" i="17"/>
  <c r="AJ57" i="17"/>
  <c r="AG28" i="17"/>
  <c r="AG59" i="17"/>
  <c r="AE43" i="17"/>
  <c r="AF29" i="17"/>
  <c r="AC52" i="17"/>
  <c r="AN50" i="17"/>
  <c r="AJ41" i="17"/>
  <c r="AI60" i="17"/>
  <c r="AJ56" i="17"/>
  <c r="AL50" i="17"/>
  <c r="AC48" i="17"/>
  <c r="AG44" i="17"/>
  <c r="AG49" i="17"/>
  <c r="AB44" i="17"/>
  <c r="AE59" i="17"/>
  <c r="AN30" i="17"/>
  <c r="AK53" i="17"/>
  <c r="AI34" i="17"/>
  <c r="AL35" i="17"/>
  <c r="AB26" i="17"/>
  <c r="AE27" i="17"/>
  <c r="AO37" i="17"/>
  <c r="Q35" i="17"/>
  <c r="L53" i="17"/>
  <c r="Q44" i="17"/>
  <c r="K26" i="17"/>
  <c r="L47" i="17"/>
  <c r="N45" i="17"/>
  <c r="M27" i="17"/>
  <c r="M30" i="17"/>
  <c r="E36" i="3" a="1"/>
  <c r="J42" i="5" a="1"/>
  <c r="N26" i="17"/>
  <c r="G46" i="5" a="1"/>
  <c r="Q22" i="17"/>
  <c r="E18" i="3" a="1"/>
  <c r="L45" i="17"/>
  <c r="K48" i="17"/>
  <c r="K29" i="17"/>
  <c r="Q39" i="17"/>
  <c r="K60" i="17"/>
  <c r="L24" i="17"/>
  <c r="L55" i="17"/>
  <c r="K25" i="17"/>
  <c r="Q28" i="17"/>
  <c r="I25" i="5" a="1"/>
  <c r="E19" i="3" a="1"/>
  <c r="G36" i="5" a="1"/>
  <c r="J41" i="5" a="1"/>
  <c r="L26" i="17"/>
  <c r="P20" i="17"/>
  <c r="P32" i="17"/>
  <c r="P30" i="17"/>
  <c r="L59" i="17"/>
  <c r="I32" i="5" a="1"/>
  <c r="N53" i="17"/>
  <c r="O55" i="17"/>
  <c r="Q24" i="17"/>
  <c r="J39" i="5" a="1"/>
  <c r="E65" i="3" a="1"/>
  <c r="E56" i="3" a="1"/>
  <c r="K41" i="17"/>
  <c r="L28" i="17"/>
  <c r="M59" i="17"/>
  <c r="M56" i="17"/>
  <c r="L35" i="17"/>
  <c r="G35" i="5" a="1"/>
  <c r="O54" i="17"/>
  <c r="O34" i="17"/>
  <c r="M34" i="17"/>
  <c r="J32" i="5" a="1"/>
  <c r="G48" i="2" a="1"/>
  <c r="K44" i="17"/>
  <c r="P42" i="17"/>
  <c r="J21" i="5"/>
  <c r="N22" i="17"/>
  <c r="I29" i="5" a="1"/>
  <c r="AG47" i="17"/>
  <c r="AJ24" i="17"/>
  <c r="AL51" i="17"/>
  <c r="AC43" i="17"/>
  <c r="AD59" i="17"/>
  <c r="AA30" i="17"/>
  <c r="AD31" i="17"/>
  <c r="AF34" i="17"/>
  <c r="AO57" i="17"/>
  <c r="AL30" i="17"/>
  <c r="AK32" i="17"/>
  <c r="AL20" i="17"/>
  <c r="AM35" i="17"/>
  <c r="AE23" i="17"/>
  <c r="AO43" i="17"/>
  <c r="AE28" i="17"/>
  <c r="AB37" i="17"/>
  <c r="AK35" i="17"/>
  <c r="AD23" i="17"/>
  <c r="AG21" i="17"/>
  <c r="AK22" i="17"/>
  <c r="AO22" i="17"/>
  <c r="AC57" i="17"/>
  <c r="AN56" i="17"/>
  <c r="AF47" i="17"/>
  <c r="AD55" i="17"/>
  <c r="AO46" i="17"/>
  <c r="AF57" i="17"/>
  <c r="AD57" i="17"/>
  <c r="AL54" i="17"/>
  <c r="AB56" i="17"/>
  <c r="AG30" i="17"/>
  <c r="AC54" i="17"/>
  <c r="AI35" i="17"/>
  <c r="AN20" i="17"/>
  <c r="AE41" i="17"/>
  <c r="AC59" i="17"/>
  <c r="AA25" i="17"/>
  <c r="AI58" i="17"/>
  <c r="AK45" i="17"/>
  <c r="AE50" i="17"/>
  <c r="AO23" i="17"/>
  <c r="AL48" i="17"/>
  <c r="AC45" i="17"/>
  <c r="AL39" i="17"/>
  <c r="AI52" i="17"/>
  <c r="AM25" i="17"/>
  <c r="AI54" i="17"/>
  <c r="AD54" i="17"/>
  <c r="AN21" i="17"/>
  <c r="AI21" i="17"/>
  <c r="AJ39" i="17"/>
  <c r="AA31" i="17"/>
  <c r="AC40" i="17"/>
  <c r="AI39" i="17"/>
  <c r="AI28" i="17"/>
  <c r="AK26" i="17"/>
  <c r="AK41" i="17"/>
  <c r="AA48" i="17"/>
  <c r="AO48" i="17"/>
  <c r="AM47" i="17"/>
  <c r="AI57" i="17"/>
  <c r="AM45" i="17"/>
  <c r="AD58" i="17"/>
  <c r="AI36" i="17"/>
  <c r="AJ35" i="17"/>
  <c r="AA42" i="17"/>
  <c r="AO30" i="17"/>
  <c r="AA47" i="17"/>
  <c r="AE22" i="17"/>
  <c r="AC47" i="17"/>
  <c r="AN29" i="17"/>
  <c r="Q57" i="17"/>
  <c r="Q42" i="17"/>
  <c r="E63" i="3" a="1"/>
  <c r="G32" i="5" a="1"/>
  <c r="L54" i="17"/>
  <c r="L51" i="17"/>
  <c r="M23" i="17"/>
  <c r="M54" i="17"/>
  <c r="M37" i="17"/>
  <c r="M38" i="17"/>
  <c r="O45" i="17"/>
  <c r="O51" i="17"/>
  <c r="M26" i="17"/>
  <c r="P37" i="17"/>
  <c r="J27" i="5" a="1"/>
  <c r="J29" i="5" a="1"/>
  <c r="Q43" i="17"/>
  <c r="O60" i="17"/>
  <c r="O29" i="17"/>
  <c r="H32" i="2" a="1"/>
  <c r="L30" i="17"/>
  <c r="Q30" i="17"/>
  <c r="N31" i="17"/>
  <c r="Q29" i="17"/>
  <c r="Q47" i="17"/>
  <c r="K50" i="17"/>
  <c r="O50" i="17"/>
  <c r="O35" i="17"/>
  <c r="Q56" i="17"/>
  <c r="E30" i="3" a="1"/>
  <c r="K40" i="17"/>
  <c r="Q27" i="17"/>
  <c r="N27" i="17"/>
  <c r="Q20" i="17"/>
  <c r="K52" i="17"/>
  <c r="O22" i="17"/>
  <c r="K23" i="17"/>
  <c r="E41" i="3" a="1"/>
  <c r="J19" i="5" a="1"/>
  <c r="J34" i="5" a="1"/>
  <c r="N37" i="17"/>
  <c r="D74" i="2" a="1"/>
  <c r="L20" i="17"/>
  <c r="N50" i="17"/>
  <c r="I32" i="1" a="1"/>
  <c r="K58" i="17"/>
  <c r="M29" i="17"/>
  <c r="L39" i="17"/>
  <c r="M51" i="17"/>
  <c r="P31" i="17"/>
  <c r="K38" i="17"/>
  <c r="Q34" i="17"/>
  <c r="O28" i="17"/>
  <c r="L32" i="17"/>
  <c r="E50" i="3" a="1"/>
  <c r="AO52" i="17"/>
  <c r="AE29" i="17"/>
  <c r="AD27" i="17"/>
  <c r="AL52" i="17"/>
  <c r="AA55" i="17"/>
  <c r="AD28" i="17"/>
  <c r="AG31" i="17"/>
  <c r="AM38" i="17"/>
  <c r="AK49" i="17"/>
  <c r="AJ30" i="17"/>
  <c r="AK40" i="17"/>
  <c r="AC41" i="17"/>
  <c r="AF35" i="17"/>
  <c r="AF28" i="17"/>
  <c r="AA50" i="17"/>
  <c r="AF31" i="17"/>
  <c r="AK54" i="17"/>
  <c r="AE52" i="17"/>
  <c r="AF26" i="17"/>
  <c r="AG43" i="17"/>
  <c r="AK23" i="17"/>
  <c r="AB39" i="17"/>
  <c r="AD50" i="17"/>
  <c r="AJ46" i="17"/>
  <c r="AE37" i="17"/>
  <c r="AM31" i="17"/>
  <c r="AG20" i="17"/>
  <c r="AJ21" i="17"/>
  <c r="AN60" i="17"/>
  <c r="AN47" i="17"/>
  <c r="AL44" i="17"/>
  <c r="AG39" i="17"/>
  <c r="AD40" i="17"/>
  <c r="AC25" i="17"/>
  <c r="AG41" i="17"/>
  <c r="AJ52" i="17"/>
  <c r="AJ60" i="17"/>
  <c r="AJ45" i="17"/>
  <c r="AC39" i="17"/>
  <c r="AD21" i="17"/>
  <c r="AK51" i="17"/>
  <c r="AM59" i="17"/>
  <c r="AA59" i="17"/>
  <c r="AA45" i="17"/>
  <c r="AF21" i="17"/>
  <c r="AJ59" i="17"/>
  <c r="AO59" i="17"/>
  <c r="AB48" i="17"/>
  <c r="AB21" i="17"/>
  <c r="AL53" i="17"/>
  <c r="AD48" i="17"/>
  <c r="AL34" i="17"/>
  <c r="AG45" i="17"/>
  <c r="AM22" i="17"/>
  <c r="AN55" i="17"/>
  <c r="AO45" i="17"/>
  <c r="AN24" i="17"/>
  <c r="AK58" i="17"/>
  <c r="AB31" i="17"/>
  <c r="AK42" i="17"/>
  <c r="AA26" i="17"/>
  <c r="AA20" i="17"/>
  <c r="AE33" i="17"/>
  <c r="AC23" i="17"/>
  <c r="AF23" i="17"/>
  <c r="AD60" i="17"/>
  <c r="AI27" i="17"/>
  <c r="AD20" i="17"/>
  <c r="L25" i="17"/>
  <c r="D77" i="2" a="1"/>
  <c r="M47" i="17"/>
  <c r="E53" i="3" a="1"/>
  <c r="Q38" i="17"/>
  <c r="N54" i="17"/>
  <c r="M46" i="17"/>
  <c r="O43" i="17"/>
  <c r="E44" i="3" a="1"/>
  <c r="N44" i="17"/>
  <c r="G37" i="5" a="1"/>
  <c r="O46" i="17"/>
  <c r="O58" i="17"/>
  <c r="O53" i="17"/>
  <c r="O57" i="17"/>
  <c r="I36" i="5" a="1"/>
  <c r="Q48" i="17"/>
  <c r="J46" i="5" a="1"/>
  <c r="N56" i="17"/>
  <c r="I48" i="5" a="1"/>
  <c r="J18" i="5"/>
  <c r="O47" i="17"/>
  <c r="L43" i="17"/>
  <c r="P28" i="17"/>
  <c r="M35" i="17"/>
  <c r="P44" i="17"/>
  <c r="P48" i="17"/>
  <c r="K36" i="17"/>
  <c r="P21" i="17"/>
  <c r="E46" i="3" a="1"/>
  <c r="O39" i="17"/>
  <c r="I38" i="5" a="1"/>
  <c r="E23" i="3" a="1"/>
  <c r="I34" i="5" a="1"/>
  <c r="E43" i="3" a="1"/>
  <c r="E59" i="3" a="1"/>
  <c r="M48" i="17"/>
  <c r="I21" i="5"/>
  <c r="P22" i="17"/>
  <c r="E35" i="3" a="1"/>
  <c r="P40" i="17"/>
  <c r="K21" i="17"/>
  <c r="I42" i="5" a="1"/>
  <c r="G27" i="5" a="1"/>
  <c r="K49" i="17"/>
  <c r="G39" i="5" a="1"/>
  <c r="I41" i="5" a="1"/>
  <c r="Q54" i="17"/>
  <c r="M50" i="17"/>
  <c r="I35" i="1" a="1"/>
  <c r="O27" i="17"/>
  <c r="J28" i="5" a="1"/>
  <c r="L56" i="17"/>
  <c r="E37" i="3" a="1"/>
  <c r="K27" i="17"/>
  <c r="AI51" i="17"/>
  <c r="AK29" i="17"/>
  <c r="AB41" i="17"/>
  <c r="AE56" i="17"/>
  <c r="AB57" i="17"/>
  <c r="AD51" i="17"/>
  <c r="AM24" i="17"/>
  <c r="AB33" i="17"/>
  <c r="AJ25" i="17"/>
  <c r="AF33" i="17"/>
  <c r="AD33" i="17"/>
  <c r="AK56" i="17"/>
  <c r="AD39" i="17"/>
  <c r="AJ36" i="17"/>
  <c r="AB38" i="17"/>
  <c r="AK46" i="17"/>
  <c r="AD56" i="17"/>
  <c r="AF41" i="17"/>
  <c r="AG34" i="17"/>
  <c r="AJ43" i="17"/>
  <c r="AB30" i="17"/>
  <c r="AL36" i="17"/>
  <c r="AD45" i="17"/>
  <c r="AI48" i="17"/>
  <c r="AN25" i="17"/>
  <c r="AJ33" i="17"/>
  <c r="AJ22" i="17"/>
  <c r="AK44" i="17"/>
  <c r="AL47" i="17"/>
  <c r="AA60" i="17"/>
  <c r="AD30" i="17"/>
  <c r="AN49" i="17"/>
  <c r="AL37" i="17"/>
  <c r="AC58" i="17"/>
  <c r="AB24" i="17"/>
  <c r="AN48" i="17"/>
  <c r="AG57" i="17"/>
  <c r="AC22" i="17"/>
  <c r="AN28" i="17"/>
  <c r="AA43" i="17"/>
  <c r="AE24" i="17"/>
  <c r="AO40" i="17"/>
  <c r="AB51" i="17"/>
  <c r="AM48" i="17"/>
  <c r="AO20" i="17"/>
  <c r="E48" i="3" a="1"/>
  <c r="J20" i="5" a="1"/>
  <c r="P36" i="17"/>
  <c r="E64" i="3" a="1"/>
  <c r="E29" i="3" a="1"/>
  <c r="P47" i="17"/>
  <c r="P41" i="17"/>
  <c r="M31" i="17"/>
  <c r="K46" i="17"/>
  <c r="J45" i="5" a="1"/>
  <c r="J26" i="5" a="1"/>
  <c r="Q59" i="17"/>
  <c r="Q21" i="17"/>
  <c r="L37" i="17"/>
  <c r="G44" i="5" a="1"/>
  <c r="M36" i="17"/>
  <c r="P29" i="17"/>
  <c r="J24" i="5" a="1"/>
  <c r="N48" i="17"/>
  <c r="K24" i="17"/>
  <c r="M49" i="17"/>
  <c r="I20" i="5" a="1"/>
  <c r="G49" i="5" a="1"/>
  <c r="P38" i="17"/>
  <c r="P26" i="17"/>
  <c r="J49" i="5" a="1"/>
  <c r="D75" i="2" a="1"/>
  <c r="O48" i="17"/>
  <c r="N52" i="17"/>
  <c r="L34" i="17"/>
  <c r="G22" i="5" a="1"/>
  <c r="G48" i="5" a="1"/>
  <c r="O26" i="17"/>
  <c r="L41" i="17"/>
  <c r="N60" i="17"/>
  <c r="Q45" i="17"/>
  <c r="G41" i="5" a="1"/>
  <c r="Q49" i="17"/>
  <c r="Q23" i="17"/>
  <c r="L48" i="17"/>
  <c r="Q55" i="17"/>
  <c r="D72" i="2" a="1"/>
  <c r="E40" i="3" a="1"/>
  <c r="K59" i="17"/>
  <c r="I18" i="5"/>
  <c r="D71" i="2" a="1"/>
  <c r="J44" i="5" a="1"/>
  <c r="G26" i="5" a="1"/>
  <c r="E49" i="3" a="1"/>
  <c r="L38" i="17"/>
  <c r="P27" i="17"/>
  <c r="M53" i="17"/>
  <c r="E62" i="3" a="1"/>
  <c r="E38" i="3" a="1"/>
  <c r="O41" i="17"/>
  <c r="AJ37" i="17"/>
  <c r="AK57" i="17"/>
  <c r="AA46" i="17"/>
  <c r="AJ42" i="17"/>
  <c r="M45" i="17"/>
  <c r="L27" i="17"/>
  <c r="D33" i="1" a="1"/>
  <c r="M42" i="17"/>
  <c r="N40" i="17"/>
  <c r="N35" i="17"/>
  <c r="P34" i="17"/>
  <c r="M32" i="17"/>
  <c r="E28" i="3" a="1"/>
  <c r="E60" i="3" a="1"/>
  <c r="G19" i="5" a="1"/>
  <c r="N28" i="17"/>
  <c r="J31" i="5" a="1"/>
  <c r="K31" i="17"/>
  <c r="Q36" i="17"/>
  <c r="L23" i="17"/>
  <c r="M60" i="17"/>
  <c r="N38" i="17"/>
  <c r="N20" i="17"/>
  <c r="K51" i="17"/>
  <c r="E52" i="3" a="1"/>
  <c r="N32" i="17"/>
  <c r="N57" i="17"/>
  <c r="N59" i="17"/>
  <c r="AJ32" i="17"/>
  <c r="AG32" i="17"/>
  <c r="AE60" i="17"/>
  <c r="AD42" i="17"/>
  <c r="AL42" i="17"/>
  <c r="AG22" i="17"/>
  <c r="AG46" i="17"/>
  <c r="AJ51" i="17"/>
  <c r="AM58" i="17"/>
  <c r="AJ40" i="17"/>
  <c r="AO42" i="17"/>
  <c r="AE49" i="17"/>
  <c r="AJ58" i="17"/>
  <c r="AB59" i="17"/>
  <c r="AJ27" i="17"/>
  <c r="AG33" i="17"/>
  <c r="AM51" i="17"/>
  <c r="AM49" i="17"/>
  <c r="AE32" i="17"/>
  <c r="AM56" i="17"/>
  <c r="AA58" i="17"/>
  <c r="AE42" i="17"/>
  <c r="AC50" i="17"/>
  <c r="AC33" i="17"/>
  <c r="AE38" i="17"/>
  <c r="AA40" i="17"/>
  <c r="AO35" i="17"/>
  <c r="AE20" i="17"/>
  <c r="AO38" i="17"/>
  <c r="AF27" i="17"/>
  <c r="AC34" i="17"/>
  <c r="AA54" i="17"/>
  <c r="AL24" i="17"/>
  <c r="AM20" i="17"/>
  <c r="AL60" i="17"/>
  <c r="AE44" i="17"/>
  <c r="AL32" i="17"/>
  <c r="AI29" i="17"/>
  <c r="AB34" i="17"/>
  <c r="AJ23" i="17"/>
  <c r="AA56" i="17"/>
  <c r="AA33" i="17"/>
  <c r="AL28" i="17"/>
  <c r="AJ55" i="17"/>
  <c r="AE51" i="10"/>
  <c r="AF43" i="10"/>
  <c r="AF24" i="10"/>
  <c r="AA59" i="10"/>
  <c r="AC56" i="10"/>
  <c r="AC31" i="10"/>
  <c r="AE55" i="10"/>
  <c r="AG45" i="10"/>
  <c r="AB26" i="10"/>
  <c r="AA35" i="10"/>
  <c r="AA42" i="10"/>
  <c r="AE41" i="10"/>
  <c r="AF29" i="10"/>
  <c r="AB40" i="10"/>
  <c r="AA36" i="10"/>
  <c r="AC22" i="10"/>
  <c r="AD54" i="10"/>
  <c r="AA14" i="10"/>
  <c r="AC26" i="10"/>
  <c r="AF47" i="10"/>
  <c r="AB27" i="10"/>
  <c r="AA49" i="10"/>
  <c r="AA45" i="10"/>
  <c r="AF16" i="10"/>
  <c r="AB25" i="10"/>
  <c r="AF36" i="10"/>
  <c r="AA19" i="10"/>
  <c r="AC21" i="10"/>
  <c r="AF41" i="10"/>
  <c r="AB37" i="10"/>
  <c r="AC45" i="10"/>
  <c r="AG14" i="10"/>
  <c r="AD44" i="10"/>
  <c r="AA30" i="10"/>
  <c r="AF42" i="10"/>
  <c r="AF44" i="10"/>
  <c r="AF55" i="10"/>
  <c r="AE38" i="10"/>
  <c r="AB30" i="10"/>
  <c r="AB18" i="10"/>
  <c r="AD46" i="10"/>
  <c r="AE36" i="10"/>
  <c r="AF40" i="13"/>
  <c r="AB18" i="13"/>
  <c r="AA39" i="13"/>
  <c r="AE41" i="13"/>
  <c r="AB54" i="13"/>
  <c r="AB42" i="9"/>
  <c r="AG24" i="9"/>
  <c r="AF36" i="9"/>
  <c r="AF42" i="9"/>
  <c r="AD37" i="9"/>
  <c r="I31" i="5" a="1"/>
  <c r="K32" i="17"/>
  <c r="L33" i="17"/>
  <c r="N49" i="17"/>
  <c r="E42" i="3" a="1"/>
  <c r="K20" i="17"/>
  <c r="G21" i="5" a="1"/>
  <c r="K42" i="17"/>
  <c r="I27" i="5" a="1"/>
  <c r="O31" i="17"/>
  <c r="M39" i="17"/>
  <c r="K30" i="17"/>
  <c r="Q51" i="17"/>
  <c r="O32" i="17"/>
  <c r="O42" i="17"/>
  <c r="P54" i="17"/>
  <c r="Q40" i="17"/>
  <c r="L29" i="17"/>
  <c r="K45" i="17"/>
  <c r="O23" i="17"/>
  <c r="G23" i="5" a="1"/>
  <c r="P45" i="17"/>
  <c r="O52" i="17"/>
  <c r="M41" i="17"/>
  <c r="E51" i="3" a="1"/>
  <c r="M55" i="17"/>
  <c r="K57" i="17"/>
  <c r="E20" i="3" a="1"/>
  <c r="N46" i="17"/>
  <c r="J38" i="5" a="1"/>
  <c r="P59" i="17"/>
  <c r="AF38" i="17"/>
  <c r="AK31" i="17"/>
  <c r="Q58" i="17"/>
  <c r="Q46" i="17"/>
  <c r="N24" i="17"/>
  <c r="M33" i="17"/>
  <c r="E58" i="3" a="1"/>
  <c r="E47" i="3" a="1"/>
  <c r="K56" i="17"/>
  <c r="O30" i="17"/>
  <c r="G40" i="5" a="1"/>
  <c r="I28" i="5" a="1"/>
  <c r="Q25" i="17"/>
  <c r="J22" i="5" a="1"/>
  <c r="K47" i="17"/>
  <c r="M24" i="17"/>
  <c r="O44" i="17"/>
  <c r="L52" i="17"/>
  <c r="O24" i="17"/>
  <c r="E21" i="3" a="1"/>
  <c r="K55" i="17"/>
  <c r="Q33" i="17"/>
  <c r="P51" i="17"/>
  <c r="AF56" i="17"/>
  <c r="AM52" i="17"/>
  <c r="AI26" i="17"/>
  <c r="AB58" i="17"/>
  <c r="AJ20" i="17"/>
  <c r="AN32" i="17"/>
  <c r="AK37" i="17"/>
  <c r="AM21" i="17"/>
  <c r="AM57" i="17"/>
  <c r="AI33" i="17"/>
  <c r="AG52" i="17"/>
  <c r="AO33" i="17"/>
  <c r="AN40" i="17"/>
  <c r="AL26" i="17"/>
  <c r="AC35" i="17"/>
  <c r="AE36" i="17"/>
  <c r="AK39" i="17"/>
  <c r="AF51" i="17"/>
  <c r="AN46" i="17"/>
  <c r="AJ28" i="17"/>
  <c r="AE31" i="17"/>
  <c r="AI50" i="17"/>
  <c r="AG51" i="17"/>
  <c r="AK20" i="17"/>
  <c r="AG56" i="17"/>
  <c r="AA24" i="17"/>
  <c r="AD49" i="17"/>
  <c r="AO54" i="17"/>
  <c r="AC21" i="17"/>
  <c r="AM27" i="17"/>
  <c r="AB47" i="17"/>
  <c r="AJ26" i="17"/>
  <c r="AN57" i="17"/>
  <c r="AG38" i="17"/>
  <c r="AD43" i="17"/>
  <c r="AB42" i="17"/>
  <c r="AC36" i="17"/>
  <c r="AA49" i="17"/>
  <c r="AJ50" i="17"/>
  <c r="AI49" i="17"/>
  <c r="AD29" i="17"/>
  <c r="AG35" i="17"/>
  <c r="AI42" i="17"/>
  <c r="AE29" i="10"/>
  <c r="AC18" i="10"/>
  <c r="AF28" i="10"/>
  <c r="AC51" i="10"/>
  <c r="AE56" i="10"/>
  <c r="AF52" i="10"/>
  <c r="AG26" i="10"/>
  <c r="AD32" i="10"/>
  <c r="AA54" i="10"/>
  <c r="AA37" i="10"/>
  <c r="AE45" i="10"/>
  <c r="AG47" i="10"/>
  <c r="AF40" i="10"/>
  <c r="AD24" i="10"/>
  <c r="AG19" i="10"/>
  <c r="AD19" i="10"/>
  <c r="AG49" i="10"/>
  <c r="AC14" i="10"/>
  <c r="AC13" i="10"/>
  <c r="AA21" i="10"/>
  <c r="AC58" i="10"/>
  <c r="AE53" i="10"/>
  <c r="AE35" i="10"/>
  <c r="AE47" i="10"/>
  <c r="AC47" i="10"/>
  <c r="AB50" i="10"/>
  <c r="AA31" i="10"/>
  <c r="AB38" i="10"/>
  <c r="AB14" i="10"/>
  <c r="AG18" i="10"/>
  <c r="AC24" i="10"/>
  <c r="AB43" i="10"/>
  <c r="AA15" i="10"/>
  <c r="AC39" i="10"/>
  <c r="AE28" i="10"/>
  <c r="AE31" i="10"/>
  <c r="AD37" i="10"/>
  <c r="AE46" i="10"/>
  <c r="AE40" i="10"/>
  <c r="AG16" i="10"/>
  <c r="AD56" i="10"/>
  <c r="AG57" i="10"/>
  <c r="AD42" i="13"/>
  <c r="AC44" i="13"/>
  <c r="AB19" i="13"/>
  <c r="AE49" i="13"/>
  <c r="AD23" i="13"/>
  <c r="AF38" i="13"/>
  <c r="AA55" i="9"/>
  <c r="O59" i="17"/>
  <c r="Q26" i="17"/>
  <c r="G33" i="5" a="1"/>
  <c r="L49" i="17"/>
  <c r="K35" i="17"/>
  <c r="N51" i="17"/>
  <c r="N43" i="17"/>
  <c r="O38" i="17"/>
  <c r="Q37" i="17"/>
  <c r="M52" i="17"/>
  <c r="I37" i="5" a="1"/>
  <c r="G25" i="5" a="1"/>
  <c r="E24" i="3" a="1"/>
  <c r="E25" i="3" a="1"/>
  <c r="O20" i="17"/>
  <c r="I39" i="5" a="1"/>
  <c r="I24" i="5" a="1"/>
  <c r="P24" i="17"/>
  <c r="N25" i="17"/>
  <c r="J43" i="5" a="1"/>
  <c r="J47" i="5" a="1"/>
  <c r="AJ29" i="17"/>
  <c r="AD53" i="17"/>
  <c r="AL56" i="17"/>
  <c r="AL33" i="17"/>
  <c r="AF60" i="17"/>
  <c r="AO55" i="17"/>
  <c r="AE48" i="17"/>
  <c r="AN44" i="17"/>
  <c r="AC44" i="17"/>
  <c r="AE40" i="17"/>
  <c r="AD22" i="17"/>
  <c r="AK24" i="17"/>
  <c r="AN22" i="17"/>
  <c r="AA28" i="17"/>
  <c r="AM55" i="17"/>
  <c r="AJ54" i="17"/>
  <c r="AN27" i="17"/>
  <c r="AG37" i="17"/>
  <c r="AE39" i="17"/>
  <c r="AL23" i="17"/>
  <c r="AI53" i="17"/>
  <c r="AE54" i="17"/>
  <c r="AA21" i="17"/>
  <c r="AF39" i="17"/>
  <c r="AG48" i="17"/>
  <c r="AF22" i="17"/>
  <c r="AE46" i="17"/>
  <c r="AI22" i="17"/>
  <c r="AL57" i="17"/>
  <c r="AB28" i="17"/>
  <c r="AF59" i="17"/>
  <c r="AB22" i="17"/>
  <c r="AO49" i="17"/>
  <c r="AJ34" i="17"/>
  <c r="AF24" i="17"/>
  <c r="AG26" i="17"/>
  <c r="AB46" i="17"/>
  <c r="AL59" i="17"/>
  <c r="AO39" i="17"/>
  <c r="AK50" i="17"/>
  <c r="AF42" i="17"/>
  <c r="AG25" i="17"/>
  <c r="AD37" i="17"/>
  <c r="AF14" i="10"/>
  <c r="AD43" i="10"/>
  <c r="AG52" i="10"/>
  <c r="AB41" i="10"/>
  <c r="AD30" i="10"/>
  <c r="AA58" i="10"/>
  <c r="AB42" i="10"/>
  <c r="AD14" i="10"/>
  <c r="AC48" i="10"/>
  <c r="AF17" i="10"/>
  <c r="AB33" i="10"/>
  <c r="AC41" i="10"/>
  <c r="AD29" i="10"/>
  <c r="AF34" i="10"/>
  <c r="AC34" i="10"/>
  <c r="AA23" i="10"/>
  <c r="AG39" i="10"/>
  <c r="AF27" i="10"/>
  <c r="AA55" i="10"/>
  <c r="AG24" i="10"/>
  <c r="AG13" i="10"/>
  <c r="AE54" i="10"/>
  <c r="AA18" i="10"/>
  <c r="AG60" i="10"/>
  <c r="AF60" i="10"/>
  <c r="AF33" i="10"/>
  <c r="AA44" i="10"/>
  <c r="AF57" i="10"/>
  <c r="AG21" i="10"/>
  <c r="AF25" i="10"/>
  <c r="AD34" i="10"/>
  <c r="AB15" i="10"/>
  <c r="AE42" i="10"/>
  <c r="AE20" i="10"/>
  <c r="AD22" i="10"/>
  <c r="AA13" i="10"/>
  <c r="AB49" i="10"/>
  <c r="AF31" i="10"/>
  <c r="AG41" i="10"/>
  <c r="AF15" i="10"/>
  <c r="AF56" i="10"/>
  <c r="AE33" i="10"/>
  <c r="AG22" i="13"/>
  <c r="AB45" i="13"/>
  <c r="AB29" i="13"/>
  <c r="AB43" i="13"/>
  <c r="AC47" i="13"/>
  <c r="AG36" i="13"/>
  <c r="AF20" i="9"/>
  <c r="AB38" i="9"/>
  <c r="AB48" i="9"/>
  <c r="AD44" i="9"/>
  <c r="AC49" i="13"/>
  <c r="P53" i="17"/>
  <c r="P35" i="17"/>
  <c r="M57" i="17"/>
  <c r="L22" i="17"/>
  <c r="L46" i="17"/>
  <c r="N55" i="17"/>
  <c r="L57" i="17"/>
  <c r="N29" i="17"/>
  <c r="J25" i="5" a="1"/>
  <c r="O21" i="17"/>
  <c r="J17" i="2"/>
  <c r="N36" i="17"/>
  <c r="N33" i="17"/>
  <c r="G20" i="5" a="1"/>
  <c r="D76" i="2" a="1"/>
  <c r="L44" i="17"/>
  <c r="N21" i="17"/>
  <c r="E57" i="3" a="1"/>
  <c r="I40" i="5" a="1"/>
  <c r="I35" i="5" a="1"/>
  <c r="I49" i="5" a="1"/>
  <c r="AA34" i="17"/>
  <c r="AK27" i="17"/>
  <c r="AI37" i="17"/>
  <c r="AE53" i="17"/>
  <c r="AI59" i="17"/>
  <c r="AN26" i="17"/>
  <c r="AJ38" i="17"/>
  <c r="AF45" i="17"/>
  <c r="AG23" i="17"/>
  <c r="AN54" i="17"/>
  <c r="AL40" i="17"/>
  <c r="AJ49" i="17"/>
  <c r="AK47" i="17"/>
  <c r="AJ47" i="17"/>
  <c r="AL38" i="17"/>
  <c r="AC26" i="17"/>
  <c r="AA32" i="17"/>
  <c r="AM33" i="17"/>
  <c r="AN59" i="17"/>
  <c r="AG27" i="17"/>
  <c r="AF20" i="17"/>
  <c r="AC24" i="17"/>
  <c r="AA35" i="17"/>
  <c r="AK33" i="17"/>
  <c r="AD36" i="17"/>
  <c r="AC31" i="17"/>
  <c r="AA51" i="17"/>
  <c r="AF30" i="17"/>
  <c r="AG60" i="17"/>
  <c r="AN23" i="17"/>
  <c r="AM26" i="17"/>
  <c r="AN39" i="17"/>
  <c r="AM40" i="17"/>
  <c r="AA29" i="17"/>
  <c r="AA53" i="17"/>
  <c r="AM23" i="17"/>
  <c r="AF44" i="17"/>
  <c r="AE25" i="17"/>
  <c r="AM43" i="17"/>
  <c r="AL58" i="17"/>
  <c r="AB45" i="17"/>
  <c r="AO50" i="17"/>
  <c r="AK30" i="17"/>
  <c r="AE52" i="10"/>
  <c r="AB44" i="10"/>
  <c r="AD50" i="10"/>
  <c r="AE59" i="10"/>
  <c r="AA38" i="10"/>
  <c r="AA20" i="10"/>
  <c r="AD42" i="10"/>
  <c r="AC43" i="10"/>
  <c r="AE60" i="10"/>
  <c r="AC57" i="10"/>
  <c r="AD38" i="10"/>
  <c r="AD26" i="10"/>
  <c r="AB55" i="10"/>
  <c r="AB34" i="10"/>
  <c r="AB58" i="10"/>
  <c r="AD36" i="10"/>
  <c r="AB23" i="10"/>
  <c r="AG59" i="10"/>
  <c r="AA50" i="10"/>
  <c r="AB46" i="10"/>
  <c r="AC23" i="10"/>
  <c r="AE22" i="10"/>
  <c r="AA33" i="10"/>
  <c r="AC59" i="10"/>
  <c r="AB22" i="10"/>
  <c r="AG46" i="10"/>
  <c r="AF37" i="10"/>
  <c r="AG48" i="10"/>
  <c r="AA53" i="10"/>
  <c r="AD28" i="10"/>
  <c r="AC46" i="10"/>
  <c r="AD16" i="10"/>
  <c r="AC60" i="10"/>
  <c r="AD52" i="10"/>
  <c r="AG30" i="10"/>
  <c r="AB52" i="10"/>
  <c r="AG36" i="10"/>
  <c r="AF54" i="10"/>
  <c r="AD15" i="10"/>
  <c r="AG31" i="10"/>
  <c r="AC42" i="10"/>
  <c r="AD60" i="10"/>
  <c r="AG43" i="13"/>
  <c r="AA45" i="13"/>
  <c r="AA24" i="13"/>
  <c r="AC16" i="13"/>
  <c r="AE22" i="13"/>
  <c r="AC22" i="9"/>
  <c r="AA57" i="9"/>
  <c r="AC27" i="9"/>
  <c r="AE36" i="9"/>
  <c r="AC29" i="9"/>
  <c r="AA26" i="13"/>
  <c r="AF23" i="13"/>
  <c r="AA17" i="13"/>
  <c r="AG27" i="13"/>
  <c r="AG46" i="13"/>
  <c r="AE47" i="13"/>
  <c r="AF60" i="9"/>
  <c r="AF35" i="9"/>
  <c r="AD41" i="9"/>
  <c r="AD23" i="9"/>
  <c r="AF54" i="13"/>
  <c r="I23" i="5" a="1"/>
  <c r="E22" i="3" a="1"/>
  <c r="G24" i="5" a="1"/>
  <c r="I26" i="5" a="1"/>
  <c r="G18" i="5"/>
  <c r="N41" i="17"/>
  <c r="AC32" i="17"/>
  <c r="AO29" i="17"/>
  <c r="AK36" i="17"/>
  <c r="AN33" i="17"/>
  <c r="AO56" i="17"/>
  <c r="AG55" i="17"/>
  <c r="AN36" i="17"/>
  <c r="AL27" i="17"/>
  <c r="AA37" i="17"/>
  <c r="AA27" i="17"/>
  <c r="AM34" i="17"/>
  <c r="AF58" i="17"/>
  <c r="AG54" i="17"/>
  <c r="AC51" i="17"/>
  <c r="AB27" i="17"/>
  <c r="AB60" i="17"/>
  <c r="AE21" i="17"/>
  <c r="AN37" i="17"/>
  <c r="AC53" i="17"/>
  <c r="AK55" i="17"/>
  <c r="AA44" i="17"/>
  <c r="AD45" i="10"/>
  <c r="AB24" i="10"/>
  <c r="AE18" i="10"/>
  <c r="AC44" i="10"/>
  <c r="AE16" i="10"/>
  <c r="AF23" i="10"/>
  <c r="AG22" i="10"/>
  <c r="AG34" i="10"/>
  <c r="AC16" i="10"/>
  <c r="AF18" i="10"/>
  <c r="AC55" i="10"/>
  <c r="AF38" i="10"/>
  <c r="AD25" i="10"/>
  <c r="AB28" i="10"/>
  <c r="AA56" i="10"/>
  <c r="AD55" i="10"/>
  <c r="AF26" i="10"/>
  <c r="AA60" i="10"/>
  <c r="AA25" i="10"/>
  <c r="AG44" i="10"/>
  <c r="AD39" i="10"/>
  <c r="AG17" i="13"/>
  <c r="AF53" i="13"/>
  <c r="AF26" i="13"/>
  <c r="AC51" i="9"/>
  <c r="AE32" i="9"/>
  <c r="AF25" i="9"/>
  <c r="AE36" i="13"/>
  <c r="AD27" i="13"/>
  <c r="AB49" i="13"/>
  <c r="AB51" i="13"/>
  <c r="AG58" i="9"/>
  <c r="AC36" i="9"/>
  <c r="AA56" i="9"/>
  <c r="AB41" i="9"/>
  <c r="AF29" i="13"/>
  <c r="AG43" i="9"/>
  <c r="AB47" i="13"/>
  <c r="AC26" i="13"/>
  <c r="AF31" i="13"/>
  <c r="AA27" i="13"/>
  <c r="AF60" i="13"/>
  <c r="AF57" i="13"/>
  <c r="AC24" i="9"/>
  <c r="AA43" i="9"/>
  <c r="AF32" i="9"/>
  <c r="AC53" i="9"/>
  <c r="AD22" i="13"/>
  <c r="AF29" i="9"/>
  <c r="AC31" i="13"/>
  <c r="AG41" i="13"/>
  <c r="AB28" i="13"/>
  <c r="AG59" i="13"/>
  <c r="AG28" i="13"/>
  <c r="AB49" i="9"/>
  <c r="AB25" i="9"/>
  <c r="AC33" i="9"/>
  <c r="AD49" i="9"/>
  <c r="AF52" i="9"/>
  <c r="AE31" i="9"/>
  <c r="AE37" i="13"/>
  <c r="AG58" i="13"/>
  <c r="AA22" i="13"/>
  <c r="AG52" i="13"/>
  <c r="AB48" i="13"/>
  <c r="AE30" i="9"/>
  <c r="AG37" i="9"/>
  <c r="AG46" i="9"/>
  <c r="AE21" i="9"/>
  <c r="AE28" i="9"/>
  <c r="AA50" i="9"/>
  <c r="AF37" i="13"/>
  <c r="AE19" i="13"/>
  <c r="AA30" i="13"/>
  <c r="AD13" i="13"/>
  <c r="AG55" i="13"/>
  <c r="AA29" i="9"/>
  <c r="AC45" i="9"/>
  <c r="AB30" i="9"/>
  <c r="AD34" i="9"/>
  <c r="AE57" i="13"/>
  <c r="AC28" i="9"/>
  <c r="AG16" i="13"/>
  <c r="AA38" i="13"/>
  <c r="N30" i="17"/>
  <c r="G30" i="5" a="1"/>
  <c r="M28" i="17"/>
  <c r="G31" i="5" a="1"/>
  <c r="L60" i="17"/>
  <c r="O25" i="17"/>
  <c r="D73" i="2" a="1"/>
  <c r="AO44" i="17"/>
  <c r="AG36" i="17"/>
  <c r="AO34" i="17"/>
  <c r="AI38" i="17"/>
  <c r="AI46" i="17"/>
  <c r="AB32" i="17"/>
  <c r="AE47" i="17"/>
  <c r="AE58" i="17"/>
  <c r="AC20" i="17"/>
  <c r="AC46" i="17"/>
  <c r="AD25" i="17"/>
  <c r="AA39" i="17"/>
  <c r="AD46" i="17"/>
  <c r="AI30" i="17"/>
  <c r="AB23" i="17"/>
  <c r="AN53" i="17"/>
  <c r="AI32" i="17"/>
  <c r="AG53" i="17"/>
  <c r="AG40" i="17"/>
  <c r="AC49" i="17"/>
  <c r="AI31" i="17"/>
  <c r="AE26" i="10"/>
  <c r="AE58" i="10"/>
  <c r="AE57" i="10"/>
  <c r="AG35" i="10"/>
  <c r="AB57" i="10"/>
  <c r="AB59" i="10"/>
  <c r="AC49" i="10"/>
  <c r="AB16" i="10"/>
  <c r="AB56" i="10"/>
  <c r="AF45" i="10"/>
  <c r="AB39" i="10"/>
  <c r="AD58" i="10"/>
  <c r="AA51" i="10"/>
  <c r="AE21" i="10"/>
  <c r="AF35" i="10"/>
  <c r="AE15" i="10"/>
  <c r="AE14" i="10"/>
  <c r="AB36" i="10"/>
  <c r="AE24" i="10"/>
  <c r="AF53" i="10"/>
  <c r="AF39" i="10"/>
  <c r="AF17" i="13"/>
  <c r="AE59" i="13"/>
  <c r="AA40" i="13"/>
  <c r="AF30" i="9"/>
  <c r="AF23" i="9"/>
  <c r="AG22" i="9"/>
  <c r="AC40" i="13"/>
  <c r="AF28" i="13"/>
  <c r="AE14" i="13"/>
  <c r="AB37" i="13"/>
  <c r="AB26" i="9"/>
  <c r="AE22" i="9"/>
  <c r="AB20" i="9"/>
  <c r="AA53" i="9"/>
  <c r="AD29" i="13"/>
  <c r="AG25" i="9"/>
  <c r="AB56" i="13"/>
  <c r="AC18" i="13"/>
  <c r="AD32" i="13"/>
  <c r="AA21" i="13"/>
  <c r="AD47" i="13"/>
  <c r="AB41" i="13"/>
  <c r="AD48" i="9"/>
  <c r="AA21" i="9"/>
  <c r="AD52" i="9"/>
  <c r="AB60" i="9"/>
  <c r="AF21" i="13"/>
  <c r="AE52" i="9"/>
  <c r="AF46" i="13"/>
  <c r="AA52" i="13"/>
  <c r="AE23" i="13"/>
  <c r="AF15" i="13"/>
  <c r="AG56" i="13"/>
  <c r="AD47" i="9"/>
  <c r="AE41" i="9"/>
  <c r="AG38" i="9"/>
  <c r="AB51" i="9"/>
  <c r="AE53" i="13"/>
  <c r="AB40" i="9"/>
  <c r="AB25" i="13"/>
  <c r="AF19" i="13"/>
  <c r="AG26" i="13"/>
  <c r="AE17" i="13"/>
  <c r="AB40" i="13"/>
  <c r="AA27" i="9"/>
  <c r="AE34" i="9"/>
  <c r="AC52" i="9"/>
  <c r="AD55" i="9"/>
  <c r="AB36" i="13"/>
  <c r="AD44" i="13"/>
  <c r="AE16" i="13"/>
  <c r="AA46" i="13"/>
  <c r="AC36" i="13"/>
  <c r="AG24" i="13"/>
  <c r="AC30" i="9"/>
  <c r="AG26" i="9"/>
  <c r="AC31" i="9"/>
  <c r="AA26" i="9"/>
  <c r="AC54" i="9"/>
  <c r="AF39" i="13"/>
  <c r="AA40" i="9"/>
  <c r="AA56" i="13"/>
  <c r="AG42" i="13"/>
  <c r="AF43" i="13"/>
  <c r="AA14" i="13"/>
  <c r="AG30" i="13"/>
  <c r="AB43" i="9"/>
  <c r="AE38" i="9"/>
  <c r="AA60" i="9"/>
  <c r="AD24" i="9"/>
  <c r="AA19" i="13"/>
  <c r="AA42" i="9"/>
  <c r="AG32" i="11"/>
  <c r="AF49" i="11"/>
  <c r="AF27" i="11"/>
  <c r="AF50" i="11"/>
  <c r="AF18" i="11"/>
  <c r="AE33" i="11"/>
  <c r="N34" i="17"/>
  <c r="M40" i="17"/>
  <c r="L21" i="17"/>
  <c r="E33" i="3" a="1"/>
  <c r="K22" i="17"/>
  <c r="K53" i="17"/>
  <c r="P50" i="17"/>
  <c r="AO47" i="17"/>
  <c r="AE35" i="17"/>
  <c r="AC38" i="17"/>
  <c r="AM36" i="17"/>
  <c r="AO51" i="17"/>
  <c r="AJ31" i="17"/>
  <c r="AG29" i="17"/>
  <c r="AE34" i="17"/>
  <c r="AD41" i="17"/>
  <c r="AE45" i="17"/>
  <c r="AI25" i="17"/>
  <c r="AB36" i="17"/>
  <c r="AL31" i="17"/>
  <c r="AK34" i="17"/>
  <c r="AN52" i="17"/>
  <c r="AM53" i="17"/>
  <c r="AF37" i="17"/>
  <c r="AD24" i="17"/>
  <c r="AM46" i="17"/>
  <c r="AN38" i="17"/>
  <c r="AI45" i="17"/>
  <c r="AF21" i="10"/>
  <c r="AA16" i="10"/>
  <c r="AC29" i="10"/>
  <c r="AD35" i="10"/>
  <c r="AD20" i="10"/>
  <c r="AC54" i="10"/>
  <c r="AE37" i="10"/>
  <c r="AD53" i="10"/>
  <c r="AG33" i="10"/>
  <c r="AF30" i="10"/>
  <c r="AD47" i="10"/>
  <c r="AA32" i="10"/>
  <c r="AG55" i="10"/>
  <c r="AB29" i="10"/>
  <c r="AC15" i="10"/>
  <c r="AD17" i="10"/>
  <c r="AE49" i="10"/>
  <c r="AG38" i="10"/>
  <c r="AB51" i="10"/>
  <c r="AG37" i="10"/>
  <c r="AA34" i="10"/>
  <c r="AD31" i="13"/>
  <c r="AB22" i="13"/>
  <c r="AD28" i="13"/>
  <c r="AE53" i="9"/>
  <c r="AG53" i="9"/>
  <c r="AE45" i="13"/>
  <c r="AF58" i="13"/>
  <c r="AC56" i="13"/>
  <c r="AD46" i="13"/>
  <c r="AF45" i="13"/>
  <c r="AG60" i="9"/>
  <c r="AE57" i="9"/>
  <c r="AG44" i="9"/>
  <c r="AF50" i="9"/>
  <c r="AE54" i="13"/>
  <c r="AF53" i="9"/>
  <c r="AE32" i="13"/>
  <c r="AG34" i="13"/>
  <c r="AG45" i="13"/>
  <c r="AB20" i="13"/>
  <c r="AC46" i="13"/>
  <c r="AF34" i="9"/>
  <c r="AF56" i="9"/>
  <c r="AG54" i="9"/>
  <c r="AA54" i="9"/>
  <c r="AB29" i="9"/>
  <c r="AC19" i="13"/>
  <c r="AC32" i="9"/>
  <c r="AB13" i="13"/>
  <c r="AG23" i="13"/>
  <c r="AC34" i="13"/>
  <c r="AD15" i="13"/>
  <c r="AG15" i="13"/>
  <c r="AB50" i="9"/>
  <c r="AB36" i="9"/>
  <c r="AB24" i="9"/>
  <c r="AD26" i="9"/>
  <c r="AB30" i="13"/>
  <c r="AG57" i="9"/>
  <c r="AE48" i="13"/>
  <c r="AE60" i="13"/>
  <c r="AB39" i="13"/>
  <c r="AD54" i="13"/>
  <c r="AE13" i="13"/>
  <c r="AB28" i="9"/>
  <c r="AE42" i="9"/>
  <c r="AA59" i="9"/>
  <c r="AF39" i="9"/>
  <c r="AG50" i="13"/>
  <c r="AG35" i="13"/>
  <c r="AE35" i="13"/>
  <c r="AA49" i="13"/>
  <c r="AE20" i="13"/>
  <c r="AE24" i="13"/>
  <c r="AA33" i="9"/>
  <c r="AG52" i="9"/>
  <c r="AA34" i="9"/>
  <c r="AC50" i="9"/>
  <c r="AC48" i="9"/>
  <c r="AB24" i="13"/>
  <c r="AD49" i="13"/>
  <c r="AD51" i="13"/>
  <c r="AG44" i="13"/>
  <c r="AE29" i="13"/>
  <c r="AA57" i="13"/>
  <c r="AA20" i="9"/>
  <c r="AF27" i="9"/>
  <c r="AD60" i="9"/>
  <c r="AE33" i="9"/>
  <c r="AA23" i="9"/>
  <c r="AC17" i="13"/>
  <c r="AE44" i="9"/>
  <c r="AC51" i="11"/>
  <c r="AG60" i="11"/>
  <c r="AA36" i="11"/>
  <c r="AF60" i="11"/>
  <c r="AD24" i="11"/>
  <c r="AA49" i="11"/>
  <c r="AB26" i="11"/>
  <c r="M20" i="17"/>
  <c r="J36" i="5" a="1"/>
  <c r="N23" i="17"/>
  <c r="E27" i="3" a="1"/>
  <c r="I43" i="5" a="1"/>
  <c r="E39" i="3" a="1"/>
  <c r="AM30" i="17"/>
  <c r="AI20" i="17"/>
  <c r="AK28" i="17"/>
  <c r="AO24" i="17"/>
  <c r="AN45" i="17"/>
  <c r="AL41" i="17"/>
  <c r="AN35" i="17"/>
  <c r="AO60" i="17"/>
  <c r="AJ44" i="17"/>
  <c r="AO41" i="17"/>
  <c r="AF25" i="17"/>
  <c r="AM42" i="17"/>
  <c r="AD34" i="17"/>
  <c r="AE55" i="17"/>
  <c r="AB49" i="17"/>
  <c r="AN34" i="17"/>
  <c r="AN58" i="17"/>
  <c r="AC60" i="17"/>
  <c r="AB25" i="17"/>
  <c r="AF40" i="17"/>
  <c r="AE57" i="17"/>
  <c r="AO25" i="17"/>
  <c r="AC25" i="10"/>
  <c r="AA26" i="10"/>
  <c r="AE34" i="10"/>
  <c r="AC19" i="10"/>
  <c r="AB54" i="10"/>
  <c r="AA29" i="10"/>
  <c r="AD57" i="10"/>
  <c r="AC27" i="10"/>
  <c r="AG53" i="10"/>
  <c r="AG50" i="10"/>
  <c r="AC17" i="10"/>
  <c r="AA28" i="10"/>
  <c r="AE50" i="10"/>
  <c r="AC40" i="10"/>
  <c r="AE19" i="10"/>
  <c r="AF22" i="10"/>
  <c r="AG43" i="10"/>
  <c r="AD40" i="10"/>
  <c r="AB13" i="10"/>
  <c r="AB19" i="10"/>
  <c r="AC50" i="10"/>
  <c r="AD57" i="13"/>
  <c r="AC59" i="13"/>
  <c r="AB21" i="13"/>
  <c r="AA35" i="9"/>
  <c r="AD20" i="9"/>
  <c r="AD53" i="13"/>
  <c r="AB46" i="13"/>
  <c r="AE28" i="13"/>
  <c r="AG32" i="13"/>
  <c r="AB31" i="13"/>
  <c r="AB31" i="9"/>
  <c r="AD40" i="9"/>
  <c r="AF58" i="9"/>
  <c r="AD56" i="9"/>
  <c r="AC58" i="13"/>
  <c r="AG55" i="9"/>
  <c r="AA32" i="13"/>
  <c r="AG25" i="13"/>
  <c r="AA25" i="13"/>
  <c r="AD18" i="13"/>
  <c r="AB55" i="13"/>
  <c r="AD22" i="9"/>
  <c r="AG41" i="9"/>
  <c r="AD38" i="9"/>
  <c r="AC47" i="9"/>
  <c r="AE23" i="9"/>
  <c r="AE18" i="13"/>
  <c r="AB32" i="13"/>
  <c r="AG13" i="13"/>
  <c r="AC24" i="13"/>
  <c r="AF56" i="13"/>
  <c r="AB59" i="13"/>
  <c r="AE40" i="13"/>
  <c r="AA46" i="9"/>
  <c r="N39" i="17"/>
  <c r="P58" i="17"/>
  <c r="J35" i="5" a="1"/>
  <c r="I46" i="5" a="1"/>
  <c r="I19" i="5" a="1"/>
  <c r="J48" i="5" a="1"/>
  <c r="AI55" i="17"/>
  <c r="AM32" i="17"/>
  <c r="AN31" i="17"/>
  <c r="AM50" i="17"/>
  <c r="AA23" i="17"/>
  <c r="AJ48" i="17"/>
  <c r="AF36" i="17"/>
  <c r="AD32" i="17"/>
  <c r="AK38" i="17"/>
  <c r="AM37" i="17"/>
  <c r="AF52" i="17"/>
  <c r="AK52" i="17"/>
  <c r="AI43" i="17"/>
  <c r="AO26" i="17"/>
  <c r="AF50" i="17"/>
  <c r="AD26" i="17"/>
  <c r="AC28" i="17"/>
  <c r="AL55" i="17"/>
  <c r="AF55" i="17"/>
  <c r="AG42" i="17"/>
  <c r="AF54" i="17"/>
  <c r="AL21" i="17"/>
  <c r="AG27" i="10"/>
  <c r="AE27" i="10"/>
  <c r="AD23" i="10"/>
  <c r="AE30" i="10"/>
  <c r="AG28" i="10"/>
  <c r="AC28" i="10"/>
  <c r="AF49" i="10"/>
  <c r="AB17" i="10"/>
  <c r="AD48" i="10"/>
  <c r="AG42" i="10"/>
  <c r="AA52" i="10"/>
  <c r="AA27" i="10"/>
  <c r="AC53" i="10"/>
  <c r="AB53" i="10"/>
  <c r="AF50" i="10"/>
  <c r="AA17" i="10"/>
  <c r="AD31" i="10"/>
  <c r="AG32" i="10"/>
  <c r="AF58" i="10"/>
  <c r="AE25" i="10"/>
  <c r="AD13" i="10"/>
  <c r="AA43" i="13"/>
  <c r="AF47" i="13"/>
  <c r="AB44" i="9"/>
  <c r="AB46" i="9"/>
  <c r="AC40" i="9"/>
  <c r="AA50" i="13"/>
  <c r="AG14" i="13"/>
  <c r="AC15" i="13"/>
  <c r="AD30" i="13"/>
  <c r="AE26" i="13"/>
  <c r="AF44" i="9"/>
  <c r="AG47" i="9"/>
  <c r="AC59" i="9"/>
  <c r="AE54" i="9"/>
  <c r="AC50" i="13"/>
  <c r="AF57" i="9"/>
  <c r="AF24" i="13"/>
  <c r="AB50" i="13"/>
  <c r="AF35" i="13"/>
  <c r="AE31" i="13"/>
  <c r="AE44" i="13"/>
  <c r="AA48" i="9"/>
  <c r="AE20" i="9"/>
  <c r="AG30" i="9"/>
  <c r="AF51" i="9"/>
  <c r="AD31" i="9"/>
  <c r="AB26" i="13"/>
  <c r="AA54" i="13"/>
  <c r="AA20" i="13"/>
  <c r="AC14" i="13"/>
  <c r="AC27" i="13"/>
  <c r="AD50" i="13"/>
  <c r="AF20" i="13"/>
  <c r="AG49" i="9"/>
  <c r="AA47" i="9"/>
  <c r="AC35" i="9"/>
  <c r="AF26" i="9"/>
  <c r="AE56" i="13"/>
  <c r="AB16" i="13"/>
  <c r="AE42" i="13"/>
  <c r="AB33" i="13"/>
  <c r="AC38" i="13"/>
  <c r="AA53" i="13"/>
  <c r="AA28" i="13"/>
  <c r="AF31" i="9"/>
  <c r="AB22" i="9"/>
  <c r="AD27" i="9"/>
  <c r="AB33" i="9"/>
  <c r="AD43" i="13"/>
  <c r="AB27" i="13"/>
  <c r="AF42" i="13"/>
  <c r="AF59" i="13"/>
  <c r="AD20" i="13"/>
  <c r="AC25" i="13"/>
  <c r="AF43" i="9"/>
  <c r="AF46" i="9"/>
  <c r="AF55" i="9"/>
  <c r="AB27" i="9"/>
  <c r="AB58" i="9"/>
  <c r="AA58" i="13"/>
  <c r="AG48" i="13"/>
  <c r="AD16" i="13"/>
  <c r="AB38" i="13"/>
  <c r="AB53" i="13"/>
  <c r="AA59" i="13"/>
  <c r="AG27" i="9"/>
  <c r="AB54" i="9"/>
  <c r="AE49" i="9"/>
  <c r="AD42" i="9"/>
  <c r="AG33" i="9"/>
  <c r="AA22" i="9"/>
  <c r="AA38" i="9"/>
  <c r="AE22" i="11"/>
  <c r="AE29" i="11"/>
  <c r="AC59" i="11"/>
  <c r="AE31" i="11"/>
  <c r="AE50" i="11"/>
  <c r="AC52" i="11"/>
  <c r="K34" i="17"/>
  <c r="P55" i="17"/>
  <c r="L58" i="17"/>
  <c r="L40" i="17"/>
  <c r="J30" i="5" a="1"/>
  <c r="K54" i="17"/>
  <c r="AD44" i="17"/>
  <c r="AK60" i="17"/>
  <c r="AL25" i="17"/>
  <c r="AK59" i="17"/>
  <c r="AO31" i="17"/>
  <c r="AB40" i="17"/>
  <c r="AJ53" i="17"/>
  <c r="AC55" i="17"/>
  <c r="AM60" i="17"/>
  <c r="AI47" i="17"/>
  <c r="AC56" i="17"/>
  <c r="AO32" i="17"/>
  <c r="AC42" i="17"/>
  <c r="AO36" i="17"/>
  <c r="AB29" i="17"/>
  <c r="AK43" i="17"/>
  <c r="AB52" i="17"/>
  <c r="AC27" i="17"/>
  <c r="AI56" i="17"/>
  <c r="AB55" i="17"/>
  <c r="AM41" i="17"/>
  <c r="AF53" i="17"/>
  <c r="AG29" i="10"/>
  <c r="AG23" i="10"/>
  <c r="AA41" i="10"/>
  <c r="AF59" i="10"/>
  <c r="AE17" i="10"/>
  <c r="AA39" i="10"/>
  <c r="AD51" i="10"/>
  <c r="AB35" i="10"/>
  <c r="AB21" i="10"/>
  <c r="AB20" i="10"/>
  <c r="AE13" i="10"/>
  <c r="AB45" i="10"/>
  <c r="AB32" i="10"/>
  <c r="AB60" i="10"/>
  <c r="AA22" i="10"/>
  <c r="AF51" i="10"/>
  <c r="AD49" i="10"/>
  <c r="AG58" i="10"/>
  <c r="AF32" i="10"/>
  <c r="AG20" i="10"/>
  <c r="AA48" i="10"/>
  <c r="AF41" i="13"/>
  <c r="AB17" i="13"/>
  <c r="AB32" i="9"/>
  <c r="AE26" i="9"/>
  <c r="AF28" i="9"/>
  <c r="AD40" i="13"/>
  <c r="AB58" i="13"/>
  <c r="AF22" i="13"/>
  <c r="AE33" i="13"/>
  <c r="AD14" i="13"/>
  <c r="AA32" i="9"/>
  <c r="AD46" i="9"/>
  <c r="AG32" i="9"/>
  <c r="AE35" i="9"/>
  <c r="AA44" i="13"/>
  <c r="AF49" i="9"/>
  <c r="AF51" i="13"/>
  <c r="AC37" i="13"/>
  <c r="AF44" i="13"/>
  <c r="AF16" i="13"/>
  <c r="AD60" i="13"/>
  <c r="AG21" i="9"/>
  <c r="AA24" i="9"/>
  <c r="AA39" i="9"/>
  <c r="AE51" i="9"/>
  <c r="AC46" i="9"/>
  <c r="AC23" i="13"/>
  <c r="AF50" i="13"/>
  <c r="AE43" i="13"/>
  <c r="AA33" i="13"/>
  <c r="AB52" i="13"/>
  <c r="AB34" i="13"/>
  <c r="AC23" i="9"/>
  <c r="AB39" i="9"/>
  <c r="AD30" i="9"/>
  <c r="AF37" i="9"/>
  <c r="AG45" i="9"/>
  <c r="AC57" i="9"/>
  <c r="AE34" i="13"/>
  <c r="AD33" i="13"/>
  <c r="AD38" i="13"/>
  <c r="AA41" i="13"/>
  <c r="AG49" i="13"/>
  <c r="AF48" i="9"/>
  <c r="AG20" i="9"/>
  <c r="AE55" i="9"/>
  <c r="AF21" i="9"/>
  <c r="AC55" i="9"/>
  <c r="AG40" i="13"/>
  <c r="AC33" i="13"/>
  <c r="AB42" i="13"/>
  <c r="AC32" i="13"/>
  <c r="AC43" i="13"/>
  <c r="AA47" i="13"/>
  <c r="AA49" i="9"/>
  <c r="AE58" i="9"/>
  <c r="AE46" i="9"/>
  <c r="AE29" i="9"/>
  <c r="AC30" i="13"/>
  <c r="AD57" i="9"/>
  <c r="AB57" i="13"/>
  <c r="AG51" i="13"/>
  <c r="AB15" i="13"/>
  <c r="AG47" i="13"/>
  <c r="AE30" i="13"/>
  <c r="AD36" i="9"/>
  <c r="AC60" i="9"/>
  <c r="AC21" i="9"/>
  <c r="AF38" i="9"/>
  <c r="AD51" i="9"/>
  <c r="AA44" i="9"/>
  <c r="AG19" i="11"/>
  <c r="AE54" i="11"/>
  <c r="AA16" i="11"/>
  <c r="AE55" i="11"/>
  <c r="AE44" i="11"/>
  <c r="AD52" i="11"/>
  <c r="AD13" i="11"/>
  <c r="G47" i="5" a="1"/>
  <c r="P25" i="17"/>
  <c r="AE51" i="17"/>
  <c r="AI40" i="17"/>
  <c r="AL22" i="17"/>
  <c r="AC29" i="17"/>
  <c r="AB54" i="17"/>
  <c r="AC36" i="10"/>
  <c r="AF20" i="10"/>
  <c r="AC30" i="10"/>
  <c r="AC37" i="10"/>
  <c r="AG40" i="10"/>
  <c r="AF48" i="10"/>
  <c r="AA51" i="9"/>
  <c r="AG20" i="13"/>
  <c r="AA52" i="9"/>
  <c r="AG42" i="9"/>
  <c r="AA51" i="13"/>
  <c r="AB37" i="9"/>
  <c r="AE46" i="13"/>
  <c r="AC39" i="13"/>
  <c r="AG29" i="9"/>
  <c r="AE45" i="9"/>
  <c r="AF55" i="13"/>
  <c r="AF13" i="13"/>
  <c r="AE39" i="9"/>
  <c r="AF33" i="13"/>
  <c r="AD36" i="13"/>
  <c r="AA18" i="13"/>
  <c r="AE40" i="9"/>
  <c r="AE25" i="13"/>
  <c r="AC35" i="13"/>
  <c r="AC48" i="13"/>
  <c r="AE48" i="9"/>
  <c r="AC34" i="9"/>
  <c r="AE52" i="13"/>
  <c r="AE28" i="11"/>
  <c r="AE42" i="11"/>
  <c r="AG38" i="11"/>
  <c r="AG27" i="11"/>
  <c r="AF41" i="11"/>
  <c r="AF55" i="11"/>
  <c r="AB39" i="11"/>
  <c r="AE14" i="11"/>
  <c r="AC55" i="11"/>
  <c r="AE46" i="11"/>
  <c r="AC27" i="11"/>
  <c r="AF24" i="11"/>
  <c r="AE45" i="11"/>
  <c r="AF56" i="11"/>
  <c r="AE40" i="11"/>
  <c r="AE52" i="11"/>
  <c r="AD37" i="11"/>
  <c r="AG45" i="11"/>
  <c r="AB28" i="11"/>
  <c r="AB55" i="11"/>
  <c r="AA54" i="11"/>
  <c r="AC57" i="11"/>
  <c r="AC54" i="11"/>
  <c r="AD34" i="11"/>
  <c r="AB48" i="11"/>
  <c r="AB49" i="11"/>
  <c r="AC47" i="11"/>
  <c r="AF35" i="11"/>
  <c r="AG46" i="11"/>
  <c r="AC46" i="11"/>
  <c r="AG59" i="11"/>
  <c r="AG42" i="11"/>
  <c r="AB58" i="11"/>
  <c r="AC15" i="11"/>
  <c r="AF51" i="11"/>
  <c r="AG25" i="11"/>
  <c r="AF17" i="11"/>
  <c r="AB18" i="11"/>
  <c r="AG31" i="11"/>
  <c r="AC44" i="8"/>
  <c r="AA16" i="8"/>
  <c r="AE18" i="8"/>
  <c r="AB56" i="8"/>
  <c r="AB16" i="8"/>
  <c r="AB24" i="8"/>
  <c r="AC22" i="8"/>
  <c r="AB58" i="8"/>
  <c r="AD40" i="8"/>
  <c r="AA57" i="8"/>
  <c r="AE46" i="8"/>
  <c r="AF38" i="8"/>
  <c r="AC14" i="8"/>
  <c r="AG16" i="8"/>
  <c r="AF15" i="8"/>
  <c r="AF31" i="8"/>
  <c r="AE36" i="8"/>
  <c r="AC26" i="8"/>
  <c r="AE42" i="8"/>
  <c r="AF46" i="8"/>
  <c r="AG20" i="8"/>
  <c r="AB27" i="8"/>
  <c r="AD17" i="8"/>
  <c r="AE27" i="8"/>
  <c r="AA43" i="8"/>
  <c r="AG22" i="8"/>
  <c r="AE30" i="8"/>
  <c r="AF44" i="8"/>
  <c r="AC40" i="8"/>
  <c r="AC34" i="8"/>
  <c r="AG13" i="8"/>
  <c r="AA29" i="8"/>
  <c r="AG56" i="8"/>
  <c r="AC32" i="8"/>
  <c r="AE15" i="8"/>
  <c r="AB54" i="8"/>
  <c r="AF32" i="8"/>
  <c r="AF18" i="8"/>
  <c r="AA54" i="8"/>
  <c r="AA39" i="8"/>
  <c r="AC37" i="8"/>
  <c r="AA18" i="8"/>
  <c r="AB16" i="12"/>
  <c r="AC36" i="12"/>
  <c r="AA55" i="12"/>
  <c r="AC33" i="12"/>
  <c r="AD20" i="12"/>
  <c r="AB14" i="12"/>
  <c r="AA44" i="12"/>
  <c r="AG53" i="12"/>
  <c r="AC58" i="12"/>
  <c r="AF44" i="12"/>
  <c r="AF14" i="12"/>
  <c r="Q41" i="17"/>
  <c r="E55" i="3" a="1"/>
  <c r="AE26" i="17"/>
  <c r="AG24" i="17"/>
  <c r="AN42" i="17"/>
  <c r="AL29" i="17"/>
  <c r="AG58" i="17"/>
  <c r="AB31" i="10"/>
  <c r="AG25" i="10"/>
  <c r="AA43" i="10"/>
  <c r="AB47" i="10"/>
  <c r="AG15" i="10"/>
  <c r="AF30" i="13"/>
  <c r="AB21" i="9"/>
  <c r="AA55" i="13"/>
  <c r="AA41" i="9"/>
  <c r="AB23" i="9"/>
  <c r="AA36" i="13"/>
  <c r="AE24" i="9"/>
  <c r="AG31" i="13"/>
  <c r="AC28" i="13"/>
  <c r="AF22" i="9"/>
  <c r="AD32" i="9"/>
  <c r="AC53" i="13"/>
  <c r="AF32" i="13"/>
  <c r="AA25" i="9"/>
  <c r="AB23" i="13"/>
  <c r="AG21" i="13"/>
  <c r="AD34" i="13"/>
  <c r="AB55" i="9"/>
  <c r="AD39" i="13"/>
  <c r="AF52" i="13"/>
  <c r="AE21" i="13"/>
  <c r="AD28" i="9"/>
  <c r="AA37" i="9"/>
  <c r="AB60" i="13"/>
  <c r="AD27" i="11"/>
  <c r="AC18" i="11"/>
  <c r="AD21" i="11"/>
  <c r="AB35" i="11"/>
  <c r="AG43" i="11"/>
  <c r="AF36" i="11"/>
  <c r="AC16" i="11"/>
  <c r="AB45" i="11"/>
  <c r="AC34" i="11"/>
  <c r="AB13" i="11"/>
  <c r="AA47" i="11"/>
  <c r="AA13" i="11"/>
  <c r="AD35" i="11"/>
  <c r="AG22" i="11"/>
  <c r="AG54" i="11"/>
  <c r="AC14" i="11"/>
  <c r="AA44" i="11"/>
  <c r="AE23" i="11"/>
  <c r="AB33" i="11"/>
  <c r="AC26" i="11"/>
  <c r="AF31" i="11"/>
  <c r="AF22" i="11"/>
  <c r="AE15" i="11"/>
  <c r="AB44" i="11"/>
  <c r="AA48" i="11"/>
  <c r="AB27" i="11"/>
  <c r="AD43" i="11"/>
  <c r="AG48" i="11"/>
  <c r="AA19" i="11"/>
  <c r="AG53" i="11"/>
  <c r="AD56" i="11"/>
  <c r="AC13" i="11"/>
  <c r="AD36" i="11"/>
  <c r="AA40" i="11"/>
  <c r="AF13" i="11"/>
  <c r="AE36" i="11"/>
  <c r="AA51" i="11"/>
  <c r="AG49" i="11"/>
  <c r="AB46" i="11"/>
  <c r="AB17" i="8"/>
  <c r="AF45" i="8"/>
  <c r="AB34" i="8"/>
  <c r="AG33" i="8"/>
  <c r="AF47" i="8"/>
  <c r="AE13" i="8"/>
  <c r="AE22" i="8"/>
  <c r="AE51" i="8"/>
  <c r="AB51" i="8"/>
  <c r="AC51" i="8"/>
  <c r="AB41" i="8"/>
  <c r="AB40" i="8"/>
  <c r="AD36" i="8"/>
  <c r="AD54" i="8"/>
  <c r="AB28" i="8"/>
  <c r="AD60" i="8"/>
  <c r="AB30" i="8"/>
  <c r="AB47" i="8"/>
  <c r="AG26" i="8"/>
  <c r="AE25" i="8"/>
  <c r="AB35" i="8"/>
  <c r="AG28" i="8"/>
  <c r="AC46" i="8"/>
  <c r="AE28" i="8"/>
  <c r="AA19" i="8"/>
  <c r="AE34" i="8"/>
  <c r="AG24" i="8"/>
  <c r="AE40" i="8"/>
  <c r="AD23" i="8"/>
  <c r="AD14" i="8"/>
  <c r="AD51" i="8"/>
  <c r="AB38" i="8"/>
  <c r="AB29" i="8"/>
  <c r="AA52" i="8"/>
  <c r="AD42" i="8"/>
  <c r="AD46" i="8"/>
  <c r="AG15" i="8"/>
  <c r="AD31" i="8"/>
  <c r="AF20" i="8"/>
  <c r="AG40" i="8"/>
  <c r="AD18" i="8"/>
  <c r="AD28" i="8"/>
  <c r="AE46" i="12"/>
  <c r="AD53" i="12"/>
  <c r="AD42" i="12"/>
  <c r="AC16" i="12"/>
  <c r="AF37" i="12"/>
  <c r="AA57" i="12"/>
  <c r="AD21" i="12"/>
  <c r="AG36" i="12"/>
  <c r="AG15" i="12"/>
  <c r="AD52" i="12"/>
  <c r="AE47" i="12"/>
  <c r="I47" i="5" a="1"/>
  <c r="G34" i="5" a="1"/>
  <c r="AF46" i="17"/>
  <c r="AG50" i="17"/>
  <c r="AF43" i="17"/>
  <c r="AI41" i="17"/>
  <c r="AE30" i="17"/>
  <c r="AE32" i="10"/>
  <c r="AG54" i="10"/>
  <c r="AE43" i="10"/>
  <c r="AF13" i="10"/>
  <c r="AE23" i="10"/>
  <c r="AC60" i="13"/>
  <c r="AG31" i="9"/>
  <c r="AA31" i="13"/>
  <c r="AG35" i="9"/>
  <c r="AE15" i="13"/>
  <c r="AA23" i="13"/>
  <c r="AB53" i="9"/>
  <c r="AG60" i="13"/>
  <c r="AC20" i="9"/>
  <c r="AD29" i="9"/>
  <c r="AC38" i="9"/>
  <c r="AD52" i="13"/>
  <c r="AF33" i="9"/>
  <c r="AE25" i="9"/>
  <c r="AD55" i="13"/>
  <c r="AA16" i="13"/>
  <c r="AC26" i="9"/>
  <c r="AC41" i="9"/>
  <c r="AC25" i="9"/>
  <c r="AD21" i="13"/>
  <c r="AD45" i="13"/>
  <c r="AG50" i="9"/>
  <c r="AG39" i="9"/>
  <c r="AC29" i="13"/>
  <c r="AB43" i="11"/>
  <c r="AD33" i="11"/>
  <c r="AC28" i="11"/>
  <c r="AB60" i="11"/>
  <c r="AA50" i="11"/>
  <c r="AG55" i="11"/>
  <c r="AA43" i="11"/>
  <c r="AB32" i="11"/>
  <c r="AG24" i="11"/>
  <c r="AD22" i="11"/>
  <c r="AD40" i="11"/>
  <c r="AA15" i="11"/>
  <c r="AG23" i="11"/>
  <c r="AC38" i="11"/>
  <c r="AC56" i="11"/>
  <c r="AC44" i="11"/>
  <c r="AE49" i="11"/>
  <c r="AA42" i="11"/>
  <c r="AA21" i="11"/>
  <c r="AF59" i="11"/>
  <c r="AD58" i="11"/>
  <c r="AC25" i="11"/>
  <c r="AA31" i="11"/>
  <c r="AE18" i="11"/>
  <c r="AF54" i="11"/>
  <c r="AG52" i="11"/>
  <c r="AG13" i="11"/>
  <c r="AC21" i="11"/>
  <c r="AG58" i="11"/>
  <c r="AB52" i="11"/>
  <c r="AF21" i="11"/>
  <c r="AF53" i="11"/>
  <c r="AG44" i="11"/>
  <c r="AA18" i="11"/>
  <c r="AE56" i="11"/>
  <c r="AC32" i="11"/>
  <c r="AD51" i="11"/>
  <c r="AB21" i="11"/>
  <c r="AA27" i="11"/>
  <c r="AF30" i="8"/>
  <c r="AC24" i="8"/>
  <c r="AF56" i="8"/>
  <c r="AG42" i="8"/>
  <c r="AE37" i="8"/>
  <c r="AB15" i="8"/>
  <c r="AC23" i="8"/>
  <c r="AG59" i="8"/>
  <c r="AB13" i="8"/>
  <c r="AG34" i="8"/>
  <c r="AD21" i="8"/>
  <c r="AD47" i="8"/>
  <c r="AA14" i="8"/>
  <c r="AE14" i="8"/>
  <c r="AB55" i="8"/>
  <c r="AA47" i="8"/>
  <c r="AF59" i="8"/>
  <c r="AE19" i="8"/>
  <c r="AB31" i="8"/>
  <c r="AA46" i="8"/>
  <c r="AE59" i="8"/>
  <c r="AF40" i="8"/>
  <c r="AA22" i="8"/>
  <c r="AA32" i="8"/>
  <c r="AG46" i="8"/>
  <c r="AC16" i="8"/>
  <c r="AF37" i="8"/>
  <c r="AA56" i="8"/>
  <c r="AD32" i="8"/>
  <c r="AC41" i="8"/>
  <c r="AF17" i="8"/>
  <c r="AG51" i="8"/>
  <c r="AC29" i="8"/>
  <c r="AD49" i="8"/>
  <c r="AG43" i="8"/>
  <c r="AE24" i="8"/>
  <c r="AD35" i="8"/>
  <c r="AB59" i="8"/>
  <c r="AA21" i="8"/>
  <c r="AB26" i="8"/>
  <c r="AD58" i="8"/>
  <c r="AG47" i="8"/>
  <c r="AA27" i="12"/>
  <c r="AF48" i="12"/>
  <c r="AF19" i="12"/>
  <c r="AC42" i="12"/>
  <c r="AB58" i="12"/>
  <c r="AB56" i="12"/>
  <c r="AF30" i="12"/>
  <c r="AC31" i="12"/>
  <c r="AF47" i="12"/>
  <c r="AC26" i="12"/>
  <c r="AD51" i="12"/>
  <c r="P33" i="17"/>
  <c r="P57" i="17"/>
  <c r="AN43" i="17"/>
  <c r="AA36" i="17"/>
  <c r="AD35" i="17"/>
  <c r="AL45" i="17"/>
  <c r="AD47" i="17"/>
  <c r="AE48" i="10"/>
  <c r="AA57" i="10"/>
  <c r="AB48" i="10"/>
  <c r="AD27" i="10"/>
  <c r="AC35" i="10"/>
  <c r="AF27" i="13"/>
  <c r="AB34" i="9"/>
  <c r="AF25" i="13"/>
  <c r="AG23" i="9"/>
  <c r="AF18" i="13"/>
  <c r="AD59" i="13"/>
  <c r="AA58" i="9"/>
  <c r="AD26" i="13"/>
  <c r="AD43" i="9"/>
  <c r="AC43" i="9"/>
  <c r="AG39" i="13"/>
  <c r="AC13" i="13"/>
  <c r="AF45" i="9"/>
  <c r="AF41" i="9"/>
  <c r="AA15" i="13"/>
  <c r="AA35" i="13"/>
  <c r="AD53" i="9"/>
  <c r="AC58" i="9"/>
  <c r="AB52" i="9"/>
  <c r="AD58" i="13"/>
  <c r="AF34" i="13"/>
  <c r="AA31" i="9"/>
  <c r="AC39" i="9"/>
  <c r="AG59" i="9"/>
  <c r="AE21" i="11"/>
  <c r="AD25" i="11"/>
  <c r="AF37" i="11"/>
  <c r="AA14" i="11"/>
  <c r="AF14" i="11"/>
  <c r="AB42" i="11"/>
  <c r="AF33" i="11"/>
  <c r="AE30" i="11"/>
  <c r="AG36" i="11"/>
  <c r="AA53" i="11"/>
  <c r="AC48" i="11"/>
  <c r="AC53" i="11"/>
  <c r="AE51" i="11"/>
  <c r="AE26" i="11"/>
  <c r="AG51" i="11"/>
  <c r="AA38" i="11"/>
  <c r="AG15" i="11"/>
  <c r="AA46" i="11"/>
  <c r="AB14" i="11"/>
  <c r="AD15" i="11"/>
  <c r="AB15" i="11"/>
  <c r="AB41" i="11"/>
  <c r="AA59" i="11"/>
  <c r="AE20" i="11"/>
  <c r="AD42" i="11"/>
  <c r="AB23" i="11"/>
  <c r="AF16" i="11"/>
  <c r="AC39" i="11"/>
  <c r="AA25" i="11"/>
  <c r="AG33" i="11"/>
  <c r="AB34" i="11"/>
  <c r="AG16" i="11"/>
  <c r="AA33" i="11"/>
  <c r="AE41" i="11"/>
  <c r="AE53" i="11"/>
  <c r="AG14" i="11"/>
  <c r="AG21" i="11"/>
  <c r="AA34" i="11"/>
  <c r="AB54" i="11"/>
  <c r="AB42" i="8"/>
  <c r="AA38" i="8"/>
  <c r="AD33" i="8"/>
  <c r="AD57" i="8"/>
  <c r="AD19" i="8"/>
  <c r="AF33" i="8"/>
  <c r="AD48" i="8"/>
  <c r="AG35" i="8"/>
  <c r="AE54" i="8"/>
  <c r="AA23" i="8"/>
  <c r="AF36" i="8"/>
  <c r="AA51" i="8"/>
  <c r="AC13" i="8"/>
  <c r="AG39" i="8"/>
  <c r="AA28" i="8"/>
  <c r="AA27" i="8"/>
  <c r="AG37" i="8"/>
  <c r="AB44" i="8"/>
  <c r="AE39" i="8"/>
  <c r="AB60" i="8"/>
  <c r="AC39" i="8"/>
  <c r="AF25" i="8"/>
  <c r="AF41" i="8"/>
  <c r="AB21" i="8"/>
  <c r="AD52" i="8"/>
  <c r="AF13" i="8"/>
  <c r="AC21" i="8"/>
  <c r="AF26" i="8"/>
  <c r="AD26" i="8"/>
  <c r="AF27" i="8"/>
  <c r="AF43" i="8"/>
  <c r="AG50" i="8"/>
  <c r="AD44" i="8"/>
  <c r="AG41" i="8"/>
  <c r="AB43" i="8"/>
  <c r="AF22" i="8"/>
  <c r="AG23" i="8"/>
  <c r="AE53" i="8"/>
  <c r="AC15" i="8"/>
  <c r="AC25" i="8"/>
  <c r="AB32" i="8"/>
  <c r="AC19" i="8"/>
  <c r="AD25" i="12"/>
  <c r="AA37" i="12"/>
  <c r="AA58" i="12"/>
  <c r="AB36" i="12"/>
  <c r="AG34" i="12"/>
  <c r="AE27" i="12"/>
  <c r="AA18" i="12"/>
  <c r="AE51" i="12"/>
  <c r="AB32" i="12"/>
  <c r="AE44" i="12"/>
  <c r="K39" i="17"/>
  <c r="AF32" i="17"/>
  <c r="AL46" i="17"/>
  <c r="AA22" i="17"/>
  <c r="AK21" i="17"/>
  <c r="AL49" i="17"/>
  <c r="AB53" i="17"/>
  <c r="AG56" i="10"/>
  <c r="AD18" i="10"/>
  <c r="AF19" i="10"/>
  <c r="AA47" i="10"/>
  <c r="AC33" i="10"/>
  <c r="AF14" i="13"/>
  <c r="AA48" i="13"/>
  <c r="AA60" i="13"/>
  <c r="AF47" i="9"/>
  <c r="AD37" i="13"/>
  <c r="AE47" i="9"/>
  <c r="AD19" i="13"/>
  <c r="AE38" i="13"/>
  <c r="AD50" i="9"/>
  <c r="AD59" i="9"/>
  <c r="AC20" i="13"/>
  <c r="AG19" i="13"/>
  <c r="AE56" i="9"/>
  <c r="AC56" i="9"/>
  <c r="AB44" i="13"/>
  <c r="AD17" i="13"/>
  <c r="AD33" i="9"/>
  <c r="AF59" i="9"/>
  <c r="AC51" i="13"/>
  <c r="AD24" i="13"/>
  <c r="AE50" i="13"/>
  <c r="AE43" i="9"/>
  <c r="AD45" i="9"/>
  <c r="AE50" i="9"/>
  <c r="AC43" i="11"/>
  <c r="AC37" i="11"/>
  <c r="AA26" i="11"/>
  <c r="AD50" i="11"/>
  <c r="AF25" i="11"/>
  <c r="AC29" i="11"/>
  <c r="AA58" i="11"/>
  <c r="AC40" i="11"/>
  <c r="AC33" i="11"/>
  <c r="AG28" i="11"/>
  <c r="AG17" i="11"/>
  <c r="AE16" i="11"/>
  <c r="AA30" i="11"/>
  <c r="AB56" i="11"/>
  <c r="AD32" i="11"/>
  <c r="AF52" i="11"/>
  <c r="AG41" i="11"/>
  <c r="AC49" i="11"/>
  <c r="AA24" i="11"/>
  <c r="AB25" i="11"/>
  <c r="AC36" i="11"/>
  <c r="AD46" i="11"/>
  <c r="AE24" i="11"/>
  <c r="AD49" i="11"/>
  <c r="AE60" i="11"/>
  <c r="AD39" i="11"/>
  <c r="AA52" i="11"/>
  <c r="AF19" i="11"/>
  <c r="AF42" i="11"/>
  <c r="AG57" i="11"/>
  <c r="AF40" i="11"/>
  <c r="AB16" i="11"/>
  <c r="AC31" i="11"/>
  <c r="AE34" i="11"/>
  <c r="AG50" i="11"/>
  <c r="AA17" i="11"/>
  <c r="AE48" i="11"/>
  <c r="AA23" i="11"/>
  <c r="AA60" i="11"/>
  <c r="AG36" i="8"/>
  <c r="AC43" i="8"/>
  <c r="AG45" i="8"/>
  <c r="AG44" i="8"/>
  <c r="AD53" i="8"/>
  <c r="AC53" i="8"/>
  <c r="AC56" i="8"/>
  <c r="AF19" i="8"/>
  <c r="AA34" i="8"/>
  <c r="AA41" i="8"/>
  <c r="AB48" i="8"/>
  <c r="AA31" i="8"/>
  <c r="AF28" i="8"/>
  <c r="AE20" i="8"/>
  <c r="AC48" i="8"/>
  <c r="AC42" i="8"/>
  <c r="AE26" i="8"/>
  <c r="AC60" i="8"/>
  <c r="AC47" i="8"/>
  <c r="AE52" i="8"/>
  <c r="AD13" i="8"/>
  <c r="AF49" i="8"/>
  <c r="AB22" i="8"/>
  <c r="AB14" i="8"/>
  <c r="AC17" i="8"/>
  <c r="AA45" i="8"/>
  <c r="AD56" i="8"/>
  <c r="AD45" i="8"/>
  <c r="AA60" i="8"/>
  <c r="AG32" i="8"/>
  <c r="AF53" i="8"/>
  <c r="AE41" i="8"/>
  <c r="AB49" i="8"/>
  <c r="AE57" i="8"/>
  <c r="AC28" i="8"/>
  <c r="AE21" i="8"/>
  <c r="AB39" i="8"/>
  <c r="AE56" i="8"/>
  <c r="AC20" i="8"/>
  <c r="AD15" i="8"/>
  <c r="AG55" i="8"/>
  <c r="AB36" i="8"/>
  <c r="AE33" i="12"/>
  <c r="AA50" i="12"/>
  <c r="AE59" i="12"/>
  <c r="AB15" i="12"/>
  <c r="AC24" i="12"/>
  <c r="AE25" i="12"/>
  <c r="AF55" i="12"/>
  <c r="AB48" i="12"/>
  <c r="AE26" i="12"/>
  <c r="AG39" i="12"/>
  <c r="G42" i="5" a="1"/>
  <c r="AB43" i="17"/>
  <c r="AO58" i="17"/>
  <c r="AM39" i="17"/>
  <c r="AI44" i="17"/>
  <c r="AA38" i="17"/>
  <c r="AD38" i="17"/>
  <c r="AG51" i="10"/>
  <c r="AC20" i="10"/>
  <c r="AD41" i="10"/>
  <c r="AA46" i="10"/>
  <c r="AE44" i="10"/>
  <c r="AC42" i="13"/>
  <c r="AG54" i="13"/>
  <c r="AD48" i="13"/>
  <c r="AE58" i="13"/>
  <c r="AC21" i="13"/>
  <c r="AE27" i="9"/>
  <c r="AG37" i="13"/>
  <c r="AE55" i="13"/>
  <c r="AE37" i="9"/>
  <c r="AA30" i="9"/>
  <c r="AE51" i="13"/>
  <c r="AD41" i="13"/>
  <c r="AF40" i="9"/>
  <c r="AG36" i="9"/>
  <c r="AA42" i="13"/>
  <c r="AC55" i="13"/>
  <c r="AD54" i="9"/>
  <c r="AC42" i="9"/>
  <c r="AA13" i="13"/>
  <c r="AA37" i="13"/>
  <c r="AE27" i="13"/>
  <c r="AA28" i="9"/>
  <c r="AG40" i="9"/>
  <c r="AB47" i="9"/>
  <c r="AE58" i="11"/>
  <c r="AD47" i="11"/>
  <c r="AD30" i="11"/>
  <c r="AA56" i="11"/>
  <c r="AD23" i="11"/>
  <c r="AB29" i="11"/>
  <c r="AA55" i="11"/>
  <c r="AD44" i="11"/>
  <c r="AA22" i="11"/>
  <c r="AE19" i="11"/>
  <c r="AD28" i="11"/>
  <c r="AD41" i="11"/>
  <c r="AB36" i="11"/>
  <c r="AD45" i="11"/>
  <c r="AC41" i="11"/>
  <c r="AE57" i="11"/>
  <c r="AC20" i="11"/>
  <c r="AA41" i="11"/>
  <c r="AA20" i="11"/>
  <c r="AF44" i="11"/>
  <c r="AB57" i="11"/>
  <c r="AC24" i="11"/>
  <c r="AD31" i="11"/>
  <c r="AB53" i="11"/>
  <c r="AB51" i="11"/>
  <c r="AE35" i="11"/>
  <c r="AD57" i="11"/>
  <c r="AD60" i="11"/>
  <c r="AE59" i="11"/>
  <c r="AE37" i="11"/>
  <c r="AC42" i="11"/>
  <c r="AC22" i="11"/>
  <c r="AD59" i="11"/>
  <c r="AE32" i="11"/>
  <c r="AA35" i="11"/>
  <c r="AF30" i="11"/>
  <c r="AD14" i="11"/>
  <c r="AD53" i="11"/>
  <c r="AE48" i="8"/>
  <c r="AF16" i="8"/>
  <c r="AF50" i="8"/>
  <c r="AB18" i="8"/>
  <c r="AA59" i="8"/>
  <c r="AG38" i="8"/>
  <c r="AB19" i="8"/>
  <c r="AD38" i="8"/>
  <c r="AF35" i="8"/>
  <c r="AA35" i="8"/>
  <c r="AD59" i="8"/>
  <c r="AB50" i="8"/>
  <c r="AC38" i="8"/>
  <c r="AA44" i="8"/>
  <c r="AC27" i="8"/>
  <c r="AA37" i="8"/>
  <c r="AD55" i="8"/>
  <c r="AG58" i="8"/>
  <c r="AD29" i="8"/>
  <c r="AF58" i="8"/>
  <c r="AF48" i="8"/>
  <c r="AC18" i="8"/>
  <c r="AC35" i="8"/>
  <c r="AF34" i="8"/>
  <c r="AE45" i="8"/>
  <c r="AE31" i="8"/>
  <c r="AG29" i="8"/>
  <c r="AC52" i="8"/>
  <c r="AE38" i="8"/>
  <c r="AB20" i="8"/>
  <c r="AA15" i="8"/>
  <c r="AG25" i="8"/>
  <c r="AA30" i="8"/>
  <c r="AG18" i="8"/>
  <c r="AB33" i="8"/>
  <c r="AB23" i="8"/>
  <c r="AD27" i="8"/>
  <c r="AE43" i="8"/>
  <c r="AE32" i="8"/>
  <c r="AD30" i="8"/>
  <c r="AA48" i="8"/>
  <c r="AC59" i="8"/>
  <c r="AB57" i="12"/>
  <c r="AF16" i="12"/>
  <c r="AD60" i="12"/>
  <c r="AE58" i="12"/>
  <c r="AG54" i="12"/>
  <c r="AD32" i="12"/>
  <c r="AB33" i="12"/>
  <c r="AB34" i="12"/>
  <c r="AC41" i="12"/>
  <c r="AG55" i="12"/>
  <c r="AG17" i="12"/>
  <c r="P60" i="17"/>
  <c r="AB35" i="17"/>
  <c r="AK48" i="17"/>
  <c r="AM54" i="17"/>
  <c r="AF48" i="17"/>
  <c r="AM28" i="17"/>
  <c r="AO27" i="17"/>
  <c r="AA24" i="10"/>
  <c r="AG17" i="10"/>
  <c r="AD59" i="10"/>
  <c r="AC52" i="10"/>
  <c r="AF46" i="10"/>
  <c r="AD21" i="9"/>
  <c r="AA34" i="13"/>
  <c r="AG34" i="9"/>
  <c r="AB35" i="13"/>
  <c r="AA29" i="13"/>
  <c r="AB59" i="9"/>
  <c r="M58" i="17"/>
  <c r="AC32" i="10"/>
  <c r="AG18" i="13"/>
  <c r="AG51" i="9"/>
  <c r="AD35" i="9"/>
  <c r="AB56" i="9"/>
  <c r="AB35" i="9"/>
  <c r="AA29" i="11"/>
  <c r="AF46" i="11"/>
  <c r="AF23" i="11"/>
  <c r="AC50" i="11"/>
  <c r="AG56" i="11"/>
  <c r="AC35" i="11"/>
  <c r="AB50" i="11"/>
  <c r="AD17" i="11"/>
  <c r="AE39" i="11"/>
  <c r="AA45" i="11"/>
  <c r="AG30" i="8"/>
  <c r="AA17" i="8"/>
  <c r="AA58" i="8"/>
  <c r="AF60" i="8"/>
  <c r="AD25" i="8"/>
  <c r="AC54" i="8"/>
  <c r="AA26" i="8"/>
  <c r="AG31" i="8"/>
  <c r="AF24" i="8"/>
  <c r="AG49" i="8"/>
  <c r="AD44" i="12"/>
  <c r="AA56" i="12"/>
  <c r="AG26" i="12"/>
  <c r="AC52" i="12"/>
  <c r="AC44" i="12"/>
  <c r="AF59" i="12"/>
  <c r="AG33" i="12"/>
  <c r="AE48" i="12"/>
  <c r="AA41" i="12"/>
  <c r="AC27" i="12"/>
  <c r="AF51" i="12"/>
  <c r="AC56" i="12"/>
  <c r="AC51" i="12"/>
  <c r="AE20" i="12"/>
  <c r="AA40" i="12"/>
  <c r="AC46" i="12"/>
  <c r="AB20" i="17"/>
  <c r="AA40" i="10"/>
  <c r="AF24" i="9"/>
  <c r="AC57" i="13"/>
  <c r="AE59" i="9"/>
  <c r="AG29" i="13"/>
  <c r="AE60" i="9"/>
  <c r="AA39" i="11"/>
  <c r="AB17" i="11"/>
  <c r="AE25" i="11"/>
  <c r="AF20" i="11"/>
  <c r="AG30" i="11"/>
  <c r="AC60" i="11"/>
  <c r="AG26" i="11"/>
  <c r="AG29" i="11"/>
  <c r="AG37" i="11"/>
  <c r="AD29" i="11"/>
  <c r="AB46" i="8"/>
  <c r="AE44" i="8"/>
  <c r="AB53" i="8"/>
  <c r="AD41" i="8"/>
  <c r="AB37" i="8"/>
  <c r="AB52" i="8"/>
  <c r="AE16" i="8"/>
  <c r="AF55" i="8"/>
  <c r="AE35" i="8"/>
  <c r="AD24" i="8"/>
  <c r="AG40" i="12"/>
  <c r="AE54" i="12"/>
  <c r="AF23" i="12"/>
  <c r="AF54" i="12"/>
  <c r="AA29" i="12"/>
  <c r="AE13" i="12"/>
  <c r="AD46" i="12"/>
  <c r="AD43" i="12"/>
  <c r="AG45" i="12"/>
  <c r="AC21" i="12"/>
  <c r="AA49" i="12"/>
  <c r="AB51" i="12"/>
  <c r="AA28" i="12"/>
  <c r="AB50" i="12"/>
  <c r="AA32" i="12"/>
  <c r="AF33" i="12"/>
  <c r="AB53" i="12"/>
  <c r="AC60" i="12"/>
  <c r="AD47" i="12"/>
  <c r="AA60" i="12"/>
  <c r="AF15" i="12"/>
  <c r="AG18" i="12"/>
  <c r="AF13" i="12"/>
  <c r="AE55" i="12"/>
  <c r="AC22" i="12"/>
  <c r="AD24" i="12"/>
  <c r="AA25" i="12"/>
  <c r="AE37" i="12"/>
  <c r="AF42" i="12"/>
  <c r="AF49" i="12"/>
  <c r="AC28" i="12"/>
  <c r="AE28" i="12"/>
  <c r="AG20" i="12"/>
  <c r="AD13" i="12"/>
  <c r="M51" i="16"/>
  <c r="Q49" i="16"/>
  <c r="P50" i="16"/>
  <c r="K48" i="16"/>
  <c r="Q55" i="16"/>
  <c r="AD47" i="16"/>
  <c r="AF36" i="16"/>
  <c r="AD17" i="16"/>
  <c r="AO35" i="16"/>
  <c r="AG39" i="16"/>
  <c r="AJ45" i="16"/>
  <c r="AK50" i="16"/>
  <c r="AF17" i="16"/>
  <c r="AJ22" i="16"/>
  <c r="AF53" i="16"/>
  <c r="P19" i="16"/>
  <c r="O16" i="16"/>
  <c r="N31" i="16"/>
  <c r="M20" i="16"/>
  <c r="N50" i="16"/>
  <c r="K58" i="16"/>
  <c r="AN24" i="16"/>
  <c r="AG18" i="16"/>
  <c r="AA60" i="16"/>
  <c r="AM28" i="16"/>
  <c r="AI24" i="16"/>
  <c r="AA20" i="16"/>
  <c r="AB40" i="16"/>
  <c r="AI19" i="16"/>
  <c r="AM33" i="16"/>
  <c r="AE51" i="16"/>
  <c r="M56" i="16"/>
  <c r="M17" i="16"/>
  <c r="N14" i="16"/>
  <c r="K19" i="16"/>
  <c r="O32" i="16"/>
  <c r="Q27" i="16"/>
  <c r="AD48" i="16"/>
  <c r="AB35" i="16"/>
  <c r="AD55" i="16"/>
  <c r="AC28" i="16"/>
  <c r="AA19" i="16"/>
  <c r="AN60" i="16"/>
  <c r="AI27" i="16"/>
  <c r="Q54" i="16"/>
  <c r="O13" i="16"/>
  <c r="L13" i="16"/>
  <c r="O20" i="16"/>
  <c r="Q16" i="16"/>
  <c r="K46" i="16"/>
  <c r="AD24" i="16"/>
  <c r="AD40" i="16"/>
  <c r="AA38" i="16"/>
  <c r="AI17" i="16"/>
  <c r="AA31" i="16"/>
  <c r="AC60" i="16"/>
  <c r="AG49" i="16"/>
  <c r="AI15" i="16"/>
  <c r="O53" i="16"/>
  <c r="M47" i="16"/>
  <c r="Q41" i="16"/>
  <c r="K54" i="16"/>
  <c r="O18" i="16"/>
  <c r="AB30" i="16"/>
  <c r="AE38" i="16"/>
  <c r="AD29" i="16"/>
  <c r="AF57" i="16"/>
  <c r="AF25" i="16"/>
  <c r="AN57" i="16"/>
  <c r="AM47" i="16"/>
  <c r="AM37" i="16"/>
  <c r="AC54" i="16"/>
  <c r="AN48" i="16"/>
  <c r="O39" i="16"/>
  <c r="M27" i="16"/>
  <c r="P24" i="16"/>
  <c r="Q51" i="16"/>
  <c r="N24" i="16"/>
  <c r="AC37" i="17"/>
  <c r="AD33" i="10"/>
  <c r="AF48" i="13"/>
  <c r="AB14" i="13"/>
  <c r="AC54" i="13"/>
  <c r="AD56" i="13"/>
  <c r="AG48" i="9"/>
  <c r="AA57" i="11"/>
  <c r="AG47" i="11"/>
  <c r="AG39" i="11"/>
  <c r="AC23" i="11"/>
  <c r="AD19" i="11"/>
  <c r="AF34" i="11"/>
  <c r="AF26" i="11"/>
  <c r="AF15" i="11"/>
  <c r="AB37" i="11"/>
  <c r="AE47" i="8"/>
  <c r="AE23" i="8"/>
  <c r="AC45" i="8"/>
  <c r="AG54" i="8"/>
  <c r="AA55" i="8"/>
  <c r="AE55" i="8"/>
  <c r="AG14" i="8"/>
  <c r="AF21" i="8"/>
  <c r="AE58" i="8"/>
  <c r="AF42" i="8"/>
  <c r="AG52" i="8"/>
  <c r="AE53" i="12"/>
  <c r="AB59" i="12"/>
  <c r="AC32" i="12"/>
  <c r="AC39" i="12"/>
  <c r="AE57" i="12"/>
  <c r="AG50" i="12"/>
  <c r="AA45" i="12"/>
  <c r="AE32" i="12"/>
  <c r="AD30" i="12"/>
  <c r="AD38" i="12"/>
  <c r="AB17" i="12"/>
  <c r="AE31" i="12"/>
  <c r="AA43" i="12"/>
  <c r="AA33" i="12"/>
  <c r="AE16" i="12"/>
  <c r="AG28" i="12"/>
  <c r="AB42" i="12"/>
  <c r="AE21" i="12"/>
  <c r="AB22" i="12"/>
  <c r="AA31" i="12"/>
  <c r="AE22" i="12"/>
  <c r="AC47" i="12"/>
  <c r="AA15" i="12"/>
  <c r="AF56" i="12"/>
  <c r="AA22" i="12"/>
  <c r="AE18" i="12"/>
  <c r="AE43" i="12"/>
  <c r="AG22" i="12"/>
  <c r="AA13" i="12"/>
  <c r="AD59" i="12"/>
  <c r="AD19" i="12"/>
  <c r="AD33" i="12"/>
  <c r="AF26" i="12"/>
  <c r="AD57" i="12"/>
  <c r="K32" i="16"/>
  <c r="Q34" i="16"/>
  <c r="K49" i="16"/>
  <c r="Q17" i="16"/>
  <c r="M59" i="16"/>
  <c r="AB42" i="16"/>
  <c r="AB16" i="16"/>
  <c r="AN25" i="16"/>
  <c r="AG22" i="16"/>
  <c r="AL52" i="16"/>
  <c r="AE14" i="16"/>
  <c r="AD34" i="16"/>
  <c r="AL56" i="16"/>
  <c r="AC24" i="16"/>
  <c r="AM46" i="16"/>
  <c r="K21" i="16"/>
  <c r="N20" i="16"/>
  <c r="Q25" i="16"/>
  <c r="O45" i="16"/>
  <c r="Q38" i="16"/>
  <c r="O26" i="16"/>
  <c r="AC18" i="16"/>
  <c r="AD37" i="16"/>
  <c r="AC46" i="16"/>
  <c r="AN32" i="16"/>
  <c r="AL23" i="16"/>
  <c r="AE54" i="16"/>
  <c r="AJ49" i="16"/>
  <c r="AN37" i="16"/>
  <c r="AJ50" i="16"/>
  <c r="AO51" i="16"/>
  <c r="K24" i="16"/>
  <c r="P57" i="16"/>
  <c r="L37" i="16"/>
  <c r="O46" i="16"/>
  <c r="O37" i="16"/>
  <c r="AO53" i="16"/>
  <c r="AB59" i="16"/>
  <c r="AJ35" i="16"/>
  <c r="AC19" i="16"/>
  <c r="AI26" i="16"/>
  <c r="AK13" i="16"/>
  <c r="AL44" i="16"/>
  <c r="AM54" i="16"/>
  <c r="N42" i="16"/>
  <c r="M15" i="16"/>
  <c r="P22" i="16"/>
  <c r="N22" i="16"/>
  <c r="N53" i="16"/>
  <c r="Q59" i="16"/>
  <c r="AL26" i="16"/>
  <c r="AG30" i="16"/>
  <c r="AD36" i="16"/>
  <c r="AG41" i="16"/>
  <c r="AA30" i="16"/>
  <c r="AD14" i="16"/>
  <c r="AI28" i="16"/>
  <c r="AE41" i="16"/>
  <c r="K18" i="16"/>
  <c r="K43" i="16"/>
  <c r="K25" i="16"/>
  <c r="Q14" i="16"/>
  <c r="AL43" i="17"/>
  <c r="AE39" i="10"/>
  <c r="AC37" i="9"/>
  <c r="AG38" i="13"/>
  <c r="AG53" i="13"/>
  <c r="AG33" i="13"/>
  <c r="AC52" i="13"/>
  <c r="AG40" i="11"/>
  <c r="AF47" i="11"/>
  <c r="AE27" i="11"/>
  <c r="AF28" i="11"/>
  <c r="AF48" i="11"/>
  <c r="AA28" i="11"/>
  <c r="AF58" i="11"/>
  <c r="AB30" i="11"/>
  <c r="AF38" i="11"/>
  <c r="AD16" i="8"/>
  <c r="AA24" i="8"/>
  <c r="AB25" i="8"/>
  <c r="AC30" i="8"/>
  <c r="AF14" i="8"/>
  <c r="AF52" i="8"/>
  <c r="AA33" i="8"/>
  <c r="AG19" i="8"/>
  <c r="AF23" i="8"/>
  <c r="AF54" i="8"/>
  <c r="AA53" i="8"/>
  <c r="AB31" i="12"/>
  <c r="AB40" i="12"/>
  <c r="AB21" i="12"/>
  <c r="AA48" i="12"/>
  <c r="AE34" i="12"/>
  <c r="AG29" i="12"/>
  <c r="AF46" i="12"/>
  <c r="AF39" i="12"/>
  <c r="AG44" i="12"/>
  <c r="AG60" i="12"/>
  <c r="AC40" i="12"/>
  <c r="AF27" i="12"/>
  <c r="AG57" i="12"/>
  <c r="AB55" i="12"/>
  <c r="AB13" i="12"/>
  <c r="AF29" i="12"/>
  <c r="AB18" i="12"/>
  <c r="AC50" i="12"/>
  <c r="AE24" i="12"/>
  <c r="AF57" i="12"/>
  <c r="AG27" i="12"/>
  <c r="AD27" i="12"/>
  <c r="AF17" i="12"/>
  <c r="AE49" i="12"/>
  <c r="AG59" i="12"/>
  <c r="AA51" i="12"/>
  <c r="AE38" i="12"/>
  <c r="AD14" i="12"/>
  <c r="AG25" i="12"/>
  <c r="AA53" i="12"/>
  <c r="AF52" i="12"/>
  <c r="AC37" i="12"/>
  <c r="AD58" i="12"/>
  <c r="AD15" i="12"/>
  <c r="O60" i="16"/>
  <c r="O41" i="16"/>
  <c r="L30" i="16"/>
  <c r="K14" i="16"/>
  <c r="M35" i="16"/>
  <c r="AD56" i="16"/>
  <c r="AG44" i="16"/>
  <c r="AF32" i="16"/>
  <c r="AG60" i="16"/>
  <c r="AC25" i="16"/>
  <c r="AO21" i="16"/>
  <c r="AB56" i="16"/>
  <c r="AA13" i="16"/>
  <c r="AK47" i="16"/>
  <c r="AB54" i="16"/>
  <c r="M32" i="16"/>
  <c r="Q13" i="16"/>
  <c r="L51" i="16"/>
  <c r="M36" i="16"/>
  <c r="N34" i="16"/>
  <c r="AJ59" i="16"/>
  <c r="AM35" i="16"/>
  <c r="AN16" i="16"/>
  <c r="AC23" i="16"/>
  <c r="AA45" i="16"/>
  <c r="AE20" i="16"/>
  <c r="AJ57" i="16"/>
  <c r="AD46" i="16"/>
  <c r="AE18" i="16"/>
  <c r="AG19" i="16"/>
  <c r="AO59" i="16"/>
  <c r="K57" i="16"/>
  <c r="P21" i="16"/>
  <c r="O34" i="16"/>
  <c r="O22" i="16"/>
  <c r="Q44" i="16"/>
  <c r="AK33" i="16"/>
  <c r="AC26" i="16"/>
  <c r="AF43" i="16"/>
  <c r="AL20" i="16"/>
  <c r="AM58" i="16"/>
  <c r="AD60" i="16"/>
  <c r="AE35" i="16"/>
  <c r="AI23" i="16"/>
  <c r="M53" i="16"/>
  <c r="O23" i="16"/>
  <c r="O31" i="16"/>
  <c r="L19" i="16"/>
  <c r="K31" i="16"/>
  <c r="AO45" i="16"/>
  <c r="AA33" i="16"/>
  <c r="AO15" i="16"/>
  <c r="AF44" i="16"/>
  <c r="AI58" i="16"/>
  <c r="AO28" i="16"/>
  <c r="AL41" i="16"/>
  <c r="AO48" i="16"/>
  <c r="AK29" i="16"/>
  <c r="L58" i="16"/>
  <c r="O50" i="16"/>
  <c r="L41" i="16"/>
  <c r="L31" i="16"/>
  <c r="M19" i="16"/>
  <c r="AE39" i="16"/>
  <c r="AI53" i="16"/>
  <c r="AL34" i="16"/>
  <c r="AB57" i="16"/>
  <c r="AE25" i="16"/>
  <c r="AM57" i="16"/>
  <c r="AM56" i="16"/>
  <c r="AJ27" i="16"/>
  <c r="AJ33" i="16"/>
  <c r="AE60" i="16"/>
  <c r="P49" i="16"/>
  <c r="M14" i="16"/>
  <c r="M52" i="16"/>
  <c r="K39" i="16"/>
  <c r="P23" i="16"/>
  <c r="AI36" i="16"/>
  <c r="AJ26" i="16"/>
  <c r="AE19" i="16"/>
  <c r="AM16" i="16"/>
  <c r="AF60" i="16"/>
  <c r="AJ25" i="16"/>
  <c r="AD52" i="17"/>
  <c r="AB45" i="9"/>
  <c r="AC41" i="13"/>
  <c r="AC22" i="13"/>
  <c r="AF36" i="13"/>
  <c r="AF49" i="13"/>
  <c r="AD25" i="9"/>
  <c r="AE13" i="11"/>
  <c r="AB19" i="11"/>
  <c r="AC19" i="11"/>
  <c r="AD16" i="11"/>
  <c r="AB20" i="11"/>
  <c r="AC30" i="11"/>
  <c r="AF39" i="11"/>
  <c r="AC58" i="11"/>
  <c r="AD38" i="11"/>
  <c r="AA25" i="8"/>
  <c r="AB57" i="8"/>
  <c r="AG57" i="8"/>
  <c r="AA36" i="8"/>
  <c r="AG48" i="8"/>
  <c r="AG27" i="8"/>
  <c r="AD43" i="8"/>
  <c r="AC31" i="8"/>
  <c r="AE33" i="8"/>
  <c r="AA40" i="8"/>
  <c r="AG53" i="8"/>
  <c r="AD50" i="12"/>
  <c r="AC45" i="12"/>
  <c r="AA24" i="12"/>
  <c r="AD22" i="12"/>
  <c r="AF36" i="12"/>
  <c r="AF32" i="12"/>
  <c r="AD56" i="12"/>
  <c r="AA21" i="12"/>
  <c r="AG52" i="12"/>
  <c r="AC29" i="12"/>
  <c r="AA34" i="12"/>
  <c r="AD41" i="12"/>
  <c r="AC25" i="12"/>
  <c r="AF18" i="12"/>
  <c r="AG13" i="12"/>
  <c r="AD34" i="12"/>
  <c r="AF20" i="12"/>
  <c r="AB39" i="12"/>
  <c r="AB29" i="12"/>
  <c r="AF53" i="12"/>
  <c r="AD48" i="12"/>
  <c r="AC23" i="12"/>
  <c r="AE19" i="12"/>
  <c r="AD17" i="12"/>
  <c r="AD54" i="12"/>
  <c r="AE42" i="12"/>
  <c r="AB24" i="12"/>
  <c r="AF38" i="12"/>
  <c r="AC48" i="12"/>
  <c r="AE35" i="12"/>
  <c r="AD55" i="12"/>
  <c r="AF25" i="12"/>
  <c r="AG58" i="12"/>
  <c r="AD37" i="12"/>
  <c r="M43" i="16"/>
  <c r="O43" i="16"/>
  <c r="M55" i="16"/>
  <c r="M25" i="16"/>
  <c r="Q45" i="16"/>
  <c r="AB33" i="16"/>
  <c r="AG20" i="16"/>
  <c r="AM25" i="16"/>
  <c r="AG21" i="16"/>
  <c r="AG59" i="16"/>
  <c r="AE42" i="16"/>
  <c r="AG33" i="16"/>
  <c r="AL36" i="16"/>
  <c r="AF35" i="16"/>
  <c r="AK28" i="16"/>
  <c r="L40" i="16"/>
  <c r="P48" i="16"/>
  <c r="P31" i="16"/>
  <c r="N45" i="16"/>
  <c r="O56" i="16"/>
  <c r="AK35" i="16"/>
  <c r="AL45" i="16"/>
  <c r="AN38" i="16"/>
  <c r="AF30" i="16"/>
  <c r="AD23" i="16"/>
  <c r="AN39" i="16"/>
  <c r="AG23" i="16"/>
  <c r="AM34" i="16"/>
  <c r="AL60" i="16"/>
  <c r="AC34" i="16"/>
  <c r="AL58" i="16"/>
  <c r="L52" i="16"/>
  <c r="K52" i="16"/>
  <c r="O25" i="16"/>
  <c r="P47" i="16"/>
  <c r="N23" i="16"/>
  <c r="AL35" i="16"/>
  <c r="AM44" i="16"/>
  <c r="AN56" i="16"/>
  <c r="AF31" i="16"/>
  <c r="AK46" i="16"/>
  <c r="AL19" i="16"/>
  <c r="AI16" i="16"/>
  <c r="AF39" i="16"/>
  <c r="O28" i="16"/>
  <c r="O52" i="16"/>
  <c r="L49" i="16"/>
  <c r="Q46" i="16"/>
  <c r="L59" i="16"/>
  <c r="AB15" i="16"/>
  <c r="AB34" i="16"/>
  <c r="AN34" i="16"/>
  <c r="AI57" i="16"/>
  <c r="AK18" i="16"/>
  <c r="AA51" i="16"/>
  <c r="AJ14" i="16"/>
  <c r="AB55" i="16"/>
  <c r="AA18" i="16"/>
  <c r="P35" i="16"/>
  <c r="M58" i="16"/>
  <c r="P45" i="16"/>
  <c r="K38" i="16"/>
  <c r="K34" i="16"/>
  <c r="AF13" i="16"/>
  <c r="AC13" i="16"/>
  <c r="AO22" i="16"/>
  <c r="AA52" i="17"/>
  <c r="AE39" i="13"/>
  <c r="AC45" i="13"/>
  <c r="AD25" i="13"/>
  <c r="AD35" i="13"/>
  <c r="AG57" i="13"/>
  <c r="AF32" i="11"/>
  <c r="AE38" i="11"/>
  <c r="AF29" i="11"/>
  <c r="AB22" i="11"/>
  <c r="AF45" i="11"/>
  <c r="AA37" i="11"/>
  <c r="AD26" i="11"/>
  <c r="AF57" i="11"/>
  <c r="AB31" i="11"/>
  <c r="AE43" i="11"/>
  <c r="AD20" i="8"/>
  <c r="AG17" i="8"/>
  <c r="AG21" i="8"/>
  <c r="AF51" i="8"/>
  <c r="AD39" i="8"/>
  <c r="AD37" i="8"/>
  <c r="AE29" i="8"/>
  <c r="AB45" i="8"/>
  <c r="AA50" i="8"/>
  <c r="AC55" i="8"/>
  <c r="AC58" i="8"/>
  <c r="AG43" i="12"/>
  <c r="AG19" i="12"/>
  <c r="AB38" i="12"/>
  <c r="AD26" i="12"/>
  <c r="AA30" i="12"/>
  <c r="AF43" i="12"/>
  <c r="AG56" i="12"/>
  <c r="AD45" i="12"/>
  <c r="AE23" i="12"/>
  <c r="AB37" i="12"/>
  <c r="AF34" i="12"/>
  <c r="AB52" i="12"/>
  <c r="AC19" i="12"/>
  <c r="AC20" i="12"/>
  <c r="AD39" i="12"/>
  <c r="AB43" i="12"/>
  <c r="AF24" i="12"/>
  <c r="AB25" i="12"/>
  <c r="AC35" i="12"/>
  <c r="AF41" i="12"/>
  <c r="AA38" i="12"/>
  <c r="AC34" i="12"/>
  <c r="AD36" i="12"/>
  <c r="AE52" i="12"/>
  <c r="AG49" i="12"/>
  <c r="AD49" i="12"/>
  <c r="AG31" i="12"/>
  <c r="AE17" i="12"/>
  <c r="AC18" i="12"/>
  <c r="AA47" i="12"/>
  <c r="AG38" i="12"/>
  <c r="AF31" i="12"/>
  <c r="AA42" i="12"/>
  <c r="AG35" i="12"/>
  <c r="Q56" i="16"/>
  <c r="N48" i="16"/>
  <c r="M49" i="16"/>
  <c r="O24" i="16"/>
  <c r="N32" i="16"/>
  <c r="AF50" i="16"/>
  <c r="AB22" i="16"/>
  <c r="AB17" i="16"/>
  <c r="AM18" i="16"/>
  <c r="AL13" i="16"/>
  <c r="AD35" i="16"/>
  <c r="AK15" i="16"/>
  <c r="AI40" i="16"/>
  <c r="AC14" i="16"/>
  <c r="AM55" i="16"/>
  <c r="P37" i="16"/>
  <c r="M26" i="16"/>
  <c r="N51" i="16"/>
  <c r="K41" i="16"/>
  <c r="N41" i="16"/>
  <c r="AI60" i="16"/>
  <c r="AA58" i="16"/>
  <c r="AN41" i="16"/>
  <c r="AA57" i="16"/>
  <c r="AM49" i="16"/>
  <c r="AK51" i="16"/>
  <c r="AO49" i="16"/>
  <c r="AC45" i="16"/>
  <c r="AL17" i="16"/>
  <c r="AC49" i="16"/>
  <c r="AG26" i="16"/>
  <c r="N47" i="16"/>
  <c r="O38" i="16"/>
  <c r="K56" i="16"/>
  <c r="Q15" i="16"/>
  <c r="K29" i="16"/>
  <c r="AJ29" i="16"/>
  <c r="AJ53" i="16"/>
  <c r="AM50" i="16"/>
  <c r="AI31" i="16"/>
  <c r="AB25" i="16"/>
  <c r="AA56" i="16"/>
  <c r="AM24" i="16"/>
  <c r="AC48" i="16"/>
  <c r="P34" i="16"/>
  <c r="K23" i="16"/>
  <c r="P52" i="16"/>
  <c r="Q30" i="16"/>
  <c r="K16" i="16"/>
  <c r="AA39" i="16"/>
  <c r="AI52" i="16"/>
  <c r="AM36" i="16"/>
  <c r="AD41" i="16"/>
  <c r="AO19" i="16"/>
  <c r="AC44" i="16"/>
  <c r="AJ16" i="16"/>
  <c r="AC37" i="16"/>
  <c r="AN36" i="16"/>
  <c r="P33" i="16"/>
  <c r="N15" i="16"/>
  <c r="L29" i="16"/>
  <c r="M34" i="16"/>
  <c r="Q32" i="16"/>
  <c r="AB41" i="16"/>
  <c r="AO58" i="16"/>
  <c r="AO47" i="16"/>
  <c r="AC38" i="10"/>
  <c r="AA36" i="9"/>
  <c r="AA45" i="9"/>
  <c r="AG56" i="9"/>
  <c r="AD39" i="9"/>
  <c r="AG28" i="9"/>
  <c r="AG18" i="11"/>
  <c r="AB38" i="11"/>
  <c r="AD48" i="11"/>
  <c r="AE17" i="11"/>
  <c r="AB47" i="11"/>
  <c r="AE47" i="11"/>
  <c r="AA32" i="11"/>
  <c r="AG34" i="11"/>
  <c r="AC45" i="11"/>
  <c r="AG35" i="11"/>
  <c r="AE17" i="8"/>
  <c r="AD50" i="8"/>
  <c r="AC50" i="8"/>
  <c r="AF29" i="8"/>
  <c r="AG60" i="8"/>
  <c r="AE60" i="8"/>
  <c r="AF57" i="8"/>
  <c r="AE49" i="8"/>
  <c r="AA13" i="8"/>
  <c r="AC33" i="8"/>
  <c r="AE50" i="12"/>
  <c r="AA26" i="12"/>
  <c r="AA23" i="12"/>
  <c r="AC59" i="12"/>
  <c r="AE60" i="12"/>
  <c r="AF28" i="12"/>
  <c r="AG21" i="12"/>
  <c r="AD31" i="12"/>
  <c r="AB44" i="12"/>
  <c r="AC14" i="12"/>
  <c r="AA39" i="12"/>
  <c r="AA19" i="12"/>
  <c r="AB27" i="12"/>
  <c r="AG46" i="12"/>
  <c r="AB35" i="12"/>
  <c r="AE14" i="12"/>
  <c r="AA59" i="12"/>
  <c r="AE30" i="12"/>
  <c r="AG47" i="12"/>
  <c r="AG42" i="12"/>
  <c r="AD23" i="12"/>
  <c r="AB49" i="12"/>
  <c r="AB46" i="12"/>
  <c r="AG23" i="12"/>
  <c r="AG37" i="12"/>
  <c r="AD40" i="12"/>
  <c r="AD35" i="12"/>
  <c r="AC49" i="12"/>
  <c r="AF40" i="12"/>
  <c r="AA35" i="12"/>
  <c r="AC43" i="12"/>
  <c r="AF45" i="12"/>
  <c r="AB47" i="12"/>
  <c r="AB54" i="12"/>
  <c r="K60" i="16"/>
  <c r="K22" i="16"/>
  <c r="O29" i="16"/>
  <c r="P13" i="16"/>
  <c r="Q36" i="16"/>
  <c r="O35" i="16"/>
  <c r="AO46" i="16"/>
  <c r="AG48" i="16"/>
  <c r="AF19" i="16"/>
  <c r="AC22" i="16"/>
  <c r="AM53" i="16"/>
  <c r="AL22" i="16"/>
  <c r="AF21" i="16"/>
  <c r="AI42" i="16"/>
  <c r="AB20" i="16"/>
  <c r="AG58" i="16"/>
  <c r="L43" i="16"/>
  <c r="P27" i="16"/>
  <c r="N57" i="16"/>
  <c r="P39" i="16"/>
  <c r="L16" i="16"/>
  <c r="AE36" i="16"/>
  <c r="AL51" i="16"/>
  <c r="AD28" i="16"/>
  <c r="AB43" i="16"/>
  <c r="AO57" i="16"/>
  <c r="AF45" i="16"/>
  <c r="AD44" i="16"/>
  <c r="AL37" i="16"/>
  <c r="AK19" i="16"/>
  <c r="AF20" i="16"/>
  <c r="AO38" i="16"/>
  <c r="P53" i="16"/>
  <c r="P40" i="16"/>
  <c r="K44" i="16"/>
  <c r="P44" i="16"/>
  <c r="N28" i="16"/>
  <c r="AN50" i="16"/>
  <c r="AL40" i="16"/>
  <c r="AA25" i="16"/>
  <c r="AJ56" i="16"/>
  <c r="AF29" i="16"/>
  <c r="AC39" i="16"/>
  <c r="AJ41" i="16"/>
  <c r="AF22" i="16"/>
  <c r="L47" i="16"/>
  <c r="L33" i="16"/>
  <c r="N37" i="16"/>
  <c r="N21" i="16"/>
  <c r="K17" i="16"/>
  <c r="AA55" i="16"/>
  <c r="AK58" i="16"/>
  <c r="AB28" i="16"/>
  <c r="AK44" i="16"/>
  <c r="AJ52" i="16"/>
  <c r="AC15" i="16"/>
  <c r="AF51" i="16"/>
  <c r="AK21" i="16"/>
  <c r="N46" i="16"/>
  <c r="O59" i="16"/>
  <c r="M33" i="16"/>
  <c r="L50" i="16"/>
  <c r="L56" i="16"/>
  <c r="K26" i="16"/>
  <c r="AI47" i="16"/>
  <c r="AK25" i="16"/>
  <c r="AO36" i="16"/>
  <c r="AG17" i="16"/>
  <c r="AD27" i="16"/>
  <c r="AB31" i="16"/>
  <c r="AD39" i="16"/>
  <c r="AJ30" i="16"/>
  <c r="AG38" i="16"/>
  <c r="AO30" i="16"/>
  <c r="Q37" i="16"/>
  <c r="K45" i="16"/>
  <c r="O57" i="16"/>
  <c r="O30" i="16"/>
  <c r="N60" i="16"/>
  <c r="AE13" i="16"/>
  <c r="AJ19" i="16"/>
  <c r="AC33" i="16"/>
  <c r="AN17" i="16"/>
  <c r="AG55" i="16"/>
  <c r="AL18" i="16"/>
  <c r="AD21" i="10"/>
  <c r="AF43" i="11"/>
  <c r="AE50" i="8"/>
  <c r="AA20" i="8"/>
  <c r="AA20" i="12"/>
  <c r="AC17" i="12"/>
  <c r="AG16" i="12"/>
  <c r="AB28" i="12"/>
  <c r="AE41" i="12"/>
  <c r="AE36" i="12"/>
  <c r="M38" i="16"/>
  <c r="N44" i="16"/>
  <c r="AD58" i="9"/>
  <c r="AG20" i="11"/>
  <c r="AC49" i="8"/>
  <c r="AF39" i="8"/>
  <c r="AC53" i="12"/>
  <c r="AA14" i="12"/>
  <c r="AG48" i="12"/>
  <c r="AG24" i="12"/>
  <c r="AC13" i="12"/>
  <c r="AF35" i="12"/>
  <c r="L55" i="16"/>
  <c r="AC49" i="9"/>
  <c r="AD55" i="11"/>
  <c r="AA49" i="8"/>
  <c r="AF60" i="12"/>
  <c r="AD16" i="12"/>
  <c r="AB30" i="12"/>
  <c r="AG41" i="12"/>
  <c r="AG51" i="12"/>
  <c r="AE29" i="12"/>
  <c r="AB41" i="12"/>
  <c r="Q43" i="16"/>
  <c r="AG16" i="16"/>
  <c r="AK17" i="16"/>
  <c r="AI48" i="16"/>
  <c r="O27" i="16"/>
  <c r="AD15" i="16"/>
  <c r="AN35" i="16"/>
  <c r="AO33" i="16"/>
  <c r="M40" i="16"/>
  <c r="AB44" i="16"/>
  <c r="AL38" i="16"/>
  <c r="L36" i="16"/>
  <c r="AB18" i="16"/>
  <c r="AF55" i="16"/>
  <c r="N54" i="16"/>
  <c r="M23" i="16"/>
  <c r="AF38" i="16"/>
  <c r="AL24" i="16"/>
  <c r="AK38" i="16"/>
  <c r="AI44" i="16"/>
  <c r="AE15" i="16"/>
  <c r="P25" i="16"/>
  <c r="O54" i="16"/>
  <c r="Q22" i="16"/>
  <c r="K28" i="16"/>
  <c r="AB51" i="16"/>
  <c r="AO34" i="16"/>
  <c r="AO14" i="16"/>
  <c r="AO16" i="16"/>
  <c r="AA27" i="16"/>
  <c r="AN26" i="16"/>
  <c r="AJ28" i="16"/>
  <c r="AG45" i="16"/>
  <c r="AK52" i="16"/>
  <c r="K53" i="16"/>
  <c r="P56" i="16"/>
  <c r="Q28" i="16"/>
  <c r="N39" i="16"/>
  <c r="L39" i="16"/>
  <c r="AL28" i="16"/>
  <c r="AL21" i="16"/>
  <c r="AA17" i="16"/>
  <c r="AG56" i="16"/>
  <c r="AI46" i="16"/>
  <c r="AK53" i="16"/>
  <c r="AM20" i="16"/>
  <c r="AD26" i="16"/>
  <c r="AE56" i="16"/>
  <c r="AK45" i="16"/>
  <c r="M18" i="16"/>
  <c r="N36" i="16"/>
  <c r="Q31" i="16"/>
  <c r="K37" i="16"/>
  <c r="M46" i="16"/>
  <c r="AM13" i="16"/>
  <c r="AM19" i="16"/>
  <c r="AK30" i="16"/>
  <c r="AB13" i="16"/>
  <c r="AE47" i="16"/>
  <c r="AF16" i="16"/>
  <c r="AC58" i="16"/>
  <c r="AA43" i="16"/>
  <c r="AF23" i="16"/>
  <c r="AE52" i="16"/>
  <c r="AC31" i="16"/>
  <c r="AK57" i="16"/>
  <c r="AC20" i="16"/>
  <c r="AM59" i="16"/>
  <c r="AB47" i="16"/>
  <c r="AA24" i="16"/>
  <c r="AK54" i="16"/>
  <c r="N56" i="12"/>
  <c r="L36" i="12"/>
  <c r="P55" i="12"/>
  <c r="N57" i="12"/>
  <c r="M52" i="12"/>
  <c r="K57" i="12"/>
  <c r="P35" i="12"/>
  <c r="L29" i="12"/>
  <c r="M24" i="12"/>
  <c r="P46" i="12"/>
  <c r="L14" i="12"/>
  <c r="N14" i="12"/>
  <c r="M17" i="12"/>
  <c r="M31" i="12"/>
  <c r="Q52" i="12"/>
  <c r="K40" i="12"/>
  <c r="Q14" i="12"/>
  <c r="K44" i="12"/>
  <c r="P18" i="12"/>
  <c r="L55" i="12"/>
  <c r="O60" i="12"/>
  <c r="O29" i="12"/>
  <c r="K31" i="12"/>
  <c r="N53" i="12"/>
  <c r="Q59" i="12"/>
  <c r="Q35" i="12"/>
  <c r="K41" i="12"/>
  <c r="M44" i="12"/>
  <c r="O51" i="12"/>
  <c r="Q20" i="12"/>
  <c r="P25" i="12"/>
  <c r="M28" i="12"/>
  <c r="N20" i="12"/>
  <c r="O58" i="12"/>
  <c r="L51" i="12"/>
  <c r="K27" i="12"/>
  <c r="O27" i="12"/>
  <c r="M43" i="12"/>
  <c r="AF54" i="9"/>
  <c r="AD54" i="11"/>
  <c r="AC57" i="8"/>
  <c r="AB23" i="12"/>
  <c r="AC57" i="12"/>
  <c r="AE56" i="12"/>
  <c r="AE45" i="12"/>
  <c r="AA46" i="12"/>
  <c r="AF50" i="12"/>
  <c r="AB45" i="12"/>
  <c r="Q20" i="16"/>
  <c r="AG50" i="16"/>
  <c r="AF58" i="16"/>
  <c r="AO27" i="16"/>
  <c r="P43" i="16"/>
  <c r="AN52" i="16"/>
  <c r="AF40" i="16"/>
  <c r="AO42" i="16"/>
  <c r="Q57" i="16"/>
  <c r="AK59" i="16"/>
  <c r="AC40" i="16"/>
  <c r="K36" i="16"/>
  <c r="AI41" i="16"/>
  <c r="AF41" i="16"/>
  <c r="M45" i="16"/>
  <c r="P18" i="16"/>
  <c r="AJ15" i="16"/>
  <c r="AI49" i="16"/>
  <c r="AF47" i="16"/>
  <c r="AM23" i="16"/>
  <c r="AE29" i="16"/>
  <c r="P28" i="16"/>
  <c r="O40" i="16"/>
  <c r="P14" i="16"/>
  <c r="Q39" i="16"/>
  <c r="AG43" i="16"/>
  <c r="AG24" i="16"/>
  <c r="AN21" i="16"/>
  <c r="AO37" i="16"/>
  <c r="AE24" i="16"/>
  <c r="AB24" i="16"/>
  <c r="AI56" i="16"/>
  <c r="AD54" i="16"/>
  <c r="AM45" i="16"/>
  <c r="M37" i="16"/>
  <c r="K47" i="16"/>
  <c r="K33" i="16"/>
  <c r="Q19" i="16"/>
  <c r="N59" i="16"/>
  <c r="AO25" i="16"/>
  <c r="AB37" i="16"/>
  <c r="AK60" i="16"/>
  <c r="AD53" i="16"/>
  <c r="AI43" i="16"/>
  <c r="AL57" i="16"/>
  <c r="AN18" i="16"/>
  <c r="AI35" i="16"/>
  <c r="AN30" i="16"/>
  <c r="AD13" i="16"/>
  <c r="O47" i="16"/>
  <c r="O21" i="16"/>
  <c r="M44" i="16"/>
  <c r="Q47" i="16"/>
  <c r="P55" i="16"/>
  <c r="AB39" i="16"/>
  <c r="AG46" i="16"/>
  <c r="AG47" i="16"/>
  <c r="AA46" i="16"/>
  <c r="AK42" i="16"/>
  <c r="AJ37" i="16"/>
  <c r="AG37" i="16"/>
  <c r="AE37" i="16"/>
  <c r="AE43" i="16"/>
  <c r="AG42" i="16"/>
  <c r="AD32" i="16"/>
  <c r="AB14" i="16"/>
  <c r="AI29" i="16"/>
  <c r="AO20" i="16"/>
  <c r="AE40" i="16"/>
  <c r="AG27" i="16"/>
  <c r="AA22" i="16"/>
  <c r="M23" i="12"/>
  <c r="M42" i="12"/>
  <c r="O43" i="12"/>
  <c r="M30" i="12"/>
  <c r="L35" i="12"/>
  <c r="K50" i="12"/>
  <c r="L21" i="12"/>
  <c r="P13" i="12"/>
  <c r="M53" i="12"/>
  <c r="N40" i="12"/>
  <c r="P34" i="12"/>
  <c r="L60" i="12"/>
  <c r="N59" i="12"/>
  <c r="P59" i="12"/>
  <c r="P50" i="12"/>
  <c r="Q44" i="12"/>
  <c r="P45" i="12"/>
  <c r="P14" i="12"/>
  <c r="M32" i="12"/>
  <c r="M48" i="12"/>
  <c r="O52" i="12"/>
  <c r="N48" i="12"/>
  <c r="L44" i="12"/>
  <c r="Q16" i="12"/>
  <c r="O15" i="12"/>
  <c r="K20" i="12"/>
  <c r="M39" i="12"/>
  <c r="M40" i="12"/>
  <c r="O49" i="12"/>
  <c r="K48" i="12"/>
  <c r="Q29" i="12"/>
  <c r="K60" i="12"/>
  <c r="M56" i="12"/>
  <c r="K33" i="12"/>
  <c r="N30" i="12"/>
  <c r="Q36" i="12"/>
  <c r="L28" i="12"/>
  <c r="L57" i="12"/>
  <c r="N13" i="12"/>
  <c r="M60" i="12"/>
  <c r="N34" i="12"/>
  <c r="K47" i="12"/>
  <c r="O28" i="11"/>
  <c r="K38" i="11"/>
  <c r="AB57" i="9"/>
  <c r="AC17" i="11"/>
  <c r="AC36" i="8"/>
  <c r="AF22" i="12"/>
  <c r="AE15" i="12"/>
  <c r="AG30" i="12"/>
  <c r="AF21" i="12"/>
  <c r="AA54" i="12"/>
  <c r="AD28" i="12"/>
  <c r="AG14" i="12"/>
  <c r="N49" i="16"/>
  <c r="AK16" i="16"/>
  <c r="AL25" i="16"/>
  <c r="AC50" i="16"/>
  <c r="N52" i="16"/>
  <c r="AA23" i="16"/>
  <c r="AJ42" i="16"/>
  <c r="AK56" i="16"/>
  <c r="Q23" i="16"/>
  <c r="AO52" i="16"/>
  <c r="AG40" i="16"/>
  <c r="K35" i="16"/>
  <c r="AB23" i="16"/>
  <c r="AE31" i="16"/>
  <c r="K30" i="16"/>
  <c r="L26" i="16"/>
  <c r="AD21" i="16"/>
  <c r="AL15" i="16"/>
  <c r="AK23" i="16"/>
  <c r="AK36" i="16"/>
  <c r="AO17" i="16"/>
  <c r="M24" i="16"/>
  <c r="N30" i="16"/>
  <c r="P32" i="16"/>
  <c r="N27" i="16"/>
  <c r="AE30" i="16"/>
  <c r="AA16" i="16"/>
  <c r="AO40" i="16"/>
  <c r="AC16" i="16"/>
  <c r="AD31" i="16"/>
  <c r="AC57" i="16"/>
  <c r="AA54" i="16"/>
  <c r="AE44" i="16"/>
  <c r="AA26" i="16"/>
  <c r="O14" i="16"/>
  <c r="Q40" i="16"/>
  <c r="L42" i="16"/>
  <c r="N16" i="16"/>
  <c r="M54" i="16"/>
  <c r="AI55" i="16"/>
  <c r="AC32" i="16"/>
  <c r="AG32" i="16"/>
  <c r="AC36" i="16"/>
  <c r="AB36" i="16"/>
  <c r="AB50" i="16"/>
  <c r="AB29" i="16"/>
  <c r="AE34" i="16"/>
  <c r="AN29" i="16"/>
  <c r="AA21" i="16"/>
  <c r="Q24" i="16"/>
  <c r="O17" i="16"/>
  <c r="P59" i="16"/>
  <c r="L34" i="16"/>
  <c r="Q50" i="16"/>
  <c r="AG31" i="16"/>
  <c r="AC43" i="16"/>
  <c r="AG54" i="16"/>
  <c r="AB53" i="16"/>
  <c r="AM41" i="16"/>
  <c r="AL27" i="16"/>
  <c r="AD30" i="16"/>
  <c r="AL47" i="16"/>
  <c r="AF28" i="16"/>
  <c r="AE33" i="16"/>
  <c r="AJ34" i="16"/>
  <c r="AC59" i="16"/>
  <c r="AK40" i="16"/>
  <c r="AI13" i="16"/>
  <c r="AL43" i="16"/>
  <c r="AL29" i="16"/>
  <c r="AD20" i="16"/>
  <c r="K26" i="12"/>
  <c r="K18" i="12"/>
  <c r="N41" i="12"/>
  <c r="O26" i="12"/>
  <c r="K49" i="12"/>
  <c r="O21" i="12"/>
  <c r="L48" i="12"/>
  <c r="P26" i="12"/>
  <c r="Q46" i="12"/>
  <c r="N21" i="12"/>
  <c r="N39" i="12"/>
  <c r="K45" i="12"/>
  <c r="Q28" i="12"/>
  <c r="L18" i="12"/>
  <c r="P49" i="12"/>
  <c r="Q58" i="12"/>
  <c r="L39" i="12"/>
  <c r="P57" i="12"/>
  <c r="K54" i="12"/>
  <c r="M29" i="12"/>
  <c r="O22" i="12"/>
  <c r="L20" i="12"/>
  <c r="L49" i="12"/>
  <c r="Q32" i="12"/>
  <c r="N50" i="12"/>
  <c r="K55" i="12"/>
  <c r="P22" i="12"/>
  <c r="Q33" i="12"/>
  <c r="K28" i="12"/>
  <c r="Q48" i="12"/>
  <c r="Q34" i="12"/>
  <c r="N23" i="12"/>
  <c r="M35" i="12"/>
  <c r="K59" i="12"/>
  <c r="O24" i="12"/>
  <c r="L33" i="12"/>
  <c r="Q54" i="12"/>
  <c r="O48" i="12"/>
  <c r="O53" i="12"/>
  <c r="N46" i="12"/>
  <c r="Q41" i="12"/>
  <c r="Q60" i="11"/>
  <c r="L51" i="11"/>
  <c r="M26" i="11"/>
  <c r="Q17" i="11"/>
  <c r="AC44" i="9"/>
  <c r="AB24" i="11"/>
  <c r="AA42" i="8"/>
  <c r="AE39" i="12"/>
  <c r="AC54" i="12"/>
  <c r="AB19" i="12"/>
  <c r="AF58" i="12"/>
  <c r="AB60" i="12"/>
  <c r="AE40" i="12"/>
  <c r="AB26" i="12"/>
  <c r="Q53" i="16"/>
  <c r="AC47" i="16"/>
  <c r="AI51" i="16"/>
  <c r="AC17" i="16"/>
  <c r="M29" i="16"/>
  <c r="AM43" i="16"/>
  <c r="AF27" i="16"/>
  <c r="Q48" i="16"/>
  <c r="N38" i="16"/>
  <c r="AK32" i="16"/>
  <c r="AN58" i="16"/>
  <c r="O58" i="16"/>
  <c r="AJ24" i="16"/>
  <c r="AD57" i="16"/>
  <c r="K13" i="16"/>
  <c r="L18" i="16"/>
  <c r="AD52" i="16"/>
  <c r="AI33" i="16"/>
  <c r="AB38" i="16"/>
  <c r="AJ51" i="16"/>
  <c r="AA36" i="16"/>
  <c r="P16" i="16"/>
  <c r="M57" i="16"/>
  <c r="P60" i="16"/>
  <c r="AB52" i="16"/>
  <c r="AG36" i="16"/>
  <c r="AG13" i="16"/>
  <c r="AM52" i="16"/>
  <c r="AC38" i="16"/>
  <c r="AJ17" i="16"/>
  <c r="AL53" i="16"/>
  <c r="AF37" i="16"/>
  <c r="AO41" i="16"/>
  <c r="AK20" i="16"/>
  <c r="L44" i="16"/>
  <c r="K59" i="16"/>
  <c r="Q52" i="16"/>
  <c r="L32" i="16"/>
  <c r="Q35" i="16"/>
  <c r="AN47" i="16"/>
  <c r="AO26" i="16"/>
  <c r="AE23" i="16"/>
  <c r="AM39" i="16"/>
  <c r="AD58" i="16"/>
  <c r="AL42" i="16"/>
  <c r="AD25" i="16"/>
  <c r="AK27" i="16"/>
  <c r="AD33" i="16"/>
  <c r="AC51" i="16"/>
  <c r="M60" i="16"/>
  <c r="P36" i="16"/>
  <c r="N40" i="16"/>
  <c r="L60" i="16"/>
  <c r="M42" i="16"/>
  <c r="AI22" i="16"/>
  <c r="AJ18" i="16"/>
  <c r="AJ47" i="16"/>
  <c r="AA40" i="16"/>
  <c r="AD45" i="16"/>
  <c r="AE45" i="16"/>
  <c r="AD16" i="16"/>
  <c r="AM15" i="16"/>
  <c r="AE26" i="16"/>
  <c r="AG28" i="16"/>
  <c r="AN19" i="16"/>
  <c r="AJ21" i="16"/>
  <c r="AE55" i="16"/>
  <c r="AD50" i="16"/>
  <c r="AF18" i="16"/>
  <c r="AA42" i="16"/>
  <c r="M38" i="12"/>
  <c r="P28" i="12"/>
  <c r="K24" i="12"/>
  <c r="O14" i="12"/>
  <c r="L38" i="12"/>
  <c r="N28" i="12"/>
  <c r="O16" i="12"/>
  <c r="N38" i="12"/>
  <c r="N36" i="12"/>
  <c r="M26" i="12"/>
  <c r="N29" i="12"/>
  <c r="K51" i="12"/>
  <c r="M54" i="12"/>
  <c r="M34" i="12"/>
  <c r="M16" i="12"/>
  <c r="K29" i="12"/>
  <c r="N31" i="12"/>
  <c r="O42" i="12"/>
  <c r="O54" i="12"/>
  <c r="L34" i="12"/>
  <c r="P37" i="12"/>
  <c r="O13" i="12"/>
  <c r="L22" i="12"/>
  <c r="M18" i="12"/>
  <c r="K39" i="12"/>
  <c r="P36" i="12"/>
  <c r="P47" i="12"/>
  <c r="K16" i="12"/>
  <c r="M55" i="12"/>
  <c r="O36" i="12"/>
  <c r="P60" i="12"/>
  <c r="O19" i="12"/>
  <c r="M22" i="12"/>
  <c r="K23" i="12"/>
  <c r="K17" i="12"/>
  <c r="L16" i="12"/>
  <c r="N32" i="12"/>
  <c r="O38" i="12"/>
  <c r="P27" i="12"/>
  <c r="M37" i="12"/>
  <c r="L59" i="12"/>
  <c r="N35" i="12"/>
  <c r="Q51" i="11"/>
  <c r="AB40" i="11"/>
  <c r="AD18" i="11"/>
  <c r="AD34" i="8"/>
  <c r="AD29" i="12"/>
  <c r="AA52" i="12"/>
  <c r="AC38" i="12"/>
  <c r="AG32" i="12"/>
  <c r="AB20" i="12"/>
  <c r="AD18" i="12"/>
  <c r="L23" i="16"/>
  <c r="O55" i="16"/>
  <c r="AI38" i="16"/>
  <c r="AI50" i="16"/>
  <c r="M22" i="16"/>
  <c r="N26" i="16"/>
  <c r="AE58" i="16"/>
  <c r="AC30" i="16"/>
  <c r="N25" i="16"/>
  <c r="K51" i="16"/>
  <c r="AJ60" i="16"/>
  <c r="AF54" i="16"/>
  <c r="L24" i="16"/>
  <c r="AE32" i="16"/>
  <c r="AK39" i="16"/>
  <c r="Q33" i="16"/>
  <c r="AE49" i="16"/>
  <c r="AM29" i="16"/>
  <c r="AA28" i="16"/>
  <c r="AO32" i="16"/>
  <c r="AC29" i="16"/>
  <c r="AD42" i="16"/>
  <c r="N18" i="16"/>
  <c r="P42" i="16"/>
  <c r="Q58" i="16"/>
  <c r="AN45" i="16"/>
  <c r="AL39" i="16"/>
  <c r="AB27" i="16"/>
  <c r="AB32" i="16"/>
  <c r="AN46" i="16"/>
  <c r="AO60" i="16"/>
  <c r="AJ39" i="16"/>
  <c r="AB45" i="16"/>
  <c r="AA49" i="16"/>
  <c r="O44" i="16"/>
  <c r="O51" i="16"/>
  <c r="N13" i="16"/>
  <c r="L53" i="16"/>
  <c r="L17" i="16"/>
  <c r="O49" i="16"/>
  <c r="AI54" i="16"/>
  <c r="AJ44" i="16"/>
  <c r="AN20" i="16"/>
  <c r="AO29" i="16"/>
  <c r="AJ20" i="16"/>
  <c r="AA50" i="16"/>
  <c r="AG15" i="16"/>
  <c r="AK41" i="16"/>
  <c r="AC55" i="16"/>
  <c r="M28" i="16"/>
  <c r="L15" i="16"/>
  <c r="M31" i="16"/>
  <c r="K50" i="16"/>
  <c r="N19" i="16"/>
  <c r="Q18" i="16"/>
  <c r="AG35" i="16"/>
  <c r="AL14" i="16"/>
  <c r="AA29" i="16"/>
  <c r="AK43" i="16"/>
  <c r="AD22" i="16"/>
  <c r="AJ40" i="16"/>
  <c r="AK14" i="16"/>
  <c r="AI18" i="16"/>
  <c r="AE50" i="16"/>
  <c r="AN42" i="16"/>
  <c r="AG57" i="16"/>
  <c r="AN22" i="16"/>
  <c r="AN13" i="16"/>
  <c r="AA52" i="16"/>
  <c r="AD49" i="16"/>
  <c r="AC21" i="16"/>
  <c r="L23" i="12"/>
  <c r="L53" i="12"/>
  <c r="M46" i="12"/>
  <c r="L46" i="12"/>
  <c r="Q26" i="12"/>
  <c r="K21" i="12"/>
  <c r="P24" i="12"/>
  <c r="M21" i="12"/>
  <c r="L17" i="12"/>
  <c r="K34" i="12"/>
  <c r="L26" i="12"/>
  <c r="P39" i="12"/>
  <c r="N17" i="12"/>
  <c r="O32" i="12"/>
  <c r="N47" i="12"/>
  <c r="M20" i="12"/>
  <c r="L13" i="12"/>
  <c r="K37" i="12"/>
  <c r="N25" i="12"/>
  <c r="L54" i="12"/>
  <c r="Q55" i="12"/>
  <c r="P29" i="12"/>
  <c r="O30" i="12"/>
  <c r="N22" i="12"/>
  <c r="N26" i="12"/>
  <c r="Q38" i="12"/>
  <c r="O17" i="12"/>
  <c r="P43" i="12"/>
  <c r="N33" i="12"/>
  <c r="P30" i="12"/>
  <c r="M45" i="12"/>
  <c r="P52" i="12"/>
  <c r="O55" i="12"/>
  <c r="Q57" i="12"/>
  <c r="L42" i="12"/>
  <c r="K42" i="12"/>
  <c r="M58" i="12"/>
  <c r="K43" i="12"/>
  <c r="K22" i="12"/>
  <c r="O50" i="12"/>
  <c r="O28" i="12"/>
  <c r="M36" i="12"/>
  <c r="M42" i="11"/>
  <c r="K53" i="11"/>
  <c r="AB59" i="11"/>
  <c r="AD20" i="11"/>
  <c r="AD22" i="8"/>
  <c r="AA36" i="12"/>
  <c r="AC55" i="12"/>
  <c r="AA16" i="12"/>
  <c r="AA17" i="12"/>
  <c r="AC15" i="12"/>
  <c r="AC30" i="12"/>
  <c r="K55" i="16"/>
  <c r="M16" i="16"/>
  <c r="AA14" i="16"/>
  <c r="AI14" i="16"/>
  <c r="O15" i="16"/>
  <c r="P29" i="16"/>
  <c r="AE57" i="16"/>
  <c r="AF15" i="16"/>
  <c r="P41" i="16"/>
  <c r="P30" i="16"/>
  <c r="AE28" i="16"/>
  <c r="AF14" i="16"/>
  <c r="L54" i="16"/>
  <c r="AF52" i="16"/>
  <c r="AN54" i="16"/>
  <c r="L38" i="16"/>
  <c r="AD38" i="16"/>
  <c r="AO39" i="16"/>
  <c r="AI32" i="16"/>
  <c r="AA37" i="16"/>
  <c r="AJ31" i="16"/>
  <c r="AN23" i="16"/>
  <c r="M13" i="16"/>
  <c r="P15" i="16"/>
  <c r="N55" i="16"/>
  <c r="AL59" i="16"/>
  <c r="AF34" i="16"/>
  <c r="AE59" i="16"/>
  <c r="AO13" i="16"/>
  <c r="AM31" i="16"/>
  <c r="AA53" i="16"/>
  <c r="AM60" i="16"/>
  <c r="AB58" i="16"/>
  <c r="AC56" i="16"/>
  <c r="M48" i="16"/>
  <c r="P38" i="16"/>
  <c r="K20" i="16"/>
  <c r="P26" i="16"/>
  <c r="L45" i="16"/>
  <c r="K42" i="16"/>
  <c r="AD51" i="16"/>
  <c r="AJ32" i="16"/>
  <c r="AC52" i="16"/>
  <c r="AA15" i="16"/>
  <c r="AN51" i="16"/>
  <c r="AL30" i="16"/>
  <c r="AN31" i="16"/>
  <c r="AE16" i="16"/>
  <c r="AJ43" i="16"/>
  <c r="Q26" i="16"/>
  <c r="Q29" i="16"/>
  <c r="Q42" i="16"/>
  <c r="L27" i="16"/>
  <c r="L28" i="16"/>
  <c r="L48" i="16"/>
  <c r="AK37" i="16"/>
  <c r="AD19" i="16"/>
  <c r="AG25" i="16"/>
  <c r="AM51" i="16"/>
  <c r="AI25" i="16"/>
  <c r="AK55" i="16"/>
  <c r="AJ13" i="16"/>
  <c r="AL50" i="16"/>
  <c r="AK24" i="16"/>
  <c r="AD43" i="16"/>
  <c r="AN28" i="16"/>
  <c r="AN27" i="16"/>
  <c r="AI37" i="16"/>
  <c r="AI59" i="16"/>
  <c r="AJ38" i="16"/>
  <c r="AA35" i="16"/>
  <c r="L30" i="12"/>
  <c r="P42" i="12"/>
  <c r="K32" i="12"/>
  <c r="O18" i="12"/>
  <c r="K36" i="12"/>
  <c r="P40" i="12"/>
  <c r="Q56" i="12"/>
  <c r="O20" i="12"/>
  <c r="P15" i="12"/>
  <c r="O59" i="12"/>
  <c r="K30" i="12"/>
  <c r="L19" i="12"/>
  <c r="M33" i="12"/>
  <c r="P33" i="12"/>
  <c r="N52" i="12"/>
  <c r="K58" i="12"/>
  <c r="L27" i="12"/>
  <c r="Q13" i="12"/>
  <c r="Q22" i="12"/>
  <c r="P51" i="12"/>
  <c r="P41" i="12"/>
  <c r="P31" i="12"/>
  <c r="O25" i="12"/>
  <c r="K25" i="12"/>
  <c r="L15" i="12"/>
  <c r="L56" i="12"/>
  <c r="P17" i="12"/>
  <c r="K38" i="12"/>
  <c r="L45" i="12"/>
  <c r="K14" i="12"/>
  <c r="N19" i="12"/>
  <c r="K52" i="12"/>
  <c r="Q51" i="12"/>
  <c r="Q31" i="12"/>
  <c r="N51" i="12"/>
  <c r="M14" i="12"/>
  <c r="K46" i="12"/>
  <c r="N18" i="12"/>
  <c r="P19" i="12"/>
  <c r="M41" i="12"/>
  <c r="N43" i="12"/>
  <c r="L25" i="12"/>
  <c r="N15" i="11"/>
  <c r="P18" i="11"/>
  <c r="P53" i="11"/>
  <c r="K13" i="11"/>
  <c r="L50" i="11"/>
  <c r="AI39" i="16"/>
  <c r="AD18" i="16"/>
  <c r="AM21" i="16"/>
  <c r="AF56" i="16"/>
  <c r="AK31" i="16"/>
  <c r="AJ36" i="16"/>
  <c r="AN49" i="16"/>
  <c r="AB21" i="16"/>
  <c r="AO24" i="16"/>
  <c r="M50" i="16"/>
  <c r="AL54" i="16"/>
  <c r="AI30" i="16"/>
  <c r="O42" i="16"/>
  <c r="L46" i="16"/>
  <c r="AB26" i="16"/>
  <c r="AO54" i="16"/>
  <c r="AM38" i="16"/>
  <c r="AM48" i="16"/>
  <c r="L58" i="12"/>
  <c r="Q60" i="12"/>
  <c r="L43" i="12"/>
  <c r="P53" i="12"/>
  <c r="N60" i="12"/>
  <c r="Q19" i="12"/>
  <c r="Q45" i="12"/>
  <c r="L47" i="12"/>
  <c r="Q39" i="12"/>
  <c r="L32" i="12"/>
  <c r="Q25" i="12"/>
  <c r="K41" i="11"/>
  <c r="L15" i="11"/>
  <c r="M19" i="11"/>
  <c r="N48" i="11"/>
  <c r="N24" i="11"/>
  <c r="Q36" i="11"/>
  <c r="N50" i="11"/>
  <c r="M56" i="11"/>
  <c r="O20" i="11"/>
  <c r="O51" i="11"/>
  <c r="P32" i="11"/>
  <c r="K27" i="11"/>
  <c r="K23" i="11"/>
  <c r="M53" i="11"/>
  <c r="Q49" i="11"/>
  <c r="Q20" i="11"/>
  <c r="M22" i="11"/>
  <c r="M34" i="11"/>
  <c r="K42" i="11"/>
  <c r="K51" i="11"/>
  <c r="N42" i="11"/>
  <c r="L57" i="11"/>
  <c r="N30" i="11"/>
  <c r="K55" i="11"/>
  <c r="O56" i="11"/>
  <c r="P21" i="11"/>
  <c r="L59" i="11"/>
  <c r="L25" i="11"/>
  <c r="O30" i="11"/>
  <c r="N46" i="11"/>
  <c r="L30" i="11"/>
  <c r="K24" i="11"/>
  <c r="N58" i="11"/>
  <c r="O34" i="11"/>
  <c r="N36" i="11"/>
  <c r="Q44" i="11"/>
  <c r="Q32" i="11"/>
  <c r="O59" i="11"/>
  <c r="N23" i="11"/>
  <c r="O40" i="11"/>
  <c r="O28" i="13"/>
  <c r="N37" i="13"/>
  <c r="P34" i="13"/>
  <c r="O49" i="13"/>
  <c r="L18" i="13"/>
  <c r="N26" i="13"/>
  <c r="M40" i="13"/>
  <c r="P18" i="13"/>
  <c r="Q29" i="13"/>
  <c r="N29" i="13"/>
  <c r="P42" i="13"/>
  <c r="M19" i="13"/>
  <c r="P13" i="13"/>
  <c r="K59" i="13"/>
  <c r="N28" i="13"/>
  <c r="N46" i="13"/>
  <c r="L25" i="13"/>
  <c r="K27" i="13"/>
  <c r="M24" i="8"/>
  <c r="M17" i="8"/>
  <c r="L53" i="8"/>
  <c r="N59" i="8"/>
  <c r="K20" i="8"/>
  <c r="N50" i="8"/>
  <c r="N21" i="8"/>
  <c r="L47" i="8"/>
  <c r="N28" i="8"/>
  <c r="N24" i="13"/>
  <c r="O16" i="8"/>
  <c r="Q27" i="8"/>
  <c r="L35" i="8"/>
  <c r="Q21" i="8"/>
  <c r="O26" i="8"/>
  <c r="O18" i="8"/>
  <c r="M33" i="11"/>
  <c r="P50" i="13"/>
  <c r="P58" i="13"/>
  <c r="N58" i="13"/>
  <c r="M60" i="13"/>
  <c r="L49" i="8"/>
  <c r="L42" i="8"/>
  <c r="M47" i="8"/>
  <c r="N45" i="8"/>
  <c r="P19" i="8"/>
  <c r="AL32" i="16"/>
  <c r="AL48" i="16"/>
  <c r="AO55" i="16"/>
  <c r="AG51" i="16"/>
  <c r="AJ55" i="16"/>
  <c r="L21" i="16"/>
  <c r="AB60" i="16"/>
  <c r="AO56" i="16"/>
  <c r="K15" i="16"/>
  <c r="O33" i="16"/>
  <c r="AC35" i="16"/>
  <c r="AL46" i="16"/>
  <c r="P17" i="16"/>
  <c r="AF46" i="16"/>
  <c r="AN55" i="16"/>
  <c r="AL16" i="16"/>
  <c r="AC53" i="16"/>
  <c r="AI21" i="16"/>
  <c r="K13" i="12"/>
  <c r="M49" i="12"/>
  <c r="L52" i="12"/>
  <c r="N49" i="12"/>
  <c r="O41" i="12"/>
  <c r="O45" i="12"/>
  <c r="Q24" i="12"/>
  <c r="Q47" i="12"/>
  <c r="N44" i="12"/>
  <c r="Q18" i="12"/>
  <c r="N55" i="12"/>
  <c r="L41" i="11"/>
  <c r="P41" i="11"/>
  <c r="Q23" i="11"/>
  <c r="K22" i="11"/>
  <c r="N52" i="11"/>
  <c r="M40" i="11"/>
  <c r="M54" i="11"/>
  <c r="N17" i="11"/>
  <c r="O52" i="11"/>
  <c r="L54" i="11"/>
  <c r="Q47" i="11"/>
  <c r="L35" i="11"/>
  <c r="L58" i="11"/>
  <c r="M48" i="11"/>
  <c r="P39" i="11"/>
  <c r="N14" i="11"/>
  <c r="L55" i="11"/>
  <c r="M32" i="11"/>
  <c r="O16" i="11"/>
  <c r="L60" i="11"/>
  <c r="P22" i="11"/>
  <c r="L37" i="11"/>
  <c r="K58" i="11"/>
  <c r="Q41" i="11"/>
  <c r="L48" i="11"/>
  <c r="O27" i="11"/>
  <c r="N27" i="11"/>
  <c r="Q14" i="11"/>
  <c r="P55" i="11"/>
  <c r="P40" i="11"/>
  <c r="M47" i="11"/>
  <c r="K21" i="11"/>
  <c r="K33" i="11"/>
  <c r="P33" i="11"/>
  <c r="L49" i="11"/>
  <c r="Q13" i="11"/>
  <c r="Q46" i="11"/>
  <c r="K18" i="11"/>
  <c r="K40" i="11"/>
  <c r="K19" i="11"/>
  <c r="N13" i="13"/>
  <c r="O16" i="13"/>
  <c r="N51" i="13"/>
  <c r="L37" i="13"/>
  <c r="Q44" i="13"/>
  <c r="O54" i="13"/>
  <c r="L36" i="13"/>
  <c r="O36" i="13"/>
  <c r="N25" i="13"/>
  <c r="N53" i="13"/>
  <c r="O31" i="13"/>
  <c r="K60" i="13"/>
  <c r="O19" i="13"/>
  <c r="K23" i="13"/>
  <c r="P48" i="13"/>
  <c r="M34" i="13"/>
  <c r="O37" i="13"/>
  <c r="P35" i="13"/>
  <c r="Q47" i="13"/>
  <c r="Q53" i="13"/>
  <c r="P27" i="13"/>
  <c r="O47" i="13"/>
  <c r="O51" i="13"/>
  <c r="P25" i="13"/>
  <c r="M52" i="13"/>
  <c r="Q45" i="13"/>
  <c r="M32" i="13"/>
  <c r="N50" i="13"/>
  <c r="L28" i="13"/>
  <c r="Q20" i="13"/>
  <c r="O18" i="13"/>
  <c r="L48" i="13"/>
  <c r="M25" i="13"/>
  <c r="N47" i="13"/>
  <c r="K41" i="13"/>
  <c r="L57" i="13"/>
  <c r="N54" i="13"/>
  <c r="M46" i="13"/>
  <c r="M55" i="13"/>
  <c r="K15" i="8"/>
  <c r="K39" i="8"/>
  <c r="N18" i="8"/>
  <c r="P52" i="8"/>
  <c r="M45" i="8"/>
  <c r="M27" i="8"/>
  <c r="K43" i="8"/>
  <c r="L25" i="8"/>
  <c r="K45" i="8"/>
  <c r="N17" i="8"/>
  <c r="O22" i="11"/>
  <c r="O25" i="13"/>
  <c r="Q57" i="13"/>
  <c r="K38" i="13"/>
  <c r="Q31" i="13"/>
  <c r="M26" i="8"/>
  <c r="P54" i="8"/>
  <c r="P14" i="8"/>
  <c r="AI45" i="16"/>
  <c r="AN15" i="16"/>
  <c r="AB46" i="16"/>
  <c r="AD59" i="16"/>
  <c r="AO43" i="16"/>
  <c r="L20" i="16"/>
  <c r="AG34" i="16"/>
  <c r="AK26" i="16"/>
  <c r="K40" i="16"/>
  <c r="O36" i="16"/>
  <c r="AE27" i="16"/>
  <c r="AF33" i="16"/>
  <c r="O19" i="16"/>
  <c r="AN33" i="16"/>
  <c r="AE48" i="16"/>
  <c r="AF59" i="16"/>
  <c r="AF24" i="16"/>
  <c r="AC42" i="16"/>
  <c r="K35" i="12"/>
  <c r="P44" i="12"/>
  <c r="O35" i="12"/>
  <c r="M27" i="12"/>
  <c r="N15" i="12"/>
  <c r="O46" i="12"/>
  <c r="O33" i="12"/>
  <c r="Q27" i="12"/>
  <c r="O57" i="12"/>
  <c r="N45" i="12"/>
  <c r="N42" i="12"/>
  <c r="M18" i="11"/>
  <c r="M13" i="11"/>
  <c r="L19" i="11"/>
  <c r="K14" i="11"/>
  <c r="K46" i="11"/>
  <c r="K56" i="11"/>
  <c r="M17" i="11"/>
  <c r="P60" i="11"/>
  <c r="K36" i="11"/>
  <c r="P28" i="11"/>
  <c r="L21" i="11"/>
  <c r="N38" i="11"/>
  <c r="N56" i="11"/>
  <c r="N41" i="11"/>
  <c r="N21" i="11"/>
  <c r="L33" i="11"/>
  <c r="O43" i="11"/>
  <c r="L32" i="11"/>
  <c r="O29" i="11"/>
  <c r="L14" i="11"/>
  <c r="O36" i="11"/>
  <c r="Q55" i="11"/>
  <c r="Q16" i="11"/>
  <c r="N49" i="11"/>
  <c r="O49" i="11"/>
  <c r="M55" i="11"/>
  <c r="N37" i="11"/>
  <c r="M58" i="11"/>
  <c r="P20" i="11"/>
  <c r="O14" i="11"/>
  <c r="K49" i="11"/>
  <c r="L13" i="11"/>
  <c r="M52" i="11"/>
  <c r="Q42" i="11"/>
  <c r="Q33" i="11"/>
  <c r="Q19" i="11"/>
  <c r="N60" i="11"/>
  <c r="P35" i="11"/>
  <c r="O13" i="11"/>
  <c r="K48" i="11"/>
  <c r="N31" i="13"/>
  <c r="Q26" i="13"/>
  <c r="M13" i="13"/>
  <c r="Q25" i="13"/>
  <c r="O48" i="13"/>
  <c r="O26" i="13"/>
  <c r="P23" i="13"/>
  <c r="K57" i="13"/>
  <c r="L55" i="13"/>
  <c r="P24" i="13"/>
  <c r="N35" i="13"/>
  <c r="M22" i="13"/>
  <c r="K25" i="13"/>
  <c r="O45" i="13"/>
  <c r="P47" i="13"/>
  <c r="L35" i="13"/>
  <c r="L42" i="13"/>
  <c r="K33" i="13"/>
  <c r="L47" i="13"/>
  <c r="M16" i="13"/>
  <c r="Q16" i="13"/>
  <c r="Q41" i="13"/>
  <c r="Q40" i="13"/>
  <c r="Q48" i="13"/>
  <c r="K43" i="13"/>
  <c r="P56" i="13"/>
  <c r="L13" i="13"/>
  <c r="K29" i="13"/>
  <c r="M15" i="13"/>
  <c r="M42" i="13"/>
  <c r="Q34" i="13"/>
  <c r="M54" i="13"/>
  <c r="O14" i="13"/>
  <c r="N18" i="13"/>
  <c r="P53" i="13"/>
  <c r="O32" i="13"/>
  <c r="M43" i="13"/>
  <c r="O17" i="13"/>
  <c r="P49" i="13"/>
  <c r="K37" i="13"/>
  <c r="K17" i="13"/>
  <c r="P22" i="13"/>
  <c r="L51" i="8"/>
  <c r="K26" i="8"/>
  <c r="M39" i="8"/>
  <c r="L58" i="8"/>
  <c r="K17" i="8"/>
  <c r="P59" i="8"/>
  <c r="L27" i="8"/>
  <c r="P57" i="8"/>
  <c r="M30" i="8"/>
  <c r="Q37" i="8"/>
  <c r="K19" i="8"/>
  <c r="L16" i="8"/>
  <c r="P41" i="8"/>
  <c r="P37" i="8"/>
  <c r="L21" i="8"/>
  <c r="Q16" i="8"/>
  <c r="Q49" i="8"/>
  <c r="M48" i="8"/>
  <c r="M25" i="8"/>
  <c r="M55" i="8"/>
  <c r="Q14" i="8"/>
  <c r="O53" i="8"/>
  <c r="O60" i="8"/>
  <c r="K18" i="8"/>
  <c r="Q28" i="8"/>
  <c r="M29" i="8"/>
  <c r="K36" i="8"/>
  <c r="L45" i="8"/>
  <c r="K60" i="8"/>
  <c r="N53" i="8"/>
  <c r="N16" i="8"/>
  <c r="P60" i="8"/>
  <c r="N37" i="8"/>
  <c r="P34" i="8"/>
  <c r="N60" i="8"/>
  <c r="K33" i="8"/>
  <c r="P46" i="8"/>
  <c r="O24" i="8"/>
  <c r="K49" i="8"/>
  <c r="O52" i="8"/>
  <c r="L31" i="8"/>
  <c r="K53" i="8"/>
  <c r="M37" i="8"/>
  <c r="O39" i="8"/>
  <c r="Q33" i="8"/>
  <c r="Q13" i="8"/>
  <c r="K59" i="8"/>
  <c r="M60" i="8"/>
  <c r="Q36" i="8"/>
  <c r="K32" i="8"/>
  <c r="P25" i="8"/>
  <c r="L24" i="8"/>
  <c r="Q31" i="8"/>
  <c r="Q46" i="8"/>
  <c r="P45" i="8"/>
  <c r="L30" i="8"/>
  <c r="K56" i="8"/>
  <c r="K34" i="8"/>
  <c r="P28" i="8"/>
  <c r="O44" i="8"/>
  <c r="P15" i="8"/>
  <c r="M23" i="8"/>
  <c r="M36" i="8"/>
  <c r="P35" i="8"/>
  <c r="K23" i="8"/>
  <c r="L57" i="16"/>
  <c r="N29" i="16"/>
  <c r="AA41" i="16"/>
  <c r="N58" i="16"/>
  <c r="AJ46" i="16"/>
  <c r="Q49" i="12"/>
  <c r="P20" i="12"/>
  <c r="N24" i="12"/>
  <c r="M50" i="12"/>
  <c r="Q57" i="11"/>
  <c r="K39" i="11"/>
  <c r="Q50" i="11"/>
  <c r="O39" i="11"/>
  <c r="N45" i="11"/>
  <c r="K30" i="11"/>
  <c r="Q22" i="11"/>
  <c r="M21" i="11"/>
  <c r="M43" i="11"/>
  <c r="O47" i="11"/>
  <c r="Q56" i="11"/>
  <c r="K17" i="11"/>
  <c r="Q37" i="13"/>
  <c r="M53" i="13"/>
  <c r="N15" i="13"/>
  <c r="L43" i="13"/>
  <c r="K54" i="13"/>
  <c r="K30" i="13"/>
  <c r="Q28" i="13"/>
  <c r="L53" i="13"/>
  <c r="P54" i="13"/>
  <c r="N45" i="13"/>
  <c r="N41" i="13"/>
  <c r="N35" i="8"/>
  <c r="N40" i="8"/>
  <c r="K47" i="8"/>
  <c r="P50" i="8"/>
  <c r="K54" i="8"/>
  <c r="L23" i="8"/>
  <c r="P49" i="8"/>
  <c r="P18" i="8"/>
  <c r="P47" i="8"/>
  <c r="AO50" i="16"/>
  <c r="AO44" i="16"/>
  <c r="L22" i="16"/>
  <c r="N17" i="16"/>
  <c r="AM26" i="16"/>
  <c r="M30" i="16"/>
  <c r="AJ23" i="16"/>
  <c r="AF26" i="16"/>
  <c r="L14" i="16"/>
  <c r="AK48" i="16"/>
  <c r="AA59" i="16"/>
  <c r="AK22" i="16"/>
  <c r="O48" i="16"/>
  <c r="AM32" i="16"/>
  <c r="AA44" i="16"/>
  <c r="AL49" i="16"/>
  <c r="AF48" i="16"/>
  <c r="N54" i="12"/>
  <c r="Q23" i="12"/>
  <c r="Q30" i="12"/>
  <c r="O47" i="12"/>
  <c r="Q50" i="12"/>
  <c r="O56" i="12"/>
  <c r="P21" i="12"/>
  <c r="Q43" i="12"/>
  <c r="M59" i="12"/>
  <c r="L24" i="12"/>
  <c r="Q53" i="12"/>
  <c r="P54" i="11"/>
  <c r="Q40" i="11"/>
  <c r="M31" i="11"/>
  <c r="N26" i="11"/>
  <c r="L34" i="11"/>
  <c r="K32" i="11"/>
  <c r="K52" i="11"/>
  <c r="M60" i="11"/>
  <c r="L27" i="11"/>
  <c r="M35" i="11"/>
  <c r="Q34" i="11"/>
  <c r="K29" i="11"/>
  <c r="Q48" i="11"/>
  <c r="N32" i="11"/>
  <c r="L28" i="11"/>
  <c r="Q39" i="11"/>
  <c r="P58" i="11"/>
  <c r="Q26" i="11"/>
  <c r="N28" i="11"/>
  <c r="K37" i="11"/>
  <c r="K34" i="11"/>
  <c r="K45" i="11"/>
  <c r="O50" i="11"/>
  <c r="O33" i="11"/>
  <c r="M28" i="11"/>
  <c r="L56" i="11"/>
  <c r="L44" i="11"/>
  <c r="O26" i="11"/>
  <c r="L42" i="11"/>
  <c r="M41" i="11"/>
  <c r="O31" i="11"/>
  <c r="N44" i="11"/>
  <c r="K26" i="11"/>
  <c r="O42" i="11"/>
  <c r="N35" i="11"/>
  <c r="Q38" i="11"/>
  <c r="M27" i="11"/>
  <c r="P43" i="11"/>
  <c r="L45" i="11"/>
  <c r="Q31" i="11"/>
  <c r="N13" i="11"/>
  <c r="N38" i="13"/>
  <c r="Q14" i="13"/>
  <c r="K26" i="13"/>
  <c r="L58" i="13"/>
  <c r="N42" i="13"/>
  <c r="M36" i="13"/>
  <c r="O40" i="13"/>
  <c r="O39" i="13"/>
  <c r="L19" i="13"/>
  <c r="K45" i="13"/>
  <c r="P39" i="13"/>
  <c r="Q54" i="13"/>
  <c r="K48" i="13"/>
  <c r="K47" i="13"/>
  <c r="N36" i="13"/>
  <c r="K42" i="13"/>
  <c r="M39" i="13"/>
  <c r="K39" i="13"/>
  <c r="M58" i="13"/>
  <c r="P30" i="13"/>
  <c r="K50" i="13"/>
  <c r="M56" i="13"/>
  <c r="Q27" i="13"/>
  <c r="M51" i="13"/>
  <c r="L38" i="13"/>
  <c r="M59" i="13"/>
  <c r="P33" i="13"/>
  <c r="O20" i="13"/>
  <c r="L60" i="13"/>
  <c r="N30" i="13"/>
  <c r="P41" i="13"/>
  <c r="P38" i="13"/>
  <c r="P37" i="13"/>
  <c r="K34" i="13"/>
  <c r="L45" i="13"/>
  <c r="L16" i="13"/>
  <c r="L33" i="13"/>
  <c r="M23" i="13"/>
  <c r="K16" i="13"/>
  <c r="N43" i="13"/>
  <c r="M14" i="13"/>
  <c r="P17" i="13"/>
  <c r="N14" i="8"/>
  <c r="P38" i="8"/>
  <c r="O56" i="8"/>
  <c r="M19" i="8"/>
  <c r="O22" i="8"/>
  <c r="N34" i="8"/>
  <c r="P22" i="8"/>
  <c r="Q54" i="8"/>
  <c r="Q39" i="8"/>
  <c r="O25" i="8"/>
  <c r="N20" i="8"/>
  <c r="K16" i="8"/>
  <c r="L20" i="8"/>
  <c r="K27" i="8"/>
  <c r="O43" i="8"/>
  <c r="K35" i="8"/>
  <c r="Q38" i="8"/>
  <c r="K31" i="8"/>
  <c r="N36" i="8"/>
  <c r="L14" i="8"/>
  <c r="M53" i="8"/>
  <c r="Q58" i="8"/>
  <c r="Q24" i="8"/>
  <c r="M15" i="8"/>
  <c r="K46" i="8"/>
  <c r="O19" i="8"/>
  <c r="Q21" i="16"/>
  <c r="AB19" i="16"/>
  <c r="AC27" i="16"/>
  <c r="AK49" i="16"/>
  <c r="AM42" i="16"/>
  <c r="AN14" i="16"/>
  <c r="P23" i="12"/>
  <c r="Q24" i="11"/>
  <c r="K15" i="11"/>
  <c r="M46" i="11"/>
  <c r="Q59" i="11"/>
  <c r="N47" i="11"/>
  <c r="P26" i="11"/>
  <c r="L17" i="11"/>
  <c r="M25" i="11"/>
  <c r="K54" i="11"/>
  <c r="O55" i="11"/>
  <c r="M47" i="13"/>
  <c r="Q55" i="13"/>
  <c r="O23" i="13"/>
  <c r="K40" i="13"/>
  <c r="O52" i="13"/>
  <c r="K49" i="13"/>
  <c r="L41" i="13"/>
  <c r="N59" i="13"/>
  <c r="Q33" i="13"/>
  <c r="O50" i="8"/>
  <c r="P48" i="8"/>
  <c r="N56" i="8"/>
  <c r="K37" i="8"/>
  <c r="Q40" i="8"/>
  <c r="M32" i="8"/>
  <c r="M20" i="8"/>
  <c r="Q53" i="8"/>
  <c r="AN40" i="16"/>
  <c r="AB49" i="16"/>
  <c r="M21" i="16"/>
  <c r="P58" i="16"/>
  <c r="AE53" i="16"/>
  <c r="Q60" i="16"/>
  <c r="AM22" i="16"/>
  <c r="AC41" i="16"/>
  <c r="K27" i="16"/>
  <c r="AL55" i="16"/>
  <c r="AE22" i="16"/>
  <c r="AN59" i="16"/>
  <c r="P20" i="16"/>
  <c r="AG53" i="16"/>
  <c r="AE17" i="16"/>
  <c r="AA48" i="16"/>
  <c r="AG52" i="16"/>
  <c r="M15" i="12"/>
  <c r="K53" i="12"/>
  <c r="P16" i="12"/>
  <c r="L31" i="12"/>
  <c r="O39" i="12"/>
  <c r="P38" i="12"/>
  <c r="P54" i="12"/>
  <c r="M57" i="12"/>
  <c r="L41" i="12"/>
  <c r="O31" i="12"/>
  <c r="K19" i="12"/>
  <c r="N40" i="11"/>
  <c r="Q37" i="11"/>
  <c r="M37" i="11"/>
  <c r="K16" i="11"/>
  <c r="O19" i="11"/>
  <c r="P44" i="11"/>
  <c r="Q21" i="11"/>
  <c r="L16" i="11"/>
  <c r="Q45" i="11"/>
  <c r="L40" i="11"/>
  <c r="P27" i="11"/>
  <c r="L20" i="11"/>
  <c r="O45" i="11"/>
  <c r="N54" i="11"/>
  <c r="P17" i="11"/>
  <c r="O57" i="11"/>
  <c r="Q43" i="11"/>
  <c r="L53" i="11"/>
  <c r="M38" i="11"/>
  <c r="L39" i="11"/>
  <c r="O44" i="11"/>
  <c r="M15" i="11"/>
  <c r="P23" i="11"/>
  <c r="M39" i="11"/>
  <c r="P59" i="11"/>
  <c r="P30" i="11"/>
  <c r="P45" i="11"/>
  <c r="K31" i="11"/>
  <c r="K47" i="11"/>
  <c r="O41" i="11"/>
  <c r="M14" i="11"/>
  <c r="N57" i="11"/>
  <c r="L22" i="11"/>
  <c r="O58" i="11"/>
  <c r="K20" i="11"/>
  <c r="Q15" i="11"/>
  <c r="L29" i="11"/>
  <c r="O21" i="11"/>
  <c r="P38" i="11"/>
  <c r="Q27" i="11"/>
  <c r="P46" i="11"/>
  <c r="P59" i="13"/>
  <c r="L20" i="13"/>
  <c r="M37" i="13"/>
  <c r="P26" i="13"/>
  <c r="K24" i="13"/>
  <c r="L54" i="13"/>
  <c r="M50" i="13"/>
  <c r="N52" i="13"/>
  <c r="Q46" i="13"/>
  <c r="O58" i="13"/>
  <c r="M38" i="13"/>
  <c r="O33" i="13"/>
  <c r="Q58" i="13"/>
  <c r="Q49" i="13"/>
  <c r="Q50" i="13"/>
  <c r="M57" i="13"/>
  <c r="N14" i="13"/>
  <c r="K19" i="13"/>
  <c r="Q56" i="13"/>
  <c r="K14" i="13"/>
  <c r="K46" i="13"/>
  <c r="O50" i="13"/>
  <c r="P19" i="13"/>
  <c r="P31" i="13"/>
  <c r="N22" i="13"/>
  <c r="P46" i="13"/>
  <c r="L22" i="13"/>
  <c r="L52" i="13"/>
  <c r="L17" i="13"/>
  <c r="Q18" i="13"/>
  <c r="K22" i="13"/>
  <c r="N17" i="13"/>
  <c r="Q23" i="13"/>
  <c r="L14" i="13"/>
  <c r="L32" i="13"/>
  <c r="N21" i="13"/>
  <c r="Q22" i="13"/>
  <c r="P55" i="13"/>
  <c r="N27" i="13"/>
  <c r="L21" i="13"/>
  <c r="P40" i="13"/>
  <c r="M38" i="8"/>
  <c r="M31" i="8"/>
  <c r="P32" i="8"/>
  <c r="N51" i="8"/>
  <c r="M59" i="8"/>
  <c r="N42" i="8"/>
  <c r="P40" i="8"/>
  <c r="K21" i="8"/>
  <c r="P29" i="8"/>
  <c r="Q26" i="8"/>
  <c r="Q19" i="8"/>
  <c r="O17" i="8"/>
  <c r="L22" i="8"/>
  <c r="N27" i="8"/>
  <c r="O23" i="8"/>
  <c r="K41" i="8"/>
  <c r="Q45" i="8"/>
  <c r="Q43" i="8"/>
  <c r="N22" i="8"/>
  <c r="O59" i="8"/>
  <c r="Q52" i="8"/>
  <c r="M35" i="8"/>
  <c r="Q41" i="8"/>
  <c r="P39" i="8"/>
  <c r="O21" i="8"/>
  <c r="M21" i="8"/>
  <c r="P43" i="8"/>
  <c r="N30" i="8"/>
  <c r="N29" i="8"/>
  <c r="O29" i="8"/>
  <c r="O51" i="8"/>
  <c r="P58" i="8"/>
  <c r="M54" i="8"/>
  <c r="N35" i="16"/>
  <c r="AB48" i="16"/>
  <c r="AJ48" i="16"/>
  <c r="L35" i="16"/>
  <c r="AM40" i="16"/>
  <c r="AN53" i="16"/>
  <c r="P58" i="12"/>
  <c r="N37" i="12"/>
  <c r="O37" i="12"/>
  <c r="Q21" i="12"/>
  <c r="O40" i="12"/>
  <c r="P48" i="12"/>
  <c r="O48" i="11"/>
  <c r="L43" i="11"/>
  <c r="N25" i="11"/>
  <c r="O53" i="11"/>
  <c r="P24" i="11"/>
  <c r="O60" i="11"/>
  <c r="P19" i="11"/>
  <c r="P56" i="11"/>
  <c r="O24" i="11"/>
  <c r="Q25" i="11"/>
  <c r="M49" i="11"/>
  <c r="O25" i="11"/>
  <c r="N20" i="11"/>
  <c r="L34" i="13"/>
  <c r="N33" i="13"/>
  <c r="N20" i="13"/>
  <c r="M45" i="13"/>
  <c r="N60" i="13"/>
  <c r="O15" i="8"/>
  <c r="K28" i="8"/>
  <c r="N25" i="8"/>
  <c r="P53" i="8"/>
  <c r="L15" i="8"/>
  <c r="Q15" i="8"/>
  <c r="P31" i="8"/>
  <c r="L28" i="8"/>
  <c r="N43" i="16"/>
  <c r="N56" i="16"/>
  <c r="M41" i="16"/>
  <c r="AO18" i="16"/>
  <c r="AK34" i="16"/>
  <c r="M39" i="16"/>
  <c r="AA34" i="16"/>
  <c r="AJ54" i="16"/>
  <c r="N33" i="16"/>
  <c r="AM14" i="16"/>
  <c r="AO31" i="16"/>
  <c r="AF42" i="16"/>
  <c r="P46" i="16"/>
  <c r="AN43" i="16"/>
  <c r="AJ58" i="16"/>
  <c r="AN44" i="16"/>
  <c r="AF49" i="16"/>
  <c r="M25" i="12"/>
  <c r="M19" i="12"/>
  <c r="P56" i="12"/>
  <c r="M47" i="12"/>
  <c r="Q42" i="12"/>
  <c r="Q40" i="12"/>
  <c r="M51" i="12"/>
  <c r="O44" i="12"/>
  <c r="N16" i="12"/>
  <c r="O23" i="12"/>
  <c r="L50" i="12"/>
  <c r="N55" i="11"/>
  <c r="O17" i="11"/>
  <c r="P29" i="11"/>
  <c r="P31" i="11"/>
  <c r="P37" i="11"/>
  <c r="L47" i="11"/>
  <c r="K44" i="11"/>
  <c r="L18" i="11"/>
  <c r="L24" i="11"/>
  <c r="K57" i="11"/>
  <c r="M30" i="11"/>
  <c r="Q54" i="11"/>
  <c r="L26" i="11"/>
  <c r="Q30" i="11"/>
  <c r="P47" i="11"/>
  <c r="L31" i="11"/>
  <c r="O46" i="11"/>
  <c r="M57" i="11"/>
  <c r="L38" i="11"/>
  <c r="O54" i="11"/>
  <c r="M20" i="11"/>
  <c r="O23" i="11"/>
  <c r="P34" i="11"/>
  <c r="K25" i="11"/>
  <c r="L46" i="11"/>
  <c r="M36" i="11"/>
  <c r="K28" i="11"/>
  <c r="M51" i="11"/>
  <c r="N18" i="11"/>
  <c r="M45" i="11"/>
  <c r="O35" i="11"/>
  <c r="P50" i="11"/>
  <c r="M23" i="11"/>
  <c r="K43" i="11"/>
  <c r="L52" i="11"/>
  <c r="P49" i="11"/>
  <c r="Q58" i="11"/>
  <c r="N22" i="11"/>
  <c r="Q29" i="11"/>
  <c r="N33" i="11"/>
  <c r="K13" i="13"/>
  <c r="N32" i="13"/>
  <c r="K28" i="13"/>
  <c r="M21" i="13"/>
  <c r="O57" i="13"/>
  <c r="M33" i="13"/>
  <c r="O53" i="13"/>
  <c r="N56" i="13"/>
  <c r="P21" i="13"/>
  <c r="M48" i="13"/>
  <c r="K32" i="13"/>
  <c r="N40" i="13"/>
  <c r="O13" i="13"/>
  <c r="Q52" i="13"/>
  <c r="M24" i="13"/>
  <c r="K55" i="13"/>
  <c r="P43" i="13"/>
  <c r="L44" i="13"/>
  <c r="K52" i="13"/>
  <c r="M17" i="13"/>
  <c r="Q36" i="13"/>
  <c r="Q21" i="13"/>
  <c r="Q42" i="13"/>
  <c r="O24" i="13"/>
  <c r="M44" i="13"/>
  <c r="N16" i="13"/>
  <c r="M35" i="13"/>
  <c r="M20" i="13"/>
  <c r="O15" i="13"/>
  <c r="P32" i="13"/>
  <c r="O30" i="13"/>
  <c r="K51" i="13"/>
  <c r="K35" i="13"/>
  <c r="M29" i="13"/>
  <c r="O43" i="13"/>
  <c r="L49" i="13"/>
  <c r="Q35" i="13"/>
  <c r="O55" i="13"/>
  <c r="O41" i="13"/>
  <c r="N48" i="13"/>
  <c r="N23" i="13"/>
  <c r="O21" i="13"/>
  <c r="N38" i="8"/>
  <c r="K40" i="8"/>
  <c r="O57" i="8"/>
  <c r="Q59" i="8"/>
  <c r="O14" i="8"/>
  <c r="N39" i="8"/>
  <c r="K52" i="8"/>
  <c r="L38" i="8"/>
  <c r="L40" i="8"/>
  <c r="L54" i="8"/>
  <c r="Q18" i="8"/>
  <c r="N41" i="8"/>
  <c r="N48" i="8"/>
  <c r="N57" i="8"/>
  <c r="O35" i="8"/>
  <c r="N49" i="8"/>
  <c r="O32" i="8"/>
  <c r="N54" i="8"/>
  <c r="M42" i="8"/>
  <c r="N44" i="8"/>
  <c r="M49" i="8"/>
  <c r="Q29" i="8"/>
  <c r="P17" i="8"/>
  <c r="O47" i="8"/>
  <c r="L56" i="8"/>
  <c r="Q51" i="8"/>
  <c r="N46" i="8"/>
  <c r="M50" i="8"/>
  <c r="Q25" i="8"/>
  <c r="L26" i="8"/>
  <c r="N47" i="8"/>
  <c r="P27" i="8"/>
  <c r="O27" i="8"/>
  <c r="O30" i="8"/>
  <c r="M22" i="8"/>
  <c r="O40" i="8"/>
  <c r="M43" i="8"/>
  <c r="O31" i="8"/>
  <c r="P42" i="8"/>
  <c r="P51" i="8"/>
  <c r="O13" i="8"/>
  <c r="Q23" i="8"/>
  <c r="L46" i="8"/>
  <c r="L29" i="8"/>
  <c r="Q17" i="8"/>
  <c r="L59" i="8"/>
  <c r="O27" i="13"/>
  <c r="N44" i="13"/>
  <c r="L23" i="13"/>
  <c r="O34" i="13"/>
  <c r="N39" i="13"/>
  <c r="L46" i="13"/>
  <c r="O42" i="13"/>
  <c r="Q59" i="13"/>
  <c r="O38" i="13"/>
  <c r="M18" i="13"/>
  <c r="M49" i="13"/>
  <c r="K22" i="8"/>
  <c r="O33" i="8"/>
  <c r="K24" i="8"/>
  <c r="P20" i="8"/>
  <c r="O36" i="8"/>
  <c r="M46" i="8"/>
  <c r="L52" i="8"/>
  <c r="K42" i="8"/>
  <c r="Q30" i="8"/>
  <c r="K38" i="8"/>
  <c r="P24" i="8"/>
  <c r="M41" i="8"/>
  <c r="M18" i="8"/>
  <c r="K30" i="8"/>
  <c r="P55" i="8"/>
  <c r="P21" i="8"/>
  <c r="Q30" i="13"/>
  <c r="L19" i="8"/>
  <c r="P16" i="8"/>
  <c r="Q47" i="8"/>
  <c r="N19" i="8"/>
  <c r="M14" i="8"/>
  <c r="K14" i="8"/>
  <c r="M13" i="8"/>
  <c r="M33" i="8"/>
  <c r="L33" i="8"/>
  <c r="P44" i="8"/>
  <c r="O48" i="8"/>
  <c r="Q57" i="8"/>
  <c r="N13" i="8"/>
  <c r="L41" i="8"/>
  <c r="M29" i="11"/>
  <c r="M24" i="11"/>
  <c r="L26" i="13"/>
  <c r="M30" i="13"/>
  <c r="L15" i="13"/>
  <c r="M51" i="8"/>
  <c r="O46" i="8"/>
  <c r="Q60" i="8"/>
  <c r="N52" i="8"/>
  <c r="AM27" i="16"/>
  <c r="AE46" i="16"/>
  <c r="AL33" i="16"/>
  <c r="AI20" i="16"/>
  <c r="AA32" i="16"/>
  <c r="AL31" i="16"/>
  <c r="AI34" i="16"/>
  <c r="AM17" i="16"/>
  <c r="P51" i="16"/>
  <c r="AG29" i="16"/>
  <c r="AA47" i="16"/>
  <c r="L25" i="16"/>
  <c r="P54" i="16"/>
  <c r="AO23" i="16"/>
  <c r="AE21" i="16"/>
  <c r="AM30" i="16"/>
  <c r="AG14" i="16"/>
  <c r="Q37" i="12"/>
  <c r="M13" i="12"/>
  <c r="Q17" i="12"/>
  <c r="Q15" i="12"/>
  <c r="K56" i="12"/>
  <c r="K15" i="12"/>
  <c r="O34" i="12"/>
  <c r="N58" i="12"/>
  <c r="L40" i="12"/>
  <c r="N27" i="12"/>
  <c r="L37" i="12"/>
  <c r="N53" i="11"/>
  <c r="O38" i="11"/>
  <c r="N59" i="11"/>
  <c r="P57" i="11"/>
  <c r="P15" i="11"/>
  <c r="K50" i="11"/>
  <c r="O37" i="11"/>
  <c r="M50" i="11"/>
  <c r="Q35" i="11"/>
  <c r="L36" i="11"/>
  <c r="P25" i="11"/>
  <c r="N43" i="11"/>
  <c r="K59" i="11"/>
  <c r="Q53" i="11"/>
  <c r="L23" i="11"/>
  <c r="Q28" i="11"/>
  <c r="P52" i="11"/>
  <c r="O32" i="11"/>
  <c r="N19" i="11"/>
  <c r="N34" i="11"/>
  <c r="Q18" i="11"/>
  <c r="O18" i="11"/>
  <c r="N16" i="11"/>
  <c r="N31" i="11"/>
  <c r="M44" i="11"/>
  <c r="M59" i="11"/>
  <c r="K60" i="11"/>
  <c r="P16" i="11"/>
  <c r="N51" i="11"/>
  <c r="K35" i="11"/>
  <c r="P42" i="11"/>
  <c r="N29" i="11"/>
  <c r="P13" i="11"/>
  <c r="Q52" i="11"/>
  <c r="P36" i="11"/>
  <c r="P51" i="11"/>
  <c r="N39" i="11"/>
  <c r="P14" i="11"/>
  <c r="O15" i="11"/>
  <c r="M16" i="11"/>
  <c r="O56" i="13"/>
  <c r="P15" i="13"/>
  <c r="O29" i="13"/>
  <c r="Q19" i="13"/>
  <c r="Q39" i="13"/>
  <c r="K31" i="13"/>
  <c r="P51" i="13"/>
  <c r="P45" i="13"/>
  <c r="O44" i="13"/>
  <c r="Q24" i="13"/>
  <c r="N34" i="13"/>
  <c r="L56" i="13"/>
  <c r="Q38" i="13"/>
  <c r="K58" i="13"/>
  <c r="K21" i="13"/>
  <c r="O35" i="13"/>
  <c r="M26" i="13"/>
  <c r="L39" i="13"/>
  <c r="P28" i="13"/>
  <c r="L27" i="13"/>
  <c r="K20" i="13"/>
  <c r="P57" i="13"/>
  <c r="O59" i="13"/>
  <c r="P14" i="13"/>
  <c r="Q51" i="13"/>
  <c r="L40" i="13"/>
  <c r="L24" i="13"/>
  <c r="P36" i="13"/>
  <c r="Q60" i="13"/>
  <c r="O22" i="13"/>
  <c r="P44" i="13"/>
  <c r="Q32" i="13"/>
  <c r="N19" i="13"/>
  <c r="K44" i="13"/>
  <c r="O46" i="13"/>
  <c r="N57" i="13"/>
  <c r="P20" i="13"/>
  <c r="K36" i="13"/>
  <c r="O60" i="13"/>
  <c r="M28" i="13"/>
  <c r="K56" i="13"/>
  <c r="K53" i="13"/>
  <c r="L17" i="8"/>
  <c r="P56" i="8"/>
  <c r="O38" i="8"/>
  <c r="O55" i="8"/>
  <c r="K25" i="8"/>
  <c r="L50" i="8"/>
  <c r="Q22" i="8"/>
  <c r="M57" i="8"/>
  <c r="K50" i="8"/>
  <c r="K48" i="8"/>
  <c r="M34" i="8"/>
  <c r="N24" i="8"/>
  <c r="N43" i="8"/>
  <c r="N33" i="8"/>
  <c r="N55" i="8"/>
  <c r="L34" i="8"/>
  <c r="O42" i="8"/>
  <c r="Q42" i="8"/>
  <c r="K51" i="8"/>
  <c r="P33" i="8"/>
  <c r="K29" i="8"/>
  <c r="N58" i="8"/>
  <c r="O45" i="8"/>
  <c r="L36" i="8"/>
  <c r="L37" i="8"/>
  <c r="M56" i="8"/>
  <c r="O41" i="8"/>
  <c r="K44" i="8"/>
  <c r="P26" i="8"/>
  <c r="L39" i="8"/>
  <c r="Q32" i="8"/>
  <c r="L60" i="8"/>
  <c r="M40" i="8"/>
  <c r="L57" i="8"/>
  <c r="K57" i="8"/>
  <c r="Q44" i="8"/>
  <c r="M44" i="8"/>
  <c r="P36" i="8"/>
  <c r="Q17" i="13"/>
  <c r="M27" i="13"/>
  <c r="L59" i="13"/>
  <c r="K15" i="13"/>
  <c r="M31" i="13"/>
  <c r="K18" i="13"/>
  <c r="M41" i="13"/>
  <c r="L30" i="13"/>
  <c r="L50" i="13"/>
  <c r="P29" i="13"/>
  <c r="L51" i="13"/>
  <c r="P52" i="13"/>
  <c r="P60" i="13"/>
  <c r="N32" i="8"/>
  <c r="K58" i="8"/>
  <c r="P30" i="8"/>
  <c r="P13" i="8"/>
  <c r="O37" i="8"/>
  <c r="L32" i="8"/>
  <c r="N23" i="8"/>
  <c r="L18" i="8"/>
  <c r="K55" i="8"/>
  <c r="L44" i="8"/>
  <c r="L43" i="8"/>
  <c r="Q34" i="8"/>
  <c r="L55" i="8"/>
  <c r="N15" i="8"/>
  <c r="O49" i="8"/>
  <c r="O58" i="8"/>
  <c r="L29" i="13"/>
  <c r="O28" i="8"/>
  <c r="M52" i="8"/>
  <c r="N31" i="8"/>
  <c r="O34" i="8"/>
  <c r="Q55" i="8"/>
  <c r="M16" i="8"/>
  <c r="Q35" i="8"/>
  <c r="Q20" i="8"/>
  <c r="M28" i="8"/>
  <c r="O20" i="8"/>
  <c r="O54" i="8"/>
  <c r="P48" i="11"/>
  <c r="P16" i="13"/>
  <c r="N49" i="13"/>
  <c r="Q13" i="13"/>
  <c r="Q43" i="13"/>
  <c r="N55" i="13"/>
  <c r="Q15" i="13"/>
  <c r="M58" i="8"/>
  <c r="P23" i="8"/>
  <c r="L48" i="8"/>
  <c r="Q56" i="8"/>
  <c r="Q50" i="8"/>
  <c r="AW50" i="8" l="1"/>
  <c r="AO50" i="8"/>
  <c r="AW56" i="8"/>
  <c r="AO56" i="8"/>
  <c r="AJ48" i="8"/>
  <c r="AR48" i="8"/>
  <c r="AV23" i="8"/>
  <c r="AN23" i="8"/>
  <c r="AS58" i="8"/>
  <c r="AK58" i="8"/>
  <c r="AW15" i="13"/>
  <c r="AO15" i="13"/>
  <c r="AL55" i="13"/>
  <c r="AT55" i="13"/>
  <c r="AW43" i="13"/>
  <c r="AO43" i="13"/>
  <c r="Q61" i="13"/>
  <c r="Y10" i="13"/>
  <c r="AO13" i="13"/>
  <c r="AW13" i="13"/>
  <c r="AT49" i="13"/>
  <c r="AL49" i="13"/>
  <c r="AV16" i="13"/>
  <c r="AN16" i="13"/>
  <c r="AV48" i="11"/>
  <c r="AN48" i="11"/>
  <c r="AM54" i="8"/>
  <c r="AU54" i="8"/>
  <c r="AU20" i="8"/>
  <c r="AM20" i="8"/>
  <c r="AK28" i="8"/>
  <c r="AS28" i="8"/>
  <c r="AO20" i="8"/>
  <c r="AW20" i="8"/>
  <c r="AW35" i="8"/>
  <c r="AO35" i="8"/>
  <c r="AK16" i="8"/>
  <c r="AS16" i="8"/>
  <c r="AO55" i="8"/>
  <c r="AW55" i="8"/>
  <c r="AU34" i="8"/>
  <c r="AM34" i="8"/>
  <c r="AT31" i="8"/>
  <c r="AL31" i="8"/>
  <c r="AS52" i="8"/>
  <c r="AK52" i="8"/>
  <c r="AM28" i="8"/>
  <c r="AU28" i="8"/>
  <c r="AU61" i="8" s="1"/>
  <c r="AR29" i="13"/>
  <c r="AJ29" i="13"/>
  <c r="AU58" i="8"/>
  <c r="AM58" i="8"/>
  <c r="AM49" i="8"/>
  <c r="AU49" i="8"/>
  <c r="AT15" i="8"/>
  <c r="AL15" i="8"/>
  <c r="AJ55" i="8"/>
  <c r="AR55" i="8"/>
  <c r="AO34" i="8"/>
  <c r="AW34" i="8"/>
  <c r="AJ43" i="8"/>
  <c r="AR43" i="8"/>
  <c r="AR44" i="8"/>
  <c r="AJ44" i="8"/>
  <c r="AI55" i="8"/>
  <c r="AQ55" i="8"/>
  <c r="AJ18" i="8"/>
  <c r="AR18" i="8"/>
  <c r="AL23" i="8"/>
  <c r="AT23" i="8"/>
  <c r="AR32" i="8"/>
  <c r="AJ32" i="8"/>
  <c r="AU37" i="8"/>
  <c r="AM37" i="8"/>
  <c r="P61" i="8"/>
  <c r="AV13" i="8"/>
  <c r="X10" i="8"/>
  <c r="AN13" i="8"/>
  <c r="AV30" i="8"/>
  <c r="AN30" i="8"/>
  <c r="AI58" i="8"/>
  <c r="AQ58" i="8"/>
  <c r="AT32" i="8"/>
  <c r="AL32" i="8"/>
  <c r="AN60" i="13"/>
  <c r="AV60" i="13"/>
  <c r="AV52" i="13"/>
  <c r="AN52" i="13"/>
  <c r="AJ51" i="13"/>
  <c r="AR51" i="13"/>
  <c r="AV29" i="13"/>
  <c r="AN29" i="13"/>
  <c r="AR50" i="13"/>
  <c r="AJ50" i="13"/>
  <c r="AJ30" i="13"/>
  <c r="AR30" i="13"/>
  <c r="AS41" i="13"/>
  <c r="AK41" i="13"/>
  <c r="AQ18" i="13"/>
  <c r="AI18" i="13"/>
  <c r="AS31" i="13"/>
  <c r="AK31" i="13"/>
  <c r="AQ15" i="13"/>
  <c r="AI15" i="13"/>
  <c r="AR59" i="13"/>
  <c r="AJ59" i="13"/>
  <c r="AK27" i="13"/>
  <c r="AS27" i="13"/>
  <c r="AW17" i="13"/>
  <c r="AO17" i="13"/>
  <c r="AV36" i="8"/>
  <c r="AN36" i="8"/>
  <c r="AS44" i="8"/>
  <c r="AK44" i="8"/>
  <c r="AW44" i="8"/>
  <c r="AO44" i="8"/>
  <c r="AQ57" i="8"/>
  <c r="AI57" i="8"/>
  <c r="AR57" i="8"/>
  <c r="AJ57" i="8"/>
  <c r="AS40" i="8"/>
  <c r="AK40" i="8"/>
  <c r="AR60" i="8"/>
  <c r="AJ60" i="8"/>
  <c r="AW32" i="8"/>
  <c r="AO32" i="8"/>
  <c r="AR39" i="8"/>
  <c r="AJ39" i="8"/>
  <c r="AN26" i="8"/>
  <c r="AV26" i="8"/>
  <c r="AQ44" i="8"/>
  <c r="AI44" i="8"/>
  <c r="AM41" i="8"/>
  <c r="AU41" i="8"/>
  <c r="AK56" i="8"/>
  <c r="AS56" i="8"/>
  <c r="AR37" i="8"/>
  <c r="AJ37" i="8"/>
  <c r="AJ36" i="8"/>
  <c r="AR36" i="8"/>
  <c r="AM45" i="8"/>
  <c r="AU45" i="8"/>
  <c r="AT58" i="8"/>
  <c r="AL58" i="8"/>
  <c r="AQ29" i="8"/>
  <c r="AI29" i="8"/>
  <c r="AV33" i="8"/>
  <c r="AN33" i="8"/>
  <c r="AQ51" i="8"/>
  <c r="AI51" i="8"/>
  <c r="AW42" i="8"/>
  <c r="AO42" i="8"/>
  <c r="AM42" i="8"/>
  <c r="AU42" i="8"/>
  <c r="AJ34" i="8"/>
  <c r="AR34" i="8"/>
  <c r="AT55" i="8"/>
  <c r="AL55" i="8"/>
  <c r="AL33" i="8"/>
  <c r="AT33" i="8"/>
  <c r="AT62" i="8" s="1"/>
  <c r="AL43" i="8"/>
  <c r="AT43" i="8"/>
  <c r="AL24" i="8"/>
  <c r="AT24" i="8"/>
  <c r="AK34" i="8"/>
  <c r="AS34" i="8"/>
  <c r="AQ48" i="8"/>
  <c r="AI48" i="8"/>
  <c r="AQ50" i="8"/>
  <c r="AI50" i="8"/>
  <c r="AK57" i="8"/>
  <c r="AS57" i="8"/>
  <c r="AO22" i="8"/>
  <c r="AW22" i="8"/>
  <c r="AJ50" i="8"/>
  <c r="AR50" i="8"/>
  <c r="AI25" i="8"/>
  <c r="AQ25" i="8"/>
  <c r="AM55" i="8"/>
  <c r="AU55" i="8"/>
  <c r="AM38" i="8"/>
  <c r="AU38" i="8"/>
  <c r="AV56" i="8"/>
  <c r="AN56" i="8"/>
  <c r="AJ17" i="8"/>
  <c r="AR17" i="8"/>
  <c r="AI53" i="13"/>
  <c r="AQ53" i="13"/>
  <c r="AQ56" i="13"/>
  <c r="AI56" i="13"/>
  <c r="AK28" i="13"/>
  <c r="AS28" i="13"/>
  <c r="AM60" i="13"/>
  <c r="AU60" i="13"/>
  <c r="AQ36" i="13"/>
  <c r="AI36" i="13"/>
  <c r="AV20" i="13"/>
  <c r="AN20" i="13"/>
  <c r="AL57" i="13"/>
  <c r="AT57" i="13"/>
  <c r="AU46" i="13"/>
  <c r="AM46" i="13"/>
  <c r="AQ44" i="13"/>
  <c r="AI44" i="13"/>
  <c r="AL19" i="13"/>
  <c r="AT19" i="13"/>
  <c r="AO32" i="13"/>
  <c r="AW32" i="13"/>
  <c r="AV44" i="13"/>
  <c r="AN44" i="13"/>
  <c r="AU22" i="13"/>
  <c r="AM22" i="13"/>
  <c r="AW60" i="13"/>
  <c r="AO60" i="13"/>
  <c r="AV36" i="13"/>
  <c r="AN36" i="13"/>
  <c r="AJ24" i="13"/>
  <c r="AR24" i="13"/>
  <c r="AJ40" i="13"/>
  <c r="AR40" i="13"/>
  <c r="AW51" i="13"/>
  <c r="AO51" i="13"/>
  <c r="AV14" i="13"/>
  <c r="AN14" i="13"/>
  <c r="AS68" i="13" s="1"/>
  <c r="AU59" i="13"/>
  <c r="AM59" i="13"/>
  <c r="AV57" i="13"/>
  <c r="AN57" i="13"/>
  <c r="AQ20" i="13"/>
  <c r="AI20" i="13"/>
  <c r="AR27" i="13"/>
  <c r="AJ27" i="13"/>
  <c r="AV28" i="13"/>
  <c r="AN28" i="13"/>
  <c r="AJ39" i="13"/>
  <c r="AR39" i="13"/>
  <c r="AS26" i="13"/>
  <c r="AK26" i="13"/>
  <c r="AM35" i="13"/>
  <c r="AU35" i="13"/>
  <c r="AI21" i="13"/>
  <c r="AQ21" i="13"/>
  <c r="AQ58" i="13"/>
  <c r="AI58" i="13"/>
  <c r="AO38" i="13"/>
  <c r="AW38" i="13"/>
  <c r="AJ56" i="13"/>
  <c r="AR56" i="13"/>
  <c r="AT34" i="13"/>
  <c r="AL34" i="13"/>
  <c r="AO24" i="13"/>
  <c r="AW24" i="13"/>
  <c r="AU44" i="13"/>
  <c r="AM44" i="13"/>
  <c r="AN45" i="13"/>
  <c r="AV45" i="13"/>
  <c r="AV51" i="13"/>
  <c r="AN51" i="13"/>
  <c r="AQ31" i="13"/>
  <c r="AI31" i="13"/>
  <c r="AW39" i="13"/>
  <c r="AO39" i="13"/>
  <c r="AO19" i="13"/>
  <c r="AW19" i="13"/>
  <c r="AU29" i="13"/>
  <c r="AM29" i="13"/>
  <c r="AN15" i="13"/>
  <c r="AV15" i="13"/>
  <c r="AU56" i="13"/>
  <c r="AM56" i="13"/>
  <c r="AS16" i="11"/>
  <c r="AK16" i="11"/>
  <c r="AM15" i="11"/>
  <c r="AU15" i="11"/>
  <c r="AN14" i="11"/>
  <c r="AV14" i="11"/>
  <c r="AL39" i="11"/>
  <c r="AT39" i="11"/>
  <c r="AN51" i="11"/>
  <c r="AV51" i="11"/>
  <c r="AN36" i="11"/>
  <c r="AV36" i="11"/>
  <c r="AO52" i="11"/>
  <c r="AW52" i="11"/>
  <c r="AV13" i="11"/>
  <c r="AN13" i="11"/>
  <c r="P61" i="11"/>
  <c r="X10" i="11"/>
  <c r="AT29" i="11"/>
  <c r="AL29" i="11"/>
  <c r="AN42" i="11"/>
  <c r="AV42" i="11"/>
  <c r="AQ35" i="11"/>
  <c r="AI35" i="11"/>
  <c r="AL51" i="11"/>
  <c r="AT51" i="11"/>
  <c r="AV16" i="11"/>
  <c r="AN16" i="11"/>
  <c r="AI60" i="11"/>
  <c r="AQ60" i="11"/>
  <c r="AK59" i="11"/>
  <c r="AS59" i="11"/>
  <c r="AK44" i="11"/>
  <c r="AS44" i="11"/>
  <c r="AL31" i="11"/>
  <c r="AT31" i="11"/>
  <c r="AT16" i="11"/>
  <c r="AL16" i="11"/>
  <c r="AU18" i="11"/>
  <c r="AM18" i="11"/>
  <c r="AO18" i="11"/>
  <c r="AW18" i="11"/>
  <c r="AW61" i="11" s="1"/>
  <c r="AL34" i="11"/>
  <c r="AT34" i="11"/>
  <c r="AT19" i="11"/>
  <c r="AL19" i="11"/>
  <c r="AU32" i="11"/>
  <c r="AM32" i="11"/>
  <c r="AN52" i="11"/>
  <c r="AV52" i="11"/>
  <c r="AW28" i="11"/>
  <c r="AO28" i="11"/>
  <c r="AR23" i="11"/>
  <c r="AJ23" i="11"/>
  <c r="AO53" i="11"/>
  <c r="AW53" i="11"/>
  <c r="AQ59" i="11"/>
  <c r="AI59" i="11"/>
  <c r="AT43" i="11"/>
  <c r="AL43" i="11"/>
  <c r="AV25" i="11"/>
  <c r="AN25" i="11"/>
  <c r="AR36" i="11"/>
  <c r="AJ36" i="11"/>
  <c r="AW35" i="11"/>
  <c r="AO35" i="11"/>
  <c r="AK50" i="11"/>
  <c r="AS50" i="11"/>
  <c r="AU37" i="11"/>
  <c r="AM37" i="11"/>
  <c r="AQ50" i="11"/>
  <c r="AI50" i="11"/>
  <c r="AV15" i="11"/>
  <c r="AN15" i="11"/>
  <c r="AN57" i="11"/>
  <c r="AV57" i="11"/>
  <c r="AL59" i="11"/>
  <c r="AT59" i="11"/>
  <c r="AU38" i="11"/>
  <c r="AM38" i="11"/>
  <c r="AT53" i="11"/>
  <c r="AL53" i="11"/>
  <c r="AR37" i="12"/>
  <c r="AJ37" i="12"/>
  <c r="AL27" i="12"/>
  <c r="AT27" i="12"/>
  <c r="AR40" i="12"/>
  <c r="AJ40" i="12"/>
  <c r="AL58" i="12"/>
  <c r="AT58" i="12"/>
  <c r="AM34" i="12"/>
  <c r="AU34" i="12"/>
  <c r="AQ15" i="12"/>
  <c r="AI15" i="12"/>
  <c r="AI56" i="12"/>
  <c r="AQ56" i="12"/>
  <c r="AW15" i="12"/>
  <c r="AO15" i="12"/>
  <c r="AW17" i="12"/>
  <c r="AO17" i="12"/>
  <c r="AS13" i="12"/>
  <c r="AK13" i="12"/>
  <c r="M61" i="12"/>
  <c r="U10" i="12"/>
  <c r="AW37" i="12"/>
  <c r="AO37" i="12"/>
  <c r="BE14" i="16"/>
  <c r="BC21" i="16"/>
  <c r="AV54" i="16"/>
  <c r="AR25" i="16"/>
  <c r="AY47" i="16"/>
  <c r="BE29" i="16"/>
  <c r="AV51" i="16"/>
  <c r="AY32" i="16"/>
  <c r="BC46" i="16"/>
  <c r="AL52" i="8"/>
  <c r="AT52" i="8"/>
  <c r="AO60" i="8"/>
  <c r="AW60" i="8"/>
  <c r="AU46" i="8"/>
  <c r="AM46" i="8"/>
  <c r="AK51" i="8"/>
  <c r="AS51" i="8"/>
  <c r="AR15" i="13"/>
  <c r="AJ15" i="13"/>
  <c r="AS30" i="13"/>
  <c r="AK30" i="13"/>
  <c r="AJ26" i="13"/>
  <c r="AR26" i="13"/>
  <c r="AS24" i="11"/>
  <c r="AK24" i="11"/>
  <c r="AS29" i="11"/>
  <c r="AK29" i="11"/>
  <c r="AJ41" i="8"/>
  <c r="AR41" i="8"/>
  <c r="AL13" i="8"/>
  <c r="AT13" i="8"/>
  <c r="N61" i="8"/>
  <c r="V10" i="8"/>
  <c r="AW57" i="8"/>
  <c r="AO57" i="8"/>
  <c r="AM48" i="8"/>
  <c r="AU48" i="8"/>
  <c r="AN44" i="8"/>
  <c r="AV44" i="8"/>
  <c r="AJ33" i="8"/>
  <c r="AR33" i="8"/>
  <c r="AS33" i="8"/>
  <c r="AK33" i="8"/>
  <c r="AK13" i="8"/>
  <c r="U10" i="8"/>
  <c r="M61" i="8"/>
  <c r="AS13" i="8"/>
  <c r="AQ14" i="8"/>
  <c r="AQ61" i="8" s="1"/>
  <c r="AI14" i="8"/>
  <c r="K61" i="8"/>
  <c r="S10" i="8"/>
  <c r="AS14" i="8"/>
  <c r="AK14" i="8"/>
  <c r="AL19" i="8"/>
  <c r="AT19" i="8"/>
  <c r="AO47" i="8"/>
  <c r="AW47" i="8"/>
  <c r="AV16" i="8"/>
  <c r="AN16" i="8"/>
  <c r="AJ19" i="8"/>
  <c r="AR19" i="8"/>
  <c r="AO30" i="13"/>
  <c r="AW30" i="13"/>
  <c r="AN21" i="8"/>
  <c r="AV21" i="8"/>
  <c r="AV55" i="8"/>
  <c r="AN55" i="8"/>
  <c r="AI30" i="8"/>
  <c r="AQ30" i="8"/>
  <c r="AS18" i="8"/>
  <c r="AK18" i="8"/>
  <c r="AS41" i="8"/>
  <c r="AK41" i="8"/>
  <c r="AV24" i="8"/>
  <c r="AN24" i="8"/>
  <c r="AQ38" i="8"/>
  <c r="AI38" i="8"/>
  <c r="AO30" i="8"/>
  <c r="AW30" i="8"/>
  <c r="AQ42" i="8"/>
  <c r="AI42" i="8"/>
  <c r="AR52" i="8"/>
  <c r="AJ52" i="8"/>
  <c r="AK46" i="8"/>
  <c r="AS46" i="8"/>
  <c r="AM36" i="8"/>
  <c r="AU36" i="8"/>
  <c r="AN20" i="8"/>
  <c r="AV20" i="8"/>
  <c r="AQ24" i="8"/>
  <c r="AI24" i="8"/>
  <c r="AM33" i="8"/>
  <c r="AU33" i="8"/>
  <c r="AI22" i="8"/>
  <c r="AQ22" i="8"/>
  <c r="AK49" i="13"/>
  <c r="AS49" i="13"/>
  <c r="AS18" i="13"/>
  <c r="AK18" i="13"/>
  <c r="AM38" i="13"/>
  <c r="AU38" i="13"/>
  <c r="AO59" i="13"/>
  <c r="AW59" i="13"/>
  <c r="AM42" i="13"/>
  <c r="AU42" i="13"/>
  <c r="AR46" i="13"/>
  <c r="AJ46" i="13"/>
  <c r="AL39" i="13"/>
  <c r="AT39" i="13"/>
  <c r="AM34" i="13"/>
  <c r="AU34" i="13"/>
  <c r="AJ23" i="13"/>
  <c r="AR23" i="13"/>
  <c r="AT44" i="13"/>
  <c r="AL44" i="13"/>
  <c r="AU27" i="13"/>
  <c r="AM27" i="13"/>
  <c r="AR59" i="8"/>
  <c r="AJ59" i="8"/>
  <c r="AO17" i="8"/>
  <c r="AW17" i="8"/>
  <c r="AR29" i="8"/>
  <c r="AJ29" i="8"/>
  <c r="AR46" i="8"/>
  <c r="AJ46" i="8"/>
  <c r="AO23" i="8"/>
  <c r="AW23" i="8"/>
  <c r="AM13" i="8"/>
  <c r="AS68" i="8" s="1"/>
  <c r="O61" i="8"/>
  <c r="AU13" i="8"/>
  <c r="W10" i="8"/>
  <c r="AN51" i="8"/>
  <c r="AV51" i="8"/>
  <c r="AV42" i="8"/>
  <c r="AN42" i="8"/>
  <c r="AU31" i="8"/>
  <c r="AM31" i="8"/>
  <c r="AK43" i="8"/>
  <c r="AS43" i="8"/>
  <c r="AU40" i="8"/>
  <c r="AM40" i="8"/>
  <c r="AK22" i="8"/>
  <c r="AS22" i="8"/>
  <c r="AU30" i="8"/>
  <c r="AM30" i="8"/>
  <c r="AU27" i="8"/>
  <c r="AM27" i="8"/>
  <c r="AV27" i="8"/>
  <c r="AN27" i="8"/>
  <c r="AT47" i="8"/>
  <c r="AL47" i="8"/>
  <c r="AJ26" i="8"/>
  <c r="AR26" i="8"/>
  <c r="AW25" i="8"/>
  <c r="AO25" i="8"/>
  <c r="AS50" i="8"/>
  <c r="AK50" i="8"/>
  <c r="AT46" i="8"/>
  <c r="AL46" i="8"/>
  <c r="AW51" i="8"/>
  <c r="AO51" i="8"/>
  <c r="AR56" i="8"/>
  <c r="AJ56" i="8"/>
  <c r="AM47" i="8"/>
  <c r="AU47" i="8"/>
  <c r="AN17" i="8"/>
  <c r="AV17" i="8"/>
  <c r="AW29" i="8"/>
  <c r="AO29" i="8"/>
  <c r="AS49" i="8"/>
  <c r="AK49" i="8"/>
  <c r="AL44" i="8"/>
  <c r="AT44" i="8"/>
  <c r="AS42" i="8"/>
  <c r="AK42" i="8"/>
  <c r="AT54" i="8"/>
  <c r="AL54" i="8"/>
  <c r="AU32" i="8"/>
  <c r="AM32" i="8"/>
  <c r="AT49" i="8"/>
  <c r="AL49" i="8"/>
  <c r="AU35" i="8"/>
  <c r="AM35" i="8"/>
  <c r="AL57" i="8"/>
  <c r="AT57" i="8"/>
  <c r="AT48" i="8"/>
  <c r="AL48" i="8"/>
  <c r="AT41" i="8"/>
  <c r="AL41" i="8"/>
  <c r="AW18" i="8"/>
  <c r="AO18" i="8"/>
  <c r="AR54" i="8"/>
  <c r="AJ54" i="8"/>
  <c r="AJ40" i="8"/>
  <c r="AR40" i="8"/>
  <c r="AR38" i="8"/>
  <c r="AJ38" i="8"/>
  <c r="AQ52" i="8"/>
  <c r="AI52" i="8"/>
  <c r="AT39" i="8"/>
  <c r="AL39" i="8"/>
  <c r="AM14" i="8"/>
  <c r="AU14" i="8"/>
  <c r="AW59" i="8"/>
  <c r="AO59" i="8"/>
  <c r="AM57" i="8"/>
  <c r="AU57" i="8"/>
  <c r="AI40" i="8"/>
  <c r="AQ40" i="8"/>
  <c r="AL38" i="8"/>
  <c r="AT38" i="8"/>
  <c r="AU21" i="13"/>
  <c r="AM21" i="13"/>
  <c r="AT23" i="13"/>
  <c r="AL23" i="13"/>
  <c r="AL48" i="13"/>
  <c r="AT48" i="13"/>
  <c r="AM41" i="13"/>
  <c r="AU41" i="13"/>
  <c r="AU55" i="13"/>
  <c r="AM55" i="13"/>
  <c r="AW35" i="13"/>
  <c r="AO35" i="13"/>
  <c r="AJ49" i="13"/>
  <c r="AR49" i="13"/>
  <c r="AM43" i="13"/>
  <c r="AU43" i="13"/>
  <c r="AK29" i="13"/>
  <c r="AS29" i="13"/>
  <c r="AI35" i="13"/>
  <c r="AQ35" i="13"/>
  <c r="AQ51" i="13"/>
  <c r="AI51" i="13"/>
  <c r="AU30" i="13"/>
  <c r="AM30" i="13"/>
  <c r="AV32" i="13"/>
  <c r="AN32" i="13"/>
  <c r="AM15" i="13"/>
  <c r="AU15" i="13"/>
  <c r="AS20" i="13"/>
  <c r="AK20" i="13"/>
  <c r="AS35" i="13"/>
  <c r="AK35" i="13"/>
  <c r="AT16" i="13"/>
  <c r="AL16" i="13"/>
  <c r="AK44" i="13"/>
  <c r="AS44" i="13"/>
  <c r="AM24" i="13"/>
  <c r="AU24" i="13"/>
  <c r="AW42" i="13"/>
  <c r="AO42" i="13"/>
  <c r="AW21" i="13"/>
  <c r="AO21" i="13"/>
  <c r="AO36" i="13"/>
  <c r="AW36" i="13"/>
  <c r="AS17" i="13"/>
  <c r="AS61" i="13" s="1"/>
  <c r="AK17" i="13"/>
  <c r="AI52" i="13"/>
  <c r="AQ52" i="13"/>
  <c r="AJ44" i="13"/>
  <c r="AR44" i="13"/>
  <c r="AV43" i="13"/>
  <c r="AN43" i="13"/>
  <c r="AI55" i="13"/>
  <c r="AQ55" i="13"/>
  <c r="AK24" i="13"/>
  <c r="AS24" i="13"/>
  <c r="AO52" i="13"/>
  <c r="AW52" i="13"/>
  <c r="W10" i="13"/>
  <c r="AM13" i="13"/>
  <c r="AU13" i="13"/>
  <c r="AU61" i="13" s="1"/>
  <c r="O61" i="13"/>
  <c r="AL40" i="13"/>
  <c r="AT40" i="13"/>
  <c r="AI32" i="13"/>
  <c r="AQ32" i="13"/>
  <c r="AS48" i="13"/>
  <c r="AK48" i="13"/>
  <c r="AV21" i="13"/>
  <c r="AN21" i="13"/>
  <c r="AL56" i="13"/>
  <c r="AT56" i="13"/>
  <c r="AM53" i="13"/>
  <c r="AU53" i="13"/>
  <c r="AK33" i="13"/>
  <c r="AS33" i="13"/>
  <c r="AU57" i="13"/>
  <c r="AM57" i="13"/>
  <c r="AK21" i="13"/>
  <c r="AS21" i="13"/>
  <c r="AI28" i="13"/>
  <c r="AQ28" i="13"/>
  <c r="AL32" i="13"/>
  <c r="AT32" i="13"/>
  <c r="AQ13" i="13"/>
  <c r="AQ70" i="13" s="1"/>
  <c r="S10" i="13"/>
  <c r="K61" i="13"/>
  <c r="AI13" i="13"/>
  <c r="AL33" i="11"/>
  <c r="AT33" i="11"/>
  <c r="AO29" i="11"/>
  <c r="AW29" i="11"/>
  <c r="AL22" i="11"/>
  <c r="AT22" i="11"/>
  <c r="AW58" i="11"/>
  <c r="AO58" i="11"/>
  <c r="AN49" i="11"/>
  <c r="AV49" i="11"/>
  <c r="AJ52" i="11"/>
  <c r="AR52" i="11"/>
  <c r="AQ43" i="11"/>
  <c r="AI43" i="11"/>
  <c r="AS23" i="11"/>
  <c r="AK23" i="11"/>
  <c r="AN50" i="11"/>
  <c r="AV50" i="11"/>
  <c r="AU35" i="11"/>
  <c r="AM35" i="11"/>
  <c r="AS45" i="11"/>
  <c r="AK45" i="11"/>
  <c r="AT18" i="11"/>
  <c r="AL18" i="11"/>
  <c r="AK51" i="11"/>
  <c r="AS51" i="11"/>
  <c r="AI28" i="11"/>
  <c r="AQ28" i="11"/>
  <c r="AK36" i="11"/>
  <c r="AS36" i="11"/>
  <c r="AR46" i="11"/>
  <c r="AJ46" i="11"/>
  <c r="AQ25" i="11"/>
  <c r="AI25" i="11"/>
  <c r="AN34" i="11"/>
  <c r="AV34" i="11"/>
  <c r="AU23" i="11"/>
  <c r="AM23" i="11"/>
  <c r="AS20" i="11"/>
  <c r="AK20" i="11"/>
  <c r="AM54" i="11"/>
  <c r="AU54" i="11"/>
  <c r="AJ38" i="11"/>
  <c r="AR38" i="11"/>
  <c r="AS57" i="11"/>
  <c r="AK57" i="11"/>
  <c r="AU46" i="11"/>
  <c r="AM46" i="11"/>
  <c r="AR31" i="11"/>
  <c r="AJ31" i="11"/>
  <c r="AV47" i="11"/>
  <c r="AN47" i="11"/>
  <c r="AO30" i="11"/>
  <c r="AW30" i="11"/>
  <c r="AJ26" i="11"/>
  <c r="AR26" i="11"/>
  <c r="AO54" i="11"/>
  <c r="AW54" i="11"/>
  <c r="AK30" i="11"/>
  <c r="AS30" i="11"/>
  <c r="AQ57" i="11"/>
  <c r="AI57" i="11"/>
  <c r="AR24" i="11"/>
  <c r="AJ24" i="11"/>
  <c r="AJ18" i="11"/>
  <c r="AR18" i="11"/>
  <c r="AQ44" i="11"/>
  <c r="AI44" i="11"/>
  <c r="AJ47" i="11"/>
  <c r="AR47" i="11"/>
  <c r="AV37" i="11"/>
  <c r="AN37" i="11"/>
  <c r="AN31" i="11"/>
  <c r="AV31" i="11"/>
  <c r="AN29" i="11"/>
  <c r="AV29" i="11"/>
  <c r="AU17" i="11"/>
  <c r="AM17" i="11"/>
  <c r="AT55" i="11"/>
  <c r="AL55" i="11"/>
  <c r="AR50" i="12"/>
  <c r="AJ50" i="12"/>
  <c r="AM23" i="12"/>
  <c r="AU23" i="12"/>
  <c r="AT16" i="12"/>
  <c r="AQ70" i="12" s="1"/>
  <c r="AL16" i="12"/>
  <c r="AU44" i="12"/>
  <c r="AM44" i="12"/>
  <c r="AK51" i="12"/>
  <c r="AS51" i="12"/>
  <c r="AW40" i="12"/>
  <c r="AO40" i="12"/>
  <c r="AW42" i="12"/>
  <c r="AO42" i="12"/>
  <c r="AK47" i="12"/>
  <c r="AS47" i="12"/>
  <c r="AV56" i="12"/>
  <c r="AN56" i="12"/>
  <c r="AS19" i="12"/>
  <c r="AK19" i="12"/>
  <c r="AK25" i="12"/>
  <c r="AS25" i="12"/>
  <c r="BD49" i="16"/>
  <c r="AV46" i="16"/>
  <c r="BD42" i="16"/>
  <c r="AT33" i="16"/>
  <c r="AY34" i="16"/>
  <c r="AS39" i="16"/>
  <c r="AS41" i="16"/>
  <c r="AT56" i="16"/>
  <c r="AT43" i="16"/>
  <c r="AJ28" i="8"/>
  <c r="AR28" i="8"/>
  <c r="AV31" i="8"/>
  <c r="AN31" i="8"/>
  <c r="AO15" i="8"/>
  <c r="AW15" i="8"/>
  <c r="AW61" i="8" s="1"/>
  <c r="AR15" i="8"/>
  <c r="AJ15" i="8"/>
  <c r="AV53" i="8"/>
  <c r="AN53" i="8"/>
  <c r="AT25" i="8"/>
  <c r="AL25" i="8"/>
  <c r="AQ28" i="8"/>
  <c r="AI28" i="8"/>
  <c r="AU15" i="8"/>
  <c r="AM15" i="8"/>
  <c r="AT60" i="13"/>
  <c r="AL60" i="13"/>
  <c r="AS45" i="13"/>
  <c r="AK45" i="13"/>
  <c r="AT20" i="13"/>
  <c r="AL20" i="13"/>
  <c r="AT33" i="13"/>
  <c r="AL33" i="13"/>
  <c r="AR34" i="13"/>
  <c r="AJ34" i="13"/>
  <c r="AT20" i="11"/>
  <c r="AL20" i="11"/>
  <c r="AU25" i="11"/>
  <c r="AM25" i="11"/>
  <c r="AK49" i="11"/>
  <c r="AS49" i="11"/>
  <c r="AO25" i="11"/>
  <c r="AW25" i="11"/>
  <c r="AM24" i="11"/>
  <c r="AU24" i="11"/>
  <c r="AN56" i="11"/>
  <c r="AV56" i="11"/>
  <c r="AN19" i="11"/>
  <c r="AV19" i="11"/>
  <c r="AU60" i="11"/>
  <c r="AM60" i="11"/>
  <c r="AN24" i="11"/>
  <c r="AV24" i="11"/>
  <c r="AM53" i="11"/>
  <c r="AU53" i="11"/>
  <c r="AL25" i="11"/>
  <c r="AT25" i="11"/>
  <c r="AR43" i="11"/>
  <c r="AJ43" i="11"/>
  <c r="AM48" i="11"/>
  <c r="AU48" i="11"/>
  <c r="AV48" i="12"/>
  <c r="AN48" i="12"/>
  <c r="AU40" i="12"/>
  <c r="AM40" i="12"/>
  <c r="AO21" i="12"/>
  <c r="AW21" i="12"/>
  <c r="AU37" i="12"/>
  <c r="AM37" i="12"/>
  <c r="AL37" i="12"/>
  <c r="AT37" i="12"/>
  <c r="AN58" i="12"/>
  <c r="AV58" i="12"/>
  <c r="AR35" i="16"/>
  <c r="AZ48" i="16"/>
  <c r="AT35" i="16"/>
  <c r="AK54" i="8"/>
  <c r="AS54" i="8"/>
  <c r="AV58" i="8"/>
  <c r="AN58" i="8"/>
  <c r="AM51" i="8"/>
  <c r="AU51" i="8"/>
  <c r="AM29" i="8"/>
  <c r="AU29" i="8"/>
  <c r="AL29" i="8"/>
  <c r="AT29" i="8"/>
  <c r="AL30" i="8"/>
  <c r="AT30" i="8"/>
  <c r="AV43" i="8"/>
  <c r="AN43" i="8"/>
  <c r="AK21" i="8"/>
  <c r="AS21" i="8"/>
  <c r="AM21" i="8"/>
  <c r="AU21" i="8"/>
  <c r="AV39" i="8"/>
  <c r="AN39" i="8"/>
  <c r="AW41" i="8"/>
  <c r="AO41" i="8"/>
  <c r="AK35" i="8"/>
  <c r="AS35" i="8"/>
  <c r="AW52" i="8"/>
  <c r="AO52" i="8"/>
  <c r="AU59" i="8"/>
  <c r="AM59" i="8"/>
  <c r="AL22" i="8"/>
  <c r="AT22" i="8"/>
  <c r="AW43" i="8"/>
  <c r="AO43" i="8"/>
  <c r="AO45" i="8"/>
  <c r="AW45" i="8"/>
  <c r="AQ41" i="8"/>
  <c r="AI41" i="8"/>
  <c r="AM23" i="8"/>
  <c r="AU23" i="8"/>
  <c r="AL27" i="8"/>
  <c r="AT27" i="8"/>
  <c r="AR22" i="8"/>
  <c r="AJ22" i="8"/>
  <c r="AM17" i="8"/>
  <c r="AU17" i="8"/>
  <c r="AO19" i="8"/>
  <c r="AW19" i="8"/>
  <c r="AO26" i="8"/>
  <c r="AW26" i="8"/>
  <c r="AN29" i="8"/>
  <c r="AV29" i="8"/>
  <c r="AI21" i="8"/>
  <c r="AQ21" i="8"/>
  <c r="AV40" i="8"/>
  <c r="AN40" i="8"/>
  <c r="AL42" i="8"/>
  <c r="AT42" i="8"/>
  <c r="AS59" i="8"/>
  <c r="AK59" i="8"/>
  <c r="AT51" i="8"/>
  <c r="AL51" i="8"/>
  <c r="AV32" i="8"/>
  <c r="AN32" i="8"/>
  <c r="AS31" i="8"/>
  <c r="AK31" i="8"/>
  <c r="AK38" i="8"/>
  <c r="AS38" i="8"/>
  <c r="AN40" i="13"/>
  <c r="AV40" i="13"/>
  <c r="AJ21" i="13"/>
  <c r="AR21" i="13"/>
  <c r="AT27" i="13"/>
  <c r="AL27" i="13"/>
  <c r="AV55" i="13"/>
  <c r="AN55" i="13"/>
  <c r="AO22" i="13"/>
  <c r="AW22" i="13"/>
  <c r="AL21" i="13"/>
  <c r="AT21" i="13"/>
  <c r="AJ32" i="13"/>
  <c r="AR32" i="13"/>
  <c r="AR14" i="13"/>
  <c r="AJ14" i="13"/>
  <c r="AW23" i="13"/>
  <c r="AO23" i="13"/>
  <c r="AL17" i="13"/>
  <c r="AT17" i="13"/>
  <c r="AQ22" i="13"/>
  <c r="AI22" i="13"/>
  <c r="AW18" i="13"/>
  <c r="AO18" i="13"/>
  <c r="AJ17" i="13"/>
  <c r="AR17" i="13"/>
  <c r="AR52" i="13"/>
  <c r="AJ52" i="13"/>
  <c r="AJ22" i="13"/>
  <c r="AR22" i="13"/>
  <c r="AN46" i="13"/>
  <c r="AV46" i="13"/>
  <c r="AT22" i="13"/>
  <c r="AL22" i="13"/>
  <c r="AN31" i="13"/>
  <c r="AV31" i="13"/>
  <c r="AN19" i="13"/>
  <c r="AV19" i="13"/>
  <c r="AU50" i="13"/>
  <c r="AM50" i="13"/>
  <c r="AI46" i="13"/>
  <c r="AQ46" i="13"/>
  <c r="AQ14" i="13"/>
  <c r="AI14" i="13"/>
  <c r="AW56" i="13"/>
  <c r="AO56" i="13"/>
  <c r="AQ19" i="13"/>
  <c r="AI19" i="13"/>
  <c r="AT14" i="13"/>
  <c r="AT61" i="13" s="1"/>
  <c r="AL14" i="13"/>
  <c r="AS57" i="13"/>
  <c r="AK57" i="13"/>
  <c r="AO50" i="13"/>
  <c r="AW50" i="13"/>
  <c r="AO49" i="13"/>
  <c r="AW49" i="13"/>
  <c r="AW58" i="13"/>
  <c r="AO58" i="13"/>
  <c r="AU33" i="13"/>
  <c r="AM33" i="13"/>
  <c r="AK38" i="13"/>
  <c r="AS38" i="13"/>
  <c r="AM58" i="13"/>
  <c r="AU58" i="13"/>
  <c r="AO46" i="13"/>
  <c r="AW46" i="13"/>
  <c r="AL52" i="13"/>
  <c r="AT52" i="13"/>
  <c r="AK50" i="13"/>
  <c r="AS50" i="13"/>
  <c r="AR54" i="13"/>
  <c r="AJ54" i="13"/>
  <c r="AQ24" i="13"/>
  <c r="AI24" i="13"/>
  <c r="AN26" i="13"/>
  <c r="AV26" i="13"/>
  <c r="AK37" i="13"/>
  <c r="AS37" i="13"/>
  <c r="AJ20" i="13"/>
  <c r="AR20" i="13"/>
  <c r="AV59" i="13"/>
  <c r="AN59" i="13"/>
  <c r="AV46" i="11"/>
  <c r="AN46" i="11"/>
  <c r="AO27" i="11"/>
  <c r="AW27" i="11"/>
  <c r="AV38" i="11"/>
  <c r="AN38" i="11"/>
  <c r="AM21" i="11"/>
  <c r="AU21" i="11"/>
  <c r="AR29" i="11"/>
  <c r="AJ29" i="11"/>
  <c r="AW15" i="11"/>
  <c r="AO15" i="11"/>
  <c r="AI20" i="11"/>
  <c r="AQ20" i="11"/>
  <c r="AU58" i="11"/>
  <c r="AM58" i="11"/>
  <c r="AR22" i="11"/>
  <c r="AJ22" i="11"/>
  <c r="AL57" i="11"/>
  <c r="AT57" i="11"/>
  <c r="AS14" i="11"/>
  <c r="AK14" i="11"/>
  <c r="AM41" i="11"/>
  <c r="AU41" i="11"/>
  <c r="AI47" i="11"/>
  <c r="AQ47" i="11"/>
  <c r="AI31" i="11"/>
  <c r="AQ31" i="11"/>
  <c r="AV45" i="11"/>
  <c r="AN45" i="11"/>
  <c r="AV30" i="11"/>
  <c r="AN30" i="11"/>
  <c r="AV59" i="11"/>
  <c r="AN59" i="11"/>
  <c r="AK39" i="11"/>
  <c r="AS39" i="11"/>
  <c r="AV23" i="11"/>
  <c r="AN23" i="11"/>
  <c r="AK15" i="11"/>
  <c r="AS65" i="11" s="1"/>
  <c r="AS15" i="11"/>
  <c r="AU44" i="11"/>
  <c r="AM44" i="11"/>
  <c r="AR39" i="11"/>
  <c r="AJ39" i="11"/>
  <c r="AK38" i="11"/>
  <c r="AS38" i="11"/>
  <c r="AJ53" i="11"/>
  <c r="AR53" i="11"/>
  <c r="AO43" i="11"/>
  <c r="AW43" i="11"/>
  <c r="AU57" i="11"/>
  <c r="AM57" i="11"/>
  <c r="AV17" i="11"/>
  <c r="AN17" i="11"/>
  <c r="AT54" i="11"/>
  <c r="AL54" i="11"/>
  <c r="AM45" i="11"/>
  <c r="AU45" i="11"/>
  <c r="AR20" i="11"/>
  <c r="AJ20" i="11"/>
  <c r="AN27" i="11"/>
  <c r="AV27" i="11"/>
  <c r="AJ40" i="11"/>
  <c r="AR40" i="11"/>
  <c r="AW45" i="11"/>
  <c r="AO45" i="11"/>
  <c r="AR16" i="11"/>
  <c r="AJ16" i="11"/>
  <c r="AW21" i="11"/>
  <c r="AO21" i="11"/>
  <c r="AN44" i="11"/>
  <c r="AV44" i="11"/>
  <c r="AU19" i="11"/>
  <c r="AM19" i="11"/>
  <c r="AI16" i="11"/>
  <c r="AQ16" i="11"/>
  <c r="AK37" i="11"/>
  <c r="AS37" i="11"/>
  <c r="AO37" i="11"/>
  <c r="AW37" i="11"/>
  <c r="AL40" i="11"/>
  <c r="AT40" i="11"/>
  <c r="AQ19" i="12"/>
  <c r="AI19" i="12"/>
  <c r="AM31" i="12"/>
  <c r="AU31" i="12"/>
  <c r="AR41" i="12"/>
  <c r="AJ41" i="12"/>
  <c r="AK57" i="12"/>
  <c r="AS57" i="12"/>
  <c r="AN54" i="12"/>
  <c r="AV54" i="12"/>
  <c r="AV38" i="12"/>
  <c r="AN38" i="12"/>
  <c r="AM39" i="12"/>
  <c r="AU39" i="12"/>
  <c r="AR31" i="12"/>
  <c r="AJ31" i="12"/>
  <c r="AV16" i="12"/>
  <c r="AN16" i="12"/>
  <c r="AQ53" i="12"/>
  <c r="AI53" i="12"/>
  <c r="AK15" i="12"/>
  <c r="AS15" i="12"/>
  <c r="BE52" i="16"/>
  <c r="AY48" i="16"/>
  <c r="BC17" i="16"/>
  <c r="BE53" i="16"/>
  <c r="AV20" i="16"/>
  <c r="BC22" i="16"/>
  <c r="AQ27" i="16"/>
  <c r="AQ70" i="16" s="1"/>
  <c r="BA41" i="16"/>
  <c r="AW60" i="16"/>
  <c r="BC53" i="16"/>
  <c r="AV58" i="16"/>
  <c r="AS21" i="16"/>
  <c r="AZ49" i="16"/>
  <c r="AO53" i="8"/>
  <c r="AW53" i="8"/>
  <c r="AK20" i="8"/>
  <c r="AS20" i="8"/>
  <c r="AK32" i="8"/>
  <c r="AS32" i="8"/>
  <c r="AO40" i="8"/>
  <c r="AW40" i="8"/>
  <c r="AQ37" i="8"/>
  <c r="AI37" i="8"/>
  <c r="AT56" i="8"/>
  <c r="AL56" i="8"/>
  <c r="AV48" i="8"/>
  <c r="AN48" i="8"/>
  <c r="AU50" i="8"/>
  <c r="AM50" i="8"/>
  <c r="AW33" i="13"/>
  <c r="AO33" i="13"/>
  <c r="AT59" i="13"/>
  <c r="AL59" i="13"/>
  <c r="AJ41" i="13"/>
  <c r="AR41" i="13"/>
  <c r="AQ49" i="13"/>
  <c r="AI49" i="13"/>
  <c r="AU52" i="13"/>
  <c r="AM52" i="13"/>
  <c r="AQ40" i="13"/>
  <c r="AI40" i="13"/>
  <c r="AU23" i="13"/>
  <c r="AM23" i="13"/>
  <c r="AW55" i="13"/>
  <c r="AO55" i="13"/>
  <c r="AS47" i="13"/>
  <c r="AK47" i="13"/>
  <c r="AU55" i="11"/>
  <c r="AM55" i="11"/>
  <c r="AI54" i="11"/>
  <c r="AQ54" i="11"/>
  <c r="AK25" i="11"/>
  <c r="AS25" i="11"/>
  <c r="AR17" i="11"/>
  <c r="AJ17" i="11"/>
  <c r="AV26" i="11"/>
  <c r="AN26" i="11"/>
  <c r="AL47" i="11"/>
  <c r="AT47" i="11"/>
  <c r="AO59" i="11"/>
  <c r="AW59" i="11"/>
  <c r="AS46" i="11"/>
  <c r="AK46" i="11"/>
  <c r="AI15" i="11"/>
  <c r="AQ15" i="11"/>
  <c r="AW24" i="11"/>
  <c r="AO24" i="11"/>
  <c r="AN23" i="12"/>
  <c r="AV23" i="12"/>
  <c r="BA27" i="16"/>
  <c r="AZ19" i="16"/>
  <c r="AW21" i="16"/>
  <c r="AM19" i="8"/>
  <c r="AU19" i="8"/>
  <c r="AI46" i="8"/>
  <c r="AQ46" i="8"/>
  <c r="AS15" i="8"/>
  <c r="AK15" i="8"/>
  <c r="AO24" i="8"/>
  <c r="AW24" i="8"/>
  <c r="AW58" i="8"/>
  <c r="AO58" i="8"/>
  <c r="AK53" i="8"/>
  <c r="AS53" i="8"/>
  <c r="AJ14" i="8"/>
  <c r="T10" i="8"/>
  <c r="AR14" i="8"/>
  <c r="AR62" i="8" s="1"/>
  <c r="L61" i="8"/>
  <c r="AL36" i="8"/>
  <c r="AT36" i="8"/>
  <c r="AQ31" i="8"/>
  <c r="AI31" i="8"/>
  <c r="AW38" i="8"/>
  <c r="AO38" i="8"/>
  <c r="AQ35" i="8"/>
  <c r="AI35" i="8"/>
  <c r="AU43" i="8"/>
  <c r="AM43" i="8"/>
  <c r="AQ27" i="8"/>
  <c r="AI27" i="8"/>
  <c r="AJ20" i="8"/>
  <c r="AR20" i="8"/>
  <c r="AQ16" i="8"/>
  <c r="AI16" i="8"/>
  <c r="AT20" i="8"/>
  <c r="AL20" i="8"/>
  <c r="AU25" i="8"/>
  <c r="AM25" i="8"/>
  <c r="AW39" i="8"/>
  <c r="AO39" i="8"/>
  <c r="AO54" i="8"/>
  <c r="AW54" i="8"/>
  <c r="AV22" i="8"/>
  <c r="AN22" i="8"/>
  <c r="AT34" i="8"/>
  <c r="AL34" i="8"/>
  <c r="AU22" i="8"/>
  <c r="AM22" i="8"/>
  <c r="AK19" i="8"/>
  <c r="AS19" i="8"/>
  <c r="AM56" i="8"/>
  <c r="AU56" i="8"/>
  <c r="AN38" i="8"/>
  <c r="AV38" i="8"/>
  <c r="AL14" i="8"/>
  <c r="AT14" i="8"/>
  <c r="AV17" i="13"/>
  <c r="AN17" i="13"/>
  <c r="AK14" i="13"/>
  <c r="AS14" i="13"/>
  <c r="AL43" i="13"/>
  <c r="AT43" i="13"/>
  <c r="AI16" i="13"/>
  <c r="AQ16" i="13"/>
  <c r="AK23" i="13"/>
  <c r="AS23" i="13"/>
  <c r="AJ33" i="13"/>
  <c r="AR33" i="13"/>
  <c r="AR16" i="13"/>
  <c r="AJ16" i="13"/>
  <c r="AJ45" i="13"/>
  <c r="AR45" i="13"/>
  <c r="AI34" i="13"/>
  <c r="AQ34" i="13"/>
  <c r="AN37" i="13"/>
  <c r="AV37" i="13"/>
  <c r="AV38" i="13"/>
  <c r="AN38" i="13"/>
  <c r="AV41" i="13"/>
  <c r="AN41" i="13"/>
  <c r="AL30" i="13"/>
  <c r="AT30" i="13"/>
  <c r="AJ60" i="13"/>
  <c r="AR60" i="13"/>
  <c r="AU20" i="13"/>
  <c r="AM20" i="13"/>
  <c r="AN33" i="13"/>
  <c r="AV33" i="13"/>
  <c r="AK59" i="13"/>
  <c r="AS59" i="13"/>
  <c r="AJ38" i="13"/>
  <c r="AR38" i="13"/>
  <c r="AK51" i="13"/>
  <c r="AS51" i="13"/>
  <c r="AO27" i="13"/>
  <c r="AW27" i="13"/>
  <c r="AK56" i="13"/>
  <c r="AS56" i="13"/>
  <c r="AI50" i="13"/>
  <c r="AQ50" i="13"/>
  <c r="AV30" i="13"/>
  <c r="AN30" i="13"/>
  <c r="AK58" i="13"/>
  <c r="AS58" i="13"/>
  <c r="AI39" i="13"/>
  <c r="AQ39" i="13"/>
  <c r="AK39" i="13"/>
  <c r="AS39" i="13"/>
  <c r="AI42" i="13"/>
  <c r="AQ42" i="13"/>
  <c r="AL36" i="13"/>
  <c r="AT36" i="13"/>
  <c r="AQ47" i="13"/>
  <c r="AI47" i="13"/>
  <c r="AI48" i="13"/>
  <c r="AQ48" i="13"/>
  <c r="AW54" i="13"/>
  <c r="AO54" i="13"/>
  <c r="AN39" i="13"/>
  <c r="AV39" i="13"/>
  <c r="AI45" i="13"/>
  <c r="AQ45" i="13"/>
  <c r="AJ19" i="13"/>
  <c r="AR19" i="13"/>
  <c r="AU39" i="13"/>
  <c r="AM39" i="13"/>
  <c r="AU40" i="13"/>
  <c r="AM40" i="13"/>
  <c r="AS36" i="13"/>
  <c r="AK36" i="13"/>
  <c r="AT42" i="13"/>
  <c r="AL42" i="13"/>
  <c r="AR58" i="13"/>
  <c r="AJ58" i="13"/>
  <c r="AI26" i="13"/>
  <c r="AQ26" i="13"/>
  <c r="AW14" i="13"/>
  <c r="AO14" i="13"/>
  <c r="AT38" i="13"/>
  <c r="AL38" i="13"/>
  <c r="AT13" i="11"/>
  <c r="N61" i="11"/>
  <c r="AL13" i="11"/>
  <c r="V10" i="11"/>
  <c r="AO31" i="11"/>
  <c r="AW31" i="11"/>
  <c r="AR45" i="11"/>
  <c r="AJ45" i="11"/>
  <c r="AN43" i="11"/>
  <c r="AV43" i="11"/>
  <c r="AK27" i="11"/>
  <c r="AS27" i="11"/>
  <c r="AO38" i="11"/>
  <c r="AW38" i="11"/>
  <c r="AL35" i="11"/>
  <c r="AT35" i="11"/>
  <c r="AU42" i="11"/>
  <c r="AM42" i="11"/>
  <c r="AQ26" i="11"/>
  <c r="AI26" i="11"/>
  <c r="AL44" i="11"/>
  <c r="AT44" i="11"/>
  <c r="AM31" i="11"/>
  <c r="AU31" i="11"/>
  <c r="AS41" i="11"/>
  <c r="AK41" i="11"/>
  <c r="AJ42" i="11"/>
  <c r="AR42" i="11"/>
  <c r="AM26" i="11"/>
  <c r="AU26" i="11"/>
  <c r="AR44" i="11"/>
  <c r="AJ44" i="11"/>
  <c r="AR56" i="11"/>
  <c r="AJ56" i="11"/>
  <c r="AS28" i="11"/>
  <c r="AK28" i="11"/>
  <c r="AM33" i="11"/>
  <c r="AU33" i="11"/>
  <c r="AM50" i="11"/>
  <c r="AU50" i="11"/>
  <c r="AI45" i="11"/>
  <c r="AQ45" i="11"/>
  <c r="AQ34" i="11"/>
  <c r="AI34" i="11"/>
  <c r="AI37" i="11"/>
  <c r="AQ37" i="11"/>
  <c r="AT28" i="11"/>
  <c r="AL28" i="11"/>
  <c r="AW26" i="11"/>
  <c r="AO26" i="11"/>
  <c r="AN58" i="11"/>
  <c r="AV58" i="11"/>
  <c r="AO39" i="11"/>
  <c r="AW39" i="11"/>
  <c r="AR28" i="11"/>
  <c r="AJ28" i="11"/>
  <c r="AT32" i="11"/>
  <c r="AL32" i="11"/>
  <c r="AW48" i="11"/>
  <c r="AO48" i="11"/>
  <c r="AQ29" i="11"/>
  <c r="AI29" i="11"/>
  <c r="AO34" i="11"/>
  <c r="AW34" i="11"/>
  <c r="AS35" i="11"/>
  <c r="AK35" i="11"/>
  <c r="AR27" i="11"/>
  <c r="AJ27" i="11"/>
  <c r="AS60" i="11"/>
  <c r="AK60" i="11"/>
  <c r="AQ52" i="11"/>
  <c r="AI52" i="11"/>
  <c r="AI32" i="11"/>
  <c r="AQ32" i="11"/>
  <c r="AR34" i="11"/>
  <c r="AJ34" i="11"/>
  <c r="AL26" i="11"/>
  <c r="AT26" i="11"/>
  <c r="AK31" i="11"/>
  <c r="AS31" i="11"/>
  <c r="AW40" i="11"/>
  <c r="AO40" i="11"/>
  <c r="AN54" i="11"/>
  <c r="AV54" i="11"/>
  <c r="AW53" i="12"/>
  <c r="AO53" i="12"/>
  <c r="AJ24" i="12"/>
  <c r="AR24" i="12"/>
  <c r="AS59" i="12"/>
  <c r="AK59" i="12"/>
  <c r="AW43" i="12"/>
  <c r="AO43" i="12"/>
  <c r="AV21" i="12"/>
  <c r="AN21" i="12"/>
  <c r="AM56" i="12"/>
  <c r="AU56" i="12"/>
  <c r="AO50" i="12"/>
  <c r="AW50" i="12"/>
  <c r="AM47" i="12"/>
  <c r="AU47" i="12"/>
  <c r="AO30" i="12"/>
  <c r="AW30" i="12"/>
  <c r="AW23" i="12"/>
  <c r="AO23" i="12"/>
  <c r="AT54" i="12"/>
  <c r="AL54" i="12"/>
  <c r="BD48" i="16"/>
  <c r="AY44" i="16"/>
  <c r="AU48" i="16"/>
  <c r="AY59" i="16"/>
  <c r="AR14" i="16"/>
  <c r="BD26" i="16"/>
  <c r="AS30" i="16"/>
  <c r="AT17" i="16"/>
  <c r="AR22" i="16"/>
  <c r="AV47" i="8"/>
  <c r="AN47" i="8"/>
  <c r="AV18" i="8"/>
  <c r="AN18" i="8"/>
  <c r="AV49" i="8"/>
  <c r="AN49" i="8"/>
  <c r="AJ23" i="8"/>
  <c r="AR23" i="8"/>
  <c r="AI54" i="8"/>
  <c r="AQ54" i="8"/>
  <c r="AN50" i="8"/>
  <c r="AV50" i="8"/>
  <c r="AQ47" i="8"/>
  <c r="AI47" i="8"/>
  <c r="AT40" i="8"/>
  <c r="AL40" i="8"/>
  <c r="AL35" i="8"/>
  <c r="AT35" i="8"/>
  <c r="AT41" i="13"/>
  <c r="AL41" i="13"/>
  <c r="AL45" i="13"/>
  <c r="AT45" i="13"/>
  <c r="AN54" i="13"/>
  <c r="AV54" i="13"/>
  <c r="AR53" i="13"/>
  <c r="AJ53" i="13"/>
  <c r="AO28" i="13"/>
  <c r="AW28" i="13"/>
  <c r="AI30" i="13"/>
  <c r="AQ30" i="13"/>
  <c r="AI54" i="13"/>
  <c r="AQ54" i="13"/>
  <c r="AJ43" i="13"/>
  <c r="AR43" i="13"/>
  <c r="AL15" i="13"/>
  <c r="AT15" i="13"/>
  <c r="AS53" i="13"/>
  <c r="AK53" i="13"/>
  <c r="AW37" i="13"/>
  <c r="AO37" i="13"/>
  <c r="AQ17" i="11"/>
  <c r="AI17" i="11"/>
  <c r="AW56" i="11"/>
  <c r="AO56" i="11"/>
  <c r="AU47" i="11"/>
  <c r="AM47" i="11"/>
  <c r="AS43" i="11"/>
  <c r="AK43" i="11"/>
  <c r="AK21" i="11"/>
  <c r="AS21" i="11"/>
  <c r="AW22" i="11"/>
  <c r="AO22" i="11"/>
  <c r="AI30" i="11"/>
  <c r="AQ30" i="11"/>
  <c r="AL45" i="11"/>
  <c r="AT45" i="11"/>
  <c r="AM39" i="11"/>
  <c r="AU39" i="11"/>
  <c r="AW50" i="11"/>
  <c r="AO50" i="11"/>
  <c r="AI39" i="11"/>
  <c r="AQ39" i="11"/>
  <c r="AW57" i="11"/>
  <c r="AO57" i="11"/>
  <c r="AS50" i="12"/>
  <c r="AK50" i="12"/>
  <c r="AL24" i="12"/>
  <c r="AT24" i="12"/>
  <c r="AN20" i="12"/>
  <c r="AV20" i="12"/>
  <c r="AO49" i="12"/>
  <c r="AW49" i="12"/>
  <c r="AT58" i="16"/>
  <c r="AY41" i="16"/>
  <c r="AT29" i="16"/>
  <c r="AR57" i="16"/>
  <c r="AI23" i="8"/>
  <c r="AQ23" i="8"/>
  <c r="AV35" i="8"/>
  <c r="AN35" i="8"/>
  <c r="AK36" i="8"/>
  <c r="AS36" i="8"/>
  <c r="AK23" i="8"/>
  <c r="AS23" i="8"/>
  <c r="AN15" i="8"/>
  <c r="AV15" i="8"/>
  <c r="AU44" i="8"/>
  <c r="AM44" i="8"/>
  <c r="AV28" i="8"/>
  <c r="AN28" i="8"/>
  <c r="AQ34" i="8"/>
  <c r="AI34" i="8"/>
  <c r="AI56" i="8"/>
  <c r="AQ56" i="8"/>
  <c r="AR30" i="8"/>
  <c r="AJ30" i="8"/>
  <c r="AN45" i="8"/>
  <c r="AV45" i="8"/>
  <c r="AW46" i="8"/>
  <c r="AO46" i="8"/>
  <c r="AO31" i="8"/>
  <c r="AW31" i="8"/>
  <c r="AR24" i="8"/>
  <c r="AJ24" i="8"/>
  <c r="AV25" i="8"/>
  <c r="AN25" i="8"/>
  <c r="AI32" i="8"/>
  <c r="AQ32" i="8"/>
  <c r="AO36" i="8"/>
  <c r="AW36" i="8"/>
  <c r="AK60" i="8"/>
  <c r="AS60" i="8"/>
  <c r="AI59" i="8"/>
  <c r="AQ59" i="8"/>
  <c r="Q61" i="8"/>
  <c r="AO13" i="8"/>
  <c r="AW13" i="8"/>
  <c r="Y10" i="8"/>
  <c r="AW33" i="8"/>
  <c r="AO33" i="8"/>
  <c r="AM39" i="8"/>
  <c r="AU39" i="8"/>
  <c r="AU62" i="8" s="1"/>
  <c r="AK37" i="8"/>
  <c r="AS37" i="8"/>
  <c r="AI53" i="8"/>
  <c r="AQ53" i="8"/>
  <c r="AR31" i="8"/>
  <c r="AJ31" i="8"/>
  <c r="AU52" i="8"/>
  <c r="AM52" i="8"/>
  <c r="AI49" i="8"/>
  <c r="AQ49" i="8"/>
  <c r="AU24" i="8"/>
  <c r="AM24" i="8"/>
  <c r="AN46" i="8"/>
  <c r="AV46" i="8"/>
  <c r="AI33" i="8"/>
  <c r="AQ33" i="8"/>
  <c r="AL60" i="8"/>
  <c r="AT60" i="8"/>
  <c r="AV34" i="8"/>
  <c r="AN34" i="8"/>
  <c r="AL37" i="8"/>
  <c r="AT37" i="8"/>
  <c r="AN60" i="8"/>
  <c r="AV60" i="8"/>
  <c r="AL16" i="8"/>
  <c r="AT16" i="8"/>
  <c r="AT53" i="8"/>
  <c r="AL53" i="8"/>
  <c r="AI60" i="8"/>
  <c r="AQ60" i="8"/>
  <c r="AJ45" i="8"/>
  <c r="AR45" i="8"/>
  <c r="AI36" i="8"/>
  <c r="AQ36" i="8"/>
  <c r="AS29" i="8"/>
  <c r="AK29" i="8"/>
  <c r="AO28" i="8"/>
  <c r="AW28" i="8"/>
  <c r="AQ18" i="8"/>
  <c r="AI18" i="8"/>
  <c r="AU60" i="8"/>
  <c r="AM60" i="8"/>
  <c r="AM53" i="8"/>
  <c r="AU53" i="8"/>
  <c r="AW14" i="8"/>
  <c r="AO14" i="8"/>
  <c r="AS55" i="8"/>
  <c r="AK55" i="8"/>
  <c r="AS25" i="8"/>
  <c r="AK25" i="8"/>
  <c r="AK48" i="8"/>
  <c r="AS48" i="8"/>
  <c r="AO49" i="8"/>
  <c r="AW49" i="8"/>
  <c r="AO16" i="8"/>
  <c r="AW16" i="8"/>
  <c r="AR21" i="8"/>
  <c r="AJ21" i="8"/>
  <c r="AN37" i="8"/>
  <c r="AV37" i="8"/>
  <c r="AV41" i="8"/>
  <c r="AN41" i="8"/>
  <c r="AR16" i="8"/>
  <c r="AJ16" i="8"/>
  <c r="AI19" i="8"/>
  <c r="AQ19" i="8"/>
  <c r="AO37" i="8"/>
  <c r="AW37" i="8"/>
  <c r="AS30" i="8"/>
  <c r="AK30" i="8"/>
  <c r="AN57" i="8"/>
  <c r="AV57" i="8"/>
  <c r="AJ27" i="8"/>
  <c r="AR27" i="8"/>
  <c r="AV59" i="8"/>
  <c r="AN59" i="8"/>
  <c r="AQ17" i="8"/>
  <c r="AI17" i="8"/>
  <c r="AJ58" i="8"/>
  <c r="AR58" i="8"/>
  <c r="AS39" i="8"/>
  <c r="AK39" i="8"/>
  <c r="AQ26" i="8"/>
  <c r="AI26" i="8"/>
  <c r="AR51" i="8"/>
  <c r="AJ51" i="8"/>
  <c r="AN22" i="13"/>
  <c r="AV22" i="13"/>
  <c r="AQ17" i="13"/>
  <c r="AI17" i="13"/>
  <c r="AQ37" i="13"/>
  <c r="AI37" i="13"/>
  <c r="AN49" i="13"/>
  <c r="AV49" i="13"/>
  <c r="AM17" i="13"/>
  <c r="AU17" i="13"/>
  <c r="AS43" i="13"/>
  <c r="AK43" i="13"/>
  <c r="AU32" i="13"/>
  <c r="AM32" i="13"/>
  <c r="AV53" i="13"/>
  <c r="AN53" i="13"/>
  <c r="AL18" i="13"/>
  <c r="AT18" i="13"/>
  <c r="AU14" i="13"/>
  <c r="AM14" i="13"/>
  <c r="AS54" i="13"/>
  <c r="AK54" i="13"/>
  <c r="AW34" i="13"/>
  <c r="AO34" i="13"/>
  <c r="AK42" i="13"/>
  <c r="AS42" i="13"/>
  <c r="AS15" i="13"/>
  <c r="AK15" i="13"/>
  <c r="AI29" i="13"/>
  <c r="AQ29" i="13"/>
  <c r="AJ13" i="13"/>
  <c r="L61" i="13"/>
  <c r="T10" i="13"/>
  <c r="AR13" i="13"/>
  <c r="AR61" i="13" s="1"/>
  <c r="AN56" i="13"/>
  <c r="AV56" i="13"/>
  <c r="AQ43" i="13"/>
  <c r="AI43" i="13"/>
  <c r="AO48" i="13"/>
  <c r="AW48" i="13"/>
  <c r="AW40" i="13"/>
  <c r="AO40" i="13"/>
  <c r="AW41" i="13"/>
  <c r="AO41" i="13"/>
  <c r="AW16" i="13"/>
  <c r="AO16" i="13"/>
  <c r="AK16" i="13"/>
  <c r="AS16" i="13"/>
  <c r="AR47" i="13"/>
  <c r="AJ47" i="13"/>
  <c r="AI33" i="13"/>
  <c r="AQ33" i="13"/>
  <c r="AJ42" i="13"/>
  <c r="AR42" i="13"/>
  <c r="AJ35" i="13"/>
  <c r="AR35" i="13"/>
  <c r="AV47" i="13"/>
  <c r="AN47" i="13"/>
  <c r="AU45" i="13"/>
  <c r="AM45" i="13"/>
  <c r="AI25" i="13"/>
  <c r="AQ25" i="13"/>
  <c r="AS22" i="13"/>
  <c r="AK22" i="13"/>
  <c r="AT35" i="13"/>
  <c r="AL35" i="13"/>
  <c r="AV24" i="13"/>
  <c r="AN24" i="13"/>
  <c r="AR55" i="13"/>
  <c r="AJ55" i="13"/>
  <c r="AQ57" i="13"/>
  <c r="AI57" i="13"/>
  <c r="AV23" i="13"/>
  <c r="AN23" i="13"/>
  <c r="AM26" i="13"/>
  <c r="AU26" i="13"/>
  <c r="AU48" i="13"/>
  <c r="AM48" i="13"/>
  <c r="AW25" i="13"/>
  <c r="AO25" i="13"/>
  <c r="AS13" i="13"/>
  <c r="M61" i="13"/>
  <c r="M63" i="13" s="1"/>
  <c r="AK13" i="13"/>
  <c r="U10" i="13"/>
  <c r="AW26" i="13"/>
  <c r="AO26" i="13"/>
  <c r="AT31" i="13"/>
  <c r="AL31" i="13"/>
  <c r="AQ48" i="11"/>
  <c r="AI48" i="11"/>
  <c r="O61" i="11"/>
  <c r="AU13" i="11"/>
  <c r="AM13" i="11"/>
  <c r="W10" i="11"/>
  <c r="AN35" i="11"/>
  <c r="AV35" i="11"/>
  <c r="AL60" i="11"/>
  <c r="AT60" i="11"/>
  <c r="AW19" i="11"/>
  <c r="AO19" i="11"/>
  <c r="AO33" i="11"/>
  <c r="AW33" i="11"/>
  <c r="AW42" i="11"/>
  <c r="AO42" i="11"/>
  <c r="AS52" i="11"/>
  <c r="AK52" i="11"/>
  <c r="AR13" i="11"/>
  <c r="AJ13" i="11"/>
  <c r="L61" i="11"/>
  <c r="T10" i="11"/>
  <c r="AQ49" i="11"/>
  <c r="AI49" i="11"/>
  <c r="AM14" i="11"/>
  <c r="AU14" i="11"/>
  <c r="AU62" i="11" s="1"/>
  <c r="AN20" i="11"/>
  <c r="AV20" i="11"/>
  <c r="AK58" i="11"/>
  <c r="AS58" i="11"/>
  <c r="AL37" i="11"/>
  <c r="AT37" i="11"/>
  <c r="AK55" i="11"/>
  <c r="AS55" i="11"/>
  <c r="AU49" i="11"/>
  <c r="AM49" i="11"/>
  <c r="AT49" i="11"/>
  <c r="AL49" i="11"/>
  <c r="AW16" i="11"/>
  <c r="AO16" i="11"/>
  <c r="AW55" i="11"/>
  <c r="AO55" i="11"/>
  <c r="AU36" i="11"/>
  <c r="AM36" i="11"/>
  <c r="AJ14" i="11"/>
  <c r="AR14" i="11"/>
  <c r="AM29" i="11"/>
  <c r="AU29" i="11"/>
  <c r="AJ32" i="11"/>
  <c r="AR32" i="11"/>
  <c r="AR61" i="11" s="1"/>
  <c r="AU43" i="11"/>
  <c r="AM43" i="11"/>
  <c r="AR33" i="11"/>
  <c r="AJ33" i="11"/>
  <c r="AT21" i="11"/>
  <c r="AL21" i="11"/>
  <c r="AL41" i="11"/>
  <c r="AT41" i="11"/>
  <c r="AL56" i="11"/>
  <c r="AT56" i="11"/>
  <c r="AL38" i="11"/>
  <c r="AT38" i="11"/>
  <c r="AR21" i="11"/>
  <c r="AJ21" i="11"/>
  <c r="AN28" i="11"/>
  <c r="AV28" i="11"/>
  <c r="AV62" i="11" s="1"/>
  <c r="AQ36" i="11"/>
  <c r="AI36" i="11"/>
  <c r="AN60" i="11"/>
  <c r="AV60" i="11"/>
  <c r="AS17" i="11"/>
  <c r="AK17" i="11"/>
  <c r="AQ56" i="11"/>
  <c r="AI56" i="11"/>
  <c r="AQ46" i="11"/>
  <c r="AI46" i="11"/>
  <c r="AI14" i="11"/>
  <c r="AQ14" i="11"/>
  <c r="AR19" i="11"/>
  <c r="AJ19" i="11"/>
  <c r="U10" i="11"/>
  <c r="AS13" i="11"/>
  <c r="AS62" i="11" s="1"/>
  <c r="M61" i="11"/>
  <c r="AK13" i="11"/>
  <c r="AS18" i="11"/>
  <c r="AK18" i="11"/>
  <c r="AT42" i="12"/>
  <c r="AL42" i="12"/>
  <c r="AT45" i="12"/>
  <c r="AL45" i="12"/>
  <c r="AU57" i="12"/>
  <c r="AM57" i="12"/>
  <c r="AW27" i="12"/>
  <c r="AO27" i="12"/>
  <c r="AU33" i="12"/>
  <c r="AM33" i="12"/>
  <c r="AM46" i="12"/>
  <c r="AU46" i="12"/>
  <c r="AT15" i="12"/>
  <c r="AL15" i="12"/>
  <c r="AK27" i="12"/>
  <c r="AS27" i="12"/>
  <c r="AU35" i="12"/>
  <c r="AM35" i="12"/>
  <c r="AV44" i="12"/>
  <c r="AN44" i="12"/>
  <c r="AI35" i="12"/>
  <c r="AQ35" i="12"/>
  <c r="BA42" i="16"/>
  <c r="BD24" i="16"/>
  <c r="BD59" i="16"/>
  <c r="BC48" i="16"/>
  <c r="AU19" i="16"/>
  <c r="BD33" i="16"/>
  <c r="BC27" i="16"/>
  <c r="AU36" i="16"/>
  <c r="AQ40" i="16"/>
  <c r="BE34" i="16"/>
  <c r="AR20" i="16"/>
  <c r="BB59" i="16"/>
  <c r="AZ46" i="16"/>
  <c r="AV14" i="8"/>
  <c r="AV62" i="8" s="1"/>
  <c r="AN14" i="8"/>
  <c r="AN54" i="8"/>
  <c r="AV54" i="8"/>
  <c r="AK26" i="8"/>
  <c r="AS26" i="8"/>
  <c r="AO31" i="13"/>
  <c r="AW31" i="13"/>
  <c r="AI38" i="13"/>
  <c r="AQ38" i="13"/>
  <c r="AO57" i="13"/>
  <c r="AW57" i="13"/>
  <c r="AM25" i="13"/>
  <c r="AU25" i="13"/>
  <c r="AU22" i="11"/>
  <c r="AM22" i="11"/>
  <c r="AL17" i="8"/>
  <c r="AT17" i="8"/>
  <c r="AI45" i="8"/>
  <c r="AQ45" i="8"/>
  <c r="AR25" i="8"/>
  <c r="AJ25" i="8"/>
  <c r="AI43" i="8"/>
  <c r="AQ43" i="8"/>
  <c r="AS27" i="8"/>
  <c r="AK27" i="8"/>
  <c r="AK45" i="8"/>
  <c r="AS45" i="8"/>
  <c r="AN52" i="8"/>
  <c r="AV52" i="8"/>
  <c r="AL18" i="8"/>
  <c r="AT18" i="8"/>
  <c r="AQ39" i="8"/>
  <c r="AQ62" i="8" s="1"/>
  <c r="AI39" i="8"/>
  <c r="AQ15" i="8"/>
  <c r="AI15" i="8"/>
  <c r="AS55" i="13"/>
  <c r="AK55" i="13"/>
  <c r="AS46" i="13"/>
  <c r="AK46" i="13"/>
  <c r="AL54" i="13"/>
  <c r="AT54" i="13"/>
  <c r="AR57" i="13"/>
  <c r="AJ57" i="13"/>
  <c r="AQ41" i="13"/>
  <c r="AI41" i="13"/>
  <c r="AL47" i="13"/>
  <c r="AT47" i="13"/>
  <c r="AS25" i="13"/>
  <c r="AK25" i="13"/>
  <c r="AR48" i="13"/>
  <c r="AJ48" i="13"/>
  <c r="AM18" i="13"/>
  <c r="AU18" i="13"/>
  <c r="AW20" i="13"/>
  <c r="AO20" i="13"/>
  <c r="AR28" i="13"/>
  <c r="AJ28" i="13"/>
  <c r="AT50" i="13"/>
  <c r="AL50" i="13"/>
  <c r="AK32" i="13"/>
  <c r="AS32" i="13"/>
  <c r="AO45" i="13"/>
  <c r="AW45" i="13"/>
  <c r="AK52" i="13"/>
  <c r="AS52" i="13"/>
  <c r="AN25" i="13"/>
  <c r="AV25" i="13"/>
  <c r="AU51" i="13"/>
  <c r="AM51" i="13"/>
  <c r="AM47" i="13"/>
  <c r="AU47" i="13"/>
  <c r="AN27" i="13"/>
  <c r="AV27" i="13"/>
  <c r="AW53" i="13"/>
  <c r="AO53" i="13"/>
  <c r="AW47" i="13"/>
  <c r="AO47" i="13"/>
  <c r="AV35" i="13"/>
  <c r="AN35" i="13"/>
  <c r="AM37" i="13"/>
  <c r="AU37" i="13"/>
  <c r="AK34" i="13"/>
  <c r="AS34" i="13"/>
  <c r="AV48" i="13"/>
  <c r="AN48" i="13"/>
  <c r="AI23" i="13"/>
  <c r="AQ23" i="13"/>
  <c r="AU19" i="13"/>
  <c r="AM19" i="13"/>
  <c r="AQ60" i="13"/>
  <c r="AI60" i="13"/>
  <c r="AU31" i="13"/>
  <c r="AM31" i="13"/>
  <c r="AL53" i="13"/>
  <c r="AT53" i="13"/>
  <c r="AT25" i="13"/>
  <c r="AL25" i="13"/>
  <c r="AU36" i="13"/>
  <c r="AM36" i="13"/>
  <c r="AJ36" i="13"/>
  <c r="AR36" i="13"/>
  <c r="AU54" i="13"/>
  <c r="AM54" i="13"/>
  <c r="AO44" i="13"/>
  <c r="AW44" i="13"/>
  <c r="AR37" i="13"/>
  <c r="AJ37" i="13"/>
  <c r="AL51" i="13"/>
  <c r="AT51" i="13"/>
  <c r="AM16" i="13"/>
  <c r="AU16" i="13"/>
  <c r="V10" i="13"/>
  <c r="AT13" i="13"/>
  <c r="N61" i="13"/>
  <c r="AL13" i="13"/>
  <c r="AQ19" i="11"/>
  <c r="AI19" i="11"/>
  <c r="AI40" i="11"/>
  <c r="AQ40" i="11"/>
  <c r="AQ18" i="11"/>
  <c r="AI18" i="11"/>
  <c r="AO46" i="11"/>
  <c r="AW46" i="11"/>
  <c r="Q61" i="11"/>
  <c r="Y10" i="11"/>
  <c r="AO13" i="11"/>
  <c r="AW13" i="11"/>
  <c r="AJ49" i="11"/>
  <c r="AR49" i="11"/>
  <c r="AV33" i="11"/>
  <c r="AN33" i="11"/>
  <c r="AQ33" i="11"/>
  <c r="AI33" i="11"/>
  <c r="AQ21" i="11"/>
  <c r="AI21" i="11"/>
  <c r="AS47" i="11"/>
  <c r="AK47" i="11"/>
  <c r="AV40" i="11"/>
  <c r="AN40" i="11"/>
  <c r="AV55" i="11"/>
  <c r="AN55" i="11"/>
  <c r="AO14" i="11"/>
  <c r="AW14" i="11"/>
  <c r="AL27" i="11"/>
  <c r="AT27" i="11"/>
  <c r="AU27" i="11"/>
  <c r="AM27" i="11"/>
  <c r="AJ48" i="11"/>
  <c r="AR48" i="11"/>
  <c r="AO41" i="11"/>
  <c r="AW41" i="11"/>
  <c r="AQ58" i="11"/>
  <c r="AI58" i="11"/>
  <c r="AR37" i="11"/>
  <c r="AJ37" i="11"/>
  <c r="AN22" i="11"/>
  <c r="AV22" i="11"/>
  <c r="AR60" i="11"/>
  <c r="AJ60" i="11"/>
  <c r="AM16" i="11"/>
  <c r="AU16" i="11"/>
  <c r="AK32" i="11"/>
  <c r="AS32" i="11"/>
  <c r="AR55" i="11"/>
  <c r="AJ55" i="11"/>
  <c r="AL14" i="11"/>
  <c r="AT14" i="11"/>
  <c r="AN39" i="11"/>
  <c r="AV39" i="11"/>
  <c r="AS48" i="11"/>
  <c r="AK48" i="11"/>
  <c r="AR58" i="11"/>
  <c r="AJ58" i="11"/>
  <c r="AR35" i="11"/>
  <c r="AJ35" i="11"/>
  <c r="AW47" i="11"/>
  <c r="AO47" i="11"/>
  <c r="AJ54" i="11"/>
  <c r="AR54" i="11"/>
  <c r="AU52" i="11"/>
  <c r="AM52" i="11"/>
  <c r="AT17" i="11"/>
  <c r="AL17" i="11"/>
  <c r="AK54" i="11"/>
  <c r="AS54" i="11"/>
  <c r="AK40" i="11"/>
  <c r="AS40" i="11"/>
  <c r="AT52" i="11"/>
  <c r="AL52" i="11"/>
  <c r="AQ22" i="11"/>
  <c r="AI22" i="11"/>
  <c r="AW23" i="11"/>
  <c r="AO23" i="11"/>
  <c r="AV41" i="11"/>
  <c r="AN41" i="11"/>
  <c r="AR41" i="11"/>
  <c r="AJ41" i="11"/>
  <c r="AL55" i="12"/>
  <c r="AT55" i="12"/>
  <c r="AW18" i="12"/>
  <c r="AW61" i="12" s="1"/>
  <c r="AO18" i="12"/>
  <c r="AL44" i="12"/>
  <c r="AT44" i="12"/>
  <c r="AW47" i="12"/>
  <c r="AO47" i="12"/>
  <c r="AW24" i="12"/>
  <c r="AO24" i="12"/>
  <c r="AM45" i="12"/>
  <c r="AU45" i="12"/>
  <c r="AU41" i="12"/>
  <c r="AM41" i="12"/>
  <c r="AL49" i="12"/>
  <c r="AT49" i="12"/>
  <c r="AJ52" i="12"/>
  <c r="AR52" i="12"/>
  <c r="AS49" i="12"/>
  <c r="AK49" i="12"/>
  <c r="S10" i="12"/>
  <c r="K61" i="12"/>
  <c r="AI13" i="12"/>
  <c r="AQ13" i="12"/>
  <c r="BA53" i="16"/>
  <c r="BD46" i="16"/>
  <c r="AV17" i="16"/>
  <c r="BA35" i="16"/>
  <c r="AU33" i="16"/>
  <c r="AQ15" i="16"/>
  <c r="AZ60" i="16"/>
  <c r="AR21" i="16"/>
  <c r="BE51" i="16"/>
  <c r="AN19" i="8"/>
  <c r="AV19" i="8"/>
  <c r="AL45" i="8"/>
  <c r="AT45" i="8"/>
  <c r="AS47" i="8"/>
  <c r="AK47" i="8"/>
  <c r="AJ42" i="8"/>
  <c r="AR42" i="8"/>
  <c r="AR49" i="8"/>
  <c r="AJ49" i="8"/>
  <c r="AK60" i="13"/>
  <c r="AS60" i="13"/>
  <c r="AT58" i="13"/>
  <c r="AL58" i="13"/>
  <c r="AN58" i="13"/>
  <c r="AV58" i="13"/>
  <c r="AV50" i="13"/>
  <c r="AN50" i="13"/>
  <c r="AK33" i="11"/>
  <c r="AS33" i="11"/>
  <c r="AM18" i="8"/>
  <c r="AU18" i="8"/>
  <c r="AM26" i="8"/>
  <c r="AU26" i="8"/>
  <c r="AW21" i="8"/>
  <c r="AO21" i="8"/>
  <c r="AJ35" i="8"/>
  <c r="AR35" i="8"/>
  <c r="AW27" i="8"/>
  <c r="AO27" i="8"/>
  <c r="AM16" i="8"/>
  <c r="AU16" i="8"/>
  <c r="AL24" i="13"/>
  <c r="AT24" i="13"/>
  <c r="AT28" i="8"/>
  <c r="AL28" i="8"/>
  <c r="AR47" i="8"/>
  <c r="AJ47" i="8"/>
  <c r="AL21" i="8"/>
  <c r="AT21" i="8"/>
  <c r="AL50" i="8"/>
  <c r="AT50" i="8"/>
  <c r="AQ20" i="8"/>
  <c r="AI20" i="8"/>
  <c r="AL59" i="8"/>
  <c r="AT59" i="8"/>
  <c r="AR53" i="8"/>
  <c r="AJ53" i="8"/>
  <c r="AK17" i="8"/>
  <c r="AS17" i="8"/>
  <c r="AS62" i="8" s="1"/>
  <c r="AK24" i="8"/>
  <c r="AS24" i="8"/>
  <c r="AQ27" i="13"/>
  <c r="AI27" i="13"/>
  <c r="AR25" i="13"/>
  <c r="AJ25" i="13"/>
  <c r="AT46" i="13"/>
  <c r="AL46" i="13"/>
  <c r="AT28" i="13"/>
  <c r="AL28" i="13"/>
  <c r="AI59" i="13"/>
  <c r="AQ59" i="13"/>
  <c r="AN13" i="13"/>
  <c r="P61" i="13"/>
  <c r="X10" i="13"/>
  <c r="AV13" i="13"/>
  <c r="AS19" i="13"/>
  <c r="AK19" i="13"/>
  <c r="AV42" i="13"/>
  <c r="AN42" i="13"/>
  <c r="AL29" i="13"/>
  <c r="AT29" i="13"/>
  <c r="AO29" i="13"/>
  <c r="AW29" i="13"/>
  <c r="AW61" i="13" s="1"/>
  <c r="AN18" i="13"/>
  <c r="AV18" i="13"/>
  <c r="AK40" i="13"/>
  <c r="AS40" i="13"/>
  <c r="AT26" i="13"/>
  <c r="AL26" i="13"/>
  <c r="AR18" i="13"/>
  <c r="AJ18" i="13"/>
  <c r="AM49" i="13"/>
  <c r="AU49" i="13"/>
  <c r="AN34" i="13"/>
  <c r="AV34" i="13"/>
  <c r="AT37" i="13"/>
  <c r="AL37" i="13"/>
  <c r="AU28" i="13"/>
  <c r="AM28" i="13"/>
  <c r="AU40" i="11"/>
  <c r="AM40" i="11"/>
  <c r="AL23" i="11"/>
  <c r="AT23" i="11"/>
  <c r="AU59" i="11"/>
  <c r="AM59" i="11"/>
  <c r="AO32" i="11"/>
  <c r="AW32" i="11"/>
  <c r="AW44" i="11"/>
  <c r="AO44" i="11"/>
  <c r="AT36" i="11"/>
  <c r="AL36" i="11"/>
  <c r="AU34" i="11"/>
  <c r="AM34" i="11"/>
  <c r="AL58" i="11"/>
  <c r="AT58" i="11"/>
  <c r="AI24" i="11"/>
  <c r="AQ24" i="11"/>
  <c r="AR30" i="11"/>
  <c r="AJ30" i="11"/>
  <c r="AL46" i="11"/>
  <c r="AT46" i="11"/>
  <c r="AU30" i="11"/>
  <c r="AM30" i="11"/>
  <c r="AJ25" i="11"/>
  <c r="AR25" i="11"/>
  <c r="AR59" i="11"/>
  <c r="AJ59" i="11"/>
  <c r="AN21" i="11"/>
  <c r="AV21" i="11"/>
  <c r="AU56" i="11"/>
  <c r="AM56" i="11"/>
  <c r="AQ55" i="11"/>
  <c r="AI55" i="11"/>
  <c r="AL30" i="11"/>
  <c r="AT30" i="11"/>
  <c r="AR57" i="11"/>
  <c r="AJ57" i="11"/>
  <c r="AT42" i="11"/>
  <c r="AL42" i="11"/>
  <c r="AI51" i="11"/>
  <c r="AQ51" i="11"/>
  <c r="AI42" i="11"/>
  <c r="AQ42" i="11"/>
  <c r="AK34" i="11"/>
  <c r="AS34" i="11"/>
  <c r="AS22" i="11"/>
  <c r="AK22" i="11"/>
  <c r="AO20" i="11"/>
  <c r="AW20" i="11"/>
  <c r="AW49" i="11"/>
  <c r="AO49" i="11"/>
  <c r="AK53" i="11"/>
  <c r="AS53" i="11"/>
  <c r="AI23" i="11"/>
  <c r="AQ23" i="11"/>
  <c r="AQ27" i="11"/>
  <c r="AI27" i="11"/>
  <c r="AV32" i="11"/>
  <c r="AN32" i="11"/>
  <c r="AU51" i="11"/>
  <c r="AM51" i="11"/>
  <c r="AM20" i="11"/>
  <c r="AU20" i="11"/>
  <c r="AK56" i="11"/>
  <c r="AS56" i="11"/>
  <c r="AL50" i="11"/>
  <c r="AT50" i="11"/>
  <c r="AW36" i="11"/>
  <c r="AO36" i="11"/>
  <c r="AL24" i="11"/>
  <c r="AT24" i="11"/>
  <c r="AT61" i="11" s="1"/>
  <c r="AL48" i="11"/>
  <c r="AT48" i="11"/>
  <c r="AK19" i="11"/>
  <c r="AS19" i="11"/>
  <c r="AR15" i="11"/>
  <c r="AJ15" i="11"/>
  <c r="AQ41" i="11"/>
  <c r="AI41" i="11"/>
  <c r="AO25" i="12"/>
  <c r="AW25" i="12"/>
  <c r="AJ32" i="12"/>
  <c r="AR32" i="12"/>
  <c r="AO39" i="12"/>
  <c r="AW39" i="12"/>
  <c r="AJ47" i="12"/>
  <c r="AR47" i="12"/>
  <c r="AO45" i="12"/>
  <c r="AW45" i="12"/>
  <c r="AW19" i="12"/>
  <c r="AO19" i="12"/>
  <c r="AT60" i="12"/>
  <c r="AL60" i="12"/>
  <c r="AN53" i="12"/>
  <c r="AV53" i="12"/>
  <c r="AR43" i="12"/>
  <c r="AJ43" i="12"/>
  <c r="AW60" i="12"/>
  <c r="AO60" i="12"/>
  <c r="AR58" i="12"/>
  <c r="AJ58" i="12"/>
  <c r="AZ26" i="16"/>
  <c r="AR46" i="16"/>
  <c r="AU42" i="16"/>
  <c r="AS50" i="16"/>
  <c r="AZ21" i="16"/>
  <c r="BD56" i="16"/>
  <c r="BB18" i="16"/>
  <c r="AR50" i="11"/>
  <c r="AJ50" i="11"/>
  <c r="AQ13" i="11"/>
  <c r="K61" i="11"/>
  <c r="AI13" i="11"/>
  <c r="S10" i="11"/>
  <c r="AV53" i="11"/>
  <c r="AN53" i="11"/>
  <c r="AN18" i="11"/>
  <c r="AV18" i="11"/>
  <c r="AL15" i="11"/>
  <c r="AT15" i="11"/>
  <c r="AJ25" i="12"/>
  <c r="AR25" i="12"/>
  <c r="AL43" i="12"/>
  <c r="AT43" i="12"/>
  <c r="AK41" i="12"/>
  <c r="AS41" i="12"/>
  <c r="AV19" i="12"/>
  <c r="AN19" i="12"/>
  <c r="AT18" i="12"/>
  <c r="AL18" i="12"/>
  <c r="AI46" i="12"/>
  <c r="AQ46" i="12"/>
  <c r="AS14" i="12"/>
  <c r="AK14" i="12"/>
  <c r="AL51" i="12"/>
  <c r="AT51" i="12"/>
  <c r="AO31" i="12"/>
  <c r="AW31" i="12"/>
  <c r="AO51" i="12"/>
  <c r="AW51" i="12"/>
  <c r="AI52" i="12"/>
  <c r="AQ52" i="12"/>
  <c r="AT19" i="12"/>
  <c r="AL19" i="12"/>
  <c r="AI14" i="12"/>
  <c r="AQ14" i="12"/>
  <c r="AR45" i="12"/>
  <c r="AJ45" i="12"/>
  <c r="AQ38" i="12"/>
  <c r="AI38" i="12"/>
  <c r="AV17" i="12"/>
  <c r="AN17" i="12"/>
  <c r="AJ56" i="12"/>
  <c r="AR56" i="12"/>
  <c r="AJ15" i="12"/>
  <c r="AR15" i="12"/>
  <c r="AQ25" i="12"/>
  <c r="AI25" i="12"/>
  <c r="AM25" i="12"/>
  <c r="AU25" i="12"/>
  <c r="AN31" i="12"/>
  <c r="AV31" i="12"/>
  <c r="AN41" i="12"/>
  <c r="AV41" i="12"/>
  <c r="AN51" i="12"/>
  <c r="AV51" i="12"/>
  <c r="AO22" i="12"/>
  <c r="AW22" i="12"/>
  <c r="Q61" i="12"/>
  <c r="AW13" i="12"/>
  <c r="AO13" i="12"/>
  <c r="Y10" i="12"/>
  <c r="AR27" i="12"/>
  <c r="AJ27" i="12"/>
  <c r="AI58" i="12"/>
  <c r="AQ58" i="12"/>
  <c r="AT52" i="12"/>
  <c r="AL52" i="12"/>
  <c r="AV33" i="12"/>
  <c r="AN33" i="12"/>
  <c r="AS33" i="12"/>
  <c r="AK33" i="12"/>
  <c r="AR19" i="12"/>
  <c r="AR62" i="12" s="1"/>
  <c r="AJ19" i="12"/>
  <c r="AQ30" i="12"/>
  <c r="AI30" i="12"/>
  <c r="AM59" i="12"/>
  <c r="AU59" i="12"/>
  <c r="AV15" i="12"/>
  <c r="AN15" i="12"/>
  <c r="AU20" i="12"/>
  <c r="AM20" i="12"/>
  <c r="AW56" i="12"/>
  <c r="AO56" i="12"/>
  <c r="AV40" i="12"/>
  <c r="AN40" i="12"/>
  <c r="AQ36" i="12"/>
  <c r="AI36" i="12"/>
  <c r="AM18" i="12"/>
  <c r="AU18" i="12"/>
  <c r="AQ32" i="12"/>
  <c r="AI32" i="12"/>
  <c r="AV42" i="12"/>
  <c r="AN42" i="12"/>
  <c r="AR30" i="12"/>
  <c r="AJ30" i="12"/>
  <c r="AY35" i="16"/>
  <c r="BB43" i="16"/>
  <c r="BE25" i="16"/>
  <c r="BB19" i="16"/>
  <c r="AR48" i="16"/>
  <c r="AR28" i="16"/>
  <c r="AR27" i="16"/>
  <c r="AW42" i="16"/>
  <c r="AW29" i="16"/>
  <c r="AW61" i="16" s="1"/>
  <c r="AW26" i="16"/>
  <c r="BC16" i="16"/>
  <c r="AY15" i="16"/>
  <c r="BA52" i="16"/>
  <c r="BB51" i="16"/>
  <c r="AQ42" i="16"/>
  <c r="AR45" i="16"/>
  <c r="AV26" i="16"/>
  <c r="AQ20" i="16"/>
  <c r="AV38" i="16"/>
  <c r="AS48" i="16"/>
  <c r="BA56" i="16"/>
  <c r="AZ58" i="16"/>
  <c r="AY53" i="16"/>
  <c r="BC59" i="16"/>
  <c r="BD34" i="16"/>
  <c r="AT55" i="16"/>
  <c r="AV15" i="16"/>
  <c r="M61" i="16"/>
  <c r="U10" i="16"/>
  <c r="AS13" i="16"/>
  <c r="AY37" i="16"/>
  <c r="BB38" i="16"/>
  <c r="AR38" i="16"/>
  <c r="BD52" i="16"/>
  <c r="AR54" i="16"/>
  <c r="BD14" i="16"/>
  <c r="BC28" i="16"/>
  <c r="AV30" i="16"/>
  <c r="AV41" i="16"/>
  <c r="BD15" i="16"/>
  <c r="BC57" i="16"/>
  <c r="AV29" i="16"/>
  <c r="AU15" i="16"/>
  <c r="AY14" i="16"/>
  <c r="AS16" i="16"/>
  <c r="AQ55" i="16"/>
  <c r="BA30" i="12"/>
  <c r="BA15" i="12"/>
  <c r="AY17" i="12"/>
  <c r="AY10" i="12" s="1"/>
  <c r="AA10" i="12" s="1"/>
  <c r="AY16" i="12"/>
  <c r="BA55" i="12"/>
  <c r="AY36" i="12"/>
  <c r="BB22" i="8"/>
  <c r="BB20" i="11"/>
  <c r="AZ59" i="11"/>
  <c r="AI53" i="11"/>
  <c r="AQ53" i="11"/>
  <c r="AS42" i="11"/>
  <c r="AK42" i="11"/>
  <c r="AS36" i="12"/>
  <c r="AK36" i="12"/>
  <c r="AU28" i="12"/>
  <c r="AM28" i="12"/>
  <c r="AM50" i="12"/>
  <c r="AU50" i="12"/>
  <c r="AQ22" i="12"/>
  <c r="AI22" i="12"/>
  <c r="AI43" i="12"/>
  <c r="AQ43" i="12"/>
  <c r="AS58" i="12"/>
  <c r="AK58" i="12"/>
  <c r="AI42" i="12"/>
  <c r="AQ42" i="12"/>
  <c r="AJ42" i="12"/>
  <c r="AR42" i="12"/>
  <c r="AO57" i="12"/>
  <c r="AW57" i="12"/>
  <c r="AM55" i="12"/>
  <c r="AU55" i="12"/>
  <c r="AV52" i="12"/>
  <c r="AN52" i="12"/>
  <c r="AK45" i="12"/>
  <c r="AS45" i="12"/>
  <c r="AN30" i="12"/>
  <c r="AV30" i="12"/>
  <c r="AL33" i="12"/>
  <c r="AT33" i="12"/>
  <c r="AN43" i="12"/>
  <c r="AV43" i="12"/>
  <c r="AU17" i="12"/>
  <c r="AM17" i="12"/>
  <c r="AW38" i="12"/>
  <c r="AO38" i="12"/>
  <c r="AT26" i="12"/>
  <c r="AL26" i="12"/>
  <c r="AL22" i="12"/>
  <c r="AT22" i="12"/>
  <c r="AU30" i="12"/>
  <c r="AM30" i="12"/>
  <c r="AV29" i="12"/>
  <c r="AN29" i="12"/>
  <c r="AO55" i="12"/>
  <c r="AW55" i="12"/>
  <c r="AR54" i="12"/>
  <c r="AJ54" i="12"/>
  <c r="AT25" i="12"/>
  <c r="AL25" i="12"/>
  <c r="AQ37" i="12"/>
  <c r="AI37" i="12"/>
  <c r="T10" i="12"/>
  <c r="L61" i="12"/>
  <c r="AR13" i="12"/>
  <c r="AJ13" i="12"/>
  <c r="AS68" i="12" s="1"/>
  <c r="AS20" i="12"/>
  <c r="AK20" i="12"/>
  <c r="AL47" i="12"/>
  <c r="AT47" i="12"/>
  <c r="AM32" i="12"/>
  <c r="AU32" i="12"/>
  <c r="AL17" i="12"/>
  <c r="AT17" i="12"/>
  <c r="AV39" i="12"/>
  <c r="AN39" i="12"/>
  <c r="AJ26" i="12"/>
  <c r="AR26" i="12"/>
  <c r="AI34" i="12"/>
  <c r="AQ34" i="12"/>
  <c r="AR17" i="12"/>
  <c r="AJ17" i="12"/>
  <c r="AS21" i="12"/>
  <c r="AK21" i="12"/>
  <c r="AV24" i="12"/>
  <c r="AN24" i="12"/>
  <c r="AQ21" i="12"/>
  <c r="AI21" i="12"/>
  <c r="AW26" i="12"/>
  <c r="AO26" i="12"/>
  <c r="AR46" i="12"/>
  <c r="AJ46" i="12"/>
  <c r="AS46" i="12"/>
  <c r="AK46" i="12"/>
  <c r="AJ53" i="12"/>
  <c r="AR53" i="12"/>
  <c r="AR23" i="12"/>
  <c r="AJ23" i="12"/>
  <c r="BA21" i="16"/>
  <c r="BB49" i="16"/>
  <c r="AY52" i="16"/>
  <c r="BE57" i="16"/>
  <c r="BC50" i="16"/>
  <c r="BB22" i="16"/>
  <c r="AY29" i="16"/>
  <c r="BE35" i="16"/>
  <c r="AW18" i="16"/>
  <c r="AT19" i="16"/>
  <c r="AQ50" i="16"/>
  <c r="AS31" i="16"/>
  <c r="AR15" i="16"/>
  <c r="AS28" i="16"/>
  <c r="BA55" i="16"/>
  <c r="BE15" i="16"/>
  <c r="BE10" i="16" s="1"/>
  <c r="AG10" i="16" s="1"/>
  <c r="AY50" i="16"/>
  <c r="AU49" i="16"/>
  <c r="AR17" i="16"/>
  <c r="AR53" i="16"/>
  <c r="N61" i="16"/>
  <c r="AT13" i="16"/>
  <c r="V10" i="16"/>
  <c r="AU51" i="16"/>
  <c r="AU44" i="16"/>
  <c r="AY49" i="16"/>
  <c r="AZ45" i="16"/>
  <c r="AZ32" i="16"/>
  <c r="AZ27" i="16"/>
  <c r="AW58" i="16"/>
  <c r="AV42" i="16"/>
  <c r="AT18" i="16"/>
  <c r="AT61" i="16" s="1"/>
  <c r="BB42" i="16"/>
  <c r="BA29" i="16"/>
  <c r="AY28" i="16"/>
  <c r="BC49" i="16"/>
  <c r="AW33" i="16"/>
  <c r="BC32" i="16"/>
  <c r="AR24" i="16"/>
  <c r="BD54" i="16"/>
  <c r="AQ51" i="16"/>
  <c r="AT25" i="16"/>
  <c r="BA30" i="16"/>
  <c r="BC58" i="16"/>
  <c r="AT26" i="16"/>
  <c r="AS22" i="16"/>
  <c r="AU55" i="16"/>
  <c r="AR23" i="16"/>
  <c r="AR61" i="16" s="1"/>
  <c r="BB18" i="12"/>
  <c r="AZ20" i="12"/>
  <c r="BE32" i="12"/>
  <c r="BA38" i="12"/>
  <c r="AY52" i="12"/>
  <c r="BB29" i="12"/>
  <c r="BB34" i="8"/>
  <c r="BB18" i="11"/>
  <c r="BB10" i="11" s="1"/>
  <c r="AD10" i="11" s="1"/>
  <c r="AZ40" i="11"/>
  <c r="AW51" i="11"/>
  <c r="AO51" i="11"/>
  <c r="AL35" i="12"/>
  <c r="AT35" i="12"/>
  <c r="AR59" i="12"/>
  <c r="AJ59" i="12"/>
  <c r="AK37" i="12"/>
  <c r="AS37" i="12"/>
  <c r="AV27" i="12"/>
  <c r="AN27" i="12"/>
  <c r="AU38" i="12"/>
  <c r="AM38" i="12"/>
  <c r="AL32" i="12"/>
  <c r="AT32" i="12"/>
  <c r="AJ16" i="12"/>
  <c r="AR16" i="12"/>
  <c r="AQ17" i="12"/>
  <c r="AI17" i="12"/>
  <c r="AI23" i="12"/>
  <c r="AQ23" i="12"/>
  <c r="AS22" i="12"/>
  <c r="AK22" i="12"/>
  <c r="AU19" i="12"/>
  <c r="AU61" i="12" s="1"/>
  <c r="AM19" i="12"/>
  <c r="AV60" i="12"/>
  <c r="AN60" i="12"/>
  <c r="AM36" i="12"/>
  <c r="AU36" i="12"/>
  <c r="AS55" i="12"/>
  <c r="AK55" i="12"/>
  <c r="AI16" i="12"/>
  <c r="AQ16" i="12"/>
  <c r="AV47" i="12"/>
  <c r="AN47" i="12"/>
  <c r="AV36" i="12"/>
  <c r="AN36" i="12"/>
  <c r="AQ39" i="12"/>
  <c r="AI39" i="12"/>
  <c r="AK18" i="12"/>
  <c r="AS18" i="12"/>
  <c r="AR22" i="12"/>
  <c r="AJ22" i="12"/>
  <c r="AM13" i="12"/>
  <c r="O61" i="12"/>
  <c r="W10" i="12"/>
  <c r="AU13" i="12"/>
  <c r="AV37" i="12"/>
  <c r="AN37" i="12"/>
  <c r="AR34" i="12"/>
  <c r="AJ34" i="12"/>
  <c r="AU54" i="12"/>
  <c r="AM54" i="12"/>
  <c r="AU42" i="12"/>
  <c r="AM42" i="12"/>
  <c r="AL31" i="12"/>
  <c r="AT31" i="12"/>
  <c r="AI29" i="12"/>
  <c r="AQ29" i="12"/>
  <c r="AK16" i="12"/>
  <c r="AS16" i="12"/>
  <c r="AS34" i="12"/>
  <c r="AK34" i="12"/>
  <c r="AS54" i="12"/>
  <c r="AK54" i="12"/>
  <c r="AI51" i="12"/>
  <c r="AQ51" i="12"/>
  <c r="AT29" i="12"/>
  <c r="AL29" i="12"/>
  <c r="AS26" i="12"/>
  <c r="AK26" i="12"/>
  <c r="AT36" i="12"/>
  <c r="AL36" i="12"/>
  <c r="AL38" i="12"/>
  <c r="AT38" i="12"/>
  <c r="AM16" i="12"/>
  <c r="AU16" i="12"/>
  <c r="AT28" i="12"/>
  <c r="AL28" i="12"/>
  <c r="AJ38" i="12"/>
  <c r="AR38" i="12"/>
  <c r="AU14" i="12"/>
  <c r="AM14" i="12"/>
  <c r="AQ24" i="12"/>
  <c r="AI24" i="12"/>
  <c r="AV28" i="12"/>
  <c r="AN28" i="12"/>
  <c r="AK38" i="12"/>
  <c r="AS38" i="12"/>
  <c r="AY42" i="16"/>
  <c r="BD18" i="16"/>
  <c r="BB50" i="16"/>
  <c r="BC55" i="16"/>
  <c r="BE28" i="16"/>
  <c r="BC26" i="16"/>
  <c r="BB16" i="16"/>
  <c r="BC45" i="16"/>
  <c r="BB45" i="16"/>
  <c r="AY40" i="16"/>
  <c r="AS42" i="16"/>
  <c r="AR60" i="16"/>
  <c r="AT40" i="16"/>
  <c r="AV36" i="16"/>
  <c r="AS60" i="16"/>
  <c r="BA51" i="16"/>
  <c r="BB33" i="16"/>
  <c r="BB25" i="16"/>
  <c r="BB58" i="16"/>
  <c r="BC23" i="16"/>
  <c r="AW35" i="16"/>
  <c r="AR32" i="16"/>
  <c r="AW52" i="16"/>
  <c r="AQ59" i="16"/>
  <c r="AR44" i="16"/>
  <c r="BD37" i="16"/>
  <c r="BA38" i="16"/>
  <c r="BE13" i="16"/>
  <c r="BE36" i="16"/>
  <c r="AZ52" i="16"/>
  <c r="AV60" i="16"/>
  <c r="AS57" i="16"/>
  <c r="AV16" i="16"/>
  <c r="AY36" i="16"/>
  <c r="AZ38" i="16"/>
  <c r="BB52" i="16"/>
  <c r="AR18" i="16"/>
  <c r="AQ13" i="16"/>
  <c r="K61" i="16"/>
  <c r="A61" i="16" s="1"/>
  <c r="S10" i="16"/>
  <c r="BB57" i="16"/>
  <c r="AU58" i="16"/>
  <c r="AT38" i="16"/>
  <c r="AW48" i="16"/>
  <c r="BD27" i="16"/>
  <c r="AS29" i="16"/>
  <c r="BA17" i="16"/>
  <c r="BA47" i="16"/>
  <c r="AW53" i="16"/>
  <c r="AZ26" i="12"/>
  <c r="BC40" i="12"/>
  <c r="AZ60" i="12"/>
  <c r="BD58" i="12"/>
  <c r="AZ19" i="12"/>
  <c r="BA54" i="12"/>
  <c r="BC39" i="12"/>
  <c r="AY42" i="8"/>
  <c r="AZ24" i="11"/>
  <c r="BA44" i="9"/>
  <c r="AO17" i="11"/>
  <c r="AW17" i="11"/>
  <c r="AK26" i="11"/>
  <c r="AS26" i="11"/>
  <c r="AR51" i="11"/>
  <c r="AJ51" i="11"/>
  <c r="AO60" i="11"/>
  <c r="AW60" i="11"/>
  <c r="AW41" i="12"/>
  <c r="AO41" i="12"/>
  <c r="AL46" i="12"/>
  <c r="AT46" i="12"/>
  <c r="AU53" i="12"/>
  <c r="AM53" i="12"/>
  <c r="AM48" i="12"/>
  <c r="AU48" i="12"/>
  <c r="AO54" i="12"/>
  <c r="AW54" i="12"/>
  <c r="AJ33" i="12"/>
  <c r="AR33" i="12"/>
  <c r="AM24" i="12"/>
  <c r="AU24" i="12"/>
  <c r="AI59" i="12"/>
  <c r="AQ59" i="12"/>
  <c r="AS35" i="12"/>
  <c r="AK35" i="12"/>
  <c r="AT23" i="12"/>
  <c r="AL23" i="12"/>
  <c r="AW34" i="12"/>
  <c r="AO34" i="12"/>
  <c r="AO48" i="12"/>
  <c r="AW48" i="12"/>
  <c r="AI28" i="12"/>
  <c r="AQ28" i="12"/>
  <c r="AW33" i="12"/>
  <c r="AO33" i="12"/>
  <c r="AV22" i="12"/>
  <c r="AN22" i="12"/>
  <c r="AI55" i="12"/>
  <c r="AQ55" i="12"/>
  <c r="AL50" i="12"/>
  <c r="AT50" i="12"/>
  <c r="AO32" i="12"/>
  <c r="AW32" i="12"/>
  <c r="AR49" i="12"/>
  <c r="AJ49" i="12"/>
  <c r="AJ20" i="12"/>
  <c r="AR20" i="12"/>
  <c r="AU22" i="12"/>
  <c r="AM22" i="12"/>
  <c r="AK29" i="12"/>
  <c r="AS29" i="12"/>
  <c r="AS62" i="12" s="1"/>
  <c r="AI54" i="12"/>
  <c r="AQ54" i="12"/>
  <c r="AV57" i="12"/>
  <c r="AN57" i="12"/>
  <c r="AR39" i="12"/>
  <c r="AJ39" i="12"/>
  <c r="AO58" i="12"/>
  <c r="AW58" i="12"/>
  <c r="AV49" i="12"/>
  <c r="AN49" i="12"/>
  <c r="AR18" i="12"/>
  <c r="AJ18" i="12"/>
  <c r="AO28" i="12"/>
  <c r="AW28" i="12"/>
  <c r="AQ45" i="12"/>
  <c r="AI45" i="12"/>
  <c r="AL39" i="12"/>
  <c r="AT39" i="12"/>
  <c r="AL21" i="12"/>
  <c r="AT21" i="12"/>
  <c r="AW46" i="12"/>
  <c r="AO46" i="12"/>
  <c r="AV26" i="12"/>
  <c r="AN26" i="12"/>
  <c r="AR48" i="12"/>
  <c r="AJ48" i="12"/>
  <c r="AM21" i="12"/>
  <c r="AU21" i="12"/>
  <c r="AQ49" i="12"/>
  <c r="AI49" i="12"/>
  <c r="AM26" i="12"/>
  <c r="AU26" i="12"/>
  <c r="AL41" i="12"/>
  <c r="AT41" i="12"/>
  <c r="AI18" i="12"/>
  <c r="AQ18" i="12"/>
  <c r="AQ26" i="12"/>
  <c r="AI26" i="12"/>
  <c r="BB20" i="16"/>
  <c r="BA59" i="16"/>
  <c r="BC33" i="16"/>
  <c r="BD28" i="16"/>
  <c r="BB30" i="16"/>
  <c r="AZ53" i="16"/>
  <c r="BE54" i="16"/>
  <c r="BA43" i="16"/>
  <c r="BE31" i="16"/>
  <c r="AW50" i="16"/>
  <c r="AR34" i="16"/>
  <c r="AV59" i="16"/>
  <c r="AU17" i="16"/>
  <c r="AW24" i="16"/>
  <c r="AY21" i="16"/>
  <c r="BC34" i="16"/>
  <c r="AZ29" i="16"/>
  <c r="AZ50" i="16"/>
  <c r="AZ36" i="16"/>
  <c r="BA36" i="16"/>
  <c r="BE32" i="16"/>
  <c r="BA32" i="16"/>
  <c r="AS54" i="16"/>
  <c r="AT16" i="16"/>
  <c r="AR42" i="16"/>
  <c r="AW40" i="16"/>
  <c r="AU14" i="16"/>
  <c r="AY26" i="16"/>
  <c r="BC44" i="16"/>
  <c r="AY54" i="16"/>
  <c r="BA57" i="16"/>
  <c r="BB31" i="16"/>
  <c r="BA16" i="16"/>
  <c r="AY16" i="16"/>
  <c r="AY10" i="16" s="1"/>
  <c r="AA10" i="16" s="1"/>
  <c r="BC30" i="16"/>
  <c r="AT27" i="16"/>
  <c r="AV32" i="16"/>
  <c r="AT30" i="16"/>
  <c r="AS24" i="16"/>
  <c r="BB21" i="16"/>
  <c r="AR26" i="16"/>
  <c r="AQ30" i="16"/>
  <c r="BC31" i="16"/>
  <c r="AZ23" i="16"/>
  <c r="AQ35" i="16"/>
  <c r="BE40" i="16"/>
  <c r="AW23" i="16"/>
  <c r="AY23" i="16"/>
  <c r="AT52" i="16"/>
  <c r="BA50" i="16"/>
  <c r="AT49" i="16"/>
  <c r="BE14" i="12"/>
  <c r="BB28" i="12"/>
  <c r="AY54" i="12"/>
  <c r="BD21" i="12"/>
  <c r="BE30" i="12"/>
  <c r="BC15" i="12"/>
  <c r="BD22" i="12"/>
  <c r="BA36" i="8"/>
  <c r="BA17" i="11"/>
  <c r="AZ57" i="9"/>
  <c r="AQ38" i="11"/>
  <c r="AI38" i="11"/>
  <c r="AU28" i="11"/>
  <c r="AM28" i="11"/>
  <c r="AQ47" i="12"/>
  <c r="AI47" i="12"/>
  <c r="AT34" i="12"/>
  <c r="AL34" i="12"/>
  <c r="AS60" i="12"/>
  <c r="AK60" i="12"/>
  <c r="V10" i="12"/>
  <c r="AT13" i="12"/>
  <c r="AL13" i="12"/>
  <c r="N61" i="12"/>
  <c r="AR57" i="12"/>
  <c r="AJ57" i="12"/>
  <c r="AJ28" i="12"/>
  <c r="AR28" i="12"/>
  <c r="AW36" i="12"/>
  <c r="AO36" i="12"/>
  <c r="AT30" i="12"/>
  <c r="AL30" i="12"/>
  <c r="AI33" i="12"/>
  <c r="AQ33" i="12"/>
  <c r="AS56" i="12"/>
  <c r="AK56" i="12"/>
  <c r="AI60" i="12"/>
  <c r="AQ60" i="12"/>
  <c r="AO29" i="12"/>
  <c r="AW29" i="12"/>
  <c r="AQ48" i="12"/>
  <c r="AI48" i="12"/>
  <c r="AM49" i="12"/>
  <c r="AU49" i="12"/>
  <c r="AK40" i="12"/>
  <c r="AS40" i="12"/>
  <c r="AK39" i="12"/>
  <c r="AS39" i="12"/>
  <c r="AQ20" i="12"/>
  <c r="AI20" i="12"/>
  <c r="AM15" i="12"/>
  <c r="AU15" i="12"/>
  <c r="AO16" i="12"/>
  <c r="AW16" i="12"/>
  <c r="AR44" i="12"/>
  <c r="AJ44" i="12"/>
  <c r="AT48" i="12"/>
  <c r="AL48" i="12"/>
  <c r="AM52" i="12"/>
  <c r="AU52" i="12"/>
  <c r="AS48" i="12"/>
  <c r="AK48" i="12"/>
  <c r="AK32" i="12"/>
  <c r="AS32" i="12"/>
  <c r="AV14" i="12"/>
  <c r="AN14" i="12"/>
  <c r="AV45" i="12"/>
  <c r="AN45" i="12"/>
  <c r="AO44" i="12"/>
  <c r="AW44" i="12"/>
  <c r="AV50" i="12"/>
  <c r="AN50" i="12"/>
  <c r="AN59" i="12"/>
  <c r="AV59" i="12"/>
  <c r="AT59" i="12"/>
  <c r="AL59" i="12"/>
  <c r="AJ60" i="12"/>
  <c r="AR60" i="12"/>
  <c r="AV34" i="12"/>
  <c r="AN34" i="12"/>
  <c r="AL40" i="12"/>
  <c r="AT40" i="12"/>
  <c r="AS53" i="12"/>
  <c r="AK53" i="12"/>
  <c r="AV13" i="12"/>
  <c r="X10" i="12"/>
  <c r="AN13" i="12"/>
  <c r="P61" i="12"/>
  <c r="AJ21" i="12"/>
  <c r="AR21" i="12"/>
  <c r="AQ50" i="12"/>
  <c r="AI50" i="12"/>
  <c r="AR35" i="12"/>
  <c r="AJ35" i="12"/>
  <c r="AK30" i="12"/>
  <c r="AS30" i="12"/>
  <c r="AM43" i="12"/>
  <c r="AU43" i="12"/>
  <c r="AK42" i="12"/>
  <c r="AS42" i="12"/>
  <c r="AK23" i="12"/>
  <c r="AS23" i="12"/>
  <c r="AY22" i="16"/>
  <c r="BE27" i="16"/>
  <c r="BC40" i="16"/>
  <c r="AZ14" i="16"/>
  <c r="BB32" i="16"/>
  <c r="BE42" i="16"/>
  <c r="BC43" i="16"/>
  <c r="BC37" i="16"/>
  <c r="BE37" i="16"/>
  <c r="AY46" i="16"/>
  <c r="BE47" i="16"/>
  <c r="BE46" i="16"/>
  <c r="AZ39" i="16"/>
  <c r="AV55" i="16"/>
  <c r="AW47" i="16"/>
  <c r="AS44" i="16"/>
  <c r="AU21" i="16"/>
  <c r="AU61" i="16" s="1"/>
  <c r="AU47" i="16"/>
  <c r="BB13" i="16"/>
  <c r="BB53" i="16"/>
  <c r="AZ37" i="16"/>
  <c r="AT59" i="16"/>
  <c r="AW19" i="16"/>
  <c r="AQ33" i="16"/>
  <c r="AQ47" i="16"/>
  <c r="AS37" i="16"/>
  <c r="BB54" i="16"/>
  <c r="AZ24" i="16"/>
  <c r="BC24" i="16"/>
  <c r="BE24" i="16"/>
  <c r="BE43" i="16"/>
  <c r="AW39" i="16"/>
  <c r="AV14" i="16"/>
  <c r="AS68" i="16" s="1"/>
  <c r="AU40" i="16"/>
  <c r="AV28" i="16"/>
  <c r="BC29" i="16"/>
  <c r="BD47" i="16"/>
  <c r="AV18" i="16"/>
  <c r="AS45" i="16"/>
  <c r="BD41" i="16"/>
  <c r="AQ36" i="16"/>
  <c r="BA40" i="16"/>
  <c r="AW57" i="16"/>
  <c r="BD40" i="16"/>
  <c r="AV43" i="16"/>
  <c r="BD58" i="16"/>
  <c r="BE50" i="16"/>
  <c r="AW20" i="16"/>
  <c r="AZ45" i="12"/>
  <c r="BD50" i="12"/>
  <c r="AY46" i="12"/>
  <c r="BC45" i="12"/>
  <c r="BC56" i="12"/>
  <c r="BA57" i="12"/>
  <c r="AZ23" i="12"/>
  <c r="BA57" i="8"/>
  <c r="BB54" i="11"/>
  <c r="BD54" i="9"/>
  <c r="AK43" i="12"/>
  <c r="AS43" i="12"/>
  <c r="AU27" i="12"/>
  <c r="AM27" i="12"/>
  <c r="AI27" i="12"/>
  <c r="AQ27" i="12"/>
  <c r="AR51" i="12"/>
  <c r="AJ51" i="12"/>
  <c r="AM58" i="12"/>
  <c r="AU58" i="12"/>
  <c r="AT20" i="12"/>
  <c r="AL20" i="12"/>
  <c r="AS28" i="12"/>
  <c r="AK28" i="12"/>
  <c r="AV25" i="12"/>
  <c r="AN25" i="12"/>
  <c r="AW20" i="12"/>
  <c r="AO20" i="12"/>
  <c r="AU51" i="12"/>
  <c r="AM51" i="12"/>
  <c r="AK44" i="12"/>
  <c r="AS44" i="12"/>
  <c r="AI41" i="12"/>
  <c r="AQ41" i="12"/>
  <c r="AO35" i="12"/>
  <c r="AW35" i="12"/>
  <c r="AW59" i="12"/>
  <c r="AO59" i="12"/>
  <c r="AL53" i="12"/>
  <c r="AT53" i="12"/>
  <c r="AQ31" i="12"/>
  <c r="AQ61" i="12" s="1"/>
  <c r="AI31" i="12"/>
  <c r="AU29" i="12"/>
  <c r="AM29" i="12"/>
  <c r="AU60" i="12"/>
  <c r="AM60" i="12"/>
  <c r="AR55" i="12"/>
  <c r="AJ55" i="12"/>
  <c r="AV18" i="12"/>
  <c r="AN18" i="12"/>
  <c r="AQ44" i="12"/>
  <c r="AI44" i="12"/>
  <c r="AO14" i="12"/>
  <c r="AW14" i="12"/>
  <c r="AQ40" i="12"/>
  <c r="AI40" i="12"/>
  <c r="AW52" i="12"/>
  <c r="AO52" i="12"/>
  <c r="AK31" i="12"/>
  <c r="AS31" i="12"/>
  <c r="AK17" i="12"/>
  <c r="AS17" i="12"/>
  <c r="AT14" i="12"/>
  <c r="AL14" i="12"/>
  <c r="AJ14" i="12"/>
  <c r="AR14" i="12"/>
  <c r="AV46" i="12"/>
  <c r="AN46" i="12"/>
  <c r="AK24" i="12"/>
  <c r="AS24" i="12"/>
  <c r="AJ29" i="12"/>
  <c r="AR29" i="12"/>
  <c r="AV35" i="12"/>
  <c r="AN35" i="12"/>
  <c r="AI57" i="12"/>
  <c r="AQ57" i="12"/>
  <c r="AS52" i="12"/>
  <c r="AK52" i="12"/>
  <c r="AT57" i="12"/>
  <c r="AL57" i="12"/>
  <c r="AV55" i="12"/>
  <c r="AN55" i="12"/>
  <c r="AJ36" i="12"/>
  <c r="AR36" i="12"/>
  <c r="AT56" i="12"/>
  <c r="AL56" i="12"/>
  <c r="AY24" i="16"/>
  <c r="AZ47" i="16"/>
  <c r="BA20" i="16"/>
  <c r="BA31" i="16"/>
  <c r="BC52" i="16"/>
  <c r="BD23" i="16"/>
  <c r="AY43" i="16"/>
  <c r="BA58" i="16"/>
  <c r="BD16" i="16"/>
  <c r="BC47" i="16"/>
  <c r="AZ13" i="16"/>
  <c r="AZ10" i="16" s="1"/>
  <c r="AB10" i="16" s="1"/>
  <c r="AS46" i="16"/>
  <c r="AQ37" i="16"/>
  <c r="AW31" i="16"/>
  <c r="AT36" i="16"/>
  <c r="AS18" i="16"/>
  <c r="BC56" i="16"/>
  <c r="BB26" i="16"/>
  <c r="BE56" i="16"/>
  <c r="AY17" i="16"/>
  <c r="AR39" i="16"/>
  <c r="AT39" i="16"/>
  <c r="AW28" i="16"/>
  <c r="AV56" i="16"/>
  <c r="AQ53" i="16"/>
  <c r="BE45" i="16"/>
  <c r="AY27" i="16"/>
  <c r="AZ51" i="16"/>
  <c r="AQ28" i="16"/>
  <c r="AW22" i="16"/>
  <c r="AU54" i="16"/>
  <c r="AV25" i="16"/>
  <c r="BC15" i="16"/>
  <c r="BD38" i="16"/>
  <c r="AS23" i="16"/>
  <c r="AT54" i="16"/>
  <c r="BD55" i="16"/>
  <c r="AZ18" i="16"/>
  <c r="AR36" i="16"/>
  <c r="AZ44" i="16"/>
  <c r="AS40" i="16"/>
  <c r="BB15" i="16"/>
  <c r="AU27" i="16"/>
  <c r="BE16" i="16"/>
  <c r="AW43" i="16"/>
  <c r="AZ41" i="12"/>
  <c r="BC29" i="12"/>
  <c r="BE51" i="12"/>
  <c r="BE41" i="12"/>
  <c r="AZ30" i="12"/>
  <c r="BB16" i="12"/>
  <c r="BD60" i="12"/>
  <c r="AY49" i="8"/>
  <c r="BB55" i="11"/>
  <c r="BA49" i="9"/>
  <c r="AR55" i="16"/>
  <c r="BD35" i="12"/>
  <c r="BA13" i="12"/>
  <c r="BE24" i="12"/>
  <c r="BE48" i="12"/>
  <c r="AY14" i="12"/>
  <c r="BA53" i="12"/>
  <c r="BD39" i="8"/>
  <c r="BA49" i="8"/>
  <c r="BE20" i="11"/>
  <c r="BB58" i="9"/>
  <c r="AT44" i="16"/>
  <c r="AS38" i="16"/>
  <c r="BC36" i="12"/>
  <c r="BC41" i="12"/>
  <c r="AZ28" i="12"/>
  <c r="BE16" i="12"/>
  <c r="BA17" i="12"/>
  <c r="AY20" i="12"/>
  <c r="AY20" i="8"/>
  <c r="AY10" i="8" s="1"/>
  <c r="AA10" i="8" s="1"/>
  <c r="BC50" i="8"/>
  <c r="BD43" i="11"/>
  <c r="BB21" i="10"/>
  <c r="BE55" i="16"/>
  <c r="BA33" i="16"/>
  <c r="BC13" i="16"/>
  <c r="AT60" i="16"/>
  <c r="AU30" i="16"/>
  <c r="AU57" i="16"/>
  <c r="AQ45" i="16"/>
  <c r="AW37" i="16"/>
  <c r="BE38" i="16"/>
  <c r="BB39" i="16"/>
  <c r="AZ31" i="16"/>
  <c r="BB27" i="16"/>
  <c r="BE17" i="16"/>
  <c r="AQ26" i="16"/>
  <c r="AR56" i="16"/>
  <c r="AR50" i="16"/>
  <c r="AS33" i="16"/>
  <c r="AU59" i="16"/>
  <c r="AT46" i="16"/>
  <c r="BD51" i="16"/>
  <c r="BA15" i="16"/>
  <c r="AZ28" i="16"/>
  <c r="AY55" i="16"/>
  <c r="AQ17" i="16"/>
  <c r="AT21" i="16"/>
  <c r="AT37" i="16"/>
  <c r="AR33" i="16"/>
  <c r="AR47" i="16"/>
  <c r="BD22" i="16"/>
  <c r="BA39" i="16"/>
  <c r="BD29" i="16"/>
  <c r="AY25" i="16"/>
  <c r="AT28" i="16"/>
  <c r="AV44" i="16"/>
  <c r="AQ44" i="16"/>
  <c r="AV40" i="16"/>
  <c r="AV53" i="16"/>
  <c r="BD20" i="16"/>
  <c r="BB44" i="16"/>
  <c r="BD45" i="16"/>
  <c r="AZ43" i="16"/>
  <c r="BB28" i="16"/>
  <c r="BC36" i="16"/>
  <c r="AR16" i="16"/>
  <c r="AV39" i="16"/>
  <c r="AT57" i="16"/>
  <c r="AV27" i="16"/>
  <c r="AR43" i="16"/>
  <c r="BE58" i="16"/>
  <c r="AZ20" i="16"/>
  <c r="BD21" i="16"/>
  <c r="BA22" i="16"/>
  <c r="BD19" i="16"/>
  <c r="BD10" i="16" s="1"/>
  <c r="AF10" i="16" s="1"/>
  <c r="BE48" i="16"/>
  <c r="AU35" i="16"/>
  <c r="AW36" i="16"/>
  <c r="AV13" i="16"/>
  <c r="P61" i="16"/>
  <c r="X10" i="16"/>
  <c r="AU29" i="16"/>
  <c r="AQ22" i="16"/>
  <c r="AQ60" i="16"/>
  <c r="AZ54" i="12"/>
  <c r="AZ47" i="12"/>
  <c r="BD45" i="12"/>
  <c r="BA43" i="12"/>
  <c r="AY35" i="12"/>
  <c r="BD40" i="12"/>
  <c r="BA49" i="12"/>
  <c r="BB35" i="12"/>
  <c r="BB40" i="12"/>
  <c r="BE37" i="12"/>
  <c r="BE23" i="12"/>
  <c r="AZ46" i="12"/>
  <c r="AZ49" i="12"/>
  <c r="BB23" i="12"/>
  <c r="BE42" i="12"/>
  <c r="BE47" i="12"/>
  <c r="BC30" i="12"/>
  <c r="AY59" i="12"/>
  <c r="BC14" i="12"/>
  <c r="AZ35" i="12"/>
  <c r="BE46" i="12"/>
  <c r="AZ27" i="12"/>
  <c r="AY19" i="12"/>
  <c r="AY39" i="12"/>
  <c r="BA14" i="12"/>
  <c r="AZ44" i="12"/>
  <c r="BB31" i="12"/>
  <c r="BE21" i="12"/>
  <c r="BD28" i="12"/>
  <c r="BC60" i="12"/>
  <c r="BA59" i="12"/>
  <c r="AY23" i="12"/>
  <c r="AY26" i="12"/>
  <c r="BC50" i="12"/>
  <c r="BA33" i="8"/>
  <c r="AY13" i="8"/>
  <c r="BC49" i="8"/>
  <c r="BD57" i="8"/>
  <c r="BC60" i="8"/>
  <c r="BE60" i="8"/>
  <c r="BD29" i="8"/>
  <c r="BA50" i="8"/>
  <c r="BB50" i="8"/>
  <c r="BC17" i="8"/>
  <c r="BE35" i="11"/>
  <c r="BA45" i="11"/>
  <c r="BE34" i="11"/>
  <c r="AY32" i="11"/>
  <c r="BC47" i="11"/>
  <c r="AZ47" i="11"/>
  <c r="BC17" i="11"/>
  <c r="BB48" i="11"/>
  <c r="AZ38" i="11"/>
  <c r="BE18" i="11"/>
  <c r="BE28" i="9"/>
  <c r="BE10" i="9" s="1"/>
  <c r="AG10" i="9" s="1"/>
  <c r="BB39" i="9"/>
  <c r="BE56" i="9"/>
  <c r="AY45" i="9"/>
  <c r="AY36" i="9"/>
  <c r="BA38" i="10"/>
  <c r="AZ41" i="16"/>
  <c r="AW32" i="16"/>
  <c r="AS34" i="16"/>
  <c r="AR29" i="16"/>
  <c r="AT15" i="16"/>
  <c r="AV33" i="16"/>
  <c r="BA37" i="16"/>
  <c r="BA44" i="16"/>
  <c r="BB41" i="16"/>
  <c r="AY39" i="16"/>
  <c r="AQ16" i="16"/>
  <c r="AQ61" i="16" s="1"/>
  <c r="AW30" i="16"/>
  <c r="AV52" i="16"/>
  <c r="AQ23" i="16"/>
  <c r="AV34" i="16"/>
  <c r="BA48" i="16"/>
  <c r="AY56" i="16"/>
  <c r="AZ25" i="16"/>
  <c r="AQ29" i="16"/>
  <c r="AW15" i="16"/>
  <c r="AQ56" i="16"/>
  <c r="AU38" i="16"/>
  <c r="AT47" i="16"/>
  <c r="BE26" i="16"/>
  <c r="BA49" i="16"/>
  <c r="BA45" i="16"/>
  <c r="AY57" i="16"/>
  <c r="AY58" i="16"/>
  <c r="AT41" i="16"/>
  <c r="AQ41" i="16"/>
  <c r="AT51" i="16"/>
  <c r="AS26" i="16"/>
  <c r="AV37" i="16"/>
  <c r="BA14" i="16"/>
  <c r="BB35" i="16"/>
  <c r="AZ17" i="16"/>
  <c r="AZ22" i="16"/>
  <c r="BD50" i="16"/>
  <c r="AT32" i="16"/>
  <c r="AU24" i="16"/>
  <c r="AS49" i="16"/>
  <c r="AT48" i="16"/>
  <c r="AW56" i="16"/>
  <c r="BE35" i="12"/>
  <c r="AY42" i="12"/>
  <c r="BD31" i="12"/>
  <c r="BE38" i="12"/>
  <c r="AY47" i="12"/>
  <c r="BA18" i="12"/>
  <c r="BC17" i="12"/>
  <c r="BE31" i="12"/>
  <c r="BB49" i="12"/>
  <c r="BE49" i="12"/>
  <c r="BC52" i="12"/>
  <c r="BB36" i="12"/>
  <c r="BA34" i="12"/>
  <c r="AY38" i="12"/>
  <c r="BD41" i="12"/>
  <c r="BA35" i="12"/>
  <c r="AZ25" i="12"/>
  <c r="BD24" i="12"/>
  <c r="AZ43" i="12"/>
  <c r="BB39" i="12"/>
  <c r="BA20" i="12"/>
  <c r="BA19" i="12"/>
  <c r="AZ52" i="12"/>
  <c r="BD34" i="12"/>
  <c r="AZ37" i="12"/>
  <c r="BC23" i="12"/>
  <c r="BB45" i="12"/>
  <c r="BE56" i="12"/>
  <c r="BD43" i="12"/>
  <c r="AY30" i="12"/>
  <c r="BB26" i="12"/>
  <c r="AZ38" i="12"/>
  <c r="BE19" i="12"/>
  <c r="BE43" i="12"/>
  <c r="BA58" i="8"/>
  <c r="BA55" i="8"/>
  <c r="AY50" i="8"/>
  <c r="AZ45" i="8"/>
  <c r="BC29" i="8"/>
  <c r="BB37" i="8"/>
  <c r="BB39" i="8"/>
  <c r="BD51" i="8"/>
  <c r="BE21" i="8"/>
  <c r="BE17" i="8"/>
  <c r="BB20" i="8"/>
  <c r="BC43" i="11"/>
  <c r="AZ31" i="11"/>
  <c r="BD57" i="11"/>
  <c r="BB26" i="11"/>
  <c r="AY37" i="11"/>
  <c r="BD45" i="11"/>
  <c r="AZ22" i="11"/>
  <c r="BD29" i="11"/>
  <c r="BC38" i="11"/>
  <c r="BD32" i="11"/>
  <c r="BE57" i="13"/>
  <c r="BB35" i="13"/>
  <c r="BB25" i="13"/>
  <c r="BA45" i="13"/>
  <c r="BC39" i="13"/>
  <c r="AY52" i="17"/>
  <c r="BA13" i="16"/>
  <c r="BD13" i="16"/>
  <c r="AQ34" i="16"/>
  <c r="AQ38" i="16"/>
  <c r="AV45" i="16"/>
  <c r="AS58" i="16"/>
  <c r="AV35" i="16"/>
  <c r="AY18" i="16"/>
  <c r="AZ55" i="16"/>
  <c r="AY51" i="16"/>
  <c r="AZ34" i="16"/>
  <c r="AZ15" i="16"/>
  <c r="AR59" i="16"/>
  <c r="AW46" i="16"/>
  <c r="AR49" i="16"/>
  <c r="AU52" i="16"/>
  <c r="AU28" i="16"/>
  <c r="BD39" i="16"/>
  <c r="BD31" i="16"/>
  <c r="AT23" i="16"/>
  <c r="AV47" i="16"/>
  <c r="AU25" i="16"/>
  <c r="AQ52" i="16"/>
  <c r="AR52" i="16"/>
  <c r="BA34" i="16"/>
  <c r="BE23" i="16"/>
  <c r="BB23" i="16"/>
  <c r="BD30" i="16"/>
  <c r="AU56" i="16"/>
  <c r="AT45" i="16"/>
  <c r="AV31" i="16"/>
  <c r="AV48" i="16"/>
  <c r="AR40" i="16"/>
  <c r="BD35" i="16"/>
  <c r="BE33" i="16"/>
  <c r="BC42" i="16"/>
  <c r="BE59" i="16"/>
  <c r="BE21" i="16"/>
  <c r="BE20" i="16"/>
  <c r="AZ33" i="16"/>
  <c r="AW45" i="16"/>
  <c r="AS25" i="16"/>
  <c r="AS55" i="16"/>
  <c r="AU43" i="16"/>
  <c r="AS43" i="16"/>
  <c r="BB37" i="12"/>
  <c r="BE58" i="12"/>
  <c r="BD25" i="12"/>
  <c r="BB55" i="12"/>
  <c r="BC35" i="12"/>
  <c r="BA48" i="12"/>
  <c r="BD38" i="12"/>
  <c r="AZ24" i="12"/>
  <c r="BC42" i="12"/>
  <c r="BB54" i="12"/>
  <c r="BB17" i="12"/>
  <c r="BC19" i="12"/>
  <c r="BA23" i="12"/>
  <c r="BB48" i="12"/>
  <c r="BD53" i="12"/>
  <c r="AZ29" i="12"/>
  <c r="AZ39" i="12"/>
  <c r="BD20" i="12"/>
  <c r="BB34" i="12"/>
  <c r="BE13" i="12"/>
  <c r="BD18" i="12"/>
  <c r="BA25" i="12"/>
  <c r="BB41" i="12"/>
  <c r="AY34" i="12"/>
  <c r="BA29" i="12"/>
  <c r="BE52" i="12"/>
  <c r="AY21" i="12"/>
  <c r="BB56" i="12"/>
  <c r="BD32" i="12"/>
  <c r="BD36" i="12"/>
  <c r="BB22" i="12"/>
  <c r="AY24" i="12"/>
  <c r="BA45" i="12"/>
  <c r="BB50" i="12"/>
  <c r="BE53" i="8"/>
  <c r="AY40" i="8"/>
  <c r="BC33" i="8"/>
  <c r="BA31" i="8"/>
  <c r="BB43" i="8"/>
  <c r="BE27" i="8"/>
  <c r="BE48" i="8"/>
  <c r="AY36" i="8"/>
  <c r="BE57" i="8"/>
  <c r="AZ57" i="8"/>
  <c r="AY25" i="8"/>
  <c r="BB38" i="11"/>
  <c r="BA58" i="11"/>
  <c r="BD39" i="11"/>
  <c r="BA30" i="11"/>
  <c r="AZ20" i="11"/>
  <c r="BB16" i="11"/>
  <c r="BA19" i="11"/>
  <c r="AZ19" i="11"/>
  <c r="BC13" i="11"/>
  <c r="BC10" i="11" s="1"/>
  <c r="AE10" i="11" s="1"/>
  <c r="BB25" i="9"/>
  <c r="BD49" i="13"/>
  <c r="BD36" i="13"/>
  <c r="BA22" i="13"/>
  <c r="BA41" i="13"/>
  <c r="AZ45" i="9"/>
  <c r="BB52" i="17"/>
  <c r="BD60" i="16"/>
  <c r="BC19" i="16"/>
  <c r="AV23" i="16"/>
  <c r="AQ39" i="16"/>
  <c r="AS52" i="16"/>
  <c r="AS14" i="16"/>
  <c r="AV49" i="16"/>
  <c r="BC60" i="16"/>
  <c r="BC25" i="16"/>
  <c r="AZ57" i="16"/>
  <c r="BC39" i="16"/>
  <c r="AS19" i="16"/>
  <c r="AR31" i="16"/>
  <c r="AR41" i="16"/>
  <c r="AU50" i="16"/>
  <c r="AR58" i="16"/>
  <c r="BD44" i="16"/>
  <c r="AY33" i="16"/>
  <c r="AQ31" i="16"/>
  <c r="AR19" i="16"/>
  <c r="AU31" i="16"/>
  <c r="AU23" i="16"/>
  <c r="AS53" i="16"/>
  <c r="BC35" i="16"/>
  <c r="BB60" i="16"/>
  <c r="BD43" i="16"/>
  <c r="BA26" i="16"/>
  <c r="AW44" i="16"/>
  <c r="AU22" i="16"/>
  <c r="AU34" i="16"/>
  <c r="AV21" i="16"/>
  <c r="AQ57" i="16"/>
  <c r="BE19" i="16"/>
  <c r="BC18" i="16"/>
  <c r="BB46" i="16"/>
  <c r="BC20" i="16"/>
  <c r="AY45" i="16"/>
  <c r="BA23" i="16"/>
  <c r="AT34" i="16"/>
  <c r="AS36" i="16"/>
  <c r="AR51" i="16"/>
  <c r="AW13" i="16"/>
  <c r="Q61" i="16"/>
  <c r="Y10" i="16"/>
  <c r="AS32" i="16"/>
  <c r="AZ54" i="16"/>
  <c r="AY13" i="16"/>
  <c r="AZ56" i="16"/>
  <c r="BA25" i="16"/>
  <c r="BE60" i="16"/>
  <c r="BD32" i="16"/>
  <c r="BE44" i="16"/>
  <c r="BB56" i="16"/>
  <c r="AS35" i="16"/>
  <c r="AQ14" i="16"/>
  <c r="AR30" i="16"/>
  <c r="AU41" i="16"/>
  <c r="AU60" i="16"/>
  <c r="BB15" i="12"/>
  <c r="BB58" i="12"/>
  <c r="BA37" i="12"/>
  <c r="BD52" i="12"/>
  <c r="AY53" i="12"/>
  <c r="BE25" i="12"/>
  <c r="BB14" i="12"/>
  <c r="BC38" i="12"/>
  <c r="AY51" i="12"/>
  <c r="BE59" i="12"/>
  <c r="BC49" i="12"/>
  <c r="BD17" i="12"/>
  <c r="BB27" i="12"/>
  <c r="BE27" i="12"/>
  <c r="BD57" i="12"/>
  <c r="BC24" i="12"/>
  <c r="BA50" i="12"/>
  <c r="AZ18" i="12"/>
  <c r="BD29" i="12"/>
  <c r="AZ13" i="12"/>
  <c r="AZ55" i="12"/>
  <c r="BE57" i="12"/>
  <c r="BD27" i="12"/>
  <c r="BA40" i="12"/>
  <c r="BE60" i="12"/>
  <c r="BE44" i="12"/>
  <c r="BD39" i="12"/>
  <c r="BD46" i="12"/>
  <c r="BE29" i="12"/>
  <c r="BC34" i="12"/>
  <c r="AY48" i="12"/>
  <c r="AZ21" i="12"/>
  <c r="AZ40" i="12"/>
  <c r="AZ31" i="12"/>
  <c r="AY53" i="8"/>
  <c r="BD54" i="8"/>
  <c r="BD23" i="8"/>
  <c r="BE19" i="8"/>
  <c r="AY33" i="8"/>
  <c r="BD52" i="8"/>
  <c r="BD14" i="8"/>
  <c r="BA30" i="8"/>
  <c r="AZ25" i="8"/>
  <c r="AY24" i="8"/>
  <c r="BB16" i="8"/>
  <c r="BD38" i="11"/>
  <c r="AZ30" i="11"/>
  <c r="AZ10" i="11" s="1"/>
  <c r="AB10" i="11" s="1"/>
  <c r="BD58" i="11"/>
  <c r="AY28" i="11"/>
  <c r="BD48" i="11"/>
  <c r="BD28" i="11"/>
  <c r="BC27" i="11"/>
  <c r="BD47" i="11"/>
  <c r="BE40" i="11"/>
  <c r="BA52" i="13"/>
  <c r="BE33" i="13"/>
  <c r="BE53" i="13"/>
  <c r="BE38" i="13"/>
  <c r="BA37" i="9"/>
  <c r="BC39" i="10"/>
  <c r="AW14" i="16"/>
  <c r="AQ25" i="16"/>
  <c r="AQ43" i="16"/>
  <c r="AQ18" i="16"/>
  <c r="BC41" i="16"/>
  <c r="BB14" i="16"/>
  <c r="AY30" i="16"/>
  <c r="BE41" i="16"/>
  <c r="BB36" i="16"/>
  <c r="BE30" i="16"/>
  <c r="AW59" i="16"/>
  <c r="AT53" i="16"/>
  <c r="AT22" i="16"/>
  <c r="AV22" i="16"/>
  <c r="AS15" i="16"/>
  <c r="AT42" i="16"/>
  <c r="BA19" i="16"/>
  <c r="AZ59" i="16"/>
  <c r="AU37" i="16"/>
  <c r="AU46" i="16"/>
  <c r="AR37" i="16"/>
  <c r="AV57" i="16"/>
  <c r="AQ24" i="16"/>
  <c r="BC54" i="16"/>
  <c r="BA46" i="16"/>
  <c r="BB37" i="16"/>
  <c r="BA18" i="16"/>
  <c r="AU26" i="16"/>
  <c r="AW38" i="16"/>
  <c r="AU45" i="16"/>
  <c r="AW25" i="16"/>
  <c r="AT20" i="16"/>
  <c r="AQ21" i="16"/>
  <c r="BA24" i="16"/>
  <c r="BB34" i="16"/>
  <c r="BC14" i="16"/>
  <c r="BE22" i="16"/>
  <c r="AZ16" i="16"/>
  <c r="AZ42" i="16"/>
  <c r="AS59" i="16"/>
  <c r="AW17" i="16"/>
  <c r="AQ49" i="16"/>
  <c r="AW34" i="16"/>
  <c r="AQ32" i="16"/>
  <c r="BB57" i="12"/>
  <c r="BD26" i="12"/>
  <c r="BB33" i="12"/>
  <c r="BB19" i="12"/>
  <c r="BB59" i="12"/>
  <c r="AY13" i="12"/>
  <c r="BE22" i="12"/>
  <c r="BE10" i="12" s="1"/>
  <c r="AG10" i="12" s="1"/>
  <c r="BC43" i="12"/>
  <c r="BC18" i="12"/>
  <c r="AY22" i="12"/>
  <c r="BD56" i="12"/>
  <c r="AY15" i="12"/>
  <c r="BA47" i="12"/>
  <c r="BC22" i="12"/>
  <c r="AY31" i="12"/>
  <c r="AZ22" i="12"/>
  <c r="BC21" i="12"/>
  <c r="AZ42" i="12"/>
  <c r="BE28" i="12"/>
  <c r="BC16" i="12"/>
  <c r="AY33" i="12"/>
  <c r="AY43" i="12"/>
  <c r="BC31" i="12"/>
  <c r="AZ17" i="12"/>
  <c r="BB38" i="12"/>
  <c r="BB30" i="12"/>
  <c r="BC32" i="12"/>
  <c r="AY45" i="12"/>
  <c r="BE50" i="12"/>
  <c r="BC57" i="12"/>
  <c r="BA39" i="12"/>
  <c r="BA32" i="12"/>
  <c r="AZ59" i="12"/>
  <c r="BC53" i="12"/>
  <c r="BE52" i="8"/>
  <c r="BD42" i="8"/>
  <c r="BC58" i="8"/>
  <c r="BD21" i="8"/>
  <c r="BE14" i="8"/>
  <c r="BE10" i="8" s="1"/>
  <c r="AG10" i="8" s="1"/>
  <c r="BC55" i="8"/>
  <c r="AY55" i="8"/>
  <c r="BE54" i="8"/>
  <c r="BA45" i="8"/>
  <c r="BC23" i="8"/>
  <c r="BC47" i="8"/>
  <c r="AZ37" i="11"/>
  <c r="BD15" i="11"/>
  <c r="BD10" i="11" s="1"/>
  <c r="AF10" i="11" s="1"/>
  <c r="BD26" i="11"/>
  <c r="BD34" i="11"/>
  <c r="BB19" i="11"/>
  <c r="BA23" i="11"/>
  <c r="BE39" i="11"/>
  <c r="BE47" i="11"/>
  <c r="AY57" i="11"/>
  <c r="BE48" i="9"/>
  <c r="BB56" i="13"/>
  <c r="BA54" i="13"/>
  <c r="AZ14" i="13"/>
  <c r="BD48" i="13"/>
  <c r="BB33" i="10"/>
  <c r="BA37" i="17"/>
  <c r="AT24" i="16"/>
  <c r="AW51" i="16"/>
  <c r="AV24" i="16"/>
  <c r="AS27" i="16"/>
  <c r="AU39" i="16"/>
  <c r="BA54" i="16"/>
  <c r="BD25" i="16"/>
  <c r="BD57" i="16"/>
  <c r="BB29" i="16"/>
  <c r="BC38" i="16"/>
  <c r="AZ30" i="16"/>
  <c r="AU18" i="16"/>
  <c r="AQ54" i="16"/>
  <c r="AW41" i="16"/>
  <c r="AS47" i="16"/>
  <c r="AU53" i="16"/>
  <c r="BE49" i="16"/>
  <c r="BA60" i="16"/>
  <c r="AY31" i="16"/>
  <c r="AY38" i="16"/>
  <c r="BB40" i="16"/>
  <c r="BB24" i="16"/>
  <c r="AQ46" i="16"/>
  <c r="AW16" i="16"/>
  <c r="AU20" i="16"/>
  <c r="T10" i="16"/>
  <c r="AR13" i="16"/>
  <c r="L61" i="16"/>
  <c r="W10" i="16"/>
  <c r="O61" i="16"/>
  <c r="AU13" i="16"/>
  <c r="AW54" i="16"/>
  <c r="AY19" i="16"/>
  <c r="BA28" i="16"/>
  <c r="BB55" i="16"/>
  <c r="AZ35" i="16"/>
  <c r="BB48" i="16"/>
  <c r="AW27" i="16"/>
  <c r="AU32" i="16"/>
  <c r="AQ19" i="16"/>
  <c r="AT14" i="16"/>
  <c r="AS17" i="16"/>
  <c r="AS56" i="16"/>
  <c r="BC51" i="16"/>
  <c r="AZ40" i="16"/>
  <c r="AY20" i="16"/>
  <c r="AY60" i="16"/>
  <c r="BE18" i="16"/>
  <c r="AQ58" i="16"/>
  <c r="AT50" i="16"/>
  <c r="AS20" i="16"/>
  <c r="AT31" i="16"/>
  <c r="AU16" i="16"/>
  <c r="AV19" i="16"/>
  <c r="BD53" i="16"/>
  <c r="BD17" i="16"/>
  <c r="BE39" i="16"/>
  <c r="BB17" i="16"/>
  <c r="BD36" i="16"/>
  <c r="BB47" i="16"/>
  <c r="AW55" i="16"/>
  <c r="AQ48" i="16"/>
  <c r="AV50" i="16"/>
  <c r="AW49" i="16"/>
  <c r="AS51" i="16"/>
  <c r="BB13" i="12"/>
  <c r="BB10" i="12" s="1"/>
  <c r="AD10" i="12" s="1"/>
  <c r="BE20" i="12"/>
  <c r="BC28" i="12"/>
  <c r="BA28" i="12"/>
  <c r="BD49" i="12"/>
  <c r="BD42" i="12"/>
  <c r="BC37" i="12"/>
  <c r="AY25" i="12"/>
  <c r="BB24" i="12"/>
  <c r="BA22" i="12"/>
  <c r="BC55" i="12"/>
  <c r="BD13" i="12"/>
  <c r="BE18" i="12"/>
  <c r="BD15" i="12"/>
  <c r="AY60" i="12"/>
  <c r="BB47" i="12"/>
  <c r="BA60" i="12"/>
  <c r="AZ53" i="12"/>
  <c r="BD33" i="12"/>
  <c r="AY32" i="12"/>
  <c r="AZ50" i="12"/>
  <c r="AY28" i="12"/>
  <c r="AZ51" i="12"/>
  <c r="AY49" i="12"/>
  <c r="BA21" i="12"/>
  <c r="BA10" i="12" s="1"/>
  <c r="AC10" i="12" s="1"/>
  <c r="BE45" i="12"/>
  <c r="BB43" i="12"/>
  <c r="BB46" i="12"/>
  <c r="BC13" i="12"/>
  <c r="AY29" i="12"/>
  <c r="BD54" i="12"/>
  <c r="BD23" i="12"/>
  <c r="BC54" i="12"/>
  <c r="BE40" i="12"/>
  <c r="BB24" i="8"/>
  <c r="BC35" i="8"/>
  <c r="BD55" i="8"/>
  <c r="BC16" i="8"/>
  <c r="AZ52" i="8"/>
  <c r="AZ37" i="8"/>
  <c r="BB41" i="8"/>
  <c r="AZ53" i="8"/>
  <c r="BC44" i="8"/>
  <c r="AZ46" i="8"/>
  <c r="BB29" i="11"/>
  <c r="BE37" i="11"/>
  <c r="BE29" i="11"/>
  <c r="BE26" i="11"/>
  <c r="BA60" i="11"/>
  <c r="BE30" i="11"/>
  <c r="BD20" i="11"/>
  <c r="BC25" i="11"/>
  <c r="AZ17" i="11"/>
  <c r="AY39" i="11"/>
  <c r="BC60" i="9"/>
  <c r="BE29" i="13"/>
  <c r="BC59" i="9"/>
  <c r="BA57" i="13"/>
  <c r="BD24" i="9"/>
  <c r="AY40" i="10"/>
  <c r="AZ20" i="17"/>
  <c r="BA46" i="12"/>
  <c r="AY40" i="12"/>
  <c r="BC20" i="12"/>
  <c r="BA51" i="12"/>
  <c r="BA56" i="12"/>
  <c r="BD51" i="12"/>
  <c r="BA27" i="12"/>
  <c r="AY41" i="12"/>
  <c r="BC48" i="12"/>
  <c r="BE33" i="12"/>
  <c r="BD59" i="12"/>
  <c r="BA44" i="12"/>
  <c r="BA52" i="12"/>
  <c r="BE26" i="12"/>
  <c r="AY56" i="12"/>
  <c r="BB44" i="12"/>
  <c r="BE49" i="8"/>
  <c r="BD24" i="8"/>
  <c r="BE31" i="8"/>
  <c r="AY26" i="8"/>
  <c r="BA54" i="8"/>
  <c r="BB25" i="8"/>
  <c r="BD60" i="8"/>
  <c r="AY58" i="8"/>
  <c r="AY17" i="8"/>
  <c r="BE30" i="8"/>
  <c r="AY45" i="11"/>
  <c r="BC39" i="11"/>
  <c r="BB17" i="11"/>
  <c r="AZ50" i="11"/>
  <c r="BA35" i="11"/>
  <c r="BE56" i="11"/>
  <c r="BA50" i="11"/>
  <c r="BD23" i="11"/>
  <c r="BD46" i="11"/>
  <c r="AY29" i="11"/>
  <c r="AZ35" i="9"/>
  <c r="AZ56" i="9"/>
  <c r="BB35" i="9"/>
  <c r="BE51" i="9"/>
  <c r="BE18" i="13"/>
  <c r="BA32" i="10"/>
  <c r="AS58" i="17"/>
  <c r="AZ59" i="9"/>
  <c r="AY29" i="13"/>
  <c r="AZ35" i="13"/>
  <c r="BE34" i="9"/>
  <c r="AY34" i="13"/>
  <c r="BB21" i="9"/>
  <c r="BD46" i="10"/>
  <c r="BA52" i="10"/>
  <c r="BB59" i="10"/>
  <c r="BE17" i="10"/>
  <c r="AY24" i="10"/>
  <c r="BD48" i="17"/>
  <c r="AZ35" i="17"/>
  <c r="AV60" i="17"/>
  <c r="BE17" i="12"/>
  <c r="BE55" i="12"/>
  <c r="BA41" i="12"/>
  <c r="AZ34" i="12"/>
  <c r="AZ33" i="12"/>
  <c r="BB32" i="12"/>
  <c r="BE54" i="12"/>
  <c r="BC58" i="12"/>
  <c r="BB60" i="12"/>
  <c r="BD16" i="12"/>
  <c r="AZ57" i="12"/>
  <c r="BA59" i="8"/>
  <c r="AY48" i="8"/>
  <c r="BB30" i="8"/>
  <c r="BC32" i="8"/>
  <c r="BC43" i="8"/>
  <c r="BB27" i="8"/>
  <c r="AZ23" i="8"/>
  <c r="AZ33" i="8"/>
  <c r="BE18" i="8"/>
  <c r="AY30" i="8"/>
  <c r="BE25" i="8"/>
  <c r="AY15" i="8"/>
  <c r="AZ20" i="8"/>
  <c r="BC38" i="8"/>
  <c r="BA52" i="8"/>
  <c r="BE29" i="8"/>
  <c r="BC31" i="8"/>
  <c r="BC45" i="8"/>
  <c r="BD34" i="8"/>
  <c r="BA35" i="8"/>
  <c r="BA18" i="8"/>
  <c r="BD48" i="8"/>
  <c r="BD58" i="8"/>
  <c r="BB29" i="8"/>
  <c r="BE58" i="8"/>
  <c r="BB55" i="8"/>
  <c r="AY37" i="8"/>
  <c r="BA27" i="8"/>
  <c r="AY44" i="8"/>
  <c r="BA38" i="8"/>
  <c r="AZ50" i="8"/>
  <c r="BB59" i="8"/>
  <c r="AY35" i="8"/>
  <c r="BD35" i="8"/>
  <c r="BB38" i="8"/>
  <c r="AZ19" i="8"/>
  <c r="BE38" i="8"/>
  <c r="AY59" i="8"/>
  <c r="AZ18" i="8"/>
  <c r="BD50" i="8"/>
  <c r="BD16" i="8"/>
  <c r="BC48" i="8"/>
  <c r="BB53" i="11"/>
  <c r="BB14" i="11"/>
  <c r="BD30" i="11"/>
  <c r="AY35" i="11"/>
  <c r="BC32" i="11"/>
  <c r="BB59" i="11"/>
  <c r="BA22" i="11"/>
  <c r="BA42" i="11"/>
  <c r="BC37" i="11"/>
  <c r="BC59" i="11"/>
  <c r="BB60" i="11"/>
  <c r="BB57" i="11"/>
  <c r="BC35" i="11"/>
  <c r="AZ51" i="11"/>
  <c r="AZ53" i="11"/>
  <c r="BB31" i="11"/>
  <c r="BA24" i="11"/>
  <c r="AZ57" i="11"/>
  <c r="BD44" i="11"/>
  <c r="AY20" i="11"/>
  <c r="AY41" i="11"/>
  <c r="BA20" i="11"/>
  <c r="BA10" i="11" s="1"/>
  <c r="AC10" i="11" s="1"/>
  <c r="BC57" i="11"/>
  <c r="BA41" i="11"/>
  <c r="BB45" i="11"/>
  <c r="AZ36" i="11"/>
  <c r="BB41" i="11"/>
  <c r="BB28" i="11"/>
  <c r="BC19" i="11"/>
  <c r="AY22" i="11"/>
  <c r="AY10" i="11" s="1"/>
  <c r="AA10" i="11" s="1"/>
  <c r="BB44" i="11"/>
  <c r="AY55" i="11"/>
  <c r="AZ29" i="11"/>
  <c r="BB23" i="11"/>
  <c r="AY56" i="11"/>
  <c r="BB30" i="11"/>
  <c r="BB47" i="11"/>
  <c r="BC58" i="11"/>
  <c r="AZ47" i="9"/>
  <c r="BE40" i="9"/>
  <c r="AY28" i="9"/>
  <c r="BC27" i="13"/>
  <c r="AY37" i="13"/>
  <c r="AY13" i="13"/>
  <c r="BA42" i="9"/>
  <c r="BB54" i="9"/>
  <c r="BA55" i="13"/>
  <c r="AY42" i="13"/>
  <c r="BE36" i="9"/>
  <c r="BD40" i="9"/>
  <c r="BB41" i="13"/>
  <c r="BC51" i="13"/>
  <c r="AY30" i="9"/>
  <c r="BC37" i="9"/>
  <c r="BC55" i="13"/>
  <c r="BE37" i="13"/>
  <c r="BC27" i="9"/>
  <c r="BA21" i="13"/>
  <c r="BC58" i="13"/>
  <c r="BB48" i="13"/>
  <c r="BE54" i="13"/>
  <c r="BA42" i="13"/>
  <c r="BC44" i="10"/>
  <c r="AY46" i="10"/>
  <c r="BB41" i="10"/>
  <c r="BA20" i="10"/>
  <c r="BE51" i="10"/>
  <c r="BB38" i="17"/>
  <c r="AY38" i="17"/>
  <c r="AZ43" i="17"/>
  <c r="G42" i="5"/>
  <c r="H42" i="5" s="1"/>
  <c r="BE39" i="12"/>
  <c r="BC26" i="12"/>
  <c r="AZ48" i="12"/>
  <c r="BD55" i="12"/>
  <c r="BC25" i="12"/>
  <c r="BA24" i="12"/>
  <c r="AZ15" i="12"/>
  <c r="AZ10" i="12" s="1"/>
  <c r="AB10" i="12" s="1"/>
  <c r="BC59" i="12"/>
  <c r="AY50" i="12"/>
  <c r="BC33" i="12"/>
  <c r="AZ36" i="8"/>
  <c r="BE55" i="8"/>
  <c r="BB15" i="8"/>
  <c r="BA20" i="8"/>
  <c r="BC56" i="8"/>
  <c r="AZ39" i="8"/>
  <c r="BC21" i="8"/>
  <c r="BA28" i="8"/>
  <c r="BC57" i="8"/>
  <c r="AZ49" i="8"/>
  <c r="BC41" i="8"/>
  <c r="BD53" i="8"/>
  <c r="BE32" i="8"/>
  <c r="AY60" i="8"/>
  <c r="BB45" i="8"/>
  <c r="BB56" i="8"/>
  <c r="AY45" i="8"/>
  <c r="BA17" i="8"/>
  <c r="AZ14" i="8"/>
  <c r="AZ22" i="8"/>
  <c r="BD49" i="8"/>
  <c r="BB13" i="8"/>
  <c r="BC52" i="8"/>
  <c r="BA47" i="8"/>
  <c r="BA60" i="8"/>
  <c r="BC26" i="8"/>
  <c r="BA42" i="8"/>
  <c r="BA48" i="8"/>
  <c r="BC20" i="8"/>
  <c r="BD28" i="8"/>
  <c r="AY31" i="8"/>
  <c r="AZ48" i="8"/>
  <c r="AY41" i="8"/>
  <c r="AY34" i="8"/>
  <c r="BD19" i="8"/>
  <c r="BA56" i="8"/>
  <c r="BA53" i="8"/>
  <c r="BB53" i="8"/>
  <c r="BE44" i="8"/>
  <c r="BE45" i="8"/>
  <c r="BA43" i="8"/>
  <c r="BE36" i="8"/>
  <c r="AY60" i="11"/>
  <c r="AY23" i="11"/>
  <c r="BC48" i="11"/>
  <c r="AY17" i="11"/>
  <c r="BE50" i="11"/>
  <c r="BC34" i="11"/>
  <c r="BA31" i="11"/>
  <c r="AZ16" i="11"/>
  <c r="BD40" i="11"/>
  <c r="BE57" i="11"/>
  <c r="BD42" i="11"/>
  <c r="BD19" i="11"/>
  <c r="AY52" i="11"/>
  <c r="BB39" i="11"/>
  <c r="BC60" i="11"/>
  <c r="BB49" i="11"/>
  <c r="BC24" i="11"/>
  <c r="BB46" i="11"/>
  <c r="BA36" i="11"/>
  <c r="AZ25" i="11"/>
  <c r="AY24" i="11"/>
  <c r="BA49" i="11"/>
  <c r="BE41" i="11"/>
  <c r="BD52" i="11"/>
  <c r="BB32" i="11"/>
  <c r="AZ56" i="11"/>
  <c r="AY30" i="11"/>
  <c r="BC16" i="11"/>
  <c r="BE17" i="11"/>
  <c r="BE28" i="11"/>
  <c r="BA33" i="11"/>
  <c r="BA40" i="11"/>
  <c r="AY58" i="11"/>
  <c r="BA29" i="11"/>
  <c r="BD25" i="11"/>
  <c r="BB50" i="11"/>
  <c r="AY26" i="11"/>
  <c r="BA37" i="11"/>
  <c r="BA43" i="11"/>
  <c r="BC50" i="9"/>
  <c r="BB45" i="9"/>
  <c r="BC43" i="9"/>
  <c r="BC50" i="13"/>
  <c r="BB24" i="13"/>
  <c r="BA51" i="13"/>
  <c r="BD59" i="9"/>
  <c r="BB33" i="9"/>
  <c r="BB17" i="13"/>
  <c r="AZ44" i="13"/>
  <c r="BA56" i="9"/>
  <c r="BC56" i="9"/>
  <c r="BE19" i="13"/>
  <c r="BA20" i="13"/>
  <c r="BB59" i="9"/>
  <c r="BB50" i="9"/>
  <c r="BC38" i="13"/>
  <c r="BB19" i="13"/>
  <c r="BC47" i="9"/>
  <c r="BB37" i="13"/>
  <c r="BD47" i="9"/>
  <c r="AY60" i="13"/>
  <c r="AY48" i="13"/>
  <c r="BD14" i="13"/>
  <c r="BA33" i="10"/>
  <c r="AY47" i="10"/>
  <c r="BD19" i="10"/>
  <c r="BB18" i="10"/>
  <c r="BE56" i="10"/>
  <c r="AZ53" i="17"/>
  <c r="AY22" i="17"/>
  <c r="BD32" i="17"/>
  <c r="AQ39" i="17"/>
  <c r="BC44" i="12"/>
  <c r="AZ32" i="12"/>
  <c r="BC51" i="12"/>
  <c r="AY18" i="12"/>
  <c r="BC27" i="12"/>
  <c r="BE34" i="12"/>
  <c r="AZ36" i="12"/>
  <c r="AY58" i="12"/>
  <c r="AY37" i="12"/>
  <c r="BB25" i="12"/>
  <c r="BA19" i="8"/>
  <c r="AZ32" i="8"/>
  <c r="BA25" i="8"/>
  <c r="BA15" i="8"/>
  <c r="BC53" i="8"/>
  <c r="BE23" i="8"/>
  <c r="BD22" i="8"/>
  <c r="AZ43" i="8"/>
  <c r="BE41" i="8"/>
  <c r="BB44" i="8"/>
  <c r="BE50" i="8"/>
  <c r="BD43" i="8"/>
  <c r="BD27" i="8"/>
  <c r="BB26" i="8"/>
  <c r="BD26" i="8"/>
  <c r="BA21" i="8"/>
  <c r="BD13" i="8"/>
  <c r="BD10" i="8" s="1"/>
  <c r="AF10" i="8" s="1"/>
  <c r="BB52" i="8"/>
  <c r="AZ21" i="8"/>
  <c r="BD41" i="8"/>
  <c r="BD25" i="8"/>
  <c r="BA39" i="8"/>
  <c r="AZ60" i="8"/>
  <c r="BC39" i="8"/>
  <c r="AZ44" i="8"/>
  <c r="BE37" i="8"/>
  <c r="AY27" i="8"/>
  <c r="AY28" i="8"/>
  <c r="BE39" i="8"/>
  <c r="BA13" i="8"/>
  <c r="AY51" i="8"/>
  <c r="BD36" i="8"/>
  <c r="AY23" i="8"/>
  <c r="BC54" i="8"/>
  <c r="BE35" i="8"/>
  <c r="BB48" i="8"/>
  <c r="BD33" i="8"/>
  <c r="BB19" i="8"/>
  <c r="BB57" i="8"/>
  <c r="BB33" i="8"/>
  <c r="AY38" i="8"/>
  <c r="AZ42" i="8"/>
  <c r="AZ54" i="11"/>
  <c r="AY34" i="11"/>
  <c r="BE21" i="11"/>
  <c r="BE14" i="11"/>
  <c r="BC53" i="11"/>
  <c r="BC41" i="11"/>
  <c r="AY33" i="11"/>
  <c r="BE16" i="11"/>
  <c r="AZ34" i="11"/>
  <c r="BE33" i="11"/>
  <c r="AY25" i="11"/>
  <c r="BA39" i="11"/>
  <c r="BD16" i="11"/>
  <c r="AZ23" i="11"/>
  <c r="BB42" i="11"/>
  <c r="BC20" i="11"/>
  <c r="AY59" i="11"/>
  <c r="AZ41" i="11"/>
  <c r="AZ15" i="11"/>
  <c r="BB15" i="11"/>
  <c r="AZ14" i="11"/>
  <c r="AY46" i="11"/>
  <c r="BE15" i="11"/>
  <c r="AY38" i="11"/>
  <c r="BE51" i="11"/>
  <c r="BC26" i="11"/>
  <c r="BC51" i="11"/>
  <c r="BA53" i="11"/>
  <c r="BA48" i="11"/>
  <c r="AY53" i="11"/>
  <c r="BE36" i="11"/>
  <c r="BC30" i="11"/>
  <c r="BD33" i="11"/>
  <c r="AZ42" i="11"/>
  <c r="BD14" i="11"/>
  <c r="AY14" i="11"/>
  <c r="BD37" i="11"/>
  <c r="BB25" i="11"/>
  <c r="BC21" i="11"/>
  <c r="BE59" i="9"/>
  <c r="BA39" i="9"/>
  <c r="AY31" i="9"/>
  <c r="BD34" i="13"/>
  <c r="BB58" i="13"/>
  <c r="AZ52" i="9"/>
  <c r="BA58" i="9"/>
  <c r="BB53" i="9"/>
  <c r="AY35" i="13"/>
  <c r="AY15" i="13"/>
  <c r="BD41" i="9"/>
  <c r="BD45" i="9"/>
  <c r="BA13" i="13"/>
  <c r="BE39" i="13"/>
  <c r="BA43" i="9"/>
  <c r="BB43" i="9"/>
  <c r="BB26" i="13"/>
  <c r="AY58" i="9"/>
  <c r="BB59" i="13"/>
  <c r="BD18" i="13"/>
  <c r="BE23" i="9"/>
  <c r="BD25" i="13"/>
  <c r="AZ34" i="9"/>
  <c r="BD27" i="13"/>
  <c r="BA35" i="10"/>
  <c r="BB27" i="10"/>
  <c r="AZ48" i="10"/>
  <c r="AY57" i="10"/>
  <c r="BC48" i="10"/>
  <c r="BB47" i="17"/>
  <c r="BB35" i="17"/>
  <c r="AY36" i="17"/>
  <c r="AV57" i="17"/>
  <c r="AV33" i="17"/>
  <c r="BB51" i="12"/>
  <c r="BA26" i="12"/>
  <c r="BD47" i="12"/>
  <c r="BA31" i="12"/>
  <c r="BD30" i="12"/>
  <c r="AZ56" i="12"/>
  <c r="AZ58" i="12"/>
  <c r="BA42" i="12"/>
  <c r="BD19" i="12"/>
  <c r="BD48" i="12"/>
  <c r="AY27" i="12"/>
  <c r="BE47" i="8"/>
  <c r="BB58" i="8"/>
  <c r="AZ26" i="8"/>
  <c r="AY21" i="8"/>
  <c r="AZ59" i="8"/>
  <c r="BB35" i="8"/>
  <c r="BC24" i="8"/>
  <c r="BE43" i="8"/>
  <c r="BB49" i="8"/>
  <c r="BA29" i="8"/>
  <c r="BE51" i="8"/>
  <c r="BD17" i="8"/>
  <c r="BA41" i="8"/>
  <c r="BB32" i="8"/>
  <c r="AY56" i="8"/>
  <c r="BD37" i="8"/>
  <c r="BA16" i="8"/>
  <c r="BE46" i="8"/>
  <c r="AY32" i="8"/>
  <c r="AY22" i="8"/>
  <c r="BD40" i="8"/>
  <c r="BC59" i="8"/>
  <c r="AY46" i="8"/>
  <c r="AZ31" i="8"/>
  <c r="BC19" i="8"/>
  <c r="BD59" i="8"/>
  <c r="AY47" i="8"/>
  <c r="AZ55" i="8"/>
  <c r="BC14" i="8"/>
  <c r="AY14" i="8"/>
  <c r="BB47" i="8"/>
  <c r="BB21" i="8"/>
  <c r="BE34" i="8"/>
  <c r="AZ13" i="8"/>
  <c r="BE59" i="8"/>
  <c r="BA23" i="8"/>
  <c r="AZ15" i="8"/>
  <c r="BC37" i="8"/>
  <c r="BE42" i="8"/>
  <c r="BD56" i="8"/>
  <c r="BA24" i="8"/>
  <c r="BD30" i="8"/>
  <c r="AY27" i="11"/>
  <c r="AZ21" i="11"/>
  <c r="BB51" i="11"/>
  <c r="BA32" i="11"/>
  <c r="BC56" i="11"/>
  <c r="AY18" i="11"/>
  <c r="BE44" i="11"/>
  <c r="BD53" i="11"/>
  <c r="BD21" i="11"/>
  <c r="AZ52" i="11"/>
  <c r="BE58" i="11"/>
  <c r="BA21" i="11"/>
  <c r="BE13" i="11"/>
  <c r="BE52" i="11"/>
  <c r="BD54" i="11"/>
  <c r="BC18" i="11"/>
  <c r="AY31" i="11"/>
  <c r="BA25" i="11"/>
  <c r="BB58" i="11"/>
  <c r="BD59" i="11"/>
  <c r="AY21" i="11"/>
  <c r="AY42" i="11"/>
  <c r="BC49" i="11"/>
  <c r="BA44" i="11"/>
  <c r="BA56" i="11"/>
  <c r="BA38" i="11"/>
  <c r="BE23" i="11"/>
  <c r="AY15" i="11"/>
  <c r="BB40" i="11"/>
  <c r="BB22" i="11"/>
  <c r="BE24" i="11"/>
  <c r="AZ32" i="11"/>
  <c r="AY43" i="11"/>
  <c r="BE55" i="11"/>
  <c r="AY50" i="11"/>
  <c r="AZ60" i="11"/>
  <c r="BA28" i="11"/>
  <c r="BB33" i="11"/>
  <c r="AZ43" i="11"/>
  <c r="BA29" i="13"/>
  <c r="BE39" i="9"/>
  <c r="BE50" i="9"/>
  <c r="BB45" i="13"/>
  <c r="BB21" i="13"/>
  <c r="BA25" i="9"/>
  <c r="BA41" i="9"/>
  <c r="BA26" i="9"/>
  <c r="AY16" i="13"/>
  <c r="BB55" i="13"/>
  <c r="BC25" i="9"/>
  <c r="BD33" i="9"/>
  <c r="BB52" i="13"/>
  <c r="BA38" i="9"/>
  <c r="BB29" i="9"/>
  <c r="BA20" i="9"/>
  <c r="BE60" i="13"/>
  <c r="AZ53" i="9"/>
  <c r="AY23" i="13"/>
  <c r="BC15" i="13"/>
  <c r="BE35" i="9"/>
  <c r="AY31" i="13"/>
  <c r="BE31" i="9"/>
  <c r="BA60" i="13"/>
  <c r="BC23" i="10"/>
  <c r="BD13" i="10"/>
  <c r="BD10" i="10" s="1"/>
  <c r="AF10" i="10" s="1"/>
  <c r="BC43" i="10"/>
  <c r="BE54" i="10"/>
  <c r="BC32" i="10"/>
  <c r="BC30" i="17"/>
  <c r="BD43" i="17"/>
  <c r="BE50" i="17"/>
  <c r="BD46" i="17"/>
  <c r="G34" i="5"/>
  <c r="H34" i="5" s="1"/>
  <c r="I47" i="5"/>
  <c r="BC47" i="12"/>
  <c r="BB52" i="12"/>
  <c r="BE15" i="12"/>
  <c r="BE36" i="12"/>
  <c r="BB21" i="12"/>
  <c r="AY57" i="12"/>
  <c r="BD37" i="12"/>
  <c r="BA16" i="12"/>
  <c r="BB42" i="12"/>
  <c r="BB53" i="12"/>
  <c r="BC46" i="12"/>
  <c r="BB28" i="8"/>
  <c r="BB18" i="8"/>
  <c r="BE40" i="8"/>
  <c r="BD20" i="8"/>
  <c r="BB31" i="8"/>
  <c r="BE15" i="8"/>
  <c r="BB46" i="8"/>
  <c r="BB42" i="8"/>
  <c r="AY52" i="8"/>
  <c r="AZ29" i="8"/>
  <c r="AZ38" i="8"/>
  <c r="BB51" i="8"/>
  <c r="BB14" i="8"/>
  <c r="BB10" i="8" s="1"/>
  <c r="AD10" i="8" s="1"/>
  <c r="BB23" i="8"/>
  <c r="BC40" i="8"/>
  <c r="BE24" i="8"/>
  <c r="BC34" i="8"/>
  <c r="AY19" i="8"/>
  <c r="BC28" i="8"/>
  <c r="BA46" i="8"/>
  <c r="BE28" i="8"/>
  <c r="AZ35" i="8"/>
  <c r="BC25" i="8"/>
  <c r="BE26" i="8"/>
  <c r="AZ47" i="8"/>
  <c r="AZ30" i="8"/>
  <c r="BB60" i="8"/>
  <c r="AZ28" i="8"/>
  <c r="BB54" i="8"/>
  <c r="BB36" i="8"/>
  <c r="AZ40" i="8"/>
  <c r="AZ41" i="8"/>
  <c r="BA51" i="8"/>
  <c r="AZ51" i="8"/>
  <c r="BC51" i="8"/>
  <c r="BC22" i="8"/>
  <c r="BC13" i="8"/>
  <c r="BD47" i="8"/>
  <c r="BE33" i="8"/>
  <c r="AZ34" i="8"/>
  <c r="BD45" i="8"/>
  <c r="AZ17" i="8"/>
  <c r="AZ46" i="11"/>
  <c r="BE49" i="11"/>
  <c r="AY51" i="11"/>
  <c r="BC36" i="11"/>
  <c r="BD13" i="11"/>
  <c r="AY40" i="11"/>
  <c r="BB36" i="11"/>
  <c r="BA13" i="11"/>
  <c r="BB56" i="11"/>
  <c r="BE53" i="11"/>
  <c r="AY19" i="11"/>
  <c r="BE48" i="11"/>
  <c r="BB43" i="11"/>
  <c r="AZ27" i="11"/>
  <c r="AY48" i="11"/>
  <c r="AZ44" i="11"/>
  <c r="BC15" i="11"/>
  <c r="BD22" i="11"/>
  <c r="BD31" i="11"/>
  <c r="BA26" i="11"/>
  <c r="AZ33" i="11"/>
  <c r="BC23" i="11"/>
  <c r="AY44" i="11"/>
  <c r="BA14" i="11"/>
  <c r="BE54" i="11"/>
  <c r="BE22" i="11"/>
  <c r="BB35" i="11"/>
  <c r="AY13" i="11"/>
  <c r="AY47" i="11"/>
  <c r="AZ13" i="11"/>
  <c r="BA34" i="11"/>
  <c r="AZ45" i="11"/>
  <c r="BA16" i="11"/>
  <c r="BD36" i="11"/>
  <c r="BE43" i="11"/>
  <c r="AZ35" i="11"/>
  <c r="BB21" i="11"/>
  <c r="BA18" i="11"/>
  <c r="BB27" i="11"/>
  <c r="AZ60" i="13"/>
  <c r="AY37" i="9"/>
  <c r="BB28" i="9"/>
  <c r="BC21" i="13"/>
  <c r="BD52" i="13"/>
  <c r="BB39" i="13"/>
  <c r="AZ55" i="9"/>
  <c r="BB34" i="13"/>
  <c r="BE21" i="13"/>
  <c r="AZ23" i="13"/>
  <c r="AY25" i="9"/>
  <c r="BD32" i="13"/>
  <c r="BA53" i="13"/>
  <c r="BB32" i="9"/>
  <c r="BD22" i="9"/>
  <c r="BA28" i="13"/>
  <c r="BE31" i="13"/>
  <c r="BC24" i="9"/>
  <c r="AY36" i="13"/>
  <c r="AZ23" i="9"/>
  <c r="AY41" i="9"/>
  <c r="AY55" i="13"/>
  <c r="AZ21" i="9"/>
  <c r="BD30" i="13"/>
  <c r="BE15" i="10"/>
  <c r="AZ47" i="10"/>
  <c r="AY43" i="10"/>
  <c r="BE25" i="10"/>
  <c r="AZ31" i="10"/>
  <c r="BE58" i="17"/>
  <c r="BE24" i="17"/>
  <c r="BC26" i="17"/>
  <c r="E55" i="3"/>
  <c r="AW41" i="17"/>
  <c r="BD14" i="12"/>
  <c r="BD10" i="12" s="1"/>
  <c r="AF10" i="12" s="1"/>
  <c r="BD44" i="12"/>
  <c r="BA58" i="12"/>
  <c r="BE53" i="12"/>
  <c r="AY44" i="12"/>
  <c r="AZ14" i="12"/>
  <c r="BB20" i="12"/>
  <c r="BA33" i="12"/>
  <c r="AY55" i="12"/>
  <c r="BA36" i="12"/>
  <c r="AZ16" i="12"/>
  <c r="AY18" i="8"/>
  <c r="BA37" i="8"/>
  <c r="AY39" i="8"/>
  <c r="AY54" i="8"/>
  <c r="BD18" i="8"/>
  <c r="BD32" i="8"/>
  <c r="AZ54" i="8"/>
  <c r="BC15" i="8"/>
  <c r="BA32" i="8"/>
  <c r="BE56" i="8"/>
  <c r="AY29" i="8"/>
  <c r="BE13" i="8"/>
  <c r="BA34" i="8"/>
  <c r="BA40" i="8"/>
  <c r="BD44" i="8"/>
  <c r="BC30" i="8"/>
  <c r="BE22" i="8"/>
  <c r="AY43" i="8"/>
  <c r="BC27" i="8"/>
  <c r="BB17" i="8"/>
  <c r="AZ27" i="8"/>
  <c r="BE20" i="8"/>
  <c r="BD46" i="8"/>
  <c r="BC42" i="8"/>
  <c r="BA26" i="8"/>
  <c r="BC36" i="8"/>
  <c r="BD31" i="8"/>
  <c r="BD15" i="8"/>
  <c r="BE16" i="8"/>
  <c r="BA14" i="8"/>
  <c r="BD38" i="8"/>
  <c r="BC46" i="8"/>
  <c r="AY57" i="8"/>
  <c r="BB40" i="8"/>
  <c r="AZ58" i="8"/>
  <c r="BA22" i="8"/>
  <c r="AZ24" i="8"/>
  <c r="AZ16" i="8"/>
  <c r="AZ10" i="8" s="1"/>
  <c r="AB10" i="8" s="1"/>
  <c r="AZ56" i="8"/>
  <c r="BC18" i="8"/>
  <c r="AY16" i="8"/>
  <c r="BA44" i="8"/>
  <c r="BE31" i="11"/>
  <c r="AZ18" i="11"/>
  <c r="BD17" i="11"/>
  <c r="BE25" i="11"/>
  <c r="BD51" i="11"/>
  <c r="BA15" i="11"/>
  <c r="AZ58" i="11"/>
  <c r="BE42" i="11"/>
  <c r="BE59" i="11"/>
  <c r="BA46" i="11"/>
  <c r="BE46" i="11"/>
  <c r="BD35" i="11"/>
  <c r="BA47" i="11"/>
  <c r="AZ49" i="11"/>
  <c r="AZ48" i="11"/>
  <c r="BB34" i="11"/>
  <c r="BA54" i="11"/>
  <c r="BA57" i="11"/>
  <c r="AY54" i="11"/>
  <c r="AZ55" i="11"/>
  <c r="AZ28" i="11"/>
  <c r="BE45" i="11"/>
  <c r="BB37" i="11"/>
  <c r="BC52" i="11"/>
  <c r="BC40" i="11"/>
  <c r="BD56" i="11"/>
  <c r="BC45" i="11"/>
  <c r="BD24" i="11"/>
  <c r="BA27" i="11"/>
  <c r="BC46" i="11"/>
  <c r="BA55" i="11"/>
  <c r="BC14" i="11"/>
  <c r="AZ39" i="11"/>
  <c r="BD55" i="11"/>
  <c r="BD41" i="11"/>
  <c r="BE27" i="11"/>
  <c r="BE38" i="11"/>
  <c r="BC42" i="11"/>
  <c r="BC28" i="11"/>
  <c r="BC52" i="13"/>
  <c r="BA34" i="9"/>
  <c r="BC48" i="9"/>
  <c r="BA48" i="13"/>
  <c r="BA35" i="13"/>
  <c r="BC25" i="13"/>
  <c r="BC40" i="9"/>
  <c r="AY18" i="13"/>
  <c r="BB36" i="13"/>
  <c r="BD33" i="13"/>
  <c r="BC39" i="9"/>
  <c r="BD13" i="13"/>
  <c r="BD55" i="13"/>
  <c r="BC45" i="9"/>
  <c r="BE29" i="9"/>
  <c r="BA39" i="13"/>
  <c r="BC46" i="13"/>
  <c r="AZ37" i="9"/>
  <c r="AY51" i="13"/>
  <c r="BE42" i="9"/>
  <c r="AY52" i="9"/>
  <c r="BE20" i="13"/>
  <c r="AY51" i="9"/>
  <c r="BD48" i="10"/>
  <c r="BE40" i="10"/>
  <c r="BA37" i="10"/>
  <c r="BA30" i="10"/>
  <c r="BD20" i="10"/>
  <c r="BA36" i="10"/>
  <c r="AZ54" i="17"/>
  <c r="BA29" i="17"/>
  <c r="BC51" i="17"/>
  <c r="AV25" i="17"/>
  <c r="G47" i="5"/>
  <c r="H47" i="5" s="1"/>
  <c r="BB13" i="11"/>
  <c r="BB52" i="11"/>
  <c r="BC44" i="11"/>
  <c r="BC55" i="11"/>
  <c r="AY16" i="11"/>
  <c r="BC54" i="11"/>
  <c r="BE19" i="11"/>
  <c r="AY44" i="9"/>
  <c r="BB51" i="9"/>
  <c r="BD38" i="9"/>
  <c r="BA21" i="9"/>
  <c r="BA10" i="9" s="1"/>
  <c r="AC10" i="9" s="1"/>
  <c r="BA60" i="9"/>
  <c r="BB36" i="9"/>
  <c r="BC30" i="13"/>
  <c r="BE47" i="13"/>
  <c r="AZ15" i="13"/>
  <c r="BE51" i="13"/>
  <c r="AZ57" i="13"/>
  <c r="BB57" i="9"/>
  <c r="BA30" i="13"/>
  <c r="BC29" i="9"/>
  <c r="BC46" i="9"/>
  <c r="BC58" i="9"/>
  <c r="AY49" i="9"/>
  <c r="AY47" i="13"/>
  <c r="BA43" i="13"/>
  <c r="BA32" i="13"/>
  <c r="AZ42" i="13"/>
  <c r="BA33" i="13"/>
  <c r="BE40" i="13"/>
  <c r="BA55" i="9"/>
  <c r="BD21" i="9"/>
  <c r="BC55" i="9"/>
  <c r="BE20" i="9"/>
  <c r="BD48" i="9"/>
  <c r="BE49" i="13"/>
  <c r="AY41" i="13"/>
  <c r="BB38" i="13"/>
  <c r="BB33" i="13"/>
  <c r="BC34" i="13"/>
  <c r="BA57" i="9"/>
  <c r="BE45" i="9"/>
  <c r="BD37" i="9"/>
  <c r="BB30" i="9"/>
  <c r="AZ39" i="9"/>
  <c r="BA23" i="9"/>
  <c r="AZ34" i="13"/>
  <c r="AZ52" i="13"/>
  <c r="AY33" i="13"/>
  <c r="BC43" i="13"/>
  <c r="BD50" i="13"/>
  <c r="BA23" i="13"/>
  <c r="BA46" i="9"/>
  <c r="BC51" i="9"/>
  <c r="AY39" i="9"/>
  <c r="AY24" i="9"/>
  <c r="BE21" i="9"/>
  <c r="BB60" i="13"/>
  <c r="BD16" i="13"/>
  <c r="BD44" i="13"/>
  <c r="BA37" i="13"/>
  <c r="BD51" i="13"/>
  <c r="BD49" i="9"/>
  <c r="AY44" i="13"/>
  <c r="BC35" i="9"/>
  <c r="BE32" i="9"/>
  <c r="BB46" i="9"/>
  <c r="AY32" i="9"/>
  <c r="BB14" i="13"/>
  <c r="BC33" i="13"/>
  <c r="BD22" i="13"/>
  <c r="AZ58" i="13"/>
  <c r="BB40" i="13"/>
  <c r="BD28" i="9"/>
  <c r="BC26" i="9"/>
  <c r="AZ32" i="9"/>
  <c r="AZ17" i="13"/>
  <c r="BD41" i="13"/>
  <c r="AY48" i="10"/>
  <c r="BE20" i="10"/>
  <c r="BD32" i="10"/>
  <c r="BE58" i="10"/>
  <c r="BB49" i="10"/>
  <c r="BD51" i="10"/>
  <c r="AY22" i="10"/>
  <c r="AZ60" i="10"/>
  <c r="AZ32" i="10"/>
  <c r="AZ45" i="10"/>
  <c r="BC13" i="10"/>
  <c r="AZ20" i="10"/>
  <c r="AZ21" i="10"/>
  <c r="AZ35" i="10"/>
  <c r="BB51" i="10"/>
  <c r="AY39" i="10"/>
  <c r="BC17" i="10"/>
  <c r="BD59" i="10"/>
  <c r="AY41" i="10"/>
  <c r="BE23" i="10"/>
  <c r="BE29" i="10"/>
  <c r="BD53" i="17"/>
  <c r="AZ55" i="17"/>
  <c r="BA27" i="17"/>
  <c r="AZ52" i="17"/>
  <c r="AZ29" i="17"/>
  <c r="BA42" i="17"/>
  <c r="BA56" i="17"/>
  <c r="BA55" i="17"/>
  <c r="AZ40" i="17"/>
  <c r="BB44" i="17"/>
  <c r="AQ54" i="17"/>
  <c r="J30" i="5"/>
  <c r="AR40" i="17"/>
  <c r="AR58" i="17"/>
  <c r="AV55" i="17"/>
  <c r="AQ34" i="17"/>
  <c r="BA52" i="11"/>
  <c r="BC50" i="11"/>
  <c r="BC31" i="11"/>
  <c r="BA59" i="11"/>
  <c r="BC29" i="11"/>
  <c r="BC22" i="11"/>
  <c r="AY38" i="9"/>
  <c r="AY22" i="9"/>
  <c r="BE33" i="9"/>
  <c r="BB42" i="9"/>
  <c r="BC49" i="9"/>
  <c r="AZ54" i="9"/>
  <c r="BE27" i="9"/>
  <c r="AY59" i="13"/>
  <c r="AZ53" i="13"/>
  <c r="AZ38" i="13"/>
  <c r="BB16" i="13"/>
  <c r="BB10" i="13" s="1"/>
  <c r="AD10" i="13" s="1"/>
  <c r="BE48" i="13"/>
  <c r="AY58" i="13"/>
  <c r="AZ58" i="9"/>
  <c r="AZ27" i="9"/>
  <c r="BD55" i="9"/>
  <c r="BD46" i="9"/>
  <c r="BD43" i="9"/>
  <c r="BA25" i="13"/>
  <c r="BB20" i="13"/>
  <c r="BD59" i="13"/>
  <c r="BD42" i="13"/>
  <c r="AZ27" i="13"/>
  <c r="BB43" i="13"/>
  <c r="AZ33" i="9"/>
  <c r="BB27" i="9"/>
  <c r="AZ22" i="9"/>
  <c r="BD31" i="9"/>
  <c r="AY28" i="13"/>
  <c r="AY53" i="13"/>
  <c r="BA38" i="13"/>
  <c r="AZ33" i="13"/>
  <c r="BC42" i="13"/>
  <c r="AZ16" i="13"/>
  <c r="AZ10" i="13" s="1"/>
  <c r="AB10" i="13" s="1"/>
  <c r="BC56" i="13"/>
  <c r="BD26" i="9"/>
  <c r="BA35" i="9"/>
  <c r="AY47" i="9"/>
  <c r="BE49" i="9"/>
  <c r="BD20" i="13"/>
  <c r="BB50" i="13"/>
  <c r="BA27" i="13"/>
  <c r="BA14" i="13"/>
  <c r="AY20" i="13"/>
  <c r="AY54" i="13"/>
  <c r="AZ26" i="13"/>
  <c r="BB31" i="9"/>
  <c r="BD51" i="9"/>
  <c r="BE30" i="9"/>
  <c r="BC20" i="9"/>
  <c r="BC10" i="9" s="1"/>
  <c r="AE10" i="9" s="1"/>
  <c r="AY48" i="9"/>
  <c r="BC44" i="13"/>
  <c r="BC31" i="13"/>
  <c r="BD35" i="13"/>
  <c r="AZ50" i="13"/>
  <c r="BD24" i="13"/>
  <c r="BD57" i="9"/>
  <c r="BA50" i="13"/>
  <c r="BC54" i="9"/>
  <c r="BA59" i="9"/>
  <c r="BE47" i="9"/>
  <c r="BD44" i="9"/>
  <c r="BC26" i="13"/>
  <c r="BB30" i="13"/>
  <c r="BA15" i="13"/>
  <c r="BE14" i="13"/>
  <c r="AY50" i="13"/>
  <c r="BA40" i="9"/>
  <c r="AZ46" i="9"/>
  <c r="AZ44" i="9"/>
  <c r="BD47" i="13"/>
  <c r="AY43" i="13"/>
  <c r="BB13" i="10"/>
  <c r="BC25" i="10"/>
  <c r="BC10" i="10" s="1"/>
  <c r="AE10" i="10" s="1"/>
  <c r="BD58" i="10"/>
  <c r="BE32" i="10"/>
  <c r="BB31" i="10"/>
  <c r="AY17" i="10"/>
  <c r="BD50" i="10"/>
  <c r="AZ53" i="10"/>
  <c r="BA53" i="10"/>
  <c r="AY27" i="10"/>
  <c r="AY52" i="10"/>
  <c r="BE42" i="10"/>
  <c r="BB48" i="10"/>
  <c r="AZ17" i="10"/>
  <c r="BD49" i="10"/>
  <c r="BA28" i="10"/>
  <c r="BE28" i="10"/>
  <c r="BC30" i="10"/>
  <c r="BB23" i="10"/>
  <c r="BC27" i="10"/>
  <c r="BE27" i="10"/>
  <c r="BD54" i="17"/>
  <c r="BE42" i="17"/>
  <c r="BD55" i="17"/>
  <c r="BA28" i="17"/>
  <c r="BB26" i="17"/>
  <c r="BD50" i="17"/>
  <c r="BD52" i="17"/>
  <c r="BB32" i="17"/>
  <c r="BD36" i="17"/>
  <c r="AY23" i="17"/>
  <c r="J48" i="5"/>
  <c r="I19" i="5"/>
  <c r="I46" i="5"/>
  <c r="J35" i="5"/>
  <c r="AV58" i="17"/>
  <c r="AT39" i="17"/>
  <c r="AY46" i="9"/>
  <c r="BC40" i="13"/>
  <c r="AZ59" i="13"/>
  <c r="BD56" i="13"/>
  <c r="BA24" i="13"/>
  <c r="BA10" i="13" s="1"/>
  <c r="AC10" i="13" s="1"/>
  <c r="BE13" i="13"/>
  <c r="BE10" i="13" s="1"/>
  <c r="AG10" i="13" s="1"/>
  <c r="AZ32" i="13"/>
  <c r="BC18" i="13"/>
  <c r="BC23" i="9"/>
  <c r="BA47" i="9"/>
  <c r="BB38" i="9"/>
  <c r="BE41" i="9"/>
  <c r="BB22" i="9"/>
  <c r="BB10" i="9" s="1"/>
  <c r="AD10" i="9" s="1"/>
  <c r="AZ55" i="13"/>
  <c r="BB18" i="13"/>
  <c r="AY25" i="13"/>
  <c r="BE25" i="13"/>
  <c r="AY32" i="13"/>
  <c r="BE55" i="9"/>
  <c r="BA58" i="13"/>
  <c r="BB56" i="9"/>
  <c r="BD58" i="9"/>
  <c r="BB40" i="9"/>
  <c r="AZ31" i="9"/>
  <c r="AZ31" i="13"/>
  <c r="BE32" i="13"/>
  <c r="BC28" i="13"/>
  <c r="AZ46" i="13"/>
  <c r="BB53" i="13"/>
  <c r="BB20" i="9"/>
  <c r="AY35" i="9"/>
  <c r="AZ21" i="13"/>
  <c r="BA59" i="13"/>
  <c r="BB57" i="13"/>
  <c r="BA50" i="10"/>
  <c r="AZ19" i="10"/>
  <c r="AZ13" i="10"/>
  <c r="AZ10" i="10" s="1"/>
  <c r="AB10" i="10" s="1"/>
  <c r="BB40" i="10"/>
  <c r="BE43" i="10"/>
  <c r="BD22" i="10"/>
  <c r="BC19" i="10"/>
  <c r="BA40" i="10"/>
  <c r="BC50" i="10"/>
  <c r="AY28" i="10"/>
  <c r="BA17" i="10"/>
  <c r="BE50" i="10"/>
  <c r="BE53" i="10"/>
  <c r="BA27" i="10"/>
  <c r="BB57" i="10"/>
  <c r="AY29" i="10"/>
  <c r="AZ54" i="10"/>
  <c r="BA19" i="10"/>
  <c r="BC34" i="10"/>
  <c r="AY26" i="10"/>
  <c r="BA25" i="10"/>
  <c r="BC57" i="17"/>
  <c r="BD40" i="17"/>
  <c r="AZ25" i="17"/>
  <c r="BA60" i="17"/>
  <c r="AZ49" i="17"/>
  <c r="BC55" i="17"/>
  <c r="BB34" i="17"/>
  <c r="BD25" i="17"/>
  <c r="E39" i="3"/>
  <c r="I43" i="5"/>
  <c r="E27" i="3"/>
  <c r="AT23" i="17"/>
  <c r="J36" i="5"/>
  <c r="U10" i="17"/>
  <c r="AS20" i="17"/>
  <c r="AS61" i="17" s="1"/>
  <c r="M61" i="17"/>
  <c r="AZ26" i="11"/>
  <c r="AY49" i="11"/>
  <c r="BB24" i="11"/>
  <c r="BD60" i="11"/>
  <c r="AY36" i="11"/>
  <c r="BE60" i="11"/>
  <c r="BA51" i="11"/>
  <c r="BC44" i="9"/>
  <c r="BA17" i="13"/>
  <c r="AY23" i="9"/>
  <c r="BC33" i="9"/>
  <c r="BB60" i="9"/>
  <c r="BD27" i="9"/>
  <c r="AY20" i="9"/>
  <c r="AY57" i="13"/>
  <c r="BC29" i="13"/>
  <c r="BE44" i="13"/>
  <c r="BB51" i="13"/>
  <c r="BB49" i="13"/>
  <c r="AZ24" i="13"/>
  <c r="BA48" i="9"/>
  <c r="BA50" i="9"/>
  <c r="AY34" i="9"/>
  <c r="BE52" i="9"/>
  <c r="AY33" i="9"/>
  <c r="BC24" i="13"/>
  <c r="BC20" i="13"/>
  <c r="AY49" i="13"/>
  <c r="BC35" i="13"/>
  <c r="BE35" i="13"/>
  <c r="BE50" i="13"/>
  <c r="BD39" i="9"/>
  <c r="AY59" i="9"/>
  <c r="BC42" i="9"/>
  <c r="AZ28" i="9"/>
  <c r="BC13" i="13"/>
  <c r="BB54" i="13"/>
  <c r="AZ39" i="13"/>
  <c r="BC60" i="13"/>
  <c r="BC48" i="13"/>
  <c r="BE57" i="9"/>
  <c r="AZ30" i="13"/>
  <c r="BB26" i="9"/>
  <c r="AZ24" i="9"/>
  <c r="AZ36" i="9"/>
  <c r="AZ50" i="9"/>
  <c r="BE15" i="13"/>
  <c r="BB15" i="13"/>
  <c r="BA34" i="13"/>
  <c r="BE23" i="13"/>
  <c r="AZ13" i="13"/>
  <c r="BA32" i="9"/>
  <c r="BA19" i="13"/>
  <c r="AZ29" i="9"/>
  <c r="AY54" i="9"/>
  <c r="BE54" i="9"/>
  <c r="BD56" i="9"/>
  <c r="BD34" i="9"/>
  <c r="BA46" i="13"/>
  <c r="AZ20" i="13"/>
  <c r="BE45" i="13"/>
  <c r="BE34" i="13"/>
  <c r="BC32" i="13"/>
  <c r="BD53" i="9"/>
  <c r="BC54" i="13"/>
  <c r="BD50" i="9"/>
  <c r="BE44" i="9"/>
  <c r="BC57" i="9"/>
  <c r="BE60" i="9"/>
  <c r="BD45" i="13"/>
  <c r="BB46" i="13"/>
  <c r="BA56" i="13"/>
  <c r="BD58" i="13"/>
  <c r="BC45" i="13"/>
  <c r="BE53" i="9"/>
  <c r="BC53" i="9"/>
  <c r="BB28" i="13"/>
  <c r="AZ22" i="13"/>
  <c r="BB31" i="13"/>
  <c r="AY34" i="10"/>
  <c r="BE37" i="10"/>
  <c r="AZ51" i="10"/>
  <c r="BE38" i="10"/>
  <c r="BC49" i="10"/>
  <c r="BB17" i="10"/>
  <c r="BA15" i="10"/>
  <c r="BA10" i="10" s="1"/>
  <c r="AC10" i="10" s="1"/>
  <c r="AZ29" i="10"/>
  <c r="BE55" i="10"/>
  <c r="AY32" i="10"/>
  <c r="BB47" i="10"/>
  <c r="BD30" i="10"/>
  <c r="BE33" i="10"/>
  <c r="BB53" i="10"/>
  <c r="BC37" i="10"/>
  <c r="BA54" i="10"/>
  <c r="BB20" i="10"/>
  <c r="BB35" i="10"/>
  <c r="BA29" i="10"/>
  <c r="AY16" i="10"/>
  <c r="BD21" i="10"/>
  <c r="BB24" i="17"/>
  <c r="BD37" i="17"/>
  <c r="AZ36" i="17"/>
  <c r="BC45" i="17"/>
  <c r="BB41" i="17"/>
  <c r="BC34" i="17"/>
  <c r="BE29" i="17"/>
  <c r="BA38" i="17"/>
  <c r="BC35" i="17"/>
  <c r="AV50" i="17"/>
  <c r="AQ53" i="17"/>
  <c r="AQ22" i="17"/>
  <c r="E33" i="3"/>
  <c r="AR21" i="17"/>
  <c r="AS40" i="17"/>
  <c r="AT34" i="17"/>
  <c r="BC33" i="11"/>
  <c r="BD18" i="11"/>
  <c r="BD50" i="11"/>
  <c r="BD27" i="11"/>
  <c r="BD49" i="11"/>
  <c r="BE32" i="11"/>
  <c r="AY42" i="9"/>
  <c r="AY19" i="13"/>
  <c r="BB24" i="9"/>
  <c r="AY60" i="9"/>
  <c r="BC38" i="9"/>
  <c r="AZ43" i="9"/>
  <c r="BE30" i="13"/>
  <c r="AY14" i="13"/>
  <c r="BD43" i="13"/>
  <c r="BE42" i="13"/>
  <c r="AY56" i="13"/>
  <c r="AY40" i="9"/>
  <c r="BD39" i="13"/>
  <c r="BA54" i="9"/>
  <c r="AY26" i="9"/>
  <c r="BA31" i="9"/>
  <c r="BE26" i="9"/>
  <c r="BA30" i="9"/>
  <c r="BE24" i="13"/>
  <c r="BA36" i="13"/>
  <c r="AY46" i="13"/>
  <c r="BC16" i="13"/>
  <c r="BB44" i="13"/>
  <c r="AZ36" i="13"/>
  <c r="BB55" i="9"/>
  <c r="BA52" i="9"/>
  <c r="BC34" i="9"/>
  <c r="AY27" i="9"/>
  <c r="AZ40" i="13"/>
  <c r="BC17" i="13"/>
  <c r="BE26" i="13"/>
  <c r="BD19" i="13"/>
  <c r="AZ25" i="13"/>
  <c r="AZ40" i="9"/>
  <c r="BC53" i="13"/>
  <c r="AZ51" i="9"/>
  <c r="BE38" i="9"/>
  <c r="BC41" i="9"/>
  <c r="BB47" i="9"/>
  <c r="BE56" i="13"/>
  <c r="BD15" i="13"/>
  <c r="BC23" i="13"/>
  <c r="AY52" i="13"/>
  <c r="BD46" i="13"/>
  <c r="BC52" i="9"/>
  <c r="BD21" i="13"/>
  <c r="AZ60" i="9"/>
  <c r="BB52" i="9"/>
  <c r="AY21" i="9"/>
  <c r="BB48" i="9"/>
  <c r="AZ41" i="13"/>
  <c r="BB47" i="13"/>
  <c r="AY21" i="13"/>
  <c r="AY10" i="13" s="1"/>
  <c r="AA10" i="13" s="1"/>
  <c r="BB32" i="13"/>
  <c r="BA18" i="13"/>
  <c r="AZ56" i="13"/>
  <c r="BE25" i="9"/>
  <c r="BB29" i="13"/>
  <c r="AY53" i="9"/>
  <c r="AZ20" i="9"/>
  <c r="AZ10" i="9" s="1"/>
  <c r="AB10" i="9" s="1"/>
  <c r="BC22" i="9"/>
  <c r="AZ26" i="9"/>
  <c r="AZ37" i="13"/>
  <c r="BC14" i="13"/>
  <c r="BD28" i="13"/>
  <c r="BA40" i="13"/>
  <c r="BE22" i="9"/>
  <c r="BD23" i="9"/>
  <c r="BD10" i="9" s="1"/>
  <c r="AF10" i="9" s="1"/>
  <c r="BD30" i="9"/>
  <c r="AY40" i="13"/>
  <c r="BC59" i="13"/>
  <c r="BD17" i="13"/>
  <c r="BD39" i="10"/>
  <c r="BD53" i="10"/>
  <c r="BC24" i="10"/>
  <c r="AZ36" i="10"/>
  <c r="BC14" i="10"/>
  <c r="BC15" i="10"/>
  <c r="BD35" i="10"/>
  <c r="BC21" i="10"/>
  <c r="AY51" i="10"/>
  <c r="BB58" i="10"/>
  <c r="AZ39" i="10"/>
  <c r="BD45" i="10"/>
  <c r="AZ56" i="10"/>
  <c r="AZ16" i="10"/>
  <c r="BA49" i="10"/>
  <c r="AZ59" i="10"/>
  <c r="AZ57" i="10"/>
  <c r="BE35" i="10"/>
  <c r="BC57" i="10"/>
  <c r="BC58" i="10"/>
  <c r="BC26" i="10"/>
  <c r="BA49" i="17"/>
  <c r="BE40" i="17"/>
  <c r="BE53" i="17"/>
  <c r="AZ23" i="17"/>
  <c r="BB46" i="17"/>
  <c r="AY39" i="17"/>
  <c r="BB25" i="17"/>
  <c r="BA46" i="17"/>
  <c r="BA20" i="17"/>
  <c r="BC58" i="17"/>
  <c r="BC47" i="17"/>
  <c r="AZ32" i="17"/>
  <c r="BE36" i="17"/>
  <c r="D73" i="2"/>
  <c r="AU25" i="17"/>
  <c r="AR60" i="17"/>
  <c r="G31" i="5"/>
  <c r="H31" i="5" s="1"/>
  <c r="AS28" i="17"/>
  <c r="G30" i="5"/>
  <c r="H30" i="5" s="1"/>
  <c r="AT30" i="17"/>
  <c r="AY38" i="13"/>
  <c r="BE16" i="13"/>
  <c r="BA28" i="9"/>
  <c r="BC57" i="13"/>
  <c r="BB34" i="9"/>
  <c r="AZ30" i="9"/>
  <c r="BA45" i="9"/>
  <c r="AY29" i="9"/>
  <c r="BE55" i="13"/>
  <c r="BB13" i="13"/>
  <c r="AY30" i="13"/>
  <c r="BC19" i="13"/>
  <c r="BC10" i="13" s="1"/>
  <c r="AE10" i="13" s="1"/>
  <c r="BD37" i="13"/>
  <c r="AY50" i="9"/>
  <c r="BC28" i="9"/>
  <c r="BC21" i="9"/>
  <c r="BE46" i="9"/>
  <c r="BE37" i="9"/>
  <c r="BC30" i="9"/>
  <c r="AZ48" i="13"/>
  <c r="BE52" i="13"/>
  <c r="AY22" i="13"/>
  <c r="BE58" i="13"/>
  <c r="BC37" i="13"/>
  <c r="BC31" i="9"/>
  <c r="BD52" i="9"/>
  <c r="BB49" i="9"/>
  <c r="BA33" i="9"/>
  <c r="AZ25" i="9"/>
  <c r="AZ49" i="9"/>
  <c r="BE28" i="13"/>
  <c r="BE59" i="13"/>
  <c r="AZ28" i="13"/>
  <c r="BE41" i="13"/>
  <c r="BA31" i="13"/>
  <c r="BD29" i="9"/>
  <c r="BB22" i="13"/>
  <c r="BA53" i="9"/>
  <c r="BD32" i="9"/>
  <c r="AY43" i="9"/>
  <c r="BA24" i="9"/>
  <c r="BD57" i="13"/>
  <c r="BD60" i="13"/>
  <c r="AY27" i="13"/>
  <c r="BD31" i="13"/>
  <c r="BA26" i="13"/>
  <c r="AZ47" i="13"/>
  <c r="BE43" i="9"/>
  <c r="BD29" i="13"/>
  <c r="AZ41" i="9"/>
  <c r="AY56" i="9"/>
  <c r="BA36" i="9"/>
  <c r="BE58" i="9"/>
  <c r="AZ51" i="13"/>
  <c r="AZ49" i="13"/>
  <c r="BB27" i="13"/>
  <c r="BC36" i="13"/>
  <c r="BD25" i="9"/>
  <c r="BC32" i="9"/>
  <c r="BA51" i="9"/>
  <c r="BD26" i="13"/>
  <c r="BD53" i="13"/>
  <c r="BE17" i="13"/>
  <c r="BB39" i="10"/>
  <c r="BE44" i="10"/>
  <c r="AY25" i="10"/>
  <c r="AY60" i="10"/>
  <c r="BD26" i="10"/>
  <c r="BB55" i="10"/>
  <c r="AY56" i="10"/>
  <c r="AZ28" i="10"/>
  <c r="BB25" i="10"/>
  <c r="BD38" i="10"/>
  <c r="BA55" i="10"/>
  <c r="BD18" i="10"/>
  <c r="BA16" i="10"/>
  <c r="BE34" i="10"/>
  <c r="BE22" i="10"/>
  <c r="BD23" i="10"/>
  <c r="BC16" i="10"/>
  <c r="BA44" i="10"/>
  <c r="BC18" i="10"/>
  <c r="AZ24" i="10"/>
  <c r="BB45" i="10"/>
  <c r="AY44" i="17"/>
  <c r="BA53" i="17"/>
  <c r="BC21" i="17"/>
  <c r="AZ60" i="17"/>
  <c r="AZ27" i="17"/>
  <c r="BA51" i="17"/>
  <c r="BE54" i="17"/>
  <c r="BD58" i="17"/>
  <c r="AY27" i="17"/>
  <c r="AY37" i="17"/>
  <c r="BE55" i="17"/>
  <c r="BA32" i="17"/>
  <c r="AT41" i="17"/>
  <c r="H18" i="5"/>
  <c r="I26" i="5"/>
  <c r="G24" i="5"/>
  <c r="H24" i="5" s="1"/>
  <c r="E22" i="3"/>
  <c r="I23" i="5"/>
  <c r="BD54" i="13"/>
  <c r="BB23" i="9"/>
  <c r="BB41" i="9"/>
  <c r="BD35" i="9"/>
  <c r="BD60" i="9"/>
  <c r="BC47" i="13"/>
  <c r="BE46" i="13"/>
  <c r="BE27" i="13"/>
  <c r="AY17" i="13"/>
  <c r="BD23" i="13"/>
  <c r="AY26" i="13"/>
  <c r="BA29" i="9"/>
  <c r="BC36" i="9"/>
  <c r="BA27" i="9"/>
  <c r="AY57" i="9"/>
  <c r="BA22" i="9"/>
  <c r="BC22" i="13"/>
  <c r="BA16" i="13"/>
  <c r="AY24" i="13"/>
  <c r="AY45" i="13"/>
  <c r="BE43" i="13"/>
  <c r="BB60" i="10"/>
  <c r="BA42" i="10"/>
  <c r="BE31" i="10"/>
  <c r="BB15" i="10"/>
  <c r="BD54" i="10"/>
  <c r="BE36" i="10"/>
  <c r="AZ52" i="10"/>
  <c r="BE30" i="10"/>
  <c r="BB52" i="10"/>
  <c r="BA60" i="10"/>
  <c r="BB16" i="10"/>
  <c r="BA46" i="10"/>
  <c r="BB28" i="10"/>
  <c r="AY53" i="10"/>
  <c r="BE48" i="10"/>
  <c r="BD37" i="10"/>
  <c r="BE46" i="10"/>
  <c r="AZ22" i="10"/>
  <c r="BA59" i="10"/>
  <c r="AY33" i="10"/>
  <c r="BC22" i="10"/>
  <c r="BA23" i="10"/>
  <c r="AZ46" i="10"/>
  <c r="AY50" i="10"/>
  <c r="BE59" i="10"/>
  <c r="AZ23" i="10"/>
  <c r="BB36" i="10"/>
  <c r="AZ58" i="10"/>
  <c r="AZ34" i="10"/>
  <c r="AZ55" i="10"/>
  <c r="BB26" i="10"/>
  <c r="BB38" i="10"/>
  <c r="BA57" i="10"/>
  <c r="BC60" i="10"/>
  <c r="BA43" i="10"/>
  <c r="BB42" i="10"/>
  <c r="AY20" i="10"/>
  <c r="AY38" i="10"/>
  <c r="BC59" i="10"/>
  <c r="BB50" i="10"/>
  <c r="AZ44" i="10"/>
  <c r="BC52" i="10"/>
  <c r="AZ45" i="17"/>
  <c r="BC25" i="17"/>
  <c r="BD44" i="17"/>
  <c r="AY53" i="17"/>
  <c r="AY29" i="17"/>
  <c r="BE60" i="17"/>
  <c r="BD30" i="17"/>
  <c r="AY51" i="17"/>
  <c r="BA31" i="17"/>
  <c r="BB36" i="17"/>
  <c r="AY35" i="17"/>
  <c r="BA24" i="17"/>
  <c r="BD20" i="17"/>
  <c r="BE27" i="17"/>
  <c r="AY32" i="17"/>
  <c r="BA26" i="17"/>
  <c r="BE23" i="17"/>
  <c r="BD45" i="17"/>
  <c r="BC53" i="17"/>
  <c r="AY34" i="17"/>
  <c r="I49" i="5"/>
  <c r="I35" i="5"/>
  <c r="I40" i="5"/>
  <c r="E57" i="3"/>
  <c r="AT21" i="17"/>
  <c r="AR44" i="17"/>
  <c r="D76" i="2"/>
  <c r="G20" i="5"/>
  <c r="H20" i="5" s="1"/>
  <c r="AT33" i="17"/>
  <c r="AT36" i="17"/>
  <c r="AU21" i="17"/>
  <c r="J25" i="5"/>
  <c r="AT29" i="17"/>
  <c r="AR57" i="17"/>
  <c r="AT55" i="17"/>
  <c r="AR46" i="17"/>
  <c r="AR22" i="17"/>
  <c r="AS57" i="17"/>
  <c r="AV35" i="17"/>
  <c r="AV53" i="17"/>
  <c r="BA49" i="13"/>
  <c r="BB44" i="9"/>
  <c r="AZ48" i="9"/>
  <c r="AZ38" i="9"/>
  <c r="BD20" i="9"/>
  <c r="BE36" i="13"/>
  <c r="BA47" i="13"/>
  <c r="AZ43" i="13"/>
  <c r="AZ29" i="13"/>
  <c r="AZ45" i="13"/>
  <c r="BE22" i="13"/>
  <c r="BC33" i="10"/>
  <c r="BD56" i="10"/>
  <c r="BD15" i="10"/>
  <c r="BE41" i="10"/>
  <c r="BD31" i="10"/>
  <c r="AZ49" i="10"/>
  <c r="AY13" i="10"/>
  <c r="BB22" i="10"/>
  <c r="BC20" i="10"/>
  <c r="BC42" i="10"/>
  <c r="AZ15" i="10"/>
  <c r="BB34" i="10"/>
  <c r="BD25" i="10"/>
  <c r="BE21" i="10"/>
  <c r="BD57" i="10"/>
  <c r="AY44" i="10"/>
  <c r="BD33" i="10"/>
  <c r="BD60" i="10"/>
  <c r="BE60" i="10"/>
  <c r="AY18" i="10"/>
  <c r="BC54" i="10"/>
  <c r="BE13" i="10"/>
  <c r="BE24" i="10"/>
  <c r="AY55" i="10"/>
  <c r="BD27" i="10"/>
  <c r="BE39" i="10"/>
  <c r="AY23" i="10"/>
  <c r="AY10" i="10" s="1"/>
  <c r="AA10" i="10" s="1"/>
  <c r="BA34" i="10"/>
  <c r="BD34" i="10"/>
  <c r="BB29" i="10"/>
  <c r="BA41" i="10"/>
  <c r="AZ33" i="10"/>
  <c r="BD17" i="10"/>
  <c r="BA48" i="10"/>
  <c r="BB14" i="10"/>
  <c r="BB10" i="10" s="1"/>
  <c r="AD10" i="10" s="1"/>
  <c r="AZ42" i="10"/>
  <c r="AY58" i="10"/>
  <c r="BB30" i="10"/>
  <c r="AZ41" i="10"/>
  <c r="BE52" i="10"/>
  <c r="BB43" i="10"/>
  <c r="BD14" i="10"/>
  <c r="BB37" i="17"/>
  <c r="BE25" i="17"/>
  <c r="BD42" i="17"/>
  <c r="AZ46" i="17"/>
  <c r="BE26" i="17"/>
  <c r="BD24" i="17"/>
  <c r="AZ22" i="17"/>
  <c r="BD59" i="17"/>
  <c r="AZ28" i="17"/>
  <c r="AZ10" i="17" s="1"/>
  <c r="AB10" i="17" s="1"/>
  <c r="BC46" i="17"/>
  <c r="BD22" i="17"/>
  <c r="BE48" i="17"/>
  <c r="BD39" i="17"/>
  <c r="AY21" i="17"/>
  <c r="BC54" i="17"/>
  <c r="BC39" i="17"/>
  <c r="BE37" i="17"/>
  <c r="AY28" i="17"/>
  <c r="BB22" i="17"/>
  <c r="BC40" i="17"/>
  <c r="BA44" i="17"/>
  <c r="BC48" i="17"/>
  <c r="BD60" i="17"/>
  <c r="BB53" i="17"/>
  <c r="J47" i="5"/>
  <c r="J43" i="5"/>
  <c r="AT25" i="17"/>
  <c r="AV24" i="17"/>
  <c r="I24" i="5"/>
  <c r="I39" i="5"/>
  <c r="W10" i="17"/>
  <c r="O61" i="17"/>
  <c r="AU20" i="17"/>
  <c r="AS65" i="17" s="1"/>
  <c r="E25" i="3"/>
  <c r="E24" i="3"/>
  <c r="G25" i="5"/>
  <c r="H25" i="5" s="1"/>
  <c r="I37" i="5"/>
  <c r="AS52" i="17"/>
  <c r="AW37" i="17"/>
  <c r="AU38" i="17"/>
  <c r="AT43" i="17"/>
  <c r="AT51" i="17"/>
  <c r="AQ35" i="17"/>
  <c r="AR49" i="17"/>
  <c r="G33" i="5"/>
  <c r="H33" i="5" s="1"/>
  <c r="AW26" i="17"/>
  <c r="AU59" i="17"/>
  <c r="AY55" i="9"/>
  <c r="BD38" i="13"/>
  <c r="BB23" i="13"/>
  <c r="BC49" i="13"/>
  <c r="AZ19" i="13"/>
  <c r="BA44" i="13"/>
  <c r="BB42" i="13"/>
  <c r="BE57" i="10"/>
  <c r="BB56" i="10"/>
  <c r="BE16" i="10"/>
  <c r="BE10" i="10" s="1"/>
  <c r="AG10" i="10" s="1"/>
  <c r="BC40" i="10"/>
  <c r="BC46" i="10"/>
  <c r="BB37" i="10"/>
  <c r="BC31" i="10"/>
  <c r="BC28" i="10"/>
  <c r="BA39" i="10"/>
  <c r="AY15" i="10"/>
  <c r="AZ43" i="10"/>
  <c r="BA24" i="10"/>
  <c r="BE18" i="10"/>
  <c r="AZ14" i="10"/>
  <c r="AZ38" i="10"/>
  <c r="AY31" i="10"/>
  <c r="AZ50" i="10"/>
  <c r="BA47" i="10"/>
  <c r="BC47" i="10"/>
  <c r="BC35" i="10"/>
  <c r="BC53" i="10"/>
  <c r="BA58" i="10"/>
  <c r="AY21" i="10"/>
  <c r="BA13" i="10"/>
  <c r="BA14" i="10"/>
  <c r="BE49" i="10"/>
  <c r="BB19" i="10"/>
  <c r="BE19" i="10"/>
  <c r="BB24" i="10"/>
  <c r="BD40" i="10"/>
  <c r="BE47" i="10"/>
  <c r="BC45" i="10"/>
  <c r="AY37" i="10"/>
  <c r="AY54" i="10"/>
  <c r="BB32" i="10"/>
  <c r="BE26" i="10"/>
  <c r="BD52" i="10"/>
  <c r="BC56" i="10"/>
  <c r="BA51" i="10"/>
  <c r="BD28" i="10"/>
  <c r="BA18" i="10"/>
  <c r="BC29" i="10"/>
  <c r="BE35" i="17"/>
  <c r="BB29" i="17"/>
  <c r="AY49" i="17"/>
  <c r="BA36" i="17"/>
  <c r="AZ42" i="17"/>
  <c r="BB43" i="17"/>
  <c r="BE38" i="17"/>
  <c r="AZ47" i="17"/>
  <c r="BA21" i="17"/>
  <c r="BA10" i="17" s="1"/>
  <c r="AC10" i="17" s="1"/>
  <c r="BB49" i="17"/>
  <c r="AY24" i="17"/>
  <c r="BE56" i="17"/>
  <c r="BE51" i="17"/>
  <c r="BC31" i="17"/>
  <c r="BD51" i="17"/>
  <c r="BC36" i="17"/>
  <c r="BA35" i="17"/>
  <c r="BE52" i="17"/>
  <c r="AZ58" i="17"/>
  <c r="BD56" i="17"/>
  <c r="AV51" i="17"/>
  <c r="AW33" i="17"/>
  <c r="AQ55" i="17"/>
  <c r="E21" i="3"/>
  <c r="AU24" i="17"/>
  <c r="AR52" i="17"/>
  <c r="AU44" i="17"/>
  <c r="AS24" i="17"/>
  <c r="AQ47" i="17"/>
  <c r="J22" i="5"/>
  <c r="AW25" i="17"/>
  <c r="I28" i="5"/>
  <c r="G40" i="5"/>
  <c r="H40" i="5" s="1"/>
  <c r="AU30" i="17"/>
  <c r="AQ56" i="17"/>
  <c r="E47" i="3"/>
  <c r="E58" i="3"/>
  <c r="AS33" i="17"/>
  <c r="AT24" i="17"/>
  <c r="AW46" i="17"/>
  <c r="AW58" i="17"/>
  <c r="BD38" i="17"/>
  <c r="AV59" i="17"/>
  <c r="J38" i="5"/>
  <c r="AT46" i="17"/>
  <c r="E20" i="3"/>
  <c r="AQ57" i="17"/>
  <c r="AS55" i="17"/>
  <c r="E51" i="3"/>
  <c r="AS41" i="17"/>
  <c r="AU52" i="17"/>
  <c r="AV45" i="17"/>
  <c r="G23" i="5"/>
  <c r="H23" i="5" s="1"/>
  <c r="AU23" i="17"/>
  <c r="AQ45" i="17"/>
  <c r="AR29" i="17"/>
  <c r="AW40" i="17"/>
  <c r="AV54" i="17"/>
  <c r="AU42" i="17"/>
  <c r="AU32" i="17"/>
  <c r="AW51" i="17"/>
  <c r="AQ30" i="17"/>
  <c r="AS39" i="17"/>
  <c r="AU31" i="17"/>
  <c r="I27" i="5"/>
  <c r="AQ42" i="17"/>
  <c r="G21" i="5"/>
  <c r="H21" i="5" s="1"/>
  <c r="S10" i="17"/>
  <c r="AQ20" i="17"/>
  <c r="K61" i="17"/>
  <c r="E42" i="3"/>
  <c r="AT49" i="17"/>
  <c r="AR33" i="17"/>
  <c r="AQ32" i="17"/>
  <c r="I31" i="5"/>
  <c r="BB37" i="9"/>
  <c r="BD42" i="9"/>
  <c r="BD36" i="9"/>
  <c r="BE24" i="9"/>
  <c r="AZ42" i="9"/>
  <c r="AZ54" i="13"/>
  <c r="BC41" i="13"/>
  <c r="AY39" i="13"/>
  <c r="AZ18" i="13"/>
  <c r="BD40" i="13"/>
  <c r="BC36" i="10"/>
  <c r="BB46" i="10"/>
  <c r="AZ18" i="10"/>
  <c r="AZ30" i="10"/>
  <c r="BC38" i="10"/>
  <c r="BD55" i="10"/>
  <c r="BD44" i="10"/>
  <c r="BD42" i="10"/>
  <c r="AY30" i="10"/>
  <c r="BB44" i="10"/>
  <c r="BE14" i="10"/>
  <c r="BA45" i="10"/>
  <c r="AZ37" i="10"/>
  <c r="BD41" i="10"/>
  <c r="BA21" i="10"/>
  <c r="AY19" i="10"/>
  <c r="BD36" i="10"/>
  <c r="AZ25" i="10"/>
  <c r="BD16" i="10"/>
  <c r="AY45" i="10"/>
  <c r="AY49" i="10"/>
  <c r="AZ27" i="10"/>
  <c r="BD47" i="10"/>
  <c r="BA26" i="10"/>
  <c r="AY14" i="10"/>
  <c r="BB54" i="10"/>
  <c r="BA22" i="10"/>
  <c r="AY36" i="10"/>
  <c r="AZ40" i="10"/>
  <c r="BD29" i="10"/>
  <c r="BC41" i="10"/>
  <c r="AY42" i="10"/>
  <c r="AY35" i="10"/>
  <c r="AZ26" i="10"/>
  <c r="BE45" i="10"/>
  <c r="BC55" i="10"/>
  <c r="BA31" i="10"/>
  <c r="BA56" i="10"/>
  <c r="AY59" i="10"/>
  <c r="BD24" i="10"/>
  <c r="BD43" i="10"/>
  <c r="BC51" i="10"/>
  <c r="AY33" i="17"/>
  <c r="AY56" i="17"/>
  <c r="AZ34" i="17"/>
  <c r="BC44" i="17"/>
  <c r="AY54" i="17"/>
  <c r="BA34" i="17"/>
  <c r="BD27" i="17"/>
  <c r="BC20" i="17"/>
  <c r="AY40" i="17"/>
  <c r="BC38" i="17"/>
  <c r="BA33" i="17"/>
  <c r="BA50" i="17"/>
  <c r="BC42" i="17"/>
  <c r="AY58" i="17"/>
  <c r="BC32" i="17"/>
  <c r="BE33" i="17"/>
  <c r="AZ59" i="17"/>
  <c r="BC49" i="17"/>
  <c r="BE46" i="17"/>
  <c r="BE22" i="17"/>
  <c r="BB42" i="17"/>
  <c r="BC60" i="17"/>
  <c r="BE32" i="17"/>
  <c r="AT59" i="17"/>
  <c r="AT57" i="17"/>
  <c r="AT32" i="17"/>
  <c r="E52" i="3"/>
  <c r="AQ51" i="17"/>
  <c r="V10" i="17"/>
  <c r="N61" i="17"/>
  <c r="AT20" i="17"/>
  <c r="AT38" i="17"/>
  <c r="AS60" i="17"/>
  <c r="AR23" i="17"/>
  <c r="AR61" i="17" s="1"/>
  <c r="AW36" i="17"/>
  <c r="AQ31" i="17"/>
  <c r="J31" i="5"/>
  <c r="AT28" i="17"/>
  <c r="G19" i="5"/>
  <c r="H19" i="5" s="1"/>
  <c r="E60" i="3"/>
  <c r="E28" i="3"/>
  <c r="AS32" i="17"/>
  <c r="AV34" i="17"/>
  <c r="AV61" i="17" s="1"/>
  <c r="AT35" i="17"/>
  <c r="AT40" i="17"/>
  <c r="AS42" i="17"/>
  <c r="D33" i="1"/>
  <c r="AR27" i="17"/>
  <c r="AS45" i="17"/>
  <c r="AY46" i="17"/>
  <c r="AU41" i="17"/>
  <c r="E38" i="3"/>
  <c r="E62" i="3"/>
  <c r="AS53" i="17"/>
  <c r="AV27" i="17"/>
  <c r="AR38" i="17"/>
  <c r="E49" i="3"/>
  <c r="G26" i="5"/>
  <c r="H26" i="5" s="1"/>
  <c r="J44" i="5"/>
  <c r="D71" i="2"/>
  <c r="AQ59" i="17"/>
  <c r="E40" i="3"/>
  <c r="D72" i="2"/>
  <c r="AW55" i="17"/>
  <c r="AR48" i="17"/>
  <c r="AW23" i="17"/>
  <c r="AW49" i="17"/>
  <c r="G41" i="5"/>
  <c r="H41" i="5" s="1"/>
  <c r="AW45" i="17"/>
  <c r="AT60" i="17"/>
  <c r="AR41" i="17"/>
  <c r="AU26" i="17"/>
  <c r="G48" i="5"/>
  <c r="H48" i="5" s="1"/>
  <c r="G22" i="5"/>
  <c r="H22" i="5" s="1"/>
  <c r="AR34" i="17"/>
  <c r="AT52" i="17"/>
  <c r="AU48" i="17"/>
  <c r="D75" i="2"/>
  <c r="J49" i="5"/>
  <c r="AV26" i="17"/>
  <c r="AV38" i="17"/>
  <c r="G49" i="5"/>
  <c r="H49" i="5" s="1"/>
  <c r="I20" i="5"/>
  <c r="AS49" i="17"/>
  <c r="AQ24" i="17"/>
  <c r="AT48" i="17"/>
  <c r="J24" i="5"/>
  <c r="AV29" i="17"/>
  <c r="AS36" i="17"/>
  <c r="G44" i="5"/>
  <c r="H44" i="5" s="1"/>
  <c r="AR37" i="17"/>
  <c r="AW21" i="17"/>
  <c r="AW59" i="17"/>
  <c r="J26" i="5"/>
  <c r="J45" i="5"/>
  <c r="AQ46" i="17"/>
  <c r="AS31" i="17"/>
  <c r="AV41" i="17"/>
  <c r="AV47" i="17"/>
  <c r="E29" i="3"/>
  <c r="E64" i="3"/>
  <c r="AV36" i="17"/>
  <c r="J20" i="5"/>
  <c r="E48" i="3"/>
  <c r="AZ51" i="17"/>
  <c r="BC24" i="17"/>
  <c r="BC10" i="17" s="1"/>
  <c r="AE10" i="17" s="1"/>
  <c r="AY43" i="17"/>
  <c r="BA22" i="17"/>
  <c r="BE57" i="17"/>
  <c r="AZ24" i="17"/>
  <c r="BA58" i="17"/>
  <c r="BB30" i="17"/>
  <c r="AY60" i="17"/>
  <c r="BB45" i="17"/>
  <c r="AZ30" i="17"/>
  <c r="BE34" i="17"/>
  <c r="BD41" i="17"/>
  <c r="BB56" i="17"/>
  <c r="AZ38" i="17"/>
  <c r="BB39" i="17"/>
  <c r="BB33" i="17"/>
  <c r="BD33" i="17"/>
  <c r="AZ33" i="17"/>
  <c r="BB51" i="17"/>
  <c r="AZ57" i="17"/>
  <c r="BC56" i="17"/>
  <c r="AZ41" i="17"/>
  <c r="AQ27" i="17"/>
  <c r="E37" i="3"/>
  <c r="AR56" i="17"/>
  <c r="J28" i="5"/>
  <c r="AU27" i="17"/>
  <c r="I35" i="1"/>
  <c r="AS50" i="17"/>
  <c r="AW54" i="17"/>
  <c r="I41" i="5"/>
  <c r="G39" i="5"/>
  <c r="H39" i="5" s="1"/>
  <c r="AQ49" i="17"/>
  <c r="G27" i="5"/>
  <c r="H27" i="5" s="1"/>
  <c r="I42" i="5"/>
  <c r="AQ21" i="17"/>
  <c r="AQ61" i="17" s="1"/>
  <c r="AV40" i="17"/>
  <c r="E35" i="3"/>
  <c r="AV22" i="17"/>
  <c r="AS48" i="17"/>
  <c r="E59" i="3"/>
  <c r="E43" i="3"/>
  <c r="I34" i="5"/>
  <c r="E23" i="3"/>
  <c r="I38" i="5"/>
  <c r="AU39" i="17"/>
  <c r="E46" i="3"/>
  <c r="AV21" i="17"/>
  <c r="AQ36" i="17"/>
  <c r="AV48" i="17"/>
  <c r="AV44" i="17"/>
  <c r="AS35" i="17"/>
  <c r="AV28" i="17"/>
  <c r="AR43" i="17"/>
  <c r="AU47" i="17"/>
  <c r="I48" i="5"/>
  <c r="AT56" i="17"/>
  <c r="J46" i="5"/>
  <c r="AW48" i="17"/>
  <c r="I36" i="5"/>
  <c r="AU57" i="17"/>
  <c r="AU53" i="17"/>
  <c r="AU58" i="17"/>
  <c r="AU46" i="17"/>
  <c r="G37" i="5"/>
  <c r="H37" i="5" s="1"/>
  <c r="AT44" i="17"/>
  <c r="E44" i="3"/>
  <c r="AU43" i="17"/>
  <c r="AS46" i="17"/>
  <c r="AT54" i="17"/>
  <c r="AW38" i="17"/>
  <c r="E53" i="3"/>
  <c r="AS47" i="17"/>
  <c r="D77" i="2"/>
  <c r="AR25" i="17"/>
  <c r="BB20" i="17"/>
  <c r="BB10" i="17" s="1"/>
  <c r="AD10" i="17" s="1"/>
  <c r="BB60" i="17"/>
  <c r="BD23" i="17"/>
  <c r="BA23" i="17"/>
  <c r="BC33" i="17"/>
  <c r="AY20" i="17"/>
  <c r="AY10" i="17" s="1"/>
  <c r="AA10" i="17" s="1"/>
  <c r="AY26" i="17"/>
  <c r="AZ31" i="17"/>
  <c r="BE45" i="17"/>
  <c r="BB48" i="17"/>
  <c r="AZ21" i="17"/>
  <c r="AZ48" i="17"/>
  <c r="BD21" i="17"/>
  <c r="AY45" i="17"/>
  <c r="AY59" i="17"/>
  <c r="BB21" i="17"/>
  <c r="BA39" i="17"/>
  <c r="BE41" i="17"/>
  <c r="BA25" i="17"/>
  <c r="BB40" i="17"/>
  <c r="BE39" i="17"/>
  <c r="BE20" i="17"/>
  <c r="BE10" i="17" s="1"/>
  <c r="AG10" i="17" s="1"/>
  <c r="BC37" i="17"/>
  <c r="BB50" i="17"/>
  <c r="AZ39" i="17"/>
  <c r="BE43" i="17"/>
  <c r="BD26" i="17"/>
  <c r="BC52" i="17"/>
  <c r="BD31" i="17"/>
  <c r="AY50" i="17"/>
  <c r="BD28" i="17"/>
  <c r="BD10" i="17" s="1"/>
  <c r="AF10" i="17" s="1"/>
  <c r="BD35" i="17"/>
  <c r="BA41" i="17"/>
  <c r="BE31" i="17"/>
  <c r="BB28" i="17"/>
  <c r="AY55" i="17"/>
  <c r="BB27" i="17"/>
  <c r="BC29" i="17"/>
  <c r="E50" i="3"/>
  <c r="AR32" i="17"/>
  <c r="AU28" i="17"/>
  <c r="AW34" i="17"/>
  <c r="AQ38" i="17"/>
  <c r="AV31" i="17"/>
  <c r="AS51" i="17"/>
  <c r="AR39" i="17"/>
  <c r="AS29" i="17"/>
  <c r="AQ58" i="17"/>
  <c r="I32" i="1"/>
  <c r="AT50" i="17"/>
  <c r="L61" i="17"/>
  <c r="AR20" i="17"/>
  <c r="T10" i="17"/>
  <c r="D74" i="2"/>
  <c r="AT37" i="17"/>
  <c r="J34" i="5"/>
  <c r="J19" i="5"/>
  <c r="E41" i="3"/>
  <c r="AQ23" i="17"/>
  <c r="AU22" i="17"/>
  <c r="AQ52" i="17"/>
  <c r="Q61" i="17"/>
  <c r="AW20" i="17"/>
  <c r="AW61" i="17" s="1"/>
  <c r="Y10" i="17"/>
  <c r="AT27" i="17"/>
  <c r="AQ70" i="17" s="1"/>
  <c r="AW27" i="17"/>
  <c r="AQ40" i="17"/>
  <c r="E30" i="3"/>
  <c r="AW56" i="17"/>
  <c r="AU35" i="17"/>
  <c r="AU50" i="17"/>
  <c r="AQ50" i="17"/>
  <c r="AW47" i="17"/>
  <c r="AW29" i="17"/>
  <c r="AT31" i="17"/>
  <c r="AW30" i="17"/>
  <c r="AR30" i="17"/>
  <c r="H32" i="2"/>
  <c r="AU29" i="17"/>
  <c r="AU60" i="17"/>
  <c r="AW43" i="17"/>
  <c r="J29" i="5"/>
  <c r="J27" i="5"/>
  <c r="AV37" i="17"/>
  <c r="AS26" i="17"/>
  <c r="AU51" i="17"/>
  <c r="AU45" i="17"/>
  <c r="AS38" i="17"/>
  <c r="AS37" i="17"/>
  <c r="AS54" i="17"/>
  <c r="AS23" i="17"/>
  <c r="AR51" i="17"/>
  <c r="AR54" i="17"/>
  <c r="G32" i="5"/>
  <c r="H32" i="5" s="1"/>
  <c r="E63" i="3"/>
  <c r="AW42" i="17"/>
  <c r="AW57" i="17"/>
  <c r="BA47" i="17"/>
  <c r="BC22" i="17"/>
  <c r="AY47" i="17"/>
  <c r="AY42" i="17"/>
  <c r="BB58" i="17"/>
  <c r="AY48" i="17"/>
  <c r="BA40" i="17"/>
  <c r="AY31" i="17"/>
  <c r="BB54" i="17"/>
  <c r="BA45" i="17"/>
  <c r="BC50" i="17"/>
  <c r="AY25" i="17"/>
  <c r="BA59" i="17"/>
  <c r="BC41" i="17"/>
  <c r="BA54" i="17"/>
  <c r="BE30" i="17"/>
  <c r="AZ56" i="17"/>
  <c r="BB57" i="17"/>
  <c r="BD57" i="17"/>
  <c r="BB55" i="17"/>
  <c r="BD47" i="17"/>
  <c r="BA57" i="17"/>
  <c r="BE21" i="17"/>
  <c r="BB23" i="17"/>
  <c r="AZ37" i="17"/>
  <c r="BC28" i="17"/>
  <c r="BC23" i="17"/>
  <c r="BD34" i="17"/>
  <c r="BB31" i="17"/>
  <c r="AY30" i="17"/>
  <c r="BB59" i="17"/>
  <c r="BA43" i="17"/>
  <c r="BE47" i="17"/>
  <c r="I29" i="5"/>
  <c r="AT22" i="17"/>
  <c r="AV42" i="17"/>
  <c r="AQ44" i="17"/>
  <c r="G48" i="2"/>
  <c r="J32" i="5"/>
  <c r="AS34" i="17"/>
  <c r="AU34" i="17"/>
  <c r="AU54" i="17"/>
  <c r="G35" i="5"/>
  <c r="H35" i="5" s="1"/>
  <c r="AR35" i="17"/>
  <c r="AS56" i="17"/>
  <c r="AS59" i="17"/>
  <c r="AR28" i="17"/>
  <c r="AQ41" i="17"/>
  <c r="E56" i="3"/>
  <c r="E65" i="3"/>
  <c r="J39" i="5"/>
  <c r="AW24" i="17"/>
  <c r="AU55" i="17"/>
  <c r="AT53" i="17"/>
  <c r="I32" i="5"/>
  <c r="AR59" i="17"/>
  <c r="AV30" i="17"/>
  <c r="AV32" i="17"/>
  <c r="AV20" i="17"/>
  <c r="P61" i="17"/>
  <c r="X10" i="17"/>
  <c r="AR26" i="17"/>
  <c r="J41" i="5"/>
  <c r="G36" i="5"/>
  <c r="H36" i="5" s="1"/>
  <c r="E19" i="3"/>
  <c r="I25" i="5"/>
  <c r="AW28" i="17"/>
  <c r="AQ25" i="17"/>
  <c r="AR55" i="17"/>
  <c r="AR24" i="17"/>
  <c r="AQ60" i="17"/>
  <c r="AW39" i="17"/>
  <c r="AQ29" i="17"/>
  <c r="AQ48" i="17"/>
  <c r="AR45" i="17"/>
  <c r="E18" i="3"/>
  <c r="AW22" i="17"/>
  <c r="G46" i="5"/>
  <c r="H46" i="5" s="1"/>
  <c r="AT26" i="17"/>
  <c r="J42" i="5"/>
  <c r="E36" i="3"/>
  <c r="AS30" i="17"/>
  <c r="AS27" i="17"/>
  <c r="AT45" i="17"/>
  <c r="AR47" i="17"/>
  <c r="AQ26" i="17"/>
  <c r="AW44" i="17"/>
  <c r="AR53" i="17"/>
  <c r="AW35" i="17"/>
  <c r="BC27" i="17"/>
  <c r="AZ26" i="17"/>
  <c r="BC59" i="17"/>
  <c r="AZ44" i="17"/>
  <c r="BE49" i="17"/>
  <c r="BE44" i="17"/>
  <c r="BA48" i="17"/>
  <c r="BA52" i="17"/>
  <c r="BD29" i="17"/>
  <c r="BC43" i="17"/>
  <c r="BE59" i="17"/>
  <c r="BE28" i="17"/>
  <c r="AY57" i="17"/>
  <c r="BA30" i="17"/>
  <c r="AY41" i="17"/>
  <c r="BD49" i="17"/>
  <c r="AZ50" i="17"/>
  <c r="E31" i="3"/>
  <c r="E32" i="3"/>
  <c r="AU37" i="17"/>
  <c r="AW31" i="17"/>
  <c r="AV52" i="17"/>
  <c r="AS25" i="17"/>
  <c r="AT47" i="17"/>
  <c r="AQ28" i="17"/>
  <c r="AW52" i="17"/>
  <c r="AW32" i="17"/>
  <c r="AR31" i="17"/>
  <c r="AU56" i="17"/>
  <c r="E61" i="3"/>
  <c r="I45" i="5"/>
  <c r="J37" i="5"/>
  <c r="AS43" i="17"/>
  <c r="AV39" i="17"/>
  <c r="AW60" i="17"/>
  <c r="AR36" i="17"/>
  <c r="AQ33" i="17"/>
  <c r="AU36" i="17"/>
  <c r="AV49" i="17"/>
  <c r="AS21" i="17"/>
  <c r="AU49" i="17"/>
  <c r="I33" i="5"/>
  <c r="AR42" i="17"/>
  <c r="G29" i="5"/>
  <c r="H29" i="5" s="1"/>
  <c r="E54" i="3"/>
  <c r="AU33" i="17"/>
  <c r="J33" i="5"/>
  <c r="G45" i="5"/>
  <c r="H45" i="5" s="1"/>
  <c r="AW53" i="17"/>
  <c r="AS22" i="17"/>
  <c r="AV43" i="17"/>
  <c r="G43" i="5"/>
  <c r="H43" i="5" s="1"/>
  <c r="E26" i="3"/>
  <c r="E45" i="3"/>
  <c r="J40" i="5"/>
  <c r="AS44" i="17"/>
  <c r="J23" i="5"/>
  <c r="AU40" i="17"/>
  <c r="AV23" i="17"/>
  <c r="AV46" i="17"/>
  <c r="AR50" i="17"/>
  <c r="I44" i="5"/>
  <c r="AT42" i="17"/>
  <c r="E34" i="3"/>
  <c r="G28" i="5"/>
  <c r="H28" i="5" s="1"/>
  <c r="G38" i="5"/>
  <c r="H38" i="5" s="1"/>
  <c r="I22" i="5"/>
  <c r="AQ43" i="17"/>
  <c r="AW50" i="17"/>
  <c r="I30" i="5"/>
  <c r="AT58" i="17"/>
  <c r="AQ37" i="17"/>
  <c r="AV56" i="17"/>
  <c r="AW61" i="9"/>
  <c r="BD10" i="13"/>
  <c r="AF10" i="13" s="1"/>
  <c r="BA10" i="8"/>
  <c r="AC10" i="8" s="1"/>
  <c r="A61" i="12"/>
  <c r="L63" i="12" s="1"/>
  <c r="BC10" i="12"/>
  <c r="AE10" i="12" s="1"/>
  <c r="AU61" i="10"/>
  <c r="A61" i="9"/>
  <c r="P63" i="9" s="1"/>
  <c r="A61" i="10"/>
  <c r="K63" i="10" s="1"/>
  <c r="BC10" i="8"/>
  <c r="AE10" i="8" s="1"/>
  <c r="AS65" i="8"/>
  <c r="BA10" i="16"/>
  <c r="AC10" i="16" s="1"/>
  <c r="AS61" i="16"/>
  <c r="BB10" i="16"/>
  <c r="AD10" i="16" s="1"/>
  <c r="BC10" i="16"/>
  <c r="AE10" i="16" s="1"/>
  <c r="AQ62" i="11"/>
  <c r="AR62" i="11"/>
  <c r="A61" i="11"/>
  <c r="K65" i="11" s="1"/>
  <c r="AT62" i="9"/>
  <c r="AS61" i="9"/>
  <c r="AT61" i="10"/>
  <c r="AV61" i="10"/>
  <c r="AV61" i="13"/>
  <c r="AW61" i="10"/>
  <c r="A61" i="13"/>
  <c r="K65" i="13" s="1"/>
  <c r="BE10" i="11"/>
  <c r="AG10" i="11" s="1"/>
  <c r="AQ70" i="11"/>
  <c r="AS68" i="17"/>
  <c r="AT62" i="11"/>
  <c r="AQ61" i="11"/>
  <c r="AW62" i="11"/>
  <c r="AS62" i="9"/>
  <c r="AT61" i="9"/>
  <c r="AV61" i="9"/>
  <c r="AU61" i="9"/>
  <c r="AU62" i="9"/>
  <c r="AR61" i="9"/>
  <c r="AW62" i="9"/>
  <c r="AR62" i="9"/>
  <c r="AV62" i="9"/>
  <c r="AV62" i="10"/>
  <c r="AU62" i="10"/>
  <c r="AQ70" i="10"/>
  <c r="AS61" i="10"/>
  <c r="AQ62" i="10"/>
  <c r="AS68" i="10"/>
  <c r="AW62" i="10"/>
  <c r="AT62" i="10"/>
  <c r="AS62" i="10"/>
  <c r="AR61" i="12"/>
  <c r="AQ71" i="11"/>
  <c r="AW62" i="12"/>
  <c r="AQ61" i="10"/>
  <c r="AR61" i="10"/>
  <c r="AU62" i="12"/>
  <c r="AQ71" i="10"/>
  <c r="AR62" i="10"/>
  <c r="AS65" i="10"/>
  <c r="AV61" i="12"/>
  <c r="AV62" i="12"/>
  <c r="O63" i="12"/>
  <c r="P63" i="12"/>
  <c r="Q63" i="12"/>
  <c r="O63" i="11"/>
  <c r="M63" i="11"/>
  <c r="Q63" i="11"/>
  <c r="B30" i="9"/>
  <c r="AP29" i="9"/>
  <c r="B30" i="11"/>
  <c r="AP29" i="11"/>
  <c r="B30" i="8"/>
  <c r="AP29" i="8"/>
  <c r="B30" i="13"/>
  <c r="AP29" i="13"/>
  <c r="B30" i="10"/>
  <c r="AP29" i="10"/>
  <c r="B30" i="12"/>
  <c r="AP29" i="12"/>
  <c r="N63" i="8" l="1"/>
  <c r="P63" i="16"/>
  <c r="K65" i="16"/>
  <c r="M63" i="16"/>
  <c r="P63" i="11"/>
  <c r="K65" i="12"/>
  <c r="O63" i="9"/>
  <c r="AT62" i="12"/>
  <c r="AS61" i="11"/>
  <c r="AT61" i="17"/>
  <c r="AV61" i="11"/>
  <c r="AQ70" i="8"/>
  <c r="AV61" i="8"/>
  <c r="AT61" i="8"/>
  <c r="M63" i="9"/>
  <c r="AT61" i="12"/>
  <c r="AS61" i="12"/>
  <c r="AS65" i="12"/>
  <c r="AS68" i="11"/>
  <c r="AR61" i="8"/>
  <c r="AW62" i="8"/>
  <c r="N63" i="11"/>
  <c r="P63" i="13"/>
  <c r="AQ71" i="12"/>
  <c r="K65" i="9"/>
  <c r="AQ61" i="13"/>
  <c r="A61" i="17"/>
  <c r="L63" i="11"/>
  <c r="K63" i="11"/>
  <c r="K63" i="13"/>
  <c r="AQ62" i="12"/>
  <c r="AS65" i="16"/>
  <c r="AQ71" i="8"/>
  <c r="L63" i="13"/>
  <c r="AU61" i="17"/>
  <c r="AS65" i="13"/>
  <c r="AS61" i="8"/>
  <c r="AU61" i="11"/>
  <c r="AV61" i="16"/>
  <c r="A61" i="8"/>
  <c r="N63" i="13"/>
  <c r="K63" i="16"/>
  <c r="O63" i="16"/>
  <c r="N63" i="16"/>
  <c r="Q63" i="16"/>
  <c r="L63" i="16"/>
  <c r="Q63" i="13"/>
  <c r="O63" i="13"/>
  <c r="K63" i="12"/>
  <c r="M63" i="12"/>
  <c r="N63" i="12"/>
  <c r="K63" i="9"/>
  <c r="Q63" i="9"/>
  <c r="N63" i="9"/>
  <c r="L63" i="9"/>
  <c r="M63" i="10"/>
  <c r="Q63" i="10"/>
  <c r="N63" i="10"/>
  <c r="K65" i="10"/>
  <c r="L63" i="10"/>
  <c r="O63" i="10"/>
  <c r="P63" i="10"/>
  <c r="B31" i="8"/>
  <c r="AP30" i="8"/>
  <c r="B31" i="13"/>
  <c r="AP30" i="13"/>
  <c r="B31" i="11"/>
  <c r="AP30" i="11"/>
  <c r="B31" i="12"/>
  <c r="AP30" i="12"/>
  <c r="B31" i="10"/>
  <c r="AP30" i="10"/>
  <c r="B31" i="9"/>
  <c r="AP30" i="9"/>
  <c r="K65" i="8" l="1"/>
  <c r="K63" i="8"/>
  <c r="M63" i="8"/>
  <c r="O63" i="8"/>
  <c r="Q63" i="8"/>
  <c r="L63" i="8"/>
  <c r="P63" i="8"/>
  <c r="L63" i="17"/>
  <c r="K65" i="17"/>
  <c r="M63" i="17"/>
  <c r="N63" i="17"/>
  <c r="O63" i="17"/>
  <c r="P63" i="17"/>
  <c r="K63" i="17"/>
  <c r="Q63" i="17"/>
  <c r="B32" i="12"/>
  <c r="AP31" i="12"/>
  <c r="B32" i="11"/>
  <c r="AP31" i="11"/>
  <c r="B32" i="9"/>
  <c r="AP31" i="9"/>
  <c r="B32" i="13"/>
  <c r="AP31" i="13"/>
  <c r="B32" i="10"/>
  <c r="AP31" i="10"/>
  <c r="B32" i="8"/>
  <c r="AP31" i="8"/>
  <c r="B33" i="9" l="1"/>
  <c r="AP32" i="9"/>
  <c r="B33" i="8"/>
  <c r="AP32" i="8"/>
  <c r="B33" i="11"/>
  <c r="AP32" i="11"/>
  <c r="B33" i="13"/>
  <c r="AP32" i="13"/>
  <c r="B33" i="10"/>
  <c r="AP32" i="10"/>
  <c r="B33" i="12"/>
  <c r="AP32" i="12"/>
  <c r="B34" i="13" l="1"/>
  <c r="AP33" i="13"/>
  <c r="B34" i="11"/>
  <c r="AP33" i="11"/>
  <c r="B34" i="12"/>
  <c r="AP33" i="12"/>
  <c r="B34" i="8"/>
  <c r="AP33" i="8"/>
  <c r="B34" i="10"/>
  <c r="AP33" i="10"/>
  <c r="B34" i="9"/>
  <c r="AP33" i="9"/>
  <c r="B35" i="8" l="1"/>
  <c r="AP34" i="8"/>
  <c r="B35" i="12"/>
  <c r="AP34" i="12"/>
  <c r="B35" i="11"/>
  <c r="AP34" i="11"/>
  <c r="B35" i="9"/>
  <c r="AP34" i="9"/>
  <c r="B35" i="10"/>
  <c r="AP34" i="10"/>
  <c r="B35" i="13"/>
  <c r="AP34" i="13"/>
  <c r="B36" i="9" l="1"/>
  <c r="AP35" i="9"/>
  <c r="B36" i="11"/>
  <c r="AP35" i="11"/>
  <c r="B36" i="12"/>
  <c r="AP35" i="12"/>
  <c r="B36" i="13"/>
  <c r="AP35" i="13"/>
  <c r="B36" i="10"/>
  <c r="AP35" i="10"/>
  <c r="B36" i="8"/>
  <c r="AP35" i="8"/>
  <c r="B37" i="13" l="1"/>
  <c r="AP36" i="13"/>
  <c r="B37" i="12"/>
  <c r="AP36" i="12"/>
  <c r="B37" i="8"/>
  <c r="AP36" i="8"/>
  <c r="B37" i="11"/>
  <c r="AP36" i="11"/>
  <c r="B37" i="10"/>
  <c r="AP36" i="10"/>
  <c r="B37" i="9"/>
  <c r="AP36" i="9"/>
  <c r="B38" i="11" l="1"/>
  <c r="AP37" i="11"/>
  <c r="B38" i="8"/>
  <c r="AP37" i="8"/>
  <c r="B38" i="12"/>
  <c r="AP37" i="12"/>
  <c r="B38" i="9"/>
  <c r="AP37" i="9"/>
  <c r="B38" i="10"/>
  <c r="AP37" i="10"/>
  <c r="B38" i="13"/>
  <c r="AP37" i="13"/>
  <c r="B39" i="9" l="1"/>
  <c r="AP38" i="9"/>
  <c r="B39" i="12"/>
  <c r="AP38" i="12"/>
  <c r="B39" i="13"/>
  <c r="AP38" i="13"/>
  <c r="B39" i="8"/>
  <c r="AP38" i="8"/>
  <c r="B39" i="10"/>
  <c r="AP38" i="10"/>
  <c r="B39" i="11"/>
  <c r="AP38" i="11"/>
  <c r="B40" i="13" l="1"/>
  <c r="AP39" i="13"/>
  <c r="B40" i="12"/>
  <c r="AP39" i="12"/>
  <c r="B40" i="8"/>
  <c r="AP39" i="8"/>
  <c r="B40" i="11"/>
  <c r="AP39" i="11"/>
  <c r="B40" i="10"/>
  <c r="AP39" i="10"/>
  <c r="B40" i="9"/>
  <c r="AP39" i="9"/>
  <c r="B41" i="9" l="1"/>
  <c r="AP40" i="9"/>
  <c r="B41" i="11"/>
  <c r="AP40" i="11"/>
  <c r="B41" i="12"/>
  <c r="AP40" i="12"/>
  <c r="B41" i="8"/>
  <c r="AP40" i="8"/>
  <c r="B41" i="10"/>
  <c r="AP40" i="10"/>
  <c r="B41" i="13"/>
  <c r="AP40" i="13"/>
  <c r="B42" i="13" l="1"/>
  <c r="AP41" i="13"/>
  <c r="B42" i="8"/>
  <c r="AP41" i="8"/>
  <c r="B42" i="11"/>
  <c r="AP41" i="11"/>
  <c r="B42" i="12"/>
  <c r="AP41" i="12"/>
  <c r="B42" i="10"/>
  <c r="AP41" i="10"/>
  <c r="B42" i="9"/>
  <c r="AP41" i="9"/>
  <c r="B43" i="12" l="1"/>
  <c r="AP42" i="12"/>
  <c r="B43" i="11"/>
  <c r="AP42" i="11"/>
  <c r="B43" i="9"/>
  <c r="AP42" i="9"/>
  <c r="B43" i="8"/>
  <c r="AP42" i="8"/>
  <c r="B43" i="10"/>
  <c r="AP42" i="10"/>
  <c r="B43" i="13"/>
  <c r="AP42" i="13"/>
  <c r="B44" i="8" l="1"/>
  <c r="AP43" i="8"/>
  <c r="B44" i="9"/>
  <c r="AP43" i="9"/>
  <c r="B44" i="11"/>
  <c r="AP43" i="11"/>
  <c r="B44" i="13"/>
  <c r="AP43" i="13"/>
  <c r="B44" i="10"/>
  <c r="AP43" i="10"/>
  <c r="B44" i="12"/>
  <c r="AP43" i="12"/>
  <c r="B45" i="13" l="1"/>
  <c r="AP44" i="13"/>
  <c r="B45" i="11"/>
  <c r="AP44" i="11"/>
  <c r="B45" i="12"/>
  <c r="AP44" i="12"/>
  <c r="B45" i="9"/>
  <c r="AP44" i="9"/>
  <c r="B45" i="10"/>
  <c r="AP44" i="10"/>
  <c r="B45" i="8"/>
  <c r="AP44" i="8"/>
  <c r="B46" i="9" l="1"/>
  <c r="AP45" i="9"/>
  <c r="B46" i="12"/>
  <c r="AP45" i="12"/>
  <c r="B46" i="11"/>
  <c r="AP45" i="11"/>
  <c r="B46" i="8"/>
  <c r="AP45" i="8"/>
  <c r="B46" i="10"/>
  <c r="AP45" i="10"/>
  <c r="B46" i="13"/>
  <c r="AP45" i="13"/>
  <c r="B47" i="8" l="1"/>
  <c r="AP46" i="8"/>
  <c r="B47" i="11"/>
  <c r="AP46" i="11"/>
  <c r="B47" i="10"/>
  <c r="AP46" i="10"/>
  <c r="B47" i="13"/>
  <c r="AP46" i="13"/>
  <c r="B47" i="12"/>
  <c r="AP46" i="12"/>
  <c r="B47" i="9"/>
  <c r="AP46" i="9"/>
  <c r="B48" i="13" l="1"/>
  <c r="AP47" i="13"/>
  <c r="B48" i="11"/>
  <c r="AP47" i="11"/>
  <c r="B48" i="9"/>
  <c r="AP47" i="9"/>
  <c r="B48" i="10"/>
  <c r="AP47" i="10"/>
  <c r="B48" i="12"/>
  <c r="AP47" i="12"/>
  <c r="B48" i="8"/>
  <c r="AP47" i="8"/>
  <c r="B49" i="10" l="1"/>
  <c r="AP48" i="10"/>
  <c r="B49" i="9"/>
  <c r="AP48" i="9"/>
  <c r="B49" i="8"/>
  <c r="AP48" i="8"/>
  <c r="B49" i="11"/>
  <c r="AP48" i="11"/>
  <c r="B49" i="12"/>
  <c r="AP48" i="12"/>
  <c r="B49" i="13"/>
  <c r="AP48" i="13"/>
  <c r="B50" i="11" l="1"/>
  <c r="AP49" i="11"/>
  <c r="B50" i="8"/>
  <c r="AP49" i="8"/>
  <c r="B50" i="13"/>
  <c r="AP49" i="13"/>
  <c r="B50" i="9"/>
  <c r="AP49" i="9"/>
  <c r="B50" i="12"/>
  <c r="AP49" i="12"/>
  <c r="B50" i="10"/>
  <c r="AP49" i="10"/>
  <c r="B51" i="12" l="1"/>
  <c r="AP50" i="12"/>
  <c r="B51" i="13"/>
  <c r="AP50" i="13"/>
  <c r="B51" i="9"/>
  <c r="AP50" i="9"/>
  <c r="B51" i="10"/>
  <c r="AP50" i="10"/>
  <c r="B51" i="8"/>
  <c r="AP50" i="8"/>
  <c r="B51" i="11"/>
  <c r="AP50" i="11"/>
  <c r="B52" i="9" l="1"/>
  <c r="AP51" i="9"/>
  <c r="B52" i="10"/>
  <c r="AP51" i="10"/>
  <c r="B52" i="13"/>
  <c r="AP51" i="13"/>
  <c r="B52" i="11"/>
  <c r="AP51" i="11"/>
  <c r="B52" i="8"/>
  <c r="AP51" i="8"/>
  <c r="B52" i="12"/>
  <c r="AP51" i="12"/>
  <c r="B53" i="13" l="1"/>
  <c r="AP52" i="13"/>
  <c r="B53" i="11"/>
  <c r="AP52" i="11"/>
  <c r="B53" i="10"/>
  <c r="AP52" i="10"/>
  <c r="B53" i="12"/>
  <c r="AP52" i="12"/>
  <c r="B53" i="8"/>
  <c r="AP52" i="8"/>
  <c r="B53" i="9"/>
  <c r="AP52" i="9"/>
  <c r="B54" i="12" l="1"/>
  <c r="AP53" i="12"/>
  <c r="B54" i="11"/>
  <c r="AP53" i="11"/>
  <c r="B54" i="10"/>
  <c r="AP53" i="10"/>
  <c r="B54" i="9"/>
  <c r="AP53" i="9"/>
  <c r="B54" i="8"/>
  <c r="AP53" i="8"/>
  <c r="B54" i="13"/>
  <c r="AP53" i="13"/>
  <c r="B55" i="10" l="1"/>
  <c r="AP54" i="10"/>
  <c r="B55" i="13"/>
  <c r="AP54" i="13"/>
  <c r="B55" i="11"/>
  <c r="AP54" i="11"/>
  <c r="B55" i="9"/>
  <c r="AP54" i="9"/>
  <c r="B55" i="8"/>
  <c r="AP54" i="8"/>
  <c r="B55" i="12"/>
  <c r="AP54" i="12"/>
  <c r="B56" i="11" l="1"/>
  <c r="AP55" i="11"/>
  <c r="B56" i="12"/>
  <c r="AP55" i="12"/>
  <c r="B56" i="9"/>
  <c r="AP55" i="9"/>
  <c r="B56" i="13"/>
  <c r="AP55" i="13"/>
  <c r="B56" i="8"/>
  <c r="AP55" i="8"/>
  <c r="B56" i="10"/>
  <c r="AP55" i="10"/>
  <c r="B57" i="9" l="1"/>
  <c r="AP56" i="9"/>
  <c r="B57" i="12"/>
  <c r="AP56" i="12"/>
  <c r="B57" i="13"/>
  <c r="AP56" i="13"/>
  <c r="B57" i="10"/>
  <c r="AP56" i="10"/>
  <c r="B57" i="8"/>
  <c r="AP56" i="8"/>
  <c r="B57" i="11"/>
  <c r="AP56" i="11"/>
  <c r="B58" i="10" l="1"/>
  <c r="AP57" i="10"/>
  <c r="B58" i="13"/>
  <c r="AP57" i="13"/>
  <c r="B58" i="12"/>
  <c r="AP57" i="12"/>
  <c r="B58" i="11"/>
  <c r="AP57" i="11"/>
  <c r="B58" i="8"/>
  <c r="AP57" i="8"/>
  <c r="B58" i="9"/>
  <c r="AP57" i="9"/>
  <c r="B59" i="11" l="1"/>
  <c r="AP58" i="11"/>
  <c r="B59" i="9"/>
  <c r="AP58" i="9"/>
  <c r="B59" i="12"/>
  <c r="AP58" i="12"/>
  <c r="B59" i="13"/>
  <c r="AP58" i="13"/>
  <c r="B59" i="8"/>
  <c r="AP58" i="8"/>
  <c r="B59" i="10"/>
  <c r="AP58" i="10"/>
  <c r="B60" i="12" l="1"/>
  <c r="AP60" i="12" s="1"/>
  <c r="AP59" i="12"/>
  <c r="B60" i="10"/>
  <c r="AP60" i="10" s="1"/>
  <c r="AP59" i="10"/>
  <c r="B60" i="13"/>
  <c r="AP60" i="13" s="1"/>
  <c r="AP59" i="13"/>
  <c r="B60" i="9"/>
  <c r="AP60" i="9" s="1"/>
  <c r="AP59" i="9"/>
  <c r="B60" i="8"/>
  <c r="AP60" i="8" s="1"/>
  <c r="AP59" i="8"/>
  <c r="B60" i="11"/>
  <c r="AP60" i="11" s="1"/>
  <c r="AP59" i="11"/>
  <c r="AA13" i="9"/>
  <c r="AY13" i="9" l="1"/>
  <c r="AY10" i="9" s="1"/>
  <c r="AA10" i="9" s="1"/>
  <c r="AS65" i="9"/>
  <c r="AI13" i="9"/>
  <c r="AS68" i="9"/>
  <c r="AQ62" i="9"/>
  <c r="AQ13" i="9"/>
  <c r="AQ71" i="9" s="1"/>
  <c r="S61" i="9"/>
  <c r="A62" i="9" s="1"/>
  <c r="Y63" i="9" s="1"/>
  <c r="AQ70" i="9" l="1"/>
  <c r="AQ61" i="9"/>
  <c r="S63" i="9"/>
  <c r="U63" i="9"/>
  <c r="T63" i="9"/>
  <c r="S65" i="9"/>
  <c r="W63" i="9"/>
  <c r="V63" i="9"/>
  <c r="X6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D9169F91-9659-4066-BBEE-1A937FBA6A0D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F29F3A40-7CE0-4CA1-83A7-BD2CA7F281A0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D5ED28EE-3B07-4D22-980F-9DED66A3BCEB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0602FECF-DB11-4242-838F-B07FC6AAB73A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71DAEB5F-BB7C-41B7-ABC8-FE5EC2E661A4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DXVD0696</author>
  </authors>
  <commentList>
    <comment ref="B12" authorId="0" shapeId="0" xr:uid="{76F34A00-9DB7-4370-9153-F2B5427EFC98}">
      <text>
        <r>
          <rPr>
            <b/>
            <sz val="9"/>
            <color indexed="81"/>
            <rFont val="Tahoma"/>
            <family val="2"/>
          </rPr>
          <t>(enter start time in top cell)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<sst xmlns="http://schemas.openxmlformats.org/spreadsheetml/2006/main" count="3215" uniqueCount="394">
  <si>
    <t>seconds</t>
  </si>
  <si>
    <t>Traffic Intensity (Erlang)</t>
  </si>
  <si>
    <t>Required service level</t>
  </si>
  <si>
    <t>Probability of target answer time</t>
  </si>
  <si>
    <t>Target answer time</t>
  </si>
  <si>
    <t>Number of agents</t>
  </si>
  <si>
    <t>Probability a call waits</t>
  </si>
  <si>
    <t>Erlang-C Formula</t>
  </si>
  <si>
    <t>Number of Agents required</t>
  </si>
  <si>
    <t>Calculate the number of agents required to reach an agreed service level:</t>
  </si>
  <si>
    <t>Calculate probability of calls being answered or waiting:</t>
  </si>
  <si>
    <t>Predicted Service Level</t>
  </si>
  <si>
    <t>Agents required</t>
  </si>
  <si>
    <t>Target answer time (secs)</t>
  </si>
  <si>
    <t>IMPORTANT:       For this tool to work correctly you must change Macro security to medium                (Tools &gt; Options &gt; Security &gt; Macro Security) and Enable macros on opening the spreadsheet</t>
  </si>
  <si>
    <t>Reporting Period</t>
  </si>
  <si>
    <t>calls</t>
  </si>
  <si>
    <t>minutes</t>
  </si>
  <si>
    <t>Incoming calls</t>
  </si>
  <si>
    <t>in a period of</t>
  </si>
  <si>
    <t>Time slot beginning 
(enter start time in top cell)</t>
  </si>
  <si>
    <t>Shrinkage</t>
  </si>
  <si>
    <t xml:space="preserve">Shrinkage </t>
  </si>
  <si>
    <t>Calls</t>
  </si>
  <si>
    <t>Reporting Period (mins)</t>
  </si>
  <si>
    <t>Target answer time (seconds)</t>
  </si>
  <si>
    <t>Required service level (percent)</t>
  </si>
  <si>
    <t>For a full explanation on shrinkage click here</t>
  </si>
  <si>
    <t>https://www.callcentrehelper.com/how-to-calculate-contact-centre-shrinkage-90353.htm</t>
  </si>
  <si>
    <t>Please note that this does not include any shrinkage (holidays, training, meetings etc)</t>
  </si>
  <si>
    <t>Shrinkage (percent)</t>
  </si>
  <si>
    <t>The Erlang calculator uses a number of user defined function built into macros to work</t>
  </si>
  <si>
    <t xml:space="preserve">The macros are built into this spreadsheet and once you have got it working you can delete all the parts that you do not need </t>
  </si>
  <si>
    <t>This formula is more accurate as it includes Shrinkage (holidays, training, meetings etc) and so give a more realistic staffing requirement</t>
  </si>
  <si>
    <t>This formula works out the probability that a call is answered within the target time</t>
  </si>
  <si>
    <t>Probablity Call Waits</t>
  </si>
  <si>
    <t>For example =ServiceLevel(B45,C45,D45,E45,F45)</t>
  </si>
  <si>
    <t>For example =ProbCallWaits(B60,C60,D60,E60)</t>
  </si>
  <si>
    <t>Worked examples</t>
  </si>
  <si>
    <t>Time</t>
  </si>
  <si>
    <t>Average handling time</t>
  </si>
  <si>
    <t>Service level target</t>
  </si>
  <si>
    <t>of calls answered in</t>
  </si>
  <si>
    <t>Agent planner - see at a glance the agents needed across the day</t>
  </si>
  <si>
    <t>Agents Available</t>
  </si>
  <si>
    <t>Agent Surplus/ Shortfall</t>
  </si>
  <si>
    <t>Next Page &gt;&gt;</t>
  </si>
  <si>
    <t xml:space="preserve">    seconds</t>
  </si>
  <si>
    <t>https://www.callcentrehelper.com</t>
  </si>
  <si>
    <t>Expected Service Level Planner</t>
  </si>
  <si>
    <t>Probability call is answered in target time (Service Level)</t>
  </si>
  <si>
    <t>In practical use this is the predicted service level</t>
  </si>
  <si>
    <t>Probability Call Waits</t>
  </si>
  <si>
    <t>This works out the probability that a call has to wait (queue)</t>
  </si>
  <si>
    <t>Version 5.0</t>
  </si>
  <si>
    <t>Renamed and improved Erlang C Formulas</t>
  </si>
  <si>
    <t>Agents Required – This is the raw figure without shrinkage</t>
  </si>
  <si>
    <t>Agents FTE Required – This is more accurate as it includes shrinkage</t>
  </si>
  <si>
    <t>Service Level Calculation – Works out the service level for a given number of calls and agents</t>
  </si>
  <si>
    <t>Probability that a Call Waits – Works out the probability that a call waits for a given number of calls and agents</t>
  </si>
  <si>
    <t>How to use Tab with details of how the formulas work</t>
  </si>
  <si>
    <t>Help on function arguments by pressing the fx (Insert Function) button</t>
  </si>
  <si>
    <t>Agent Planner – Tab see at a glance the agents needed across the day – with graph</t>
  </si>
  <si>
    <t>Improved error checking to not allow values outside of expected limits</t>
  </si>
  <si>
    <t>Expected Service Level Planner Tab – show expected Service Level across the day -with graph</t>
  </si>
  <si>
    <t>Version 5.1</t>
  </si>
  <si>
    <t>Date</t>
  </si>
  <si>
    <t>Changes</t>
  </si>
  <si>
    <t>Change of terminology from Call Duration to Average Handling Time</t>
  </si>
  <si>
    <t>Average Handling Time (AHT) (seconds)</t>
  </si>
  <si>
    <t>Average Handling Time</t>
  </si>
  <si>
    <t>Average Handling Time (s)</t>
  </si>
  <si>
    <t>This uses the Excel Formula =ServiceLevel(Calls, Reporting_period, Average_handling_time, Service_level_time, Agents)</t>
  </si>
  <si>
    <t>This uses the Excel Formula =ProbCallWaits(Calls, Reporting_period, Average_handling_time, Agents)</t>
  </si>
  <si>
    <t>Average Handling Time = Average Call Duration + Average time spent in After Call Work (ACW - also known as Wrap-Up time)</t>
  </si>
  <si>
    <t>Correction of typos</t>
  </si>
  <si>
    <t>Added in missing Help Details when you press the fx button</t>
  </si>
  <si>
    <t>Day Planner and Expected Service Level charts set dynamically - so you can add on extra rows</t>
  </si>
  <si>
    <t xml:space="preserve">  =AgentsReq(Calls, Reporting_period, Average_handling_time, Service_level_percent, Service_level_time)</t>
  </si>
  <si>
    <t xml:space="preserve">  =AgentsFTE(Calls, Reporting_period, Average_handling_time, Service_level_percent, Service_level_time, Shrinkage)</t>
  </si>
  <si>
    <t xml:space="preserve">  =ServiceLevel(Calls, Reporting_period, Average_handling_time, Service_level_time, Agents)</t>
  </si>
  <si>
    <t xml:space="preserve">  =ProbCallWaits(Calls, Reporting_period, Average_handling_time, Agents)</t>
  </si>
  <si>
    <t>Fixed issue with error if period over 546 minutes - (Integer to Long in Excel VBA)</t>
  </si>
  <si>
    <t>Added warning that calculator only works up to 600 agents with advice to use online calculator</t>
  </si>
  <si>
    <t>This calculator only works up to 600 Agents.  For higher volumes please use the online version</t>
  </si>
  <si>
    <t xml:space="preserve">https://www.callcentrehelper.com/online-call-centre-staffing-calculator-77780.htm </t>
  </si>
  <si>
    <t>Other Contact Centre Tools</t>
  </si>
  <si>
    <t>Call Centre Helper has a range of great contact centre tools to improve your contact centre</t>
  </si>
  <si>
    <t xml:space="preserve">1. Online Call Centre Calculator (including Shrinkage) </t>
  </si>
  <si>
    <t>Input your past call volumes and the spreadsheet will predict values for the next 12 months</t>
  </si>
  <si>
    <t>https://www.callcentrehelper.com/forecasting-excel-template-73193.htm</t>
  </si>
  <si>
    <t>https://www.callcentrehelper.com/multi-channel-contact-centre-calculator-96321.htm</t>
  </si>
  <si>
    <t>https://www.callcentrehelper.com/free-call-monitoring-form-3507.htm</t>
  </si>
  <si>
    <t>4. Call Monitoring Form</t>
  </si>
  <si>
    <t>2.  Online Multi-Channel Contact Centre Calculator Tool</t>
  </si>
  <si>
    <t>3. Free Excel Forecasting Worksheet</t>
  </si>
  <si>
    <t>Added links to other Call Centre Helper tools</t>
  </si>
  <si>
    <t xml:space="preserve">What's New in the Latest Version </t>
  </si>
  <si>
    <t>The online version of our Erlang Calculator is perfect for a quick calculation or if you need to go up to a higher amount of traffic or agents</t>
  </si>
  <si>
    <t>Need to work out staffing levels for calls email and web chats?  Then the MultiChannel staffing tool may be the answer</t>
  </si>
  <si>
    <t>Want to score advisors on their call quality then this Excel Quality Monitoring form can be customised</t>
  </si>
  <si>
    <t>Amended shrinkage data entry validation from 0.000001 to 0 so can enter 0%</t>
  </si>
  <si>
    <t xml:space="preserve">Traffic Intensity </t>
  </si>
  <si>
    <t>Erlangs</t>
  </si>
  <si>
    <t>Version 5.3</t>
  </si>
  <si>
    <t>Version 5.4</t>
  </si>
  <si>
    <t>Version 5.2</t>
  </si>
  <si>
    <t>Bug fix affecting calculations above 150 agents</t>
  </si>
  <si>
    <t>© Call Centre Helper Erlang Calculator 2017</t>
  </si>
  <si>
    <t>Bug fix affecting calculations below 1 erlang of traffic intensity</t>
  </si>
  <si>
    <t>Version 5.5</t>
  </si>
  <si>
    <t>Occupancy</t>
  </si>
  <si>
    <t>Version 5.6</t>
  </si>
  <si>
    <t>Version 5.7</t>
  </si>
  <si>
    <t>Sponsored version, required access code</t>
  </si>
  <si>
    <t>Added Occupancy function, amended AgentsFTE function to include Occupancy, removed need for access code</t>
  </si>
  <si>
    <t>(NB Shrinkage is not included in this calculation, set it to 0%)</t>
  </si>
  <si>
    <t>Call Centre Helper Erlang Calculator Version 6.0</t>
  </si>
  <si>
    <t>https://www.callcentrehelper.com/tools/erlang-calculator/</t>
  </si>
  <si>
    <t>Formula 2.  Work out the Predicted Service Level for a provided number of agents</t>
  </si>
  <si>
    <t>Formula 3.  Work out the probability that a call queues</t>
  </si>
  <si>
    <t>Agents Required</t>
  </si>
  <si>
    <t>Version 6.0</t>
  </si>
  <si>
    <t>How to use the Erlang Calculator Version 6.0</t>
  </si>
  <si>
    <t>This uses the Excel Formula =AgentsRequired(Calls, Reporting_period, Average_handling_time, Service_level_percent, Service_level_time, Occupancy, Shrinkage)</t>
  </si>
  <si>
    <t>For example =AgentsRequired(B29,C29,D29,E29,F29,G29,H29)</t>
  </si>
  <si>
    <t>Max Occupancy</t>
  </si>
  <si>
    <t>© Call Centre Helper Erlang Calculator 2022</t>
  </si>
  <si>
    <t>Removed raw agents function AgentsReq, Renamed AgentsFTE to AgentsRequired and updated Expected Service Level planner tab to use AgentsRequired including occupancy and shrinkage</t>
  </si>
  <si>
    <t>Formula 1.  Work out the total number of agents required, for a call volume (including occupancy and shrinkage)</t>
  </si>
  <si>
    <t>Removed ErlangC function and replaced with ProbCallWaits to remove number overload and match online calculator</t>
  </si>
  <si>
    <t>Removed unused original Erlang C VBA code</t>
  </si>
  <si>
    <t>Niveau de service requis</t>
  </si>
  <si>
    <t xml:space="preserve">  </t>
  </si>
  <si>
    <t>Temps de réponse cible (sec)</t>
  </si>
  <si>
    <t>Shrinkage court terme</t>
  </si>
  <si>
    <t>intervalle</t>
  </si>
  <si>
    <t>DMT Prévues</t>
  </si>
  <si>
    <t xml:space="preserve">Time slot beginning </t>
  </si>
  <si>
    <t>Lundi</t>
  </si>
  <si>
    <t>Mardi</t>
  </si>
  <si>
    <t>Mercredi</t>
  </si>
  <si>
    <t>Jeudi</t>
  </si>
  <si>
    <t>Vendredi</t>
  </si>
  <si>
    <t>Samedi</t>
  </si>
  <si>
    <t>Dimanche</t>
  </si>
  <si>
    <t>&lt;0</t>
  </si>
  <si>
    <t>1- 9 sur-staffing</t>
  </si>
  <si>
    <t>&gt;9</t>
  </si>
  <si>
    <t>&gt; 9 sur-staffing</t>
  </si>
  <si>
    <t>1-9 sous -staffing</t>
  </si>
  <si>
    <t>&lt;-9</t>
  </si>
  <si>
    <t>&lt; 9 sous-staffing</t>
  </si>
  <si>
    <t>sous-staffing Hebdo</t>
  </si>
  <si>
    <t>RESSOURCES PLANIFIEES /JOUR</t>
  </si>
  <si>
    <t>FRENCH 8900</t>
  </si>
  <si>
    <t>FUFULDE 8900</t>
  </si>
  <si>
    <t>DISTRIBUTEURS 8911</t>
  </si>
  <si>
    <t>ENGLISH/PIDGIN 8900</t>
  </si>
  <si>
    <t>prodh</t>
  </si>
  <si>
    <t>Incoming mails</t>
  </si>
  <si>
    <t>&lt;-10%</t>
  </si>
  <si>
    <t>&gt;10</t>
  </si>
  <si>
    <t>&lt;-10</t>
  </si>
  <si>
    <t>&gt;10%</t>
  </si>
  <si>
    <t>Simultanéité</t>
  </si>
  <si>
    <t>Productivité</t>
  </si>
  <si>
    <t>sur-staffing Hebdo</t>
  </si>
  <si>
    <t>sur-staffing Hebdo &lt;15%</t>
  </si>
  <si>
    <t>sous-staffing Hebdo &lt;10%</t>
  </si>
  <si>
    <t>ETP</t>
  </si>
  <si>
    <t>Agents</t>
  </si>
  <si>
    <t>COMPETENCES</t>
  </si>
  <si>
    <t>ST</t>
  </si>
  <si>
    <t>LS</t>
  </si>
  <si>
    <t>LE</t>
  </si>
  <si>
    <t>ET</t>
  </si>
  <si>
    <t>H_QUOTI</t>
  </si>
  <si>
    <t>OFF</t>
  </si>
  <si>
    <t>ABOMO Gladys</t>
  </si>
  <si>
    <t>BAMABITINA PATRICK LONGIN</t>
  </si>
  <si>
    <t>EDIMEGO NELVINE</t>
  </si>
  <si>
    <t xml:space="preserve">ENGAL MOUKOMO Blanche Pamela </t>
  </si>
  <si>
    <t>FEUBI PAULINE MICHELLE</t>
  </si>
  <si>
    <t xml:space="preserve">FOZIN JOUFFO GUILOU </t>
  </si>
  <si>
    <t>KAMDEM NOUBIAP MIREILLE SYMBELINE</t>
  </si>
  <si>
    <t>LEKAMA Athanase</t>
  </si>
  <si>
    <t>NOAH NOAH MAXIMIN SAURELLE</t>
  </si>
  <si>
    <t>Toukap Mathilde</t>
  </si>
  <si>
    <t>BANENLA CLAUDINE</t>
  </si>
  <si>
    <t>NYOWIKE</t>
  </si>
  <si>
    <t>DJOUEGO TCHAMO BELINDA</t>
  </si>
  <si>
    <t>DEUGOUE TANKWA LUCIENNE</t>
  </si>
  <si>
    <t>MAFFOUOMENE TADA IVANELLE</t>
  </si>
  <si>
    <t>CHIOMA KALU RUTH RUTH</t>
  </si>
  <si>
    <t xml:space="preserve">ALEMNJU </t>
  </si>
  <si>
    <t xml:space="preserve">OMVOA FOUDA SOPHIE FORT </t>
  </si>
  <si>
    <t>KUETE Armelle</t>
  </si>
  <si>
    <t>TANKEU NGUEONG GUY </t>
  </si>
  <si>
    <t>ENG</t>
  </si>
  <si>
    <t>NDEНТСНЕK SAKOANE ELISABETH</t>
  </si>
  <si>
    <t>ABDOUR RAHIM SAMBO</t>
  </si>
  <si>
    <t xml:space="preserve">AMINATOU HAMADOU </t>
  </si>
  <si>
    <t>YAYA BARKINDO</t>
  </si>
  <si>
    <t>KOULTCHOUMI FADIMATOU HAMAN</t>
  </si>
  <si>
    <t>SAMIRA MOUSSA  KONATE</t>
  </si>
  <si>
    <t>AMINATOU BABA MARLYSE</t>
  </si>
  <si>
    <t>ZOURMBA JAMES</t>
  </si>
  <si>
    <t xml:space="preserve">BAGUIROU  </t>
  </si>
  <si>
    <t>BEN NIRYENE TONDJI  FRANK LEPERS</t>
  </si>
  <si>
    <t>BIN YAMINE AMADOU BOUBA</t>
  </si>
  <si>
    <t>DJAGARA  MARKOUS</t>
  </si>
  <si>
    <t>MOHAMAN BELLO  HAMIDA</t>
  </si>
  <si>
    <t>IBRAHIM  ABOUBAKAR</t>
  </si>
  <si>
    <t>MOUHAMADOU NAZIROU IBN BABA HAMATOUKOUR</t>
  </si>
  <si>
    <t>VOUNTAI DAMOUTCH</t>
  </si>
  <si>
    <t>ABDEL NACER OUMAROU SEIDOU</t>
  </si>
  <si>
    <t>MOKHTAR KASSOUA</t>
  </si>
  <si>
    <t>AISSATOU Dahirou</t>
  </si>
  <si>
    <t>SIDDIKI OUSMANOU</t>
  </si>
  <si>
    <t xml:space="preserve">ALIOU  Saidou </t>
  </si>
  <si>
    <t>NGAYAWANAKA DJALLO Claude</t>
  </si>
  <si>
    <t>MOHAMADOU SEINI</t>
  </si>
  <si>
    <t>DJANABOU SOULEYMANOU</t>
  </si>
  <si>
    <t>WAKEM WAMBE  NARCISSE JOEL</t>
  </si>
  <si>
    <t>ABDOURAHMAN HAMIDOU</t>
  </si>
  <si>
    <t>SOUSSIA BRONDON</t>
  </si>
  <si>
    <t>DJIBRIL MAMOUT</t>
  </si>
  <si>
    <t>RAYANG YOUALESSAM BONIFACE</t>
  </si>
  <si>
    <t>ABDOURAMAN MAHAMAT</t>
  </si>
  <si>
    <t>MAÎRAMA BEGAM Sans prénom</t>
  </si>
  <si>
    <t>MOUSSA DJOBDI</t>
  </si>
  <si>
    <t>AMINATOU DONNA</t>
  </si>
  <si>
    <t>AICHA YAKOURA</t>
  </si>
  <si>
    <t>FADIMATOU</t>
  </si>
  <si>
    <t>SOULEYMAN OUMAROU</t>
  </si>
  <si>
    <t>AHMED ABDUL Nasser</t>
  </si>
  <si>
    <t>MOHAMADOU Awalou</t>
  </si>
  <si>
    <t>KOUBE MADINATOU ANAKAYE</t>
  </si>
  <si>
    <t>NOURRADINE ASSAPHI YOUSSOUFA</t>
  </si>
  <si>
    <t>MIDIGAINI DJAMBA AMOS</t>
  </si>
  <si>
    <t>MOHAMADOU  LAMINOU</t>
  </si>
  <si>
    <t>FFD</t>
  </si>
  <si>
    <t>MESSI MESSI KEVIN TANGUY</t>
  </si>
  <si>
    <t>ALOCK A KIKI LYDIE GAELLE</t>
  </si>
  <si>
    <t>MINKOE MENYE IRENE BIBICHE</t>
  </si>
  <si>
    <t xml:space="preserve">SADOU FRÉDÉRIC </t>
  </si>
  <si>
    <t>KAMRO MARLENE DIANE</t>
  </si>
  <si>
    <t xml:space="preserve">SI NKOAARNOLD CEDRIC </t>
  </si>
  <si>
    <t>DENGUE ENGUENE ARLETTE PAULE</t>
  </si>
  <si>
    <t>TSEKAM LADORINE ARMELLE</t>
  </si>
  <si>
    <t>BADEFONA SOLANGE AUDREY GAELLE</t>
  </si>
  <si>
    <t>PAKI OLIVE LAURETTE</t>
  </si>
  <si>
    <t>KIAMBA POUPIE GAELLE</t>
  </si>
  <si>
    <t>TCHOUADJE SIWE  CHRISTOPHE COLOMB</t>
  </si>
  <si>
    <t xml:space="preserve">MAMAH FOTSING SYNTIA </t>
  </si>
  <si>
    <t>LANTOUM MOUSIMA DANIEL JUNIOR</t>
  </si>
  <si>
    <t>KOUMBA EMILIENNE FRANCE LAETITIA</t>
  </si>
  <si>
    <t>APKEH CARINE LAURICE</t>
  </si>
  <si>
    <t>NKOUMOU ANYOUZOA MYRIAM</t>
  </si>
  <si>
    <t>ALIMA Marie Thérèse</t>
  </si>
  <si>
    <t>SIDJE MBOUGUENG STEPHANIE</t>
  </si>
  <si>
    <t xml:space="preserve">MOUNG ESSOMBE CAROLE DESIREE </t>
  </si>
  <si>
    <t>MESSINA REGIS ALEXANDRA</t>
  </si>
  <si>
    <t>NGNIGNIPUTYA ALICE</t>
  </si>
  <si>
    <t xml:space="preserve">ETOUNOU AMOUGOU SOPHIE DORETTE </t>
  </si>
  <si>
    <t>NDJAKO A ABOH Arnaud</t>
  </si>
  <si>
    <t>NGO SONG MONIQUE</t>
  </si>
  <si>
    <t>NGO MBOUA GRACE</t>
  </si>
  <si>
    <t>WATCHE KENMI LINDA FRANCESCA</t>
  </si>
  <si>
    <t>ENADA PAUL SAMUEL</t>
  </si>
  <si>
    <t>NGOUNOU ESPERANDA SEPHORA</t>
  </si>
  <si>
    <t>BOHONO BOMONO  EGENIE</t>
  </si>
  <si>
    <t>NEICHE NGAPIAPSI CHRISTIAN STEVE</t>
  </si>
  <si>
    <t>NGOUNOUE IDA LAETICIA</t>
  </si>
  <si>
    <t>NGUENANG NGAKO GAEL BRICE</t>
  </si>
  <si>
    <t>NJOUGOUO DIANE VERDAINE</t>
  </si>
  <si>
    <t>NGOLMA ANDJIGA GERVAIS PACOME</t>
  </si>
  <si>
    <t xml:space="preserve">NSADJO NOMI PRISCA </t>
  </si>
  <si>
    <t>ELOUNDOU THADDE JEANNEL</t>
  </si>
  <si>
    <t>TENZE LEA</t>
  </si>
  <si>
    <t xml:space="preserve">MODO NJOUME BRICE </t>
  </si>
  <si>
    <t>ATANGANA FLORENCE</t>
  </si>
  <si>
    <t>FOKA  TRISTAND VALEZ</t>
  </si>
  <si>
    <t>NJIOMO TIMO  ELTONE PRISCA</t>
  </si>
  <si>
    <t xml:space="preserve">KEDE ANDOUM IDA </t>
  </si>
  <si>
    <t xml:space="preserve">TOYI NEMBOUET BLANDINE </t>
  </si>
  <si>
    <t>ABOMO VERA LAURETTE</t>
  </si>
  <si>
    <t xml:space="preserve">PANI AVENA DEROL KEWIN  </t>
  </si>
  <si>
    <t>ENGOULOU SOSTHENE NATHANAEL</t>
  </si>
  <si>
    <t>ESSOMBA ESSIMINA FRANK STEPHANE</t>
  </si>
  <si>
    <t>NGOKO NGAKO CHRISTELLE</t>
  </si>
  <si>
    <t>EKOBENA MENANG ROLAND BRICE</t>
  </si>
  <si>
    <t xml:space="preserve">MAKOU MANUELA </t>
  </si>
  <si>
    <t xml:space="preserve">TSANE PRISCILLE JULIE  </t>
  </si>
  <si>
    <t>IMBOUSSI MAYANG ALEX LUIGY</t>
  </si>
  <si>
    <t xml:space="preserve">MEVANG MEDOU MARTINE GRACE </t>
  </si>
  <si>
    <t>ZEUDEU MANEDONG Vanessa</t>
  </si>
  <si>
    <t>AYISSI LOME DIEUDONNE II</t>
  </si>
  <si>
    <t xml:space="preserve">EDIBENBEGNI NICAISE RAISSA </t>
  </si>
  <si>
    <t>ASANDJON Belvalie</t>
  </si>
  <si>
    <t>Nkou Lima Sabine Stella</t>
  </si>
  <si>
    <t>YIAGNIGNI MACHE ALIMATOU</t>
  </si>
  <si>
    <t xml:space="preserve">EGOUME ATANGANA HERVEE GERALDINE </t>
  </si>
  <si>
    <t>DZOYEM LITHESE FLORA</t>
  </si>
  <si>
    <t>FADIMATOU SONWANE BABILA</t>
  </si>
  <si>
    <t>NGUEPSI KEMCHE HERMANN</t>
  </si>
  <si>
    <t>GANMOU MINANG SANDRINE STELLA</t>
  </si>
  <si>
    <t>TANE EZECHIEL</t>
  </si>
  <si>
    <t>NOUBISSI TCHAMO NORBERT HERMANN</t>
  </si>
  <si>
    <t>MATJABI  RUBEN</t>
  </si>
  <si>
    <t>NKOUANG TITUS JOEL</t>
  </si>
  <si>
    <t>YANA ALAIN ROLAND</t>
  </si>
  <si>
    <t>FOTSING CHAMBERLIN WILFRIED</t>
  </si>
  <si>
    <t xml:space="preserve">FANYIM THOMAS </t>
  </si>
  <si>
    <t>EKENG JACQUES YVES</t>
  </si>
  <si>
    <t>YACK JOHN DIMETRID</t>
  </si>
  <si>
    <t xml:space="preserve">BESSECK A BABA CHRISTELLE LARISSE </t>
  </si>
  <si>
    <t>ENGANALIM ESTELLE PRISCA</t>
  </si>
  <si>
    <t>NDZIE MENANG YOLANDE ARMELLE</t>
  </si>
  <si>
    <t>AYAKALA BETENE LAETICIA</t>
  </si>
  <si>
    <t>TEGUE KAMGA  MARCEL HUBERT</t>
  </si>
  <si>
    <t>DJAMILLA MUMTAZ</t>
  </si>
  <si>
    <t xml:space="preserve">ANDANG BITOGO DILANE </t>
  </si>
  <si>
    <t>BOULI NDOBO  STEVE DENIS</t>
  </si>
  <si>
    <t>NGUIMEYA ARMELLE NADINE</t>
  </si>
  <si>
    <t>MADJA TAKOU CRESENCE VANIELLE</t>
  </si>
  <si>
    <t xml:space="preserve">IKOULA MARTHE CLÉONCE </t>
  </si>
  <si>
    <t>ABOUDOU KOSSINGO MEGANE</t>
  </si>
  <si>
    <t xml:space="preserve">TANGANG TCHAGOP LINDA VANISSA </t>
  </si>
  <si>
    <t>EONE  FRANCK EMMANUEL</t>
  </si>
  <si>
    <t xml:space="preserve">DIPITA TOCK LAKENE MARCELLE </t>
  </si>
  <si>
    <t>MBONO JOYCE CYNTHIA</t>
  </si>
  <si>
    <t>ANTA  GUEYE</t>
  </si>
  <si>
    <t>MEFAWBOU NGUEWOU LINDA FLAVIE</t>
  </si>
  <si>
    <t>MANGA NDONGO JOSEPHINE LAURETTE</t>
  </si>
  <si>
    <t>FRE</t>
  </si>
  <si>
    <t>HP</t>
  </si>
  <si>
    <t>CA</t>
  </si>
  <si>
    <t>CM</t>
  </si>
  <si>
    <t>ASSISTANCE</t>
  </si>
  <si>
    <t>AUDACITY</t>
  </si>
  <si>
    <t>CONNEXION+</t>
  </si>
  <si>
    <t>HONESTY</t>
  </si>
  <si>
    <t>INNOVATION</t>
  </si>
  <si>
    <t>INTEGRITY</t>
  </si>
  <si>
    <t>PROFESSIONALISM</t>
  </si>
  <si>
    <t>TT</t>
  </si>
  <si>
    <t>AMANA</t>
  </si>
  <si>
    <t>BURAL</t>
  </si>
  <si>
    <t>TAD</t>
  </si>
  <si>
    <t>NUIT</t>
  </si>
  <si>
    <t>SEYO</t>
  </si>
  <si>
    <t>S</t>
  </si>
  <si>
    <t>BU</t>
  </si>
  <si>
    <t>HONNESTY</t>
  </si>
  <si>
    <t>PERFORMANCE</t>
  </si>
  <si>
    <t>6m</t>
  </si>
  <si>
    <t>NB MAI2026</t>
  </si>
  <si>
    <t>Jean Hans Raoul TEMGA</t>
  </si>
  <si>
    <t>KAPCHIE TANGNI SYLVIANE FLORA</t>
  </si>
  <si>
    <t>KEMETIA MANFFOUO Verdiane Michel</t>
  </si>
  <si>
    <t>Lambert-Corinne Olivia NDZANA ELANGA</t>
  </si>
  <si>
    <t>MADJOUFAN KAPAWOU INNETTE</t>
  </si>
  <si>
    <t>MAGNI NGANGA Yollie Vanessa</t>
  </si>
  <si>
    <t>MAGOU Mireille</t>
  </si>
  <si>
    <t>Mboye Fabienne Audrey</t>
  </si>
  <si>
    <t>MENOUNGA Leroc</t>
  </si>
  <si>
    <t>Mfoum Ngono Lucie</t>
  </si>
  <si>
    <t>Michel René Ele</t>
  </si>
  <si>
    <t>Moukouri Oba Yves Benjamin</t>
  </si>
  <si>
    <t>NZOUKEU TCHATCHOUA Merveille</t>
  </si>
  <si>
    <t>Tankeu Njiognou Leance Deliane</t>
  </si>
  <si>
    <t>MBILLA TCHOUTEZO Glwadys Laure</t>
  </si>
  <si>
    <t>NGA ATANGANA Clémentine
Oriane Kellie</t>
  </si>
  <si>
    <t>NGONGANG Leonel Ludovic</t>
  </si>
  <si>
    <t>Yaya Abdoulaye</t>
  </si>
  <si>
    <t>BELINGA MESSIA PAUL HENRi</t>
  </si>
  <si>
    <t>Todou Nataniel</t>
  </si>
  <si>
    <t>Aissatou Ibrahima</t>
  </si>
  <si>
    <t>Enane Begue Venant Junior</t>
  </si>
  <si>
    <t>Mouhamad Bello</t>
  </si>
  <si>
    <t>Mohamadou hafizou</t>
  </si>
  <si>
    <t>Daly Hamadou</t>
  </si>
  <si>
    <t>Tegodne Joyce</t>
  </si>
  <si>
    <t>Abdoulaye Lawane</t>
  </si>
  <si>
    <t xml:space="preserve">Akono Ngavoula Marthe Ernestine </t>
  </si>
  <si>
    <t>ESEMBIENG ONIEL FONJOCK</t>
  </si>
  <si>
    <t>Fadimatou Souleymane</t>
  </si>
  <si>
    <t>HASSAN  HAMIDOU</t>
  </si>
  <si>
    <t>Zakari Yaou Bello Bello</t>
  </si>
  <si>
    <t>14;</t>
  </si>
  <si>
    <t>15;</t>
  </si>
  <si>
    <t>DISTRIBUTEURS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</si>
</sst>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.00\ _€_-;\-* #,##0.00\ _€_-;_-* &quot;-&quot;??\ _€_-;_-@_-"/>
    <numFmt numFmtId="165" formatCode="0.0%"/>
    <numFmt numFmtId="166" formatCode="0.0"/>
    <numFmt numFmtId="167" formatCode="_-* #,##0_-;\-* #,##0_-;_-* &quot;-&quot;??_-;_-@_-"/>
    <numFmt numFmtId="168" formatCode="_-* #,##0\ _€_-;\-* #,##0\ _€_-;_-* &quot;-&quot;??\ _€_-;_-@_-"/>
    <numFmt numFmtId="169" formatCode="[$-F800]dddd\,\ mmmm\ dd\,\ yyyy"/>
    <numFmt numFmtId="170" formatCode="[h]:mm:ss;@"/>
    <numFmt numFmtId="171" formatCode="h:mm;@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18"/>
      <name val="Arial"/>
      <family val="2"/>
    </font>
    <font>
      <b/>
      <u/>
      <sz val="10"/>
      <color theme="10"/>
      <name val="Arial"/>
      <family val="2"/>
    </font>
    <font>
      <sz val="9"/>
      <color rgb="FF222222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u/>
      <sz val="10"/>
      <color theme="10"/>
      <name val="Arial"/>
      <family val="2"/>
    </font>
    <font>
      <b/>
      <sz val="9"/>
      <color indexed="48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i/>
      <sz val="9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9"/>
      <color rgb="FF222222"/>
      <name val="Arial"/>
      <family val="2"/>
    </font>
    <font>
      <b/>
      <u/>
      <sz val="10"/>
      <color theme="10"/>
      <name val="Arial"/>
      <family val="2"/>
    </font>
    <font>
      <sz val="10"/>
      <name val="Arial"/>
      <family val="2"/>
    </font>
    <font>
      <sz val="10"/>
      <color theme="0" tint="-4.9989318521683403E-2"/>
      <name val="Arial"/>
      <family val="2"/>
    </font>
    <font>
      <b/>
      <sz val="10"/>
      <color theme="4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0" tint="-0.249977111117893"/>
      <name val="Arial"/>
      <family val="2"/>
    </font>
    <font>
      <sz val="10"/>
      <color theme="0" tint="-0.14999847407452621"/>
      <name val="Arial"/>
      <family val="2"/>
    </font>
    <font>
      <b/>
      <sz val="8"/>
      <name val="Arial"/>
      <family val="2"/>
    </font>
    <font>
      <sz val="8"/>
      <color theme="0" tint="-0.14999847407452621"/>
      <name val="Arial"/>
      <family val="2"/>
    </font>
    <font>
      <sz val="8"/>
      <color theme="0" tint="-4.9989318521683403E-2"/>
      <name val="Arial"/>
      <family val="2"/>
    </font>
    <font>
      <b/>
      <sz val="8"/>
      <color theme="4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8"/>
      <color theme="0" tint="-0.249977111117893"/>
      <name val="Arial"/>
      <family val="2"/>
    </font>
    <font>
      <b/>
      <sz val="11"/>
      <color rgb="FF007BB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</font>
    <font>
      <sz val="10"/>
      <name val="Calibri"/>
      <family val="2"/>
      <scheme val="minor"/>
    </font>
    <font>
      <b/>
      <i/>
      <sz val="10"/>
      <color rgb="FF002060"/>
      <name val="Calibri"/>
      <family val="2"/>
    </font>
    <font>
      <b/>
      <sz val="10"/>
      <color rgb="FF00206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92D050"/>
      <name val="Calibri"/>
      <family val="2"/>
      <scheme val="minor"/>
    </font>
    <font>
      <sz val="10"/>
      <color rgb="FFFF4645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</font>
    <font>
      <sz val="10"/>
      <color theme="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8"/>
      </patternFill>
    </fill>
    <fill>
      <patternFill patternType="solid">
        <fgColor theme="5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52"/>
        <bgColor indexed="8"/>
      </patternFill>
    </fill>
    <fill>
      <patternFill patternType="solid">
        <fgColor theme="9" tint="-0.249977111117893"/>
        <bgColor indexed="8"/>
      </patternFill>
    </fill>
    <fill>
      <patternFill patternType="solid">
        <fgColor indexed="22"/>
        <bgColor indexed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8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A3F10"/>
        <bgColor indexed="8"/>
      </patternFill>
    </fill>
    <fill>
      <patternFill patternType="solid">
        <fgColor theme="4"/>
        <bgColor indexed="8"/>
      </patternFill>
    </fill>
    <fill>
      <patternFill patternType="solid">
        <fgColor rgb="FF7030A0"/>
        <bgColor indexed="8"/>
      </patternFill>
    </fill>
    <fill>
      <patternFill patternType="solid">
        <fgColor rgb="FF590000"/>
        <bgColor indexed="8"/>
      </patternFill>
    </fill>
    <fill>
      <patternFill patternType="solid">
        <fgColor rgb="FF787800"/>
        <bgColor indexed="8"/>
      </patternFill>
    </fill>
    <fill>
      <patternFill patternType="solid">
        <fgColor rgb="FF68F200"/>
        <bgColor indexed="8"/>
      </patternFill>
    </fill>
    <fill>
      <patternFill patternType="solid">
        <fgColor rgb="FFDCAF0A"/>
        <bgColor indexed="8"/>
      </patternFill>
    </fill>
    <fill>
      <patternFill patternType="solid">
        <fgColor rgb="FFFAFA32"/>
        <bgColor indexed="8"/>
      </patternFill>
    </fill>
    <fill>
      <patternFill patternType="solid">
        <fgColor rgb="FF4B4B4B"/>
        <bgColor indexed="8"/>
      </patternFill>
    </fill>
    <fill>
      <patternFill patternType="solid">
        <fgColor rgb="FF0070C0"/>
        <bgColor indexed="8"/>
      </patternFill>
    </fill>
    <fill>
      <patternFill patternType="solid">
        <fgColor rgb="FF92548B"/>
        <bgColor indexed="8"/>
      </patternFill>
    </fill>
  </fills>
  <borders count="52">
    <border>
      <left/>
      <right/>
      <top/>
      <bottom/>
      <diagonal/>
    </border>
    <border>
      <left style="medium">
        <color indexed="15"/>
      </left>
      <right/>
      <top style="medium">
        <color indexed="15"/>
      </top>
      <bottom/>
      <diagonal/>
    </border>
    <border>
      <left/>
      <right style="medium">
        <color indexed="15"/>
      </right>
      <top style="medium">
        <color indexed="15"/>
      </top>
      <bottom/>
      <diagonal/>
    </border>
    <border>
      <left style="medium">
        <color indexed="15"/>
      </left>
      <right/>
      <top/>
      <bottom/>
      <diagonal/>
    </border>
    <border>
      <left/>
      <right style="medium">
        <color indexed="15"/>
      </right>
      <top/>
      <bottom/>
      <diagonal/>
    </border>
    <border>
      <left style="medium">
        <color indexed="15"/>
      </left>
      <right/>
      <top/>
      <bottom style="medium">
        <color indexed="15"/>
      </bottom>
      <diagonal/>
    </border>
    <border>
      <left/>
      <right/>
      <top/>
      <bottom style="medium">
        <color indexed="15"/>
      </bottom>
      <diagonal/>
    </border>
    <border>
      <left/>
      <right style="medium">
        <color indexed="15"/>
      </right>
      <top/>
      <bottom style="medium">
        <color indexed="15"/>
      </bottom>
      <diagonal/>
    </border>
    <border>
      <left/>
      <right/>
      <top style="medium">
        <color indexed="1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theme="3"/>
      </top>
      <bottom/>
      <diagonal/>
    </border>
    <border>
      <left style="thick">
        <color theme="3"/>
      </left>
      <right style="medium">
        <color indexed="15"/>
      </right>
      <top/>
      <bottom/>
      <diagonal/>
    </border>
    <border>
      <left style="thick">
        <color theme="3"/>
      </left>
      <right style="thick">
        <color theme="3"/>
      </right>
      <top style="thick">
        <color theme="3"/>
      </top>
      <bottom/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rgb="FFFF0000"/>
      </bottom>
      <diagonal/>
    </border>
    <border>
      <left style="medium">
        <color indexed="9"/>
      </left>
      <right/>
      <top/>
      <bottom style="medium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/>
      <bottom style="medium">
        <color indexed="9"/>
      </bottom>
      <diagonal/>
    </border>
    <border>
      <left style="medium">
        <color indexed="53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53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9"/>
      </left>
      <right style="medium">
        <color indexed="9"/>
      </right>
      <top/>
      <bottom/>
      <diagonal/>
    </border>
  </borders>
  <cellStyleXfs count="8">
    <xf numFmtId="0" fontId="0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4" fontId="31" fillId="0" borderId="0" applyFont="0" applyFill="0" applyBorder="0" applyAlignment="0" applyProtection="0"/>
    <xf numFmtId="169" fontId="1" fillId="0" borderId="0"/>
    <xf numFmtId="0" fontId="2" fillId="0" borderId="0"/>
    <xf numFmtId="169" fontId="64" fillId="0" borderId="0"/>
    <xf numFmtId="169" fontId="2" fillId="0" borderId="0"/>
  </cellStyleXfs>
  <cellXfs count="332">
    <xf numFmtId="0" fontId="0" fillId="0" borderId="0" xfId="0"/>
    <xf numFmtId="0" fontId="4" fillId="3" borderId="2" xfId="0" applyFont="1" applyFill="1" applyBorder="1"/>
    <xf numFmtId="0" fontId="4" fillId="3" borderId="4" xfId="0" applyFont="1" applyFill="1" applyBorder="1"/>
    <xf numFmtId="0" fontId="4" fillId="3" borderId="0" xfId="0" applyFont="1" applyFill="1"/>
    <xf numFmtId="0" fontId="7" fillId="3" borderId="0" xfId="0" applyFont="1" applyFill="1"/>
    <xf numFmtId="0" fontId="6" fillId="3" borderId="0" xfId="0" applyFont="1" applyFill="1" applyAlignment="1">
      <alignment horizontal="center"/>
    </xf>
    <xf numFmtId="0" fontId="4" fillId="3" borderId="5" xfId="0" applyFont="1" applyFill="1" applyBorder="1"/>
    <xf numFmtId="0" fontId="4" fillId="3" borderId="6" xfId="0" applyFont="1" applyFill="1" applyBorder="1"/>
    <xf numFmtId="0" fontId="7" fillId="3" borderId="6" xfId="0" applyFont="1" applyFill="1" applyBorder="1"/>
    <xf numFmtId="0" fontId="4" fillId="3" borderId="7" xfId="0" applyFont="1" applyFill="1" applyBorder="1"/>
    <xf numFmtId="0" fontId="4" fillId="3" borderId="3" xfId="0" applyFont="1" applyFill="1" applyBorder="1"/>
    <xf numFmtId="0" fontId="4" fillId="3" borderId="0" xfId="0" applyFont="1" applyFill="1" applyAlignment="1">
      <alignment horizontal="left" indent="1"/>
    </xf>
    <xf numFmtId="0" fontId="6" fillId="4" borderId="9" xfId="0" applyFont="1" applyFill="1" applyBorder="1" applyAlignment="1" applyProtection="1">
      <alignment horizontal="center"/>
      <protection locked="0"/>
    </xf>
    <xf numFmtId="10" fontId="6" fillId="4" borderId="9" xfId="0" applyNumberFormat="1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 applyProtection="1">
      <alignment horizontal="center"/>
      <protection locked="0"/>
    </xf>
    <xf numFmtId="20" fontId="4" fillId="3" borderId="0" xfId="0" applyNumberFormat="1" applyFont="1" applyFill="1"/>
    <xf numFmtId="20" fontId="4" fillId="3" borderId="9" xfId="0" applyNumberFormat="1" applyFont="1" applyFill="1" applyBorder="1" applyAlignment="1">
      <alignment horizontal="center"/>
    </xf>
    <xf numFmtId="20" fontId="4" fillId="5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2" fillId="0" borderId="0" xfId="0" applyFont="1"/>
    <xf numFmtId="0" fontId="6" fillId="0" borderId="0" xfId="0" applyFont="1"/>
    <xf numFmtId="0" fontId="9" fillId="0" borderId="0" xfId="0" applyFont="1"/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11" fillId="0" borderId="0" xfId="2"/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9" fontId="0" fillId="6" borderId="15" xfId="1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12" fillId="0" borderId="0" xfId="0" applyFont="1"/>
    <xf numFmtId="9" fontId="0" fillId="7" borderId="16" xfId="1" applyFont="1" applyFill="1" applyBorder="1" applyAlignment="1">
      <alignment horizontal="center" vertical="center"/>
    </xf>
    <xf numFmtId="9" fontId="0" fillId="0" borderId="0" xfId="1" applyFont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9" fontId="0" fillId="6" borderId="0" xfId="0" applyNumberFormat="1" applyFill="1" applyAlignment="1">
      <alignment horizontal="center"/>
    </xf>
    <xf numFmtId="0" fontId="4" fillId="3" borderId="1" xfId="0" applyFont="1" applyFill="1" applyBorder="1"/>
    <xf numFmtId="0" fontId="7" fillId="3" borderId="8" xfId="0" applyFont="1" applyFill="1" applyBorder="1"/>
    <xf numFmtId="0" fontId="4" fillId="3" borderId="8" xfId="0" applyFont="1" applyFill="1" applyBorder="1"/>
    <xf numFmtId="0" fontId="4" fillId="3" borderId="3" xfId="0" applyFont="1" applyFill="1" applyBorder="1" applyAlignment="1">
      <alignment vertical="center" wrapText="1"/>
    </xf>
    <xf numFmtId="0" fontId="6" fillId="3" borderId="9" xfId="0" applyFont="1" applyFill="1" applyBorder="1" applyAlignment="1">
      <alignment horizontal="center"/>
    </xf>
    <xf numFmtId="0" fontId="4" fillId="8" borderId="8" xfId="0" applyFont="1" applyFill="1" applyBorder="1"/>
    <xf numFmtId="0" fontId="4" fillId="8" borderId="2" xfId="0" applyFont="1" applyFill="1" applyBorder="1"/>
    <xf numFmtId="0" fontId="4" fillId="8" borderId="0" xfId="0" applyFont="1" applyFill="1"/>
    <xf numFmtId="0" fontId="4" fillId="8" borderId="4" xfId="0" applyFont="1" applyFill="1" applyBorder="1"/>
    <xf numFmtId="0" fontId="4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4" xfId="0" applyFill="1" applyBorder="1"/>
    <xf numFmtId="0" fontId="6" fillId="8" borderId="9" xfId="0" applyFont="1" applyFill="1" applyBorder="1" applyAlignment="1">
      <alignment horizontal="center"/>
    </xf>
    <xf numFmtId="0" fontId="4" fillId="8" borderId="6" xfId="0" applyFont="1" applyFill="1" applyBorder="1"/>
    <xf numFmtId="0" fontId="0" fillId="8" borderId="6" xfId="0" applyFill="1" applyBorder="1"/>
    <xf numFmtId="0" fontId="0" fillId="8" borderId="7" xfId="0" applyFill="1" applyBorder="1"/>
    <xf numFmtId="9" fontId="6" fillId="8" borderId="9" xfId="1" applyFont="1" applyFill="1" applyBorder="1" applyAlignment="1" applyProtection="1">
      <alignment horizontal="center"/>
    </xf>
    <xf numFmtId="0" fontId="5" fillId="8" borderId="9" xfId="0" applyFont="1" applyFill="1" applyBorder="1" applyAlignment="1">
      <alignment horizontal="center" vertical="center" wrapText="1"/>
    </xf>
    <xf numFmtId="0" fontId="5" fillId="3" borderId="0" xfId="0" applyFont="1" applyFill="1"/>
    <xf numFmtId="0" fontId="13" fillId="8" borderId="17" xfId="2" applyFont="1" applyFill="1" applyBorder="1" applyAlignment="1" applyProtection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6" fillId="4" borderId="9" xfId="0" applyFont="1" applyFill="1" applyBorder="1" applyAlignment="1" applyProtection="1">
      <alignment horizontal="center" vertical="center"/>
      <protection locked="0"/>
    </xf>
    <xf numFmtId="20" fontId="4" fillId="3" borderId="0" xfId="0" applyNumberFormat="1" applyFont="1" applyFill="1" applyAlignment="1">
      <alignment horizontal="center"/>
    </xf>
    <xf numFmtId="0" fontId="7" fillId="8" borderId="0" xfId="0" applyFont="1" applyFill="1"/>
    <xf numFmtId="0" fontId="14" fillId="0" borderId="0" xfId="0" applyFont="1"/>
    <xf numFmtId="0" fontId="11" fillId="8" borderId="0" xfId="2" applyFill="1"/>
    <xf numFmtId="20" fontId="0" fillId="0" borderId="9" xfId="0" applyNumberFormat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4" fillId="4" borderId="9" xfId="0" applyFont="1" applyFill="1" applyBorder="1" applyAlignment="1" applyProtection="1">
      <alignment horizontal="center"/>
      <protection locked="0"/>
    </xf>
    <xf numFmtId="0" fontId="4" fillId="8" borderId="20" xfId="0" applyFont="1" applyFill="1" applyBorder="1"/>
    <xf numFmtId="0" fontId="0" fillId="8" borderId="20" xfId="0" applyFill="1" applyBorder="1"/>
    <xf numFmtId="0" fontId="9" fillId="3" borderId="8" xfId="0" applyFont="1" applyFill="1" applyBorder="1"/>
    <xf numFmtId="15" fontId="6" fillId="0" borderId="0" xfId="0" applyNumberFormat="1" applyFont="1" applyAlignment="1">
      <alignment horizontal="left"/>
    </xf>
    <xf numFmtId="0" fontId="15" fillId="0" borderId="0" xfId="0" applyFont="1"/>
    <xf numFmtId="0" fontId="9" fillId="3" borderId="0" xfId="0" applyFont="1" applyFill="1"/>
    <xf numFmtId="0" fontId="11" fillId="8" borderId="17" xfId="2" applyFill="1" applyBorder="1" applyAlignment="1" applyProtection="1">
      <alignment horizontal="center" vertical="center" wrapText="1"/>
    </xf>
    <xf numFmtId="0" fontId="11" fillId="3" borderId="0" xfId="2" applyFill="1" applyBorder="1" applyProtection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16" fillId="8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0" fontId="16" fillId="2" borderId="0" xfId="0" applyFont="1" applyFill="1"/>
    <xf numFmtId="0" fontId="20" fillId="8" borderId="0" xfId="0" applyFont="1" applyFill="1"/>
    <xf numFmtId="0" fontId="16" fillId="8" borderId="0" xfId="0" applyFont="1" applyFill="1" applyAlignment="1">
      <alignment horizontal="left"/>
    </xf>
    <xf numFmtId="0" fontId="16" fillId="8" borderId="1" xfId="0" applyFont="1" applyFill="1" applyBorder="1"/>
    <xf numFmtId="0" fontId="23" fillId="8" borderId="8" xfId="0" applyFont="1" applyFill="1" applyBorder="1" applyAlignment="1">
      <alignment vertical="center"/>
    </xf>
    <xf numFmtId="0" fontId="18" fillId="3" borderId="8" xfId="0" applyFont="1" applyFill="1" applyBorder="1" applyAlignment="1">
      <alignment horizontal="center"/>
    </xf>
    <xf numFmtId="0" fontId="16" fillId="8" borderId="2" xfId="0" applyFont="1" applyFill="1" applyBorder="1"/>
    <xf numFmtId="0" fontId="16" fillId="8" borderId="3" xfId="0" applyFont="1" applyFill="1" applyBorder="1"/>
    <xf numFmtId="2" fontId="24" fillId="3" borderId="0" xfId="0" applyNumberFormat="1" applyFont="1" applyFill="1" applyAlignment="1">
      <alignment horizontal="center"/>
    </xf>
    <xf numFmtId="0" fontId="16" fillId="8" borderId="4" xfId="0" applyFont="1" applyFill="1" applyBorder="1"/>
    <xf numFmtId="0" fontId="18" fillId="4" borderId="9" xfId="0" applyFont="1" applyFill="1" applyBorder="1" applyAlignment="1" applyProtection="1">
      <alignment horizontal="center"/>
      <protection locked="0"/>
    </xf>
    <xf numFmtId="0" fontId="16" fillId="8" borderId="4" xfId="0" applyFont="1" applyFill="1" applyBorder="1" applyAlignment="1">
      <alignment horizontal="left" indent="1"/>
    </xf>
    <xf numFmtId="0" fontId="18" fillId="3" borderId="0" xfId="0" applyFont="1" applyFill="1" applyAlignment="1">
      <alignment horizontal="center"/>
    </xf>
    <xf numFmtId="165" fontId="18" fillId="4" borderId="9" xfId="0" applyNumberFormat="1" applyFont="1" applyFill="1" applyBorder="1" applyAlignment="1" applyProtection="1">
      <alignment horizontal="center"/>
      <protection locked="0"/>
    </xf>
    <xf numFmtId="0" fontId="25" fillId="8" borderId="0" xfId="0" applyFont="1" applyFill="1" applyAlignment="1">
      <alignment horizontal="left"/>
    </xf>
    <xf numFmtId="0" fontId="17" fillId="3" borderId="0" xfId="0" applyFont="1" applyFill="1"/>
    <xf numFmtId="2" fontId="18" fillId="3" borderId="0" xfId="0" applyNumberFormat="1" applyFont="1" applyFill="1" applyAlignment="1">
      <alignment horizontal="center"/>
    </xf>
    <xf numFmtId="0" fontId="26" fillId="8" borderId="0" xfId="0" applyFont="1" applyFill="1"/>
    <xf numFmtId="0" fontId="26" fillId="8" borderId="3" xfId="0" applyFont="1" applyFill="1" applyBorder="1"/>
    <xf numFmtId="9" fontId="18" fillId="4" borderId="9" xfId="0" applyNumberFormat="1" applyFont="1" applyFill="1" applyBorder="1" applyAlignment="1" applyProtection="1">
      <alignment horizontal="center"/>
      <protection locked="0"/>
    </xf>
    <xf numFmtId="0" fontId="26" fillId="8" borderId="4" xfId="0" applyFont="1" applyFill="1" applyBorder="1"/>
    <xf numFmtId="0" fontId="27" fillId="3" borderId="0" xfId="0" applyFont="1" applyFill="1"/>
    <xf numFmtId="0" fontId="26" fillId="2" borderId="0" xfId="0" applyFont="1" applyFill="1"/>
    <xf numFmtId="10" fontId="18" fillId="3" borderId="0" xfId="0" applyNumberFormat="1" applyFont="1" applyFill="1" applyAlignment="1">
      <alignment horizontal="center"/>
    </xf>
    <xf numFmtId="0" fontId="23" fillId="8" borderId="0" xfId="0" applyFont="1" applyFill="1" applyAlignment="1">
      <alignment horizontal="left"/>
    </xf>
    <xf numFmtId="0" fontId="16" fillId="8" borderId="0" xfId="0" applyFont="1" applyFill="1" applyAlignment="1">
      <alignment horizontal="left" indent="1"/>
    </xf>
    <xf numFmtId="0" fontId="16" fillId="8" borderId="0" xfId="0" applyFont="1" applyFill="1" applyAlignment="1">
      <alignment horizontal="left" wrapText="1"/>
    </xf>
    <xf numFmtId="0" fontId="23" fillId="8" borderId="0" xfId="0" applyFont="1" applyFill="1"/>
    <xf numFmtId="166" fontId="18" fillId="3" borderId="0" xfId="0" applyNumberFormat="1" applyFont="1" applyFill="1" applyAlignment="1">
      <alignment horizontal="center"/>
    </xf>
    <xf numFmtId="0" fontId="16" fillId="8" borderId="5" xfId="0" applyFont="1" applyFill="1" applyBorder="1"/>
    <xf numFmtId="0" fontId="16" fillId="8" borderId="6" xfId="0" applyFont="1" applyFill="1" applyBorder="1"/>
    <xf numFmtId="0" fontId="17" fillId="3" borderId="6" xfId="0" applyFont="1" applyFill="1" applyBorder="1"/>
    <xf numFmtId="0" fontId="16" fillId="8" borderId="7" xfId="0" applyFont="1" applyFill="1" applyBorder="1"/>
    <xf numFmtId="0" fontId="16" fillId="3" borderId="6" xfId="0" applyFont="1" applyFill="1" applyBorder="1"/>
    <xf numFmtId="0" fontId="28" fillId="0" borderId="0" xfId="0" applyFont="1"/>
    <xf numFmtId="0" fontId="18" fillId="8" borderId="0" xfId="0" applyFont="1" applyFill="1" applyAlignment="1">
      <alignment horizontal="center"/>
    </xf>
    <xf numFmtId="0" fontId="29" fillId="0" borderId="0" xfId="0" applyFont="1"/>
    <xf numFmtId="0" fontId="21" fillId="8" borderId="0" xfId="2" applyFont="1" applyFill="1"/>
    <xf numFmtId="0" fontId="17" fillId="8" borderId="0" xfId="0" applyFont="1" applyFill="1"/>
    <xf numFmtId="0" fontId="16" fillId="2" borderId="0" xfId="0" applyFont="1" applyFill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8" borderId="21" xfId="0" applyFill="1" applyBorder="1"/>
    <xf numFmtId="0" fontId="0" fillId="8" borderId="22" xfId="0" applyFill="1" applyBorder="1"/>
    <xf numFmtId="0" fontId="11" fillId="8" borderId="0" xfId="2" applyFill="1" applyBorder="1" applyAlignment="1" applyProtection="1">
      <alignment horizontal="left"/>
    </xf>
    <xf numFmtId="0" fontId="13" fillId="8" borderId="0" xfId="2" applyFont="1" applyFill="1" applyBorder="1" applyAlignment="1" applyProtection="1">
      <alignment horizontal="center" vertical="center" wrapText="1"/>
    </xf>
    <xf numFmtId="0" fontId="0" fillId="9" borderId="0" xfId="0" applyFill="1"/>
    <xf numFmtId="9" fontId="6" fillId="0" borderId="27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1" fontId="6" fillId="0" borderId="27" xfId="0" applyNumberFormat="1" applyFont="1" applyBorder="1" applyAlignment="1">
      <alignment horizontal="center"/>
    </xf>
    <xf numFmtId="1" fontId="0" fillId="0" borderId="0" xfId="0" applyNumberFormat="1"/>
    <xf numFmtId="1" fontId="2" fillId="0" borderId="0" xfId="0" applyNumberFormat="1" applyFont="1"/>
    <xf numFmtId="0" fontId="2" fillId="9" borderId="0" xfId="0" applyFont="1" applyFill="1" applyAlignment="1">
      <alignment horizontal="center"/>
    </xf>
    <xf numFmtId="0" fontId="4" fillId="5" borderId="0" xfId="0" applyFont="1" applyFill="1"/>
    <xf numFmtId="9" fontId="6" fillId="7" borderId="9" xfId="1" applyFont="1" applyFill="1" applyBorder="1"/>
    <xf numFmtId="0" fontId="5" fillId="3" borderId="9" xfId="0" applyFont="1" applyFill="1" applyBorder="1" applyAlignment="1">
      <alignment horizontal="right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" fontId="32" fillId="0" borderId="0" xfId="0" applyNumberFormat="1" applyFont="1" applyAlignment="1">
      <alignment horizontal="left"/>
    </xf>
    <xf numFmtId="20" fontId="4" fillId="5" borderId="10" xfId="0" applyNumberFormat="1" applyFont="1" applyFill="1" applyBorder="1" applyAlignment="1">
      <alignment horizontal="center"/>
    </xf>
    <xf numFmtId="1" fontId="0" fillId="0" borderId="0" xfId="1" quotePrefix="1" applyNumberFormat="1" applyFont="1"/>
    <xf numFmtId="1" fontId="33" fillId="0" borderId="9" xfId="0" applyNumberFormat="1" applyFont="1" applyBorder="1"/>
    <xf numFmtId="20" fontId="4" fillId="3" borderId="10" xfId="0" applyNumberFormat="1" applyFont="1" applyFill="1" applyBorder="1" applyAlignment="1">
      <alignment horizontal="center"/>
    </xf>
    <xf numFmtId="1" fontId="6" fillId="3" borderId="29" xfId="0" applyNumberFormat="1" applyFont="1" applyFill="1" applyBorder="1" applyAlignment="1">
      <alignment horizontal="center"/>
    </xf>
    <xf numFmtId="1" fontId="6" fillId="3" borderId="30" xfId="0" applyNumberFormat="1" applyFont="1" applyFill="1" applyBorder="1" applyAlignment="1">
      <alignment horizontal="center"/>
    </xf>
    <xf numFmtId="1" fontId="6" fillId="3" borderId="31" xfId="0" applyNumberFormat="1" applyFont="1" applyFill="1" applyBorder="1" applyAlignment="1">
      <alignment horizontal="center"/>
    </xf>
    <xf numFmtId="9" fontId="6" fillId="0" borderId="0" xfId="1" applyFont="1"/>
    <xf numFmtId="1" fontId="36" fillId="11" borderId="0" xfId="0" applyNumberFormat="1" applyFont="1" applyFill="1" applyAlignment="1">
      <alignment horizontal="center"/>
    </xf>
    <xf numFmtId="167" fontId="36" fillId="11" borderId="0" xfId="0" applyNumberFormat="1" applyFont="1" applyFill="1" applyAlignment="1">
      <alignment horizontal="center"/>
    </xf>
    <xf numFmtId="1" fontId="0" fillId="0" borderId="9" xfId="1" applyNumberFormat="1" applyFont="1" applyBorder="1"/>
    <xf numFmtId="167" fontId="0" fillId="0" borderId="9" xfId="3" applyNumberFormat="1" applyFont="1" applyBorder="1"/>
    <xf numFmtId="0" fontId="6" fillId="0" borderId="9" xfId="0" applyFont="1" applyBorder="1"/>
    <xf numFmtId="9" fontId="6" fillId="0" borderId="9" xfId="1" applyFont="1" applyBorder="1"/>
    <xf numFmtId="168" fontId="36" fillId="11" borderId="0" xfId="3" applyNumberFormat="1" applyFont="1" applyFill="1" applyAlignment="1">
      <alignment horizontal="center"/>
    </xf>
    <xf numFmtId="1" fontId="38" fillId="0" borderId="0" xfId="0" applyNumberFormat="1" applyFont="1"/>
    <xf numFmtId="168" fontId="0" fillId="0" borderId="0" xfId="3" applyNumberFormat="1" applyFont="1"/>
    <xf numFmtId="1" fontId="39" fillId="0" borderId="0" xfId="0" applyNumberFormat="1" applyFont="1"/>
    <xf numFmtId="167" fontId="0" fillId="0" borderId="32" xfId="3" applyNumberFormat="1" applyFont="1" applyFill="1" applyBorder="1"/>
    <xf numFmtId="167" fontId="0" fillId="0" borderId="0" xfId="0" applyNumberFormat="1"/>
    <xf numFmtId="1" fontId="18" fillId="3" borderId="0" xfId="0" applyNumberFormat="1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9" fontId="40" fillId="0" borderId="27" xfId="0" applyNumberFormat="1" applyFont="1" applyBorder="1" applyAlignment="1">
      <alignment horizontal="center"/>
    </xf>
    <xf numFmtId="1" fontId="41" fillId="0" borderId="0" xfId="0" applyNumberFormat="1" applyFont="1"/>
    <xf numFmtId="0" fontId="3" fillId="9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" fontId="40" fillId="0" borderId="27" xfId="0" applyNumberFormat="1" applyFont="1" applyBorder="1" applyAlignment="1">
      <alignment horizontal="center"/>
    </xf>
    <xf numFmtId="165" fontId="40" fillId="0" borderId="27" xfId="0" applyNumberFormat="1" applyFont="1" applyBorder="1" applyAlignment="1">
      <alignment horizontal="center"/>
    </xf>
    <xf numFmtId="1" fontId="3" fillId="0" borderId="0" xfId="0" applyNumberFormat="1" applyFont="1"/>
    <xf numFmtId="0" fontId="3" fillId="5" borderId="0" xfId="0" applyFont="1" applyFill="1"/>
    <xf numFmtId="9" fontId="40" fillId="7" borderId="9" xfId="1" applyFont="1" applyFill="1" applyBorder="1"/>
    <xf numFmtId="1" fontId="3" fillId="0" borderId="9" xfId="1" applyNumberFormat="1" applyFont="1" applyBorder="1"/>
    <xf numFmtId="167" fontId="3" fillId="0" borderId="0" xfId="0" applyNumberFormat="1" applyFont="1"/>
    <xf numFmtId="0" fontId="40" fillId="3" borderId="9" xfId="0" applyFont="1" applyFill="1" applyBorder="1" applyAlignment="1">
      <alignment horizontal="right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" fontId="42" fillId="0" borderId="0" xfId="0" applyNumberFormat="1" applyFont="1" applyAlignment="1">
      <alignment horizontal="left"/>
    </xf>
    <xf numFmtId="20" fontId="3" fillId="5" borderId="10" xfId="0" applyNumberFormat="1" applyFont="1" applyFill="1" applyBorder="1" applyAlignment="1">
      <alignment horizontal="center"/>
    </xf>
    <xf numFmtId="1" fontId="43" fillId="0" borderId="9" xfId="0" applyNumberFormat="1" applyFont="1" applyBorder="1" applyAlignment="1">
      <alignment horizontal="center"/>
    </xf>
    <xf numFmtId="9" fontId="40" fillId="8" borderId="9" xfId="1" applyFont="1" applyFill="1" applyBorder="1" applyAlignment="1" applyProtection="1">
      <alignment horizontal="center"/>
    </xf>
    <xf numFmtId="167" fontId="3" fillId="0" borderId="9" xfId="3" applyNumberFormat="1" applyFont="1" applyBorder="1"/>
    <xf numFmtId="167" fontId="3" fillId="0" borderId="32" xfId="3" applyNumberFormat="1" applyFont="1" applyFill="1" applyBorder="1"/>
    <xf numFmtId="20" fontId="3" fillId="3" borderId="10" xfId="0" applyNumberFormat="1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167" fontId="44" fillId="11" borderId="0" xfId="0" applyNumberFormat="1" applyFont="1" applyFill="1" applyAlignment="1">
      <alignment horizontal="center"/>
    </xf>
    <xf numFmtId="168" fontId="3" fillId="0" borderId="0" xfId="3" applyNumberFormat="1" applyFont="1"/>
    <xf numFmtId="1" fontId="40" fillId="3" borderId="30" xfId="0" applyNumberFormat="1" applyFont="1" applyFill="1" applyBorder="1" applyAlignment="1">
      <alignment horizontal="center"/>
    </xf>
    <xf numFmtId="1" fontId="40" fillId="3" borderId="31" xfId="0" applyNumberFormat="1" applyFont="1" applyFill="1" applyBorder="1" applyAlignment="1">
      <alignment horizontal="center"/>
    </xf>
    <xf numFmtId="1" fontId="40" fillId="3" borderId="29" xfId="0" applyNumberFormat="1" applyFont="1" applyFill="1" applyBorder="1" applyAlignment="1">
      <alignment horizontal="center"/>
    </xf>
    <xf numFmtId="165" fontId="40" fillId="0" borderId="0" xfId="1" applyNumberFormat="1" applyFont="1"/>
    <xf numFmtId="9" fontId="40" fillId="0" borderId="0" xfId="1" applyFont="1"/>
    <xf numFmtId="0" fontId="40" fillId="0" borderId="9" xfId="0" applyFont="1" applyBorder="1"/>
    <xf numFmtId="9" fontId="40" fillId="0" borderId="9" xfId="1" applyFont="1" applyBorder="1"/>
    <xf numFmtId="1" fontId="43" fillId="0" borderId="9" xfId="0" applyNumberFormat="1" applyFont="1" applyBorder="1"/>
    <xf numFmtId="1" fontId="46" fillId="0" borderId="0" xfId="0" applyNumberFormat="1" applyFont="1"/>
    <xf numFmtId="168" fontId="44" fillId="11" borderId="0" xfId="3" applyNumberFormat="1" applyFont="1" applyFill="1" applyAlignment="1">
      <alignment horizontal="center"/>
    </xf>
    <xf numFmtId="9" fontId="40" fillId="0" borderId="9" xfId="1" applyFont="1" applyBorder="1" applyAlignment="1">
      <alignment horizontal="center"/>
    </xf>
    <xf numFmtId="9" fontId="47" fillId="0" borderId="9" xfId="1" applyFont="1" applyBorder="1"/>
    <xf numFmtId="0" fontId="40" fillId="0" borderId="0" xfId="0" applyFont="1"/>
    <xf numFmtId="0" fontId="0" fillId="0" borderId="27" xfId="0" applyBorder="1"/>
    <xf numFmtId="0" fontId="3" fillId="0" borderId="27" xfId="0" applyFont="1" applyBorder="1"/>
    <xf numFmtId="20" fontId="3" fillId="0" borderId="0" xfId="0" applyNumberFormat="1" applyFont="1"/>
    <xf numFmtId="1" fontId="6" fillId="3" borderId="9" xfId="0" applyNumberFormat="1" applyFont="1" applyFill="1" applyBorder="1" applyAlignment="1">
      <alignment horizontal="center"/>
    </xf>
    <xf numFmtId="1" fontId="48" fillId="0" borderId="0" xfId="0" applyNumberFormat="1" applyFont="1"/>
    <xf numFmtId="1" fontId="33" fillId="16" borderId="9" xfId="0" applyNumberFormat="1" applyFont="1" applyFill="1" applyBorder="1"/>
    <xf numFmtId="1" fontId="6" fillId="0" borderId="0" xfId="0" applyNumberFormat="1" applyFont="1"/>
    <xf numFmtId="165" fontId="0" fillId="0" borderId="0" xfId="1" applyNumberFormat="1" applyFont="1"/>
    <xf numFmtId="165" fontId="6" fillId="0" borderId="0" xfId="1" applyNumberFormat="1" applyFont="1"/>
    <xf numFmtId="9" fontId="3" fillId="0" borderId="9" xfId="1" applyFont="1" applyBorder="1"/>
    <xf numFmtId="0" fontId="40" fillId="8" borderId="9" xfId="1" applyNumberFormat="1" applyFont="1" applyFill="1" applyBorder="1" applyAlignment="1" applyProtection="1">
      <alignment horizontal="center"/>
    </xf>
    <xf numFmtId="165" fontId="6" fillId="0" borderId="29" xfId="1" applyNumberFormat="1" applyFont="1" applyBorder="1"/>
    <xf numFmtId="165" fontId="6" fillId="0" borderId="30" xfId="1" applyNumberFormat="1" applyFont="1" applyBorder="1"/>
    <xf numFmtId="165" fontId="6" fillId="0" borderId="31" xfId="1" applyNumberFormat="1" applyFont="1" applyBorder="1"/>
    <xf numFmtId="1" fontId="40" fillId="8" borderId="9" xfId="1" applyNumberFormat="1" applyFont="1" applyFill="1" applyBorder="1" applyAlignment="1" applyProtection="1">
      <alignment horizontal="center"/>
    </xf>
    <xf numFmtId="2" fontId="3" fillId="0" borderId="0" xfId="0" applyNumberFormat="1" applyFont="1"/>
    <xf numFmtId="9" fontId="0" fillId="0" borderId="9" xfId="1" applyFont="1" applyBorder="1"/>
    <xf numFmtId="165" fontId="6" fillId="0" borderId="9" xfId="1" applyNumberFormat="1" applyFont="1" applyBorder="1"/>
    <xf numFmtId="0" fontId="0" fillId="0" borderId="36" xfId="0" applyBorder="1"/>
    <xf numFmtId="9" fontId="0" fillId="0" borderId="36" xfId="1" applyFont="1" applyBorder="1"/>
    <xf numFmtId="9" fontId="0" fillId="0" borderId="37" xfId="1" applyFont="1" applyBorder="1"/>
    <xf numFmtId="9" fontId="0" fillId="0" borderId="38" xfId="1" applyFont="1" applyBorder="1"/>
    <xf numFmtId="1" fontId="49" fillId="17" borderId="39" xfId="4" applyNumberFormat="1" applyFont="1" applyFill="1" applyBorder="1" applyAlignment="1">
      <alignment horizontal="left" vertical="center"/>
    </xf>
    <xf numFmtId="0" fontId="50" fillId="0" borderId="0" xfId="0" applyFont="1" applyAlignment="1">
      <alignment horizontal="left"/>
    </xf>
    <xf numFmtId="169" fontId="53" fillId="19" borderId="43" xfId="4" applyFont="1" applyFill="1" applyBorder="1" applyAlignment="1">
      <alignment horizontal="left" vertical="center"/>
    </xf>
    <xf numFmtId="1" fontId="53" fillId="19" borderId="44" xfId="4" applyNumberFormat="1" applyFont="1" applyFill="1" applyBorder="1" applyAlignment="1">
      <alignment horizontal="left" vertical="center"/>
    </xf>
    <xf numFmtId="0" fontId="53" fillId="18" borderId="44" xfId="4" applyNumberFormat="1" applyFont="1" applyFill="1" applyBorder="1" applyAlignment="1">
      <alignment horizontal="left" vertical="center"/>
    </xf>
    <xf numFmtId="170" fontId="50" fillId="20" borderId="0" xfId="4" applyNumberFormat="1" applyFont="1" applyFill="1" applyAlignment="1">
      <alignment horizontal="left" vertical="center"/>
    </xf>
    <xf numFmtId="169" fontId="53" fillId="21" borderId="45" xfId="4" applyFont="1" applyFill="1" applyBorder="1" applyAlignment="1">
      <alignment horizontal="left" vertical="center"/>
    </xf>
    <xf numFmtId="169" fontId="53" fillId="20" borderId="46" xfId="4" applyFont="1" applyFill="1" applyBorder="1" applyAlignment="1">
      <alignment horizontal="left" vertical="center"/>
    </xf>
    <xf numFmtId="169" fontId="54" fillId="22" borderId="43" xfId="4" applyFont="1" applyFill="1" applyBorder="1" applyAlignment="1">
      <alignment horizontal="left" vertical="center"/>
    </xf>
    <xf numFmtId="169" fontId="54" fillId="22" borderId="47" xfId="4" applyFont="1" applyFill="1" applyBorder="1" applyAlignment="1">
      <alignment horizontal="left" vertical="center"/>
    </xf>
    <xf numFmtId="169" fontId="54" fillId="22" borderId="48" xfId="4" applyFont="1" applyFill="1" applyBorder="1" applyAlignment="1">
      <alignment horizontal="left" vertical="center"/>
    </xf>
    <xf numFmtId="169" fontId="54" fillId="22" borderId="44" xfId="4" applyFont="1" applyFill="1" applyBorder="1" applyAlignment="1">
      <alignment horizontal="left" vertical="center"/>
    </xf>
    <xf numFmtId="169" fontId="53" fillId="19" borderId="47" xfId="4" applyFont="1" applyFill="1" applyBorder="1" applyAlignment="1">
      <alignment horizontal="left" vertical="center"/>
    </xf>
    <xf numFmtId="0" fontId="50" fillId="23" borderId="9" xfId="5" applyFont="1" applyFill="1" applyBorder="1" applyAlignment="1">
      <alignment horizontal="left"/>
    </xf>
    <xf numFmtId="20" fontId="56" fillId="8" borderId="45" xfId="4" applyNumberFormat="1" applyFont="1" applyFill="1" applyBorder="1" applyAlignment="1">
      <alignment horizontal="left" vertical="top"/>
    </xf>
    <xf numFmtId="20" fontId="55" fillId="25" borderId="45" xfId="4" applyNumberFormat="1" applyFont="1" applyFill="1" applyBorder="1" applyAlignment="1">
      <alignment horizontal="left" vertical="top"/>
    </xf>
    <xf numFmtId="46" fontId="50" fillId="19" borderId="49" xfId="0" applyNumberFormat="1" applyFont="1" applyFill="1" applyBorder="1" applyAlignment="1">
      <alignment horizontal="left" vertical="top"/>
    </xf>
    <xf numFmtId="20" fontId="55" fillId="26" borderId="45" xfId="4" applyNumberFormat="1" applyFont="1" applyFill="1" applyBorder="1" applyAlignment="1">
      <alignment horizontal="left" vertical="top"/>
    </xf>
    <xf numFmtId="20" fontId="56" fillId="27" borderId="45" xfId="4" applyNumberFormat="1" applyFont="1" applyFill="1" applyBorder="1" applyAlignment="1">
      <alignment horizontal="left" vertical="top"/>
    </xf>
    <xf numFmtId="0" fontId="57" fillId="23" borderId="9" xfId="5" applyFont="1" applyFill="1" applyBorder="1" applyAlignment="1">
      <alignment horizontal="left"/>
    </xf>
    <xf numFmtId="20" fontId="55" fillId="28" borderId="45" xfId="4" applyNumberFormat="1" applyFont="1" applyFill="1" applyBorder="1" applyAlignment="1">
      <alignment horizontal="left" vertical="top"/>
    </xf>
    <xf numFmtId="0" fontId="50" fillId="23" borderId="9" xfId="0" applyFont="1" applyFill="1" applyBorder="1" applyAlignment="1">
      <alignment horizontal="left"/>
    </xf>
    <xf numFmtId="20" fontId="56" fillId="0" borderId="45" xfId="4" applyNumberFormat="1" applyFont="1" applyBorder="1" applyAlignment="1">
      <alignment horizontal="left" vertical="top"/>
    </xf>
    <xf numFmtId="20" fontId="50" fillId="8" borderId="45" xfId="4" applyNumberFormat="1" applyFont="1" applyFill="1" applyBorder="1" applyAlignment="1">
      <alignment horizontal="left" vertical="top"/>
    </xf>
    <xf numFmtId="0" fontId="0" fillId="23" borderId="9" xfId="0" applyFill="1" applyBorder="1"/>
    <xf numFmtId="1" fontId="58" fillId="24" borderId="9" xfId="4" applyNumberFormat="1" applyFont="1" applyFill="1" applyBorder="1" applyAlignment="1">
      <alignment horizontal="left" vertical="top"/>
    </xf>
    <xf numFmtId="1" fontId="59" fillId="24" borderId="9" xfId="4" applyNumberFormat="1" applyFont="1" applyFill="1" applyBorder="1" applyAlignment="1">
      <alignment horizontal="left" vertical="top"/>
    </xf>
    <xf numFmtId="1" fontId="55" fillId="24" borderId="9" xfId="4" applyNumberFormat="1" applyFont="1" applyFill="1" applyBorder="1" applyAlignment="1">
      <alignment horizontal="left" vertical="top"/>
    </xf>
    <xf numFmtId="0" fontId="2" fillId="23" borderId="9" xfId="5" applyFill="1" applyBorder="1"/>
    <xf numFmtId="1" fontId="60" fillId="24" borderId="9" xfId="4" applyNumberFormat="1" applyFont="1" applyFill="1" applyBorder="1" applyAlignment="1">
      <alignment horizontal="left" vertical="top"/>
    </xf>
    <xf numFmtId="9" fontId="0" fillId="0" borderId="50" xfId="1" applyFont="1" applyBorder="1"/>
    <xf numFmtId="167" fontId="48" fillId="0" borderId="0" xfId="3" applyNumberFormat="1" applyFont="1"/>
    <xf numFmtId="0" fontId="61" fillId="0" borderId="0" xfId="0" applyFont="1"/>
    <xf numFmtId="1" fontId="61" fillId="0" borderId="0" xfId="0" applyNumberFormat="1" applyFont="1"/>
    <xf numFmtId="1" fontId="49" fillId="17" borderId="0" xfId="4" applyNumberFormat="1" applyFont="1" applyFill="1" applyAlignment="1">
      <alignment horizontal="left" vertical="center"/>
    </xf>
    <xf numFmtId="169" fontId="53" fillId="21" borderId="0" xfId="4" applyFont="1" applyFill="1" applyAlignment="1">
      <alignment horizontal="left" vertical="center"/>
    </xf>
    <xf numFmtId="0" fontId="50" fillId="0" borderId="9" xfId="0" applyFont="1" applyBorder="1" applyAlignment="1">
      <alignment horizontal="center"/>
    </xf>
    <xf numFmtId="1" fontId="62" fillId="29" borderId="9" xfId="4" applyNumberFormat="1" applyFont="1" applyFill="1" applyBorder="1" applyAlignment="1">
      <alignment horizontal="left" vertical="top"/>
    </xf>
    <xf numFmtId="1" fontId="62" fillId="30" borderId="9" xfId="4" applyNumberFormat="1" applyFont="1" applyFill="1" applyBorder="1" applyAlignment="1">
      <alignment horizontal="left" vertical="top"/>
    </xf>
    <xf numFmtId="1" fontId="63" fillId="31" borderId="9" xfId="4" applyNumberFormat="1" applyFont="1" applyFill="1" applyBorder="1" applyAlignment="1">
      <alignment horizontal="left" vertical="top"/>
    </xf>
    <xf numFmtId="1" fontId="62" fillId="32" borderId="9" xfId="4" applyNumberFormat="1" applyFont="1" applyFill="1" applyBorder="1" applyAlignment="1">
      <alignment horizontal="left" vertical="top"/>
    </xf>
    <xf numFmtId="1" fontId="62" fillId="24" borderId="9" xfId="4" applyNumberFormat="1" applyFont="1" applyFill="1" applyBorder="1" applyAlignment="1">
      <alignment horizontal="left" vertical="top"/>
    </xf>
    <xf numFmtId="1" fontId="62" fillId="33" borderId="9" xfId="4" applyNumberFormat="1" applyFont="1" applyFill="1" applyBorder="1" applyAlignment="1">
      <alignment horizontal="left" vertical="top"/>
    </xf>
    <xf numFmtId="1" fontId="62" fillId="21" borderId="9" xfId="4" applyNumberFormat="1" applyFont="1" applyFill="1" applyBorder="1" applyAlignment="1">
      <alignment horizontal="left" vertical="top"/>
    </xf>
    <xf numFmtId="1" fontId="63" fillId="34" borderId="9" xfId="4" applyNumberFormat="1" applyFont="1" applyFill="1" applyBorder="1" applyAlignment="1">
      <alignment horizontal="left" vertical="top"/>
    </xf>
    <xf numFmtId="1" fontId="63" fillId="35" borderId="9" xfId="4" applyNumberFormat="1" applyFont="1" applyFill="1" applyBorder="1" applyAlignment="1">
      <alignment horizontal="left" vertical="top"/>
    </xf>
    <xf numFmtId="1" fontId="63" fillId="36" borderId="9" xfId="4" applyNumberFormat="1" applyFont="1" applyFill="1" applyBorder="1" applyAlignment="1">
      <alignment horizontal="left" vertical="top"/>
    </xf>
    <xf numFmtId="0" fontId="63" fillId="8" borderId="9" xfId="0" applyFont="1" applyFill="1" applyBorder="1" applyAlignment="1">
      <alignment horizontal="center"/>
    </xf>
    <xf numFmtId="171" fontId="65" fillId="25" borderId="45" xfId="7" applyNumberFormat="1" applyFont="1" applyFill="1" applyBorder="1" applyAlignment="1">
      <alignment horizontal="left" vertical="center"/>
    </xf>
    <xf numFmtId="20" fontId="56" fillId="0" borderId="51" xfId="4" applyNumberFormat="1" applyFont="1" applyBorder="1" applyAlignment="1">
      <alignment horizontal="left" vertical="top"/>
    </xf>
    <xf numFmtId="1" fontId="62" fillId="37" borderId="9" xfId="4" applyNumberFormat="1" applyFont="1" applyFill="1" applyBorder="1" applyAlignment="1">
      <alignment horizontal="left" vertical="top"/>
    </xf>
    <xf numFmtId="1" fontId="55" fillId="38" borderId="9" xfId="4" applyNumberFormat="1" applyFont="1" applyFill="1" applyBorder="1" applyAlignment="1">
      <alignment horizontal="left" vertical="top"/>
    </xf>
    <xf numFmtId="0" fontId="56" fillId="0" borderId="9" xfId="0" applyFont="1" applyBorder="1" applyAlignment="1">
      <alignment horizontal="center"/>
    </xf>
    <xf numFmtId="20" fontId="56" fillId="8" borderId="51" xfId="4" applyNumberFormat="1" applyFont="1" applyFill="1" applyBorder="1" applyAlignment="1">
      <alignment horizontal="left" vertical="top"/>
    </xf>
    <xf numFmtId="20" fontId="56" fillId="27" borderId="51" xfId="4" applyNumberFormat="1" applyFont="1" applyFill="1" applyBorder="1" applyAlignment="1">
      <alignment horizontal="left" vertical="top"/>
    </xf>
    <xf numFmtId="170" fontId="53" fillId="19" borderId="44" xfId="1" applyNumberFormat="1" applyFont="1" applyFill="1" applyBorder="1" applyAlignment="1">
      <alignment horizontal="left" vertical="center"/>
    </xf>
    <xf numFmtId="1" fontId="63" fillId="39" borderId="9" xfId="4" applyNumberFormat="1" applyFont="1" applyFill="1" applyBorder="1" applyAlignment="1">
      <alignment horizontal="left" vertical="top"/>
    </xf>
    <xf numFmtId="20" fontId="55" fillId="26" borderId="51" xfId="4" applyNumberFormat="1" applyFont="1" applyFill="1" applyBorder="1" applyAlignment="1">
      <alignment horizontal="left" vertical="top"/>
    </xf>
    <xf numFmtId="0" fontId="48" fillId="0" borderId="9" xfId="0" applyFont="1" applyBorder="1"/>
    <xf numFmtId="0" fontId="22" fillId="0" borderId="0" xfId="0" applyFont="1" applyAlignment="1">
      <alignment horizontal="center"/>
    </xf>
    <xf numFmtId="0" fontId="23" fillId="3" borderId="1" xfId="0" applyFont="1" applyFill="1" applyBorder="1" applyAlignment="1">
      <alignment horizontal="left" vertical="center" wrapText="1" indent="1"/>
    </xf>
    <xf numFmtId="0" fontId="23" fillId="3" borderId="8" xfId="0" applyFont="1" applyFill="1" applyBorder="1" applyAlignment="1">
      <alignment horizontal="left" vertical="center" wrapText="1" indent="1"/>
    </xf>
    <xf numFmtId="0" fontId="23" fillId="3" borderId="2" xfId="0" applyFont="1" applyFill="1" applyBorder="1" applyAlignment="1">
      <alignment horizontal="left" vertical="center" wrapText="1" indent="1"/>
    </xf>
    <xf numFmtId="0" fontId="19" fillId="0" borderId="0" xfId="0" applyFont="1" applyAlignment="1">
      <alignment horizontal="left" vertical="top" wrapText="1"/>
    </xf>
    <xf numFmtId="0" fontId="30" fillId="8" borderId="18" xfId="2" applyFont="1" applyFill="1" applyBorder="1" applyAlignment="1" applyProtection="1">
      <alignment horizontal="center" vertical="center" wrapText="1"/>
    </xf>
    <xf numFmtId="0" fontId="30" fillId="8" borderId="19" xfId="2" applyFont="1" applyFill="1" applyBorder="1" applyAlignment="1" applyProtection="1">
      <alignment horizontal="center" vertical="center" wrapText="1"/>
    </xf>
    <xf numFmtId="0" fontId="1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8" fillId="0" borderId="4" xfId="0" applyFont="1" applyBorder="1" applyAlignment="1">
      <alignment wrapText="1"/>
    </xf>
    <xf numFmtId="0" fontId="9" fillId="0" borderId="0" xfId="0" applyFont="1" applyAlignment="1">
      <alignment horizontal="left" vertical="top" wrapText="1"/>
    </xf>
    <xf numFmtId="0" fontId="13" fillId="8" borderId="18" xfId="2" applyFont="1" applyFill="1" applyBorder="1" applyAlignment="1" applyProtection="1">
      <alignment horizontal="center" vertical="center" wrapText="1"/>
    </xf>
    <xf numFmtId="0" fontId="13" fillId="8" borderId="19" xfId="2" applyFont="1" applyFill="1" applyBorder="1" applyAlignment="1" applyProtection="1">
      <alignment horizontal="center" vertical="center" wrapText="1"/>
    </xf>
    <xf numFmtId="0" fontId="13" fillId="8" borderId="25" xfId="2" applyFont="1" applyFill="1" applyBorder="1" applyAlignment="1" applyProtection="1">
      <alignment horizontal="center" vertical="center" wrapText="1"/>
    </xf>
    <xf numFmtId="0" fontId="13" fillId="8" borderId="26" xfId="2" applyFont="1" applyFill="1" applyBorder="1" applyAlignment="1" applyProtection="1">
      <alignment horizontal="center" vertical="center" wrapText="1"/>
    </xf>
    <xf numFmtId="0" fontId="13" fillId="8" borderId="23" xfId="2" applyFont="1" applyFill="1" applyBorder="1" applyAlignment="1" applyProtection="1">
      <alignment horizontal="center" vertical="center" wrapText="1"/>
    </xf>
    <xf numFmtId="0" fontId="13" fillId="8" borderId="24" xfId="2" applyFont="1" applyFill="1" applyBorder="1" applyAlignment="1" applyProtection="1">
      <alignment horizontal="center" vertical="center" wrapText="1"/>
    </xf>
    <xf numFmtId="1" fontId="40" fillId="0" borderId="10" xfId="1" applyNumberFormat="1" applyFont="1" applyBorder="1" applyAlignment="1">
      <alignment horizontal="center"/>
    </xf>
    <xf numFmtId="1" fontId="40" fillId="0" borderId="34" xfId="1" applyNumberFormat="1" applyFont="1" applyBorder="1" applyAlignment="1">
      <alignment horizontal="center"/>
    </xf>
    <xf numFmtId="1" fontId="40" fillId="0" borderId="35" xfId="1" applyNumberFormat="1" applyFont="1" applyBorder="1" applyAlignment="1">
      <alignment horizontal="center"/>
    </xf>
    <xf numFmtId="0" fontId="45" fillId="13" borderId="0" xfId="0" applyFont="1" applyFill="1" applyAlignment="1">
      <alignment horizontal="center"/>
    </xf>
    <xf numFmtId="0" fontId="40" fillId="12" borderId="0" xfId="0" applyFont="1" applyFill="1" applyAlignment="1">
      <alignment horizontal="center"/>
    </xf>
    <xf numFmtId="0" fontId="40" fillId="7" borderId="0" xfId="0" applyFont="1" applyFill="1" applyAlignment="1">
      <alignment horizontal="center"/>
    </xf>
    <xf numFmtId="0" fontId="40" fillId="3" borderId="9" xfId="0" applyFont="1" applyFill="1" applyBorder="1" applyAlignment="1">
      <alignment horizontal="center" vertical="center" wrapText="1"/>
    </xf>
    <xf numFmtId="0" fontId="45" fillId="10" borderId="0" xfId="0" applyFont="1" applyFill="1" applyAlignment="1">
      <alignment horizontal="center"/>
    </xf>
    <xf numFmtId="0" fontId="6" fillId="0" borderId="33" xfId="0" applyFont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37" fillId="10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6" fillId="3" borderId="9" xfId="0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7" fillId="13" borderId="0" xfId="0" applyFont="1" applyFill="1" applyAlignment="1">
      <alignment horizontal="center"/>
    </xf>
    <xf numFmtId="0" fontId="2" fillId="14" borderId="0" xfId="0" applyFont="1" applyFill="1" applyAlignment="1">
      <alignment horizontal="center"/>
    </xf>
    <xf numFmtId="1" fontId="6" fillId="0" borderId="10" xfId="1" applyNumberFormat="1" applyFont="1" applyBorder="1" applyAlignment="1">
      <alignment horizontal="center"/>
    </xf>
    <xf numFmtId="1" fontId="6" fillId="0" borderId="34" xfId="1" applyNumberFormat="1" applyFont="1" applyBorder="1" applyAlignment="1">
      <alignment horizontal="center"/>
    </xf>
    <xf numFmtId="1" fontId="6" fillId="0" borderId="35" xfId="1" applyNumberFormat="1" applyFont="1" applyBorder="1" applyAlignment="1">
      <alignment horizontal="center"/>
    </xf>
    <xf numFmtId="169" fontId="52" fillId="18" borderId="40" xfId="4" applyFont="1" applyFill="1" applyBorder="1" applyAlignment="1">
      <alignment horizontal="left" vertical="center"/>
    </xf>
    <xf numFmtId="169" fontId="52" fillId="18" borderId="41" xfId="4" applyFont="1" applyFill="1" applyBorder="1" applyAlignment="1">
      <alignment horizontal="left" vertical="center"/>
    </xf>
    <xf numFmtId="169" fontId="52" fillId="18" borderId="42" xfId="4" applyFont="1" applyFill="1" applyBorder="1" applyAlignment="1">
      <alignment horizontal="left" vertical="center"/>
    </xf>
    <xf numFmtId="169" fontId="51" fillId="18" borderId="40" xfId="4" applyFont="1" applyFill="1" applyBorder="1" applyAlignment="1">
      <alignment horizontal="left" vertical="center"/>
    </xf>
    <xf numFmtId="169" fontId="51" fillId="18" borderId="41" xfId="4" applyFont="1" applyFill="1" applyBorder="1" applyAlignment="1">
      <alignment horizontal="left" vertical="center"/>
    </xf>
    <xf numFmtId="169" fontId="51" fillId="18" borderId="42" xfId="4" applyFont="1" applyFill="1" applyBorder="1" applyAlignment="1">
      <alignment horizontal="left" vertical="center"/>
    </xf>
  </cellXfs>
  <cellStyles count="8">
    <cellStyle name="%" xfId="7" xr:uid="{91762F27-F262-485C-9A93-8907D1BB7E75}"/>
    <cellStyle name="Lien hypertexte" xfId="2" builtinId="8"/>
    <cellStyle name="Milliers" xfId="3" builtinId="3"/>
    <cellStyle name="Normal" xfId="0" builtinId="0"/>
    <cellStyle name="Normal 2" xfId="4" xr:uid="{992E3C80-C8A1-4354-8AFA-1DEB1B63F7C9}"/>
    <cellStyle name="Normal 2 2" xfId="6" xr:uid="{B2277EBF-E168-469A-BC42-5ADA03092D14}"/>
    <cellStyle name="Normal 3" xfId="5" xr:uid="{26B3AB8F-D397-447C-B0FB-9A744B7E76B8}"/>
    <cellStyle name="Pourcentage" xfId="1" builtinId="5"/>
  </cellStyles>
  <dxfs count="1744"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4.9989318521683403E-2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lor rgb="FF002060"/>
      </font>
      <fill>
        <patternFill>
          <bgColor rgb="FF00B050"/>
        </patternFill>
      </fill>
    </dxf>
    <dxf>
      <font>
        <color rgb="FF00FF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CF235E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CFF"/>
      <rgbColor rgb="00CCFFCC"/>
      <rgbColor rgb="00FFFF99"/>
      <rgbColor rgb="0099CCFF"/>
      <rgbColor rgb="00FF99CC"/>
      <rgbColor rgb="00CC99FF"/>
      <rgbColor rgb="00FFCC99"/>
      <rgbColor rgb="003366FF"/>
      <rgbColor rgb="00608ECA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Calls</a:t>
            </a:r>
            <a:r>
              <a:rPr lang="en-GB" baseline="0"/>
              <a:t> over the day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'Day Planner'!$E$17</c:f>
              <c:strCache>
                <c:ptCount val="1"/>
                <c:pt idx="0">
                  <c:v>Agents required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'Day Planner'!$C$18:$C$38</c:f>
              <c:numCache>
                <c:formatCode>h:mm</c:formatCode>
                <c:ptCount val="21"/>
                <c:pt idx="0">
                  <c:v>0.33333333333333331</c:v>
                </c:pt>
                <c:pt idx="1">
                  <c:v>0.35416666666666663</c:v>
                </c:pt>
                <c:pt idx="2">
                  <c:v>0.37499999999999994</c:v>
                </c:pt>
                <c:pt idx="3">
                  <c:v>0.39583333333333326</c:v>
                </c:pt>
                <c:pt idx="4">
                  <c:v>0.41666666666666657</c:v>
                </c:pt>
                <c:pt idx="5">
                  <c:v>0.43749999999999989</c:v>
                </c:pt>
                <c:pt idx="6">
                  <c:v>0.4583333333333332</c:v>
                </c:pt>
                <c:pt idx="7">
                  <c:v>0.47916666666666652</c:v>
                </c:pt>
                <c:pt idx="8">
                  <c:v>0.49999999999999983</c:v>
                </c:pt>
                <c:pt idx="9">
                  <c:v>0.52083333333333315</c:v>
                </c:pt>
                <c:pt idx="10">
                  <c:v>0.54166666666666652</c:v>
                </c:pt>
                <c:pt idx="11">
                  <c:v>0.56249999999999989</c:v>
                </c:pt>
                <c:pt idx="12">
                  <c:v>0.58333333333333326</c:v>
                </c:pt>
                <c:pt idx="13">
                  <c:v>0.60416666666666663</c:v>
                </c:pt>
                <c:pt idx="14">
                  <c:v>0.625</c:v>
                </c:pt>
                <c:pt idx="15">
                  <c:v>0.64583333333333337</c:v>
                </c:pt>
                <c:pt idx="16">
                  <c:v>0.66666666666666674</c:v>
                </c:pt>
                <c:pt idx="17">
                  <c:v>0.68750000000000011</c:v>
                </c:pt>
                <c:pt idx="18">
                  <c:v>0.70833333333333348</c:v>
                </c:pt>
                <c:pt idx="19">
                  <c:v>0.72916666666666685</c:v>
                </c:pt>
                <c:pt idx="20">
                  <c:v>0.75000000000000022</c:v>
                </c:pt>
              </c:numCache>
            </c:numRef>
          </c:cat>
          <c:val>
            <c:numRef>
              <c:f>[0]!AgentsRequiredChart</c:f>
              <c:numCache>
                <c:formatCode>General</c:formatCode>
                <c:ptCount val="21"/>
                <c:pt idx="0">
                  <c:v>4</c:v>
                </c:pt>
                <c:pt idx="1">
                  <c:v>10</c:v>
                </c:pt>
                <c:pt idx="2">
                  <c:v>26</c:v>
                </c:pt>
                <c:pt idx="3">
                  <c:v>33</c:v>
                </c:pt>
                <c:pt idx="4">
                  <c:v>60</c:v>
                </c:pt>
                <c:pt idx="5">
                  <c:v>81</c:v>
                </c:pt>
                <c:pt idx="6">
                  <c:v>76</c:v>
                </c:pt>
                <c:pt idx="7">
                  <c:v>64</c:v>
                </c:pt>
                <c:pt idx="8">
                  <c:v>69</c:v>
                </c:pt>
                <c:pt idx="9">
                  <c:v>50</c:v>
                </c:pt>
                <c:pt idx="10">
                  <c:v>90</c:v>
                </c:pt>
                <c:pt idx="11">
                  <c:v>59</c:v>
                </c:pt>
                <c:pt idx="12">
                  <c:v>50</c:v>
                </c:pt>
                <c:pt idx="13">
                  <c:v>59</c:v>
                </c:pt>
                <c:pt idx="14">
                  <c:v>63</c:v>
                </c:pt>
                <c:pt idx="15">
                  <c:v>50</c:v>
                </c:pt>
                <c:pt idx="16">
                  <c:v>41</c:v>
                </c:pt>
                <c:pt idx="17">
                  <c:v>46</c:v>
                </c:pt>
                <c:pt idx="18">
                  <c:v>36</c:v>
                </c:pt>
                <c:pt idx="19">
                  <c:v>21</c:v>
                </c:pt>
                <c:pt idx="2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A-42BA-8625-E247EE61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330208"/>
        <c:axId val="232239680"/>
      </c:barChart>
      <c:lineChart>
        <c:grouping val="standard"/>
        <c:varyColors val="0"/>
        <c:ser>
          <c:idx val="0"/>
          <c:order val="0"/>
          <c:tx>
            <c:strRef>
              <c:f>'Day Planner'!$D$17</c:f>
              <c:strCache>
                <c:ptCount val="1"/>
                <c:pt idx="0">
                  <c:v>Incoming calls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[0]!TimeRange</c:f>
              <c:numCache>
                <c:formatCode>h:mm</c:formatCode>
                <c:ptCount val="21"/>
                <c:pt idx="0">
                  <c:v>0.33333333333333331</c:v>
                </c:pt>
                <c:pt idx="1">
                  <c:v>0.35416666666666663</c:v>
                </c:pt>
                <c:pt idx="2">
                  <c:v>0.37499999999999994</c:v>
                </c:pt>
                <c:pt idx="3">
                  <c:v>0.39583333333333326</c:v>
                </c:pt>
                <c:pt idx="4">
                  <c:v>0.41666666666666657</c:v>
                </c:pt>
                <c:pt idx="5">
                  <c:v>0.43749999999999989</c:v>
                </c:pt>
                <c:pt idx="6">
                  <c:v>0.4583333333333332</c:v>
                </c:pt>
                <c:pt idx="7">
                  <c:v>0.47916666666666652</c:v>
                </c:pt>
                <c:pt idx="8">
                  <c:v>0.49999999999999983</c:v>
                </c:pt>
                <c:pt idx="9">
                  <c:v>0.52083333333333315</c:v>
                </c:pt>
                <c:pt idx="10">
                  <c:v>0.54166666666666652</c:v>
                </c:pt>
                <c:pt idx="11">
                  <c:v>0.56249999999999989</c:v>
                </c:pt>
                <c:pt idx="12">
                  <c:v>0.58333333333333326</c:v>
                </c:pt>
                <c:pt idx="13">
                  <c:v>0.60416666666666663</c:v>
                </c:pt>
                <c:pt idx="14">
                  <c:v>0.625</c:v>
                </c:pt>
                <c:pt idx="15">
                  <c:v>0.64583333333333337</c:v>
                </c:pt>
                <c:pt idx="16">
                  <c:v>0.66666666666666674</c:v>
                </c:pt>
                <c:pt idx="17">
                  <c:v>0.68750000000000011</c:v>
                </c:pt>
                <c:pt idx="18">
                  <c:v>0.70833333333333348</c:v>
                </c:pt>
                <c:pt idx="19">
                  <c:v>0.72916666666666685</c:v>
                </c:pt>
                <c:pt idx="20">
                  <c:v>0.75000000000000022</c:v>
                </c:pt>
              </c:numCache>
            </c:numRef>
          </c:cat>
          <c:val>
            <c:numRef>
              <c:f>[0]!IncomingCalls</c:f>
              <c:numCache>
                <c:formatCode>General</c:formatCode>
                <c:ptCount val="21"/>
                <c:pt idx="0">
                  <c:v>10</c:v>
                </c:pt>
                <c:pt idx="1">
                  <c:v>32</c:v>
                </c:pt>
                <c:pt idx="2">
                  <c:v>103</c:v>
                </c:pt>
                <c:pt idx="3">
                  <c:v>140</c:v>
                </c:pt>
                <c:pt idx="4">
                  <c:v>266</c:v>
                </c:pt>
                <c:pt idx="5">
                  <c:v>361</c:v>
                </c:pt>
                <c:pt idx="6">
                  <c:v>333</c:v>
                </c:pt>
                <c:pt idx="7">
                  <c:v>281</c:v>
                </c:pt>
                <c:pt idx="8">
                  <c:v>304</c:v>
                </c:pt>
                <c:pt idx="9">
                  <c:v>220</c:v>
                </c:pt>
                <c:pt idx="10">
                  <c:v>400</c:v>
                </c:pt>
                <c:pt idx="11">
                  <c:v>259</c:v>
                </c:pt>
                <c:pt idx="12">
                  <c:v>220</c:v>
                </c:pt>
                <c:pt idx="13">
                  <c:v>258</c:v>
                </c:pt>
                <c:pt idx="14">
                  <c:v>276</c:v>
                </c:pt>
                <c:pt idx="15">
                  <c:v>222</c:v>
                </c:pt>
                <c:pt idx="16">
                  <c:v>180</c:v>
                </c:pt>
                <c:pt idx="17">
                  <c:v>200</c:v>
                </c:pt>
                <c:pt idx="18">
                  <c:v>152</c:v>
                </c:pt>
                <c:pt idx="19">
                  <c:v>87</c:v>
                </c:pt>
                <c:pt idx="2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A-42BA-8625-E247EE61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31520"/>
        <c:axId val="519329224"/>
      </c:lineChart>
      <c:catAx>
        <c:axId val="519331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29224"/>
        <c:crosses val="autoZero"/>
        <c:auto val="1"/>
        <c:lblAlgn val="ctr"/>
        <c:lblOffset val="100"/>
        <c:noMultiLvlLbl val="0"/>
      </c:catAx>
      <c:valAx>
        <c:axId val="51932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31520"/>
        <c:crosses val="autoZero"/>
        <c:crossBetween val="between"/>
      </c:valAx>
      <c:valAx>
        <c:axId val="232239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30208"/>
        <c:crosses val="max"/>
        <c:crossBetween val="between"/>
      </c:valAx>
      <c:catAx>
        <c:axId val="51933020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232239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Calls</a:t>
            </a:r>
            <a:r>
              <a:rPr lang="en-GB" baseline="0"/>
              <a:t> over the day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'Expected Service Level'!$G$17</c:f>
              <c:strCache>
                <c:ptCount val="1"/>
                <c:pt idx="0">
                  <c:v>Agents required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'Expected Service Level'!$C$18:$C$38</c:f>
              <c:numCache>
                <c:formatCode>h:mm</c:formatCode>
                <c:ptCount val="21"/>
                <c:pt idx="0">
                  <c:v>0.33333333333333331</c:v>
                </c:pt>
                <c:pt idx="1">
                  <c:v>0.35416666666666663</c:v>
                </c:pt>
                <c:pt idx="2">
                  <c:v>0.37499999999999994</c:v>
                </c:pt>
                <c:pt idx="3">
                  <c:v>0.39583333333333326</c:v>
                </c:pt>
                <c:pt idx="4">
                  <c:v>0.41666666666666657</c:v>
                </c:pt>
                <c:pt idx="5">
                  <c:v>0.43749999999999989</c:v>
                </c:pt>
                <c:pt idx="6">
                  <c:v>0.4583333333333332</c:v>
                </c:pt>
                <c:pt idx="7">
                  <c:v>0.47916666666666652</c:v>
                </c:pt>
                <c:pt idx="8">
                  <c:v>0.49999999999999983</c:v>
                </c:pt>
                <c:pt idx="9">
                  <c:v>0.52083333333333315</c:v>
                </c:pt>
                <c:pt idx="10">
                  <c:v>0.54166666666666652</c:v>
                </c:pt>
                <c:pt idx="11">
                  <c:v>0.56249999999999989</c:v>
                </c:pt>
                <c:pt idx="12">
                  <c:v>0.58333333333333326</c:v>
                </c:pt>
                <c:pt idx="13">
                  <c:v>0.60416666666666663</c:v>
                </c:pt>
                <c:pt idx="14">
                  <c:v>0.625</c:v>
                </c:pt>
                <c:pt idx="15">
                  <c:v>0.64583333333333337</c:v>
                </c:pt>
                <c:pt idx="16">
                  <c:v>0.66666666666666674</c:v>
                </c:pt>
                <c:pt idx="17">
                  <c:v>0.68750000000000011</c:v>
                </c:pt>
                <c:pt idx="18">
                  <c:v>0.70833333333333348</c:v>
                </c:pt>
                <c:pt idx="19">
                  <c:v>0.72916666666666685</c:v>
                </c:pt>
                <c:pt idx="20">
                  <c:v>0.75000000000000022</c:v>
                </c:pt>
              </c:numCache>
            </c:numRef>
          </c:cat>
          <c:val>
            <c:numRef>
              <c:f>[0]!ESLReqAgents</c:f>
              <c:numCache>
                <c:formatCode>General</c:formatCode>
                <c:ptCount val="21"/>
                <c:pt idx="0">
                  <c:v>4</c:v>
                </c:pt>
                <c:pt idx="1">
                  <c:v>10</c:v>
                </c:pt>
                <c:pt idx="2">
                  <c:v>26</c:v>
                </c:pt>
                <c:pt idx="3">
                  <c:v>33</c:v>
                </c:pt>
                <c:pt idx="4">
                  <c:v>60</c:v>
                </c:pt>
                <c:pt idx="5">
                  <c:v>81</c:v>
                </c:pt>
                <c:pt idx="6">
                  <c:v>76</c:v>
                </c:pt>
                <c:pt idx="7">
                  <c:v>64</c:v>
                </c:pt>
                <c:pt idx="8">
                  <c:v>69</c:v>
                </c:pt>
                <c:pt idx="9">
                  <c:v>50</c:v>
                </c:pt>
                <c:pt idx="10">
                  <c:v>56</c:v>
                </c:pt>
                <c:pt idx="11">
                  <c:v>59</c:v>
                </c:pt>
                <c:pt idx="12">
                  <c:v>50</c:v>
                </c:pt>
                <c:pt idx="13">
                  <c:v>59</c:v>
                </c:pt>
                <c:pt idx="14">
                  <c:v>63</c:v>
                </c:pt>
                <c:pt idx="15">
                  <c:v>50</c:v>
                </c:pt>
                <c:pt idx="16">
                  <c:v>41</c:v>
                </c:pt>
                <c:pt idx="17">
                  <c:v>46</c:v>
                </c:pt>
                <c:pt idx="18">
                  <c:v>36</c:v>
                </c:pt>
                <c:pt idx="19">
                  <c:v>21</c:v>
                </c:pt>
                <c:pt idx="2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4-4DB3-8244-B71CCF552642}"/>
            </c:ext>
          </c:extLst>
        </c:ser>
        <c:ser>
          <c:idx val="2"/>
          <c:order val="2"/>
          <c:tx>
            <c:v>Agents Available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[0]!ESLAgentsAvailable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30</c:v>
                </c:pt>
                <c:pt idx="3">
                  <c:v>20</c:v>
                </c:pt>
                <c:pt idx="4">
                  <c:v>35</c:v>
                </c:pt>
                <c:pt idx="5">
                  <c:v>35</c:v>
                </c:pt>
                <c:pt idx="6">
                  <c:v>40</c:v>
                </c:pt>
                <c:pt idx="7">
                  <c:v>40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4-4DB3-8244-B71CCF552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9330208"/>
        <c:axId val="232239680"/>
      </c:barChart>
      <c:lineChart>
        <c:grouping val="standard"/>
        <c:varyColors val="0"/>
        <c:ser>
          <c:idx val="0"/>
          <c:order val="0"/>
          <c:tx>
            <c:strRef>
              <c:f>'Expected Service Level'!$D$17</c:f>
              <c:strCache>
                <c:ptCount val="1"/>
                <c:pt idx="0">
                  <c:v>Incoming calls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[0]!ESLTimeRange</c:f>
              <c:numCache>
                <c:formatCode>h:mm</c:formatCode>
                <c:ptCount val="21"/>
                <c:pt idx="0">
                  <c:v>0.33333333333333331</c:v>
                </c:pt>
                <c:pt idx="1">
                  <c:v>0.35416666666666663</c:v>
                </c:pt>
                <c:pt idx="2">
                  <c:v>0.37499999999999994</c:v>
                </c:pt>
                <c:pt idx="3">
                  <c:v>0.39583333333333326</c:v>
                </c:pt>
                <c:pt idx="4">
                  <c:v>0.41666666666666657</c:v>
                </c:pt>
                <c:pt idx="5">
                  <c:v>0.43749999999999989</c:v>
                </c:pt>
                <c:pt idx="6">
                  <c:v>0.4583333333333332</c:v>
                </c:pt>
                <c:pt idx="7">
                  <c:v>0.47916666666666652</c:v>
                </c:pt>
                <c:pt idx="8">
                  <c:v>0.49999999999999983</c:v>
                </c:pt>
                <c:pt idx="9">
                  <c:v>0.52083333333333315</c:v>
                </c:pt>
                <c:pt idx="10">
                  <c:v>0.54166666666666652</c:v>
                </c:pt>
                <c:pt idx="11">
                  <c:v>0.56249999999999989</c:v>
                </c:pt>
                <c:pt idx="12">
                  <c:v>0.58333333333333326</c:v>
                </c:pt>
                <c:pt idx="13">
                  <c:v>0.60416666666666663</c:v>
                </c:pt>
                <c:pt idx="14">
                  <c:v>0.625</c:v>
                </c:pt>
                <c:pt idx="15">
                  <c:v>0.64583333333333337</c:v>
                </c:pt>
                <c:pt idx="16">
                  <c:v>0.66666666666666674</c:v>
                </c:pt>
                <c:pt idx="17">
                  <c:v>0.68750000000000011</c:v>
                </c:pt>
                <c:pt idx="18">
                  <c:v>0.70833333333333348</c:v>
                </c:pt>
                <c:pt idx="19">
                  <c:v>0.72916666666666685</c:v>
                </c:pt>
                <c:pt idx="20">
                  <c:v>0.75000000000000022</c:v>
                </c:pt>
              </c:numCache>
            </c:numRef>
          </c:cat>
          <c:val>
            <c:numRef>
              <c:f>[0]!ESLIncomingCalls</c:f>
              <c:numCache>
                <c:formatCode>General</c:formatCode>
                <c:ptCount val="21"/>
                <c:pt idx="0">
                  <c:v>10</c:v>
                </c:pt>
                <c:pt idx="1">
                  <c:v>32</c:v>
                </c:pt>
                <c:pt idx="2">
                  <c:v>103</c:v>
                </c:pt>
                <c:pt idx="3">
                  <c:v>140</c:v>
                </c:pt>
                <c:pt idx="4">
                  <c:v>266</c:v>
                </c:pt>
                <c:pt idx="5">
                  <c:v>361</c:v>
                </c:pt>
                <c:pt idx="6">
                  <c:v>333</c:v>
                </c:pt>
                <c:pt idx="7">
                  <c:v>281</c:v>
                </c:pt>
                <c:pt idx="8">
                  <c:v>304</c:v>
                </c:pt>
                <c:pt idx="9">
                  <c:v>220</c:v>
                </c:pt>
                <c:pt idx="10">
                  <c:v>246</c:v>
                </c:pt>
                <c:pt idx="11">
                  <c:v>259</c:v>
                </c:pt>
                <c:pt idx="12">
                  <c:v>220</c:v>
                </c:pt>
                <c:pt idx="13">
                  <c:v>258</c:v>
                </c:pt>
                <c:pt idx="14">
                  <c:v>276</c:v>
                </c:pt>
                <c:pt idx="15">
                  <c:v>222</c:v>
                </c:pt>
                <c:pt idx="16">
                  <c:v>180</c:v>
                </c:pt>
                <c:pt idx="17">
                  <c:v>200</c:v>
                </c:pt>
                <c:pt idx="18">
                  <c:v>152</c:v>
                </c:pt>
                <c:pt idx="19">
                  <c:v>87</c:v>
                </c:pt>
                <c:pt idx="2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A4-4DB3-8244-B71CCF552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31520"/>
        <c:axId val="519329224"/>
      </c:lineChart>
      <c:catAx>
        <c:axId val="519331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29224"/>
        <c:crosses val="autoZero"/>
        <c:auto val="1"/>
        <c:lblAlgn val="ctr"/>
        <c:lblOffset val="100"/>
        <c:noMultiLvlLbl val="0"/>
      </c:catAx>
      <c:valAx>
        <c:axId val="51932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31520"/>
        <c:crosses val="autoZero"/>
        <c:crossBetween val="between"/>
      </c:valAx>
      <c:valAx>
        <c:axId val="232239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9330208"/>
        <c:crosses val="max"/>
        <c:crossBetween val="between"/>
      </c:valAx>
      <c:catAx>
        <c:axId val="51933020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232239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://www.callcentrehelper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www.callcentrehelper.co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hyperlink" Target="https://www.callcentrehelper.com/" TargetMode="Externa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hyperlink" Target="https://www.callcentrehelper.com/" TargetMode="Externa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www.callcentrehelper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104775</xdr:rowOff>
    </xdr:from>
    <xdr:to>
      <xdr:col>9</xdr:col>
      <xdr:colOff>1114425</xdr:colOff>
      <xdr:row>9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3467100" y="762000"/>
          <a:ext cx="4619625" cy="866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F235E" mc:Ignorable="a14" a14:legacySpreadsheetColorIndex="1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Type parameters in the boxes below.</a:t>
          </a:r>
        </a:p>
        <a:p>
          <a:pPr algn="l" rtl="0">
            <a:defRPr sz="1000"/>
          </a:pPr>
          <a:endParaRPr lang="en-GB" sz="1000" b="1" i="0" u="none" strike="noStrike" baseline="0">
            <a:solidFill>
              <a:srgbClr val="FFFFFF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The left hand box calculates the number of agents needed to reach a required service level. Use the right hand box if you want to see statistics for the number of agents that you have.</a:t>
          </a:r>
        </a:p>
      </xdr:txBody>
    </xdr:sp>
    <xdr:clientData/>
  </xdr:twoCellAnchor>
  <xdr:twoCellAnchor editAs="oneCell">
    <xdr:from>
      <xdr:col>1</xdr:col>
      <xdr:colOff>171450</xdr:colOff>
      <xdr:row>3</xdr:row>
      <xdr:rowOff>114300</xdr:rowOff>
    </xdr:from>
    <xdr:to>
      <xdr:col>3</xdr:col>
      <xdr:colOff>285750</xdr:colOff>
      <xdr:row>7</xdr:row>
      <xdr:rowOff>76200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771525"/>
          <a:ext cx="1847850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352425</xdr:colOff>
      <xdr:row>3</xdr:row>
      <xdr:rowOff>152400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99054A-D16B-4B41-B525-25EF00819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61925"/>
          <a:ext cx="1847850" cy="6096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52386</xdr:colOff>
      <xdr:row>4</xdr:row>
      <xdr:rowOff>152399</xdr:rowOff>
    </xdr:from>
    <xdr:to>
      <xdr:col>17</xdr:col>
      <xdr:colOff>380999</xdr:colOff>
      <xdr:row>28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AC2D87-772C-4F14-993C-430BCA32F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1</xdr:row>
      <xdr:rowOff>0</xdr:rowOff>
    </xdr:from>
    <xdr:to>
      <xdr:col>12</xdr:col>
      <xdr:colOff>19050</xdr:colOff>
      <xdr:row>3</xdr:row>
      <xdr:rowOff>85725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D6F150-5D18-47AE-BE44-BC2DC7DF7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171450"/>
          <a:ext cx="1847850" cy="6096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209550</xdr:colOff>
      <xdr:row>1</xdr:row>
      <xdr:rowOff>57150</xdr:rowOff>
    </xdr:from>
    <xdr:to>
      <xdr:col>20</xdr:col>
      <xdr:colOff>538163</xdr:colOff>
      <xdr:row>21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8FD9EC-945A-4831-92AD-C9AB771FA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8</xdr:row>
      <xdr:rowOff>0</xdr:rowOff>
    </xdr:from>
    <xdr:to>
      <xdr:col>9</xdr:col>
      <xdr:colOff>228600</xdr:colOff>
      <xdr:row>11</xdr:row>
      <xdr:rowOff>123825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AC21E7F-551F-4DCE-BF6E-A41C2B0B4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1476375"/>
          <a:ext cx="1847850" cy="6096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190500</xdr:rowOff>
    </xdr:from>
    <xdr:to>
      <xdr:col>10</xdr:col>
      <xdr:colOff>47625</xdr:colOff>
      <xdr:row>5</xdr:row>
      <xdr:rowOff>38100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2569DA-CA91-4197-A857-DFB75B954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5625" y="361950"/>
          <a:ext cx="1847850" cy="6096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allcentrehelper.com/tools/erlang-calculator/" TargetMode="External"/><Relationship Id="rId2" Type="http://schemas.openxmlformats.org/officeDocument/2006/relationships/hyperlink" Target="https://www.callcentrehelper.com/" TargetMode="External"/><Relationship Id="rId1" Type="http://schemas.openxmlformats.org/officeDocument/2006/relationships/hyperlink" Target="https://www.callcentrehelper.com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allcentrehelper.com/" TargetMode="External"/><Relationship Id="rId2" Type="http://schemas.openxmlformats.org/officeDocument/2006/relationships/hyperlink" Target="https://www.callcentrehelper.com/" TargetMode="External"/><Relationship Id="rId1" Type="http://schemas.openxmlformats.org/officeDocument/2006/relationships/hyperlink" Target="https://www.callcentrehelper.com/how-to-calculate-contact-centre-shrinkage-90353.ht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allcentrehelper.com/" TargetMode="External"/><Relationship Id="rId1" Type="http://schemas.openxmlformats.org/officeDocument/2006/relationships/hyperlink" Target="https://www.callcentrehelper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callcentrehelper.com/" TargetMode="External"/><Relationship Id="rId1" Type="http://schemas.openxmlformats.org/officeDocument/2006/relationships/hyperlink" Target="https://www.callcentrehelper.com/" TargetMode="Externa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callcentrehelper.com/tools/erlang-calculator/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callcentrehelper.com/online-call-centre-staffing-calculator-77780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9985"/>
  <sheetViews>
    <sheetView showGridLines="0" zoomScale="80" zoomScaleNormal="80" workbookViewId="0">
      <selection activeCell="O18" sqref="O18"/>
    </sheetView>
  </sheetViews>
  <sheetFormatPr baseColWidth="10" defaultColWidth="9.140625" defaultRowHeight="12.75" x14ac:dyDescent="0.2"/>
  <cols>
    <col min="1" max="1" width="4.5703125" style="83" customWidth="1"/>
    <col min="2" max="2" width="3.28515625" style="83" customWidth="1"/>
    <col min="3" max="3" width="22.7109375" style="83" customWidth="1"/>
    <col min="4" max="4" width="13.7109375" style="124" customWidth="1"/>
    <col min="5" max="5" width="17.28515625" style="83" customWidth="1"/>
    <col min="6" max="6" width="3.28515625" style="83" customWidth="1"/>
    <col min="7" max="7" width="4" style="83" customWidth="1"/>
    <col min="8" max="8" width="21.5703125" style="83" customWidth="1"/>
    <col min="9" max="9" width="14.7109375" style="121" customWidth="1"/>
    <col min="10" max="10" width="17.140625" style="83" customWidth="1"/>
    <col min="11" max="11" width="3.42578125" style="83" customWidth="1"/>
    <col min="12" max="12" width="5.140625" style="83" customWidth="1"/>
    <col min="13" max="13" width="21.140625" style="86" customWidth="1"/>
    <col min="14" max="14" width="18.140625" style="86" customWidth="1"/>
    <col min="15" max="15" width="12.5703125" style="86" customWidth="1"/>
    <col min="16" max="16384" width="9.140625" style="86"/>
  </cols>
  <sheetData>
    <row r="1" spans="2:10" x14ac:dyDescent="0.2">
      <c r="D1" s="84"/>
      <c r="I1" s="85"/>
    </row>
    <row r="2" spans="2:10" ht="20.100000000000001" customHeight="1" x14ac:dyDescent="0.2">
      <c r="C2" s="289" t="s">
        <v>14</v>
      </c>
      <c r="D2" s="289"/>
      <c r="E2" s="289"/>
      <c r="F2" s="289"/>
      <c r="G2" s="289"/>
      <c r="H2" s="289"/>
      <c r="I2" s="289"/>
      <c r="J2" s="289"/>
    </row>
    <row r="3" spans="2:10" ht="20.100000000000001" customHeight="1" x14ac:dyDescent="0.2">
      <c r="C3" s="289"/>
      <c r="D3" s="289"/>
      <c r="E3" s="289"/>
      <c r="F3" s="289"/>
      <c r="G3" s="289"/>
      <c r="H3" s="289"/>
      <c r="I3" s="289"/>
      <c r="J3" s="289"/>
    </row>
    <row r="4" spans="2:10" x14ac:dyDescent="0.2">
      <c r="D4" s="84"/>
      <c r="I4" s="85"/>
    </row>
    <row r="5" spans="2:10" x14ac:dyDescent="0.2">
      <c r="D5" s="84"/>
      <c r="I5" s="85"/>
    </row>
    <row r="6" spans="2:10" x14ac:dyDescent="0.2">
      <c r="D6" s="84"/>
      <c r="I6" s="85"/>
    </row>
    <row r="7" spans="2:10" x14ac:dyDescent="0.2">
      <c r="D7" s="84"/>
      <c r="I7" s="85"/>
    </row>
    <row r="8" spans="2:10" x14ac:dyDescent="0.2">
      <c r="D8" s="84"/>
      <c r="I8" s="85"/>
    </row>
    <row r="9" spans="2:10" x14ac:dyDescent="0.2">
      <c r="D9" s="84"/>
      <c r="I9" s="85"/>
    </row>
    <row r="10" spans="2:10" x14ac:dyDescent="0.2">
      <c r="D10" s="84"/>
      <c r="I10" s="85"/>
    </row>
    <row r="11" spans="2:10" ht="19.5" customHeight="1" x14ac:dyDescent="0.25">
      <c r="C11" s="87" t="s">
        <v>117</v>
      </c>
      <c r="D11" s="84"/>
      <c r="I11" s="85"/>
    </row>
    <row r="12" spans="2:10" ht="11.25" customHeight="1" x14ac:dyDescent="0.25">
      <c r="C12" s="87"/>
      <c r="D12" s="84"/>
      <c r="I12" s="85"/>
    </row>
    <row r="13" spans="2:10" x14ac:dyDescent="0.2">
      <c r="C13" s="88" t="s">
        <v>84</v>
      </c>
      <c r="D13" s="84"/>
      <c r="I13" s="85"/>
    </row>
    <row r="14" spans="2:10" x14ac:dyDescent="0.2">
      <c r="C14" s="129" t="s">
        <v>118</v>
      </c>
      <c r="D14" s="84"/>
      <c r="I14" s="85"/>
    </row>
    <row r="15" spans="2:10" ht="13.5" thickBot="1" x14ac:dyDescent="0.25">
      <c r="B15" s="285"/>
      <c r="C15" s="285"/>
      <c r="D15" s="285"/>
      <c r="E15" s="285"/>
      <c r="I15" s="85"/>
    </row>
    <row r="16" spans="2:10" ht="30" customHeight="1" x14ac:dyDescent="0.2">
      <c r="B16" s="286" t="s">
        <v>9</v>
      </c>
      <c r="C16" s="287"/>
      <c r="D16" s="287"/>
      <c r="E16" s="288"/>
      <c r="G16" s="89"/>
      <c r="H16" s="90" t="s">
        <v>10</v>
      </c>
      <c r="I16" s="91"/>
      <c r="J16" s="92"/>
    </row>
    <row r="17" spans="1:12" x14ac:dyDescent="0.2">
      <c r="B17" s="93"/>
      <c r="D17" s="94"/>
      <c r="E17" s="95"/>
      <c r="G17" s="93"/>
      <c r="I17" s="94"/>
      <c r="J17" s="95"/>
    </row>
    <row r="18" spans="1:12" x14ac:dyDescent="0.2">
      <c r="B18" s="93"/>
      <c r="C18" s="88" t="s">
        <v>18</v>
      </c>
      <c r="D18" s="96">
        <v>18</v>
      </c>
      <c r="E18" s="97" t="s">
        <v>16</v>
      </c>
      <c r="G18" s="93"/>
      <c r="H18" s="88" t="s">
        <v>18</v>
      </c>
      <c r="I18" s="96">
        <v>400</v>
      </c>
      <c r="J18" s="97" t="s">
        <v>16</v>
      </c>
    </row>
    <row r="19" spans="1:12" x14ac:dyDescent="0.2">
      <c r="B19" s="93"/>
      <c r="D19" s="98"/>
      <c r="E19" s="95"/>
      <c r="G19" s="93"/>
      <c r="I19" s="98"/>
      <c r="J19" s="95"/>
    </row>
    <row r="20" spans="1:12" x14ac:dyDescent="0.2">
      <c r="B20" s="93"/>
      <c r="C20" s="88" t="s">
        <v>19</v>
      </c>
      <c r="D20" s="96">
        <v>30</v>
      </c>
      <c r="E20" s="97" t="s">
        <v>17</v>
      </c>
      <c r="G20" s="93"/>
      <c r="H20" s="83" t="s">
        <v>19</v>
      </c>
      <c r="I20" s="96">
        <v>30</v>
      </c>
      <c r="J20" s="97" t="s">
        <v>17</v>
      </c>
    </row>
    <row r="21" spans="1:12" x14ac:dyDescent="0.2">
      <c r="B21" s="93"/>
      <c r="D21" s="98"/>
      <c r="E21" s="95"/>
      <c r="G21" s="93"/>
      <c r="I21" s="98"/>
      <c r="J21" s="95"/>
    </row>
    <row r="22" spans="1:12" x14ac:dyDescent="0.2">
      <c r="B22" s="93"/>
      <c r="C22" s="88" t="s">
        <v>70</v>
      </c>
      <c r="D22" s="96">
        <v>241</v>
      </c>
      <c r="E22" s="97" t="s">
        <v>0</v>
      </c>
      <c r="G22" s="93"/>
      <c r="H22" s="88" t="s">
        <v>70</v>
      </c>
      <c r="I22" s="96">
        <v>257</v>
      </c>
      <c r="J22" s="97" t="s">
        <v>0</v>
      </c>
    </row>
    <row r="23" spans="1:12" x14ac:dyDescent="0.2">
      <c r="B23" s="93"/>
      <c r="D23" s="98"/>
      <c r="E23" s="95"/>
      <c r="G23" s="93"/>
      <c r="I23" s="98"/>
      <c r="J23" s="95"/>
    </row>
    <row r="24" spans="1:12" x14ac:dyDescent="0.2">
      <c r="B24" s="93"/>
      <c r="C24" s="88" t="s">
        <v>2</v>
      </c>
      <c r="D24" s="99">
        <v>0.8</v>
      </c>
      <c r="E24" s="97"/>
      <c r="G24" s="93"/>
      <c r="H24" s="88" t="s">
        <v>4</v>
      </c>
      <c r="I24" s="96">
        <v>20</v>
      </c>
      <c r="J24" s="97" t="s">
        <v>0</v>
      </c>
    </row>
    <row r="25" spans="1:12" x14ac:dyDescent="0.2">
      <c r="B25" s="93"/>
      <c r="C25" s="100" t="s">
        <v>3</v>
      </c>
      <c r="D25" s="101"/>
      <c r="E25" s="95"/>
      <c r="G25" s="93"/>
      <c r="I25" s="98"/>
      <c r="J25" s="95"/>
    </row>
    <row r="26" spans="1:12" x14ac:dyDescent="0.2">
      <c r="B26" s="93"/>
      <c r="D26" s="101"/>
      <c r="E26" s="97"/>
      <c r="G26" s="93"/>
      <c r="H26" s="88" t="s">
        <v>5</v>
      </c>
      <c r="I26" s="96">
        <v>97</v>
      </c>
      <c r="J26" s="95"/>
    </row>
    <row r="27" spans="1:12" x14ac:dyDescent="0.2">
      <c r="B27" s="93"/>
      <c r="C27" s="88" t="s">
        <v>4</v>
      </c>
      <c r="D27" s="96">
        <v>20</v>
      </c>
      <c r="E27" s="97" t="s">
        <v>0</v>
      </c>
      <c r="G27" s="93"/>
      <c r="I27" s="98"/>
      <c r="J27" s="95"/>
    </row>
    <row r="28" spans="1:12" x14ac:dyDescent="0.2">
      <c r="B28" s="93"/>
      <c r="D28" s="98"/>
      <c r="E28" s="95"/>
      <c r="G28" s="93"/>
      <c r="H28" s="88" t="s">
        <v>1</v>
      </c>
      <c r="I28" s="102">
        <f>I18/(I20*60)*I22</f>
        <v>57.111111111111107</v>
      </c>
      <c r="J28" s="95"/>
    </row>
    <row r="29" spans="1:12" x14ac:dyDescent="0.2">
      <c r="B29" s="93"/>
      <c r="C29" s="46" t="s">
        <v>126</v>
      </c>
      <c r="D29" s="99">
        <v>0.7</v>
      </c>
      <c r="E29" s="95"/>
      <c r="G29" s="93"/>
      <c r="H29" s="88"/>
      <c r="I29" s="102"/>
      <c r="J29" s="95"/>
    </row>
    <row r="30" spans="1:12" x14ac:dyDescent="0.2">
      <c r="B30" s="93"/>
      <c r="D30" s="98"/>
      <c r="E30" s="95"/>
      <c r="G30" s="93"/>
      <c r="H30" s="88"/>
      <c r="I30" s="102"/>
      <c r="J30" s="95"/>
    </row>
    <row r="31" spans="1:12" s="108" customFormat="1" x14ac:dyDescent="0.2">
      <c r="A31" s="103"/>
      <c r="B31" s="104"/>
      <c r="C31" s="88" t="s">
        <v>21</v>
      </c>
      <c r="D31" s="105">
        <v>0.11</v>
      </c>
      <c r="E31" s="106"/>
      <c r="F31" s="103"/>
      <c r="G31" s="93"/>
      <c r="H31" s="103"/>
      <c r="I31" s="107"/>
      <c r="J31" s="95"/>
      <c r="K31" s="103"/>
      <c r="L31" s="103"/>
    </row>
    <row r="32" spans="1:12" x14ac:dyDescent="0.2">
      <c r="B32" s="93"/>
      <c r="D32" s="98"/>
      <c r="E32" s="95"/>
      <c r="G32" s="93"/>
      <c r="H32" s="88" t="s">
        <v>6</v>
      </c>
      <c r="I32" s="109">
        <f t="array" ref="I32">ProbCallWaits(I18,I20,I22,I26)</f>
        <v>1.003774394067403E-6</v>
      </c>
      <c r="J32" s="95"/>
    </row>
    <row r="33" spans="1:12" x14ac:dyDescent="0.2">
      <c r="B33" s="93"/>
      <c r="C33" s="110" t="s">
        <v>8</v>
      </c>
      <c r="D33" s="164">
        <f t="array" ref="D33">AgentsRequired(D18,D20,D22,D24,D27,D29,D31)</f>
        <v>6</v>
      </c>
      <c r="E33" s="95"/>
      <c r="G33" s="93"/>
      <c r="H33" s="100" t="s">
        <v>7</v>
      </c>
      <c r="I33" s="98"/>
      <c r="J33" s="95"/>
    </row>
    <row r="34" spans="1:12" x14ac:dyDescent="0.2">
      <c r="B34" s="93"/>
      <c r="D34" s="101"/>
      <c r="E34" s="95"/>
      <c r="G34" s="93"/>
      <c r="H34" s="111"/>
      <c r="I34" s="98"/>
      <c r="J34" s="95"/>
    </row>
    <row r="35" spans="1:12" ht="36" x14ac:dyDescent="0.2">
      <c r="B35" s="93"/>
      <c r="C35" s="292" t="s">
        <v>74</v>
      </c>
      <c r="D35" s="293"/>
      <c r="E35" s="294"/>
      <c r="G35" s="93"/>
      <c r="H35" s="112" t="s">
        <v>50</v>
      </c>
      <c r="I35" s="109">
        <f t="array" ref="I35">ServiceLevel(I18,I20,I22,I24,I26)</f>
        <v>0.99999995497000249</v>
      </c>
      <c r="J35" s="95"/>
    </row>
    <row r="36" spans="1:12" x14ac:dyDescent="0.2">
      <c r="B36" s="93"/>
      <c r="C36" s="110"/>
      <c r="D36" s="98"/>
      <c r="E36" s="95"/>
      <c r="G36" s="93"/>
      <c r="H36" s="112"/>
      <c r="I36" s="109"/>
      <c r="J36" s="95"/>
    </row>
    <row r="37" spans="1:12" x14ac:dyDescent="0.2">
      <c r="B37" s="93"/>
      <c r="C37" s="113" t="s">
        <v>102</v>
      </c>
      <c r="D37" s="114">
        <f>D18*D22/3600*60/D20</f>
        <v>2.4100000000000006</v>
      </c>
      <c r="E37" s="95" t="s">
        <v>103</v>
      </c>
      <c r="G37" s="93"/>
      <c r="H37" s="100" t="s">
        <v>116</v>
      </c>
      <c r="I37" s="98"/>
      <c r="J37" s="95"/>
    </row>
    <row r="38" spans="1:12" ht="13.5" thickBot="1" x14ac:dyDescent="0.25">
      <c r="B38" s="115"/>
      <c r="C38" s="116"/>
      <c r="D38" s="117"/>
      <c r="E38" s="118"/>
      <c r="G38" s="115"/>
      <c r="H38" s="116"/>
      <c r="I38" s="119"/>
      <c r="J38" s="118"/>
    </row>
    <row r="39" spans="1:12" ht="13.5" thickBot="1" x14ac:dyDescent="0.25">
      <c r="A39" s="120"/>
      <c r="B39" s="120"/>
      <c r="C39" s="120"/>
      <c r="D39" s="120"/>
      <c r="E39" s="120"/>
    </row>
    <row r="40" spans="1:12" ht="17.25" customHeight="1" thickTop="1" thickBot="1" x14ac:dyDescent="0.25">
      <c r="A40" s="66" t="s">
        <v>127</v>
      </c>
      <c r="B40" s="120"/>
      <c r="C40" s="120"/>
      <c r="D40" s="120"/>
      <c r="E40" s="120"/>
      <c r="I40" s="83"/>
      <c r="J40" s="290" t="s">
        <v>46</v>
      </c>
      <c r="K40" s="291"/>
    </row>
    <row r="41" spans="1:12" ht="13.5" thickTop="1" x14ac:dyDescent="0.2">
      <c r="A41" s="123" t="s">
        <v>48</v>
      </c>
      <c r="B41" s="120"/>
      <c r="C41" s="120"/>
      <c r="D41" s="120"/>
      <c r="E41" s="120"/>
    </row>
    <row r="42" spans="1:12" x14ac:dyDescent="0.2">
      <c r="A42" s="86"/>
    </row>
    <row r="43" spans="1:12" x14ac:dyDescent="0.2">
      <c r="A43" s="86"/>
    </row>
    <row r="48" spans="1:12" s="125" customFormat="1" ht="32.25" customHeight="1" x14ac:dyDescent="0.2">
      <c r="A48" s="83"/>
      <c r="B48" s="83"/>
      <c r="C48" s="83"/>
      <c r="D48" s="124"/>
      <c r="E48" s="83"/>
      <c r="F48" s="83"/>
      <c r="G48" s="83"/>
      <c r="H48" s="83"/>
      <c r="I48" s="121"/>
      <c r="J48" s="83"/>
      <c r="K48" s="83"/>
      <c r="L48" s="83"/>
    </row>
    <row r="59" ht="22.5" customHeight="1" x14ac:dyDescent="0.2"/>
    <row r="9984" spans="1:1" x14ac:dyDescent="0.2">
      <c r="A9984" s="122" t="s">
        <v>108</v>
      </c>
    </row>
    <row r="9985" spans="1:1" x14ac:dyDescent="0.2">
      <c r="A9985" s="123" t="s">
        <v>48</v>
      </c>
    </row>
  </sheetData>
  <sheetProtection selectLockedCells="1"/>
  <mergeCells count="5">
    <mergeCell ref="B15:E15"/>
    <mergeCell ref="B16:E16"/>
    <mergeCell ref="C2:J3"/>
    <mergeCell ref="J40:K40"/>
    <mergeCell ref="C35:E35"/>
  </mergeCells>
  <phoneticPr fontId="3" type="noConversion"/>
  <dataValidations count="7">
    <dataValidation type="decimal" allowBlank="1" showInputMessage="1" showErrorMessage="1" errorTitle="Service Level" error="Please enter a value greater than zero and less than 100%" promptTitle="Service Level" prompt="Please enter a value greater than zero and less than 100%" sqref="D24" xr:uid="{00000000-0002-0000-0000-000000000000}">
      <formula1>0.00001</formula1>
      <formula2>0.9998</formula2>
    </dataValidation>
    <dataValidation type="whole" allowBlank="1" showInputMessage="1" showErrorMessage="1" error="Enter number between 1 and 30,000 seconds" prompt="Enter number between 1 and 30,000 seconds" sqref="D22 I22" xr:uid="{00000000-0002-0000-0000-000001000000}">
      <formula1>1</formula1>
      <formula2>30000</formula2>
    </dataValidation>
    <dataValidation type="whole" allowBlank="1" showInputMessage="1" showErrorMessage="1" error="Enter period netween 5 and 1500 minutes " prompt="Enter period netween 5 and 1500 minutes" sqref="D20" xr:uid="{00000000-0002-0000-0000-000002000000}">
      <formula1>5</formula1>
      <formula2>1500</formula2>
    </dataValidation>
    <dataValidation type="whole" allowBlank="1" showInputMessage="1" showErrorMessage="1" error="Enter service level time between 1 and 30000 seconds" prompt="Enter service level time between 1 and 30000 seconds" sqref="D27 I24" xr:uid="{00000000-0002-0000-0000-000003000000}">
      <formula1>1</formula1>
      <formula2>30000</formula2>
    </dataValidation>
    <dataValidation type="decimal" allowBlank="1" showInputMessage="1" showErrorMessage="1" error="Enter shrinkage between 0 and 99%" prompt="Enter shrinkage between 0 and 99%" sqref="D31" xr:uid="{00000000-0002-0000-0000-000004000000}">
      <formula1>0</formula1>
      <formula2>0.9998</formula2>
    </dataValidation>
    <dataValidation type="whole" allowBlank="1" showInputMessage="1" showErrorMessage="1" error="Enter period netween 5 and 1500 minutes" prompt="Enter period netween 5 and 1500 minutes" sqref="I20" xr:uid="{00000000-0002-0000-0000-000005000000}">
      <formula1>5</formula1>
      <formula2>1500</formula2>
    </dataValidation>
    <dataValidation allowBlank="1" showInputMessage="1" showErrorMessage="1" prompt="Enter occupancy between 0 and 99%" sqref="D29" xr:uid="{00000000-0002-0000-0000-000006000000}"/>
  </dataValidations>
  <hyperlinks>
    <hyperlink ref="J40" location="'Expected Service Level'!A1" display="Next Page &gt;&gt;" xr:uid="{00000000-0004-0000-0000-000000000000}"/>
    <hyperlink ref="A41" r:id="rId1" xr:uid="{00000000-0004-0000-0000-000001000000}"/>
    <hyperlink ref="A9985" r:id="rId2" xr:uid="{00000000-0004-0000-0000-000002000000}"/>
    <hyperlink ref="J40:K40" location="'How to Use'!A1" display="Next Page &gt;&gt;" xr:uid="{00000000-0004-0000-0000-000003000000}"/>
    <hyperlink ref="C14" r:id="rId3" xr:uid="{00000000-0004-0000-0000-000004000000}"/>
  </hyperlinks>
  <pageMargins left="0.75" right="0.75" top="1" bottom="1" header="0.5" footer="0.5"/>
  <pageSetup paperSize="9" orientation="portrait" horizontalDpi="1200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9988"/>
  <sheetViews>
    <sheetView showGridLines="0" topLeftCell="A37" zoomScale="80" zoomScaleNormal="80" workbookViewId="0">
      <selection activeCell="J17" sqref="J17"/>
    </sheetView>
  </sheetViews>
  <sheetFormatPr baseColWidth="10" defaultColWidth="9.140625" defaultRowHeight="12.75" x14ac:dyDescent="0.2"/>
  <cols>
    <col min="1" max="1" width="5" customWidth="1"/>
    <col min="2" max="2" width="10.85546875" customWidth="1"/>
    <col min="3" max="3" width="11.5703125" customWidth="1"/>
    <col min="4" max="4" width="13.42578125" customWidth="1"/>
    <col min="5" max="5" width="14.7109375" customWidth="1"/>
    <col min="6" max="6" width="11" customWidth="1"/>
    <col min="7" max="8" width="11.42578125" customWidth="1"/>
  </cols>
  <sheetData>
    <row r="2" spans="2:11" ht="23.25" x14ac:dyDescent="0.35">
      <c r="E2" s="33" t="s">
        <v>123</v>
      </c>
    </row>
    <row r="4" spans="2:11" ht="13.5" thickBot="1" x14ac:dyDescent="0.25"/>
    <row r="5" spans="2:11" ht="21.75" customHeight="1" thickTop="1" thickBot="1" x14ac:dyDescent="0.25">
      <c r="B5" s="21" t="s">
        <v>31</v>
      </c>
      <c r="J5" s="296" t="s">
        <v>46</v>
      </c>
      <c r="K5" s="297"/>
    </row>
    <row r="6" spans="2:11" ht="13.5" thickTop="1" x14ac:dyDescent="0.2">
      <c r="B6" s="21"/>
    </row>
    <row r="7" spans="2:11" x14ac:dyDescent="0.2">
      <c r="B7" s="295" t="s">
        <v>14</v>
      </c>
      <c r="C7" s="295"/>
      <c r="D7" s="295"/>
      <c r="E7" s="295"/>
      <c r="F7" s="295"/>
      <c r="G7" s="295"/>
      <c r="H7" s="295"/>
      <c r="I7" s="295"/>
    </row>
    <row r="8" spans="2:11" ht="36.75" customHeight="1" x14ac:dyDescent="0.2">
      <c r="B8" s="295"/>
      <c r="C8" s="295"/>
      <c r="D8" s="295"/>
      <c r="E8" s="295"/>
      <c r="F8" s="295"/>
      <c r="G8" s="295"/>
      <c r="H8" s="295"/>
      <c r="I8" s="295"/>
    </row>
    <row r="9" spans="2:11" x14ac:dyDescent="0.2">
      <c r="B9" s="21"/>
    </row>
    <row r="10" spans="2:11" x14ac:dyDescent="0.2">
      <c r="B10" s="21" t="s">
        <v>32</v>
      </c>
    </row>
    <row r="13" spans="2:11" ht="15.75" x14ac:dyDescent="0.25">
      <c r="B13" s="23" t="s">
        <v>129</v>
      </c>
    </row>
    <row r="15" spans="2:11" ht="13.5" thickBot="1" x14ac:dyDescent="0.25"/>
    <row r="16" spans="2:11" ht="51.75" thickTop="1" x14ac:dyDescent="0.2">
      <c r="B16" s="24" t="s">
        <v>23</v>
      </c>
      <c r="C16" s="25" t="s">
        <v>24</v>
      </c>
      <c r="D16" s="25" t="s">
        <v>69</v>
      </c>
      <c r="E16" s="25" t="s">
        <v>26</v>
      </c>
      <c r="F16" s="25" t="s">
        <v>25</v>
      </c>
      <c r="G16" s="25" t="s">
        <v>111</v>
      </c>
      <c r="H16" s="25" t="s">
        <v>30</v>
      </c>
      <c r="I16" s="25"/>
      <c r="J16" s="26" t="s">
        <v>121</v>
      </c>
    </row>
    <row r="17" spans="2:10" ht="13.5" thickBot="1" x14ac:dyDescent="0.25">
      <c r="B17" s="28">
        <v>1000</v>
      </c>
      <c r="C17" s="29">
        <v>60</v>
      </c>
      <c r="D17" s="29">
        <v>180</v>
      </c>
      <c r="E17" s="30">
        <v>0.8</v>
      </c>
      <c r="F17" s="29">
        <v>20</v>
      </c>
      <c r="G17" s="30">
        <v>0.85</v>
      </c>
      <c r="H17" s="30">
        <v>0.35</v>
      </c>
      <c r="I17" s="31"/>
      <c r="J17" s="32">
        <f>AgentsRequired(B17,C17,D17,E17,F17,G17,H17)</f>
        <v>91</v>
      </c>
    </row>
    <row r="18" spans="2:10" ht="13.5" thickTop="1" x14ac:dyDescent="0.2"/>
    <row r="19" spans="2:10" x14ac:dyDescent="0.2">
      <c r="B19" s="22" t="s">
        <v>124</v>
      </c>
    </row>
    <row r="20" spans="2:10" x14ac:dyDescent="0.2">
      <c r="B20" s="22"/>
    </row>
    <row r="21" spans="2:10" x14ac:dyDescent="0.2">
      <c r="B21" s="21" t="s">
        <v>125</v>
      </c>
    </row>
    <row r="23" spans="2:10" x14ac:dyDescent="0.2">
      <c r="B23" s="21" t="s">
        <v>33</v>
      </c>
    </row>
    <row r="24" spans="2:10" x14ac:dyDescent="0.2">
      <c r="B24" s="21" t="s">
        <v>27</v>
      </c>
    </row>
    <row r="25" spans="2:10" x14ac:dyDescent="0.2">
      <c r="B25" s="27" t="s">
        <v>28</v>
      </c>
    </row>
    <row r="26" spans="2:10" x14ac:dyDescent="0.2">
      <c r="B26" s="21" t="s">
        <v>74</v>
      </c>
    </row>
    <row r="28" spans="2:10" ht="15.75" x14ac:dyDescent="0.25">
      <c r="B28" s="23" t="s">
        <v>119</v>
      </c>
    </row>
    <row r="30" spans="2:10" ht="13.5" thickBot="1" x14ac:dyDescent="0.25"/>
    <row r="31" spans="2:10" ht="63" customHeight="1" thickTop="1" x14ac:dyDescent="0.2">
      <c r="B31" s="24" t="s">
        <v>23</v>
      </c>
      <c r="C31" s="25" t="s">
        <v>24</v>
      </c>
      <c r="D31" s="25" t="s">
        <v>69</v>
      </c>
      <c r="E31" s="25" t="s">
        <v>25</v>
      </c>
      <c r="F31" s="25" t="s">
        <v>5</v>
      </c>
      <c r="G31" s="25"/>
      <c r="H31" s="26" t="s">
        <v>11</v>
      </c>
    </row>
    <row r="32" spans="2:10" ht="13.5" thickBot="1" x14ac:dyDescent="0.25">
      <c r="B32" s="28">
        <v>1000</v>
      </c>
      <c r="C32" s="29">
        <v>60</v>
      </c>
      <c r="D32" s="29">
        <v>180</v>
      </c>
      <c r="E32" s="29">
        <v>20</v>
      </c>
      <c r="F32" s="29">
        <v>91</v>
      </c>
      <c r="G32" s="31"/>
      <c r="H32" s="34">
        <f t="array" ref="H32">ServiceLevel(B32,C32,D32,E32,F32)</f>
        <v>0.99999999865607814</v>
      </c>
    </row>
    <row r="33" spans="2:14" ht="13.5" thickTop="1" x14ac:dyDescent="0.2"/>
    <row r="34" spans="2:14" x14ac:dyDescent="0.2">
      <c r="B34" s="22" t="s">
        <v>72</v>
      </c>
    </row>
    <row r="36" spans="2:14" x14ac:dyDescent="0.2">
      <c r="B36" s="21" t="s">
        <v>36</v>
      </c>
    </row>
    <row r="38" spans="2:14" x14ac:dyDescent="0.2">
      <c r="B38" s="21" t="s">
        <v>34</v>
      </c>
    </row>
    <row r="39" spans="2:14" x14ac:dyDescent="0.2">
      <c r="B39" s="21" t="s">
        <v>51</v>
      </c>
    </row>
    <row r="40" spans="2:14" x14ac:dyDescent="0.2">
      <c r="B40" s="21"/>
    </row>
    <row r="41" spans="2:14" x14ac:dyDescent="0.2">
      <c r="B41" s="21" t="s">
        <v>74</v>
      </c>
    </row>
    <row r="42" spans="2:14" x14ac:dyDescent="0.2">
      <c r="B42" s="21" t="s">
        <v>29</v>
      </c>
    </row>
    <row r="44" spans="2:14" ht="15.75" x14ac:dyDescent="0.25">
      <c r="B44" s="23" t="s">
        <v>120</v>
      </c>
    </row>
    <row r="46" spans="2:14" ht="13.5" thickBot="1" x14ac:dyDescent="0.25">
      <c r="N46" s="21"/>
    </row>
    <row r="47" spans="2:14" ht="57.75" customHeight="1" thickTop="1" x14ac:dyDescent="0.2">
      <c r="B47" s="24" t="s">
        <v>23</v>
      </c>
      <c r="C47" s="25" t="s">
        <v>24</v>
      </c>
      <c r="D47" s="25" t="s">
        <v>69</v>
      </c>
      <c r="E47" s="25" t="s">
        <v>5</v>
      </c>
      <c r="F47" s="25"/>
      <c r="G47" s="26" t="s">
        <v>52</v>
      </c>
    </row>
    <row r="48" spans="2:14" ht="13.5" thickBot="1" x14ac:dyDescent="0.25">
      <c r="B48" s="28">
        <v>1000</v>
      </c>
      <c r="C48" s="29">
        <v>60</v>
      </c>
      <c r="D48" s="29">
        <v>180</v>
      </c>
      <c r="E48" s="29">
        <v>60</v>
      </c>
      <c r="F48" s="31"/>
      <c r="G48" s="34">
        <f t="array" ref="G48">ProbCallWaits(B48,C48,D48,E48)</f>
        <v>0.11730205613220737</v>
      </c>
    </row>
    <row r="49" spans="2:14" ht="13.5" thickTop="1" x14ac:dyDescent="0.2"/>
    <row r="50" spans="2:14" x14ac:dyDescent="0.2">
      <c r="B50" s="22" t="s">
        <v>73</v>
      </c>
      <c r="D50" s="21"/>
      <c r="G50" s="35"/>
    </row>
    <row r="51" spans="2:14" x14ac:dyDescent="0.2">
      <c r="E51" s="21"/>
    </row>
    <row r="52" spans="2:14" x14ac:dyDescent="0.2">
      <c r="B52" s="21" t="s">
        <v>37</v>
      </c>
    </row>
    <row r="53" spans="2:14" x14ac:dyDescent="0.2">
      <c r="N53" s="21"/>
    </row>
    <row r="54" spans="2:14" x14ac:dyDescent="0.2">
      <c r="B54" s="21" t="s">
        <v>53</v>
      </c>
    </row>
    <row r="56" spans="2:14" x14ac:dyDescent="0.2">
      <c r="B56" s="21" t="s">
        <v>74</v>
      </c>
    </row>
    <row r="57" spans="2:14" x14ac:dyDescent="0.2">
      <c r="B57" s="21" t="s">
        <v>29</v>
      </c>
    </row>
    <row r="60" spans="2:14" x14ac:dyDescent="0.2">
      <c r="B60" s="22" t="s">
        <v>38</v>
      </c>
    </row>
    <row r="61" spans="2:14" x14ac:dyDescent="0.2">
      <c r="B61" s="22"/>
    </row>
    <row r="62" spans="2:14" x14ac:dyDescent="0.2">
      <c r="B62" s="21" t="s">
        <v>15</v>
      </c>
      <c r="D62" s="36">
        <v>30</v>
      </c>
      <c r="E62" s="21" t="s">
        <v>17</v>
      </c>
    </row>
    <row r="63" spans="2:14" x14ac:dyDescent="0.2">
      <c r="B63" s="21" t="s">
        <v>40</v>
      </c>
      <c r="D63" s="37">
        <v>180</v>
      </c>
      <c r="E63" s="21" t="s">
        <v>0</v>
      </c>
    </row>
    <row r="64" spans="2:14" x14ac:dyDescent="0.2">
      <c r="B64" s="21" t="s">
        <v>41</v>
      </c>
      <c r="D64" s="38">
        <v>0.8</v>
      </c>
      <c r="E64" s="21" t="s">
        <v>42</v>
      </c>
    </row>
    <row r="65" spans="2:5" x14ac:dyDescent="0.2">
      <c r="D65" s="37">
        <v>20</v>
      </c>
      <c r="E65" s="21" t="s">
        <v>0</v>
      </c>
    </row>
    <row r="66" spans="2:5" x14ac:dyDescent="0.2">
      <c r="B66" t="s">
        <v>111</v>
      </c>
      <c r="D66" s="38">
        <v>0.9</v>
      </c>
      <c r="E66" s="21"/>
    </row>
    <row r="67" spans="2:5" x14ac:dyDescent="0.2">
      <c r="B67" s="21" t="s">
        <v>21</v>
      </c>
      <c r="D67" s="38">
        <v>0.35</v>
      </c>
    </row>
    <row r="69" spans="2:5" x14ac:dyDescent="0.2">
      <c r="B69" s="22"/>
      <c r="C69" s="22"/>
    </row>
    <row r="70" spans="2:5" ht="49.5" customHeight="1" x14ac:dyDescent="0.2">
      <c r="B70" s="70" t="s">
        <v>39</v>
      </c>
      <c r="C70" s="70" t="s">
        <v>23</v>
      </c>
      <c r="D70" s="71" t="s">
        <v>121</v>
      </c>
    </row>
    <row r="71" spans="2:5" x14ac:dyDescent="0.2">
      <c r="B71" s="68">
        <v>0.33333333333333331</v>
      </c>
      <c r="C71" s="69">
        <v>15</v>
      </c>
      <c r="D71" s="126">
        <f t="array" ref="D71">AgentsRequired(C71,$D$62,$D$63,$D$64,$D$65,$D$66,$D$67)</f>
        <v>6</v>
      </c>
    </row>
    <row r="72" spans="2:5" x14ac:dyDescent="0.2">
      <c r="B72" s="68">
        <v>0.35416666666666669</v>
      </c>
      <c r="C72" s="69">
        <v>20</v>
      </c>
      <c r="D72" s="126">
        <f t="array" ref="D72">AgentsRequired(C72,$D$62,$D$63,$D$64,$D$65,$D$66,$D$67)</f>
        <v>6</v>
      </c>
    </row>
    <row r="73" spans="2:5" x14ac:dyDescent="0.2">
      <c r="B73" s="68">
        <v>0.375</v>
      </c>
      <c r="C73" s="69">
        <v>45</v>
      </c>
      <c r="D73" s="126">
        <f t="array" ref="D73">AgentsRequired(C73,$D$62,$D$63,$D$64,$D$65,$D$66,$D$67)</f>
        <v>11</v>
      </c>
    </row>
    <row r="74" spans="2:5" x14ac:dyDescent="0.2">
      <c r="B74" s="68">
        <v>0.39583333333333298</v>
      </c>
      <c r="C74" s="69">
        <v>55</v>
      </c>
      <c r="D74" s="126">
        <f t="array" ref="D74">AgentsRequired(C74,$D$62,$D$63,$D$64,$D$65,$D$66,$D$67)</f>
        <v>12</v>
      </c>
    </row>
    <row r="75" spans="2:5" x14ac:dyDescent="0.2">
      <c r="B75" s="68">
        <v>0.41666666666666702</v>
      </c>
      <c r="C75" s="69">
        <v>71</v>
      </c>
      <c r="D75" s="126">
        <f t="array" ref="D75">AgentsRequired(C75,$D$62,$D$63,$D$64,$D$65,$D$66,$D$67)</f>
        <v>15</v>
      </c>
    </row>
    <row r="76" spans="2:5" x14ac:dyDescent="0.2">
      <c r="B76" s="68">
        <v>0.4375</v>
      </c>
      <c r="C76" s="69">
        <v>92</v>
      </c>
      <c r="D76" s="126">
        <f t="array" ref="D76">AgentsRequired(C76,$D$62,$D$63,$D$64,$D$65,$D$66,$D$67)</f>
        <v>20</v>
      </c>
    </row>
    <row r="77" spans="2:5" x14ac:dyDescent="0.2">
      <c r="B77" s="68">
        <v>0.45833333333333298</v>
      </c>
      <c r="C77" s="69">
        <v>74</v>
      </c>
      <c r="D77" s="126">
        <f t="array" ref="D77">AgentsRequired(C77,$D$62,$D$63,$D$64,$D$65,$D$66,$D$67)</f>
        <v>17</v>
      </c>
    </row>
    <row r="80" spans="2:5" ht="13.5" thickBot="1" x14ac:dyDescent="0.25"/>
    <row r="81" spans="1:8" ht="27" customHeight="1" thickTop="1" thickBot="1" x14ac:dyDescent="0.25">
      <c r="G81" s="296" t="s">
        <v>46</v>
      </c>
      <c r="H81" s="297"/>
    </row>
    <row r="82" spans="1:8" ht="13.5" thickTop="1" x14ac:dyDescent="0.2"/>
    <row r="85" spans="1:8" x14ac:dyDescent="0.2">
      <c r="A85" s="66" t="s">
        <v>127</v>
      </c>
      <c r="B85" s="46"/>
      <c r="C85" s="46"/>
      <c r="D85" s="65"/>
    </row>
    <row r="86" spans="1:8" x14ac:dyDescent="0.2">
      <c r="A86" s="67" t="s">
        <v>48</v>
      </c>
      <c r="B86" s="46"/>
      <c r="C86" s="46"/>
      <c r="D86" s="65"/>
    </row>
    <row r="9987" spans="1:4" x14ac:dyDescent="0.2">
      <c r="A9987" s="66" t="s">
        <v>108</v>
      </c>
      <c r="B9987" s="46"/>
      <c r="C9987" s="46"/>
      <c r="D9987" s="65"/>
    </row>
    <row r="9988" spans="1:4" x14ac:dyDescent="0.2">
      <c r="A9988" s="67" t="s">
        <v>48</v>
      </c>
      <c r="B9988" s="46"/>
      <c r="C9988" s="46"/>
      <c r="D9988" s="65"/>
    </row>
  </sheetData>
  <mergeCells count="3">
    <mergeCell ref="B7:I8"/>
    <mergeCell ref="G81:H81"/>
    <mergeCell ref="J5:K5"/>
  </mergeCells>
  <hyperlinks>
    <hyperlink ref="B25" r:id="rId1" xr:uid="{00000000-0004-0000-0100-000000000000}"/>
    <hyperlink ref="G81" location="'Expected Service Level'!A1" display="Next Page &gt;&gt;" xr:uid="{00000000-0004-0000-0100-000001000000}"/>
    <hyperlink ref="A86" r:id="rId2" xr:uid="{00000000-0004-0000-0100-000002000000}"/>
    <hyperlink ref="A9988" r:id="rId3" xr:uid="{00000000-0004-0000-0100-000003000000}"/>
    <hyperlink ref="G81:H81" location="'Day Planner'!A1" display="Next Page &gt;&gt;" xr:uid="{00000000-0004-0000-0100-000004000000}"/>
    <hyperlink ref="J5" location="'Expected Service Level'!A1" display="Next Page &gt;&gt;" xr:uid="{00000000-0004-0000-0100-000005000000}"/>
    <hyperlink ref="J5:K5" location="'Day Planner'!A1" display="Next Page &gt;&gt;" xr:uid="{00000000-0004-0000-0100-000006000000}"/>
  </hyperlinks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3"/>
  <sheetViews>
    <sheetView showGridLines="0" zoomScale="80" zoomScaleNormal="80" workbookViewId="0">
      <selection activeCell="E22" sqref="E22"/>
    </sheetView>
  </sheetViews>
  <sheetFormatPr baseColWidth="10" defaultColWidth="9.140625" defaultRowHeight="12.75" x14ac:dyDescent="0.2"/>
  <cols>
    <col min="2" max="2" width="9.42578125" customWidth="1"/>
    <col min="3" max="3" width="24.140625" customWidth="1"/>
    <col min="4" max="4" width="20" customWidth="1"/>
    <col min="5" max="5" width="22.42578125" customWidth="1"/>
    <col min="6" max="6" width="15" customWidth="1"/>
    <col min="7" max="7" width="2" customWidth="1"/>
  </cols>
  <sheetData>
    <row r="1" spans="1:7" ht="13.5" thickBot="1" x14ac:dyDescent="0.25"/>
    <row r="2" spans="1:7" ht="27.75" customHeight="1" x14ac:dyDescent="0.25">
      <c r="B2" s="39"/>
      <c r="C2" s="75" t="s">
        <v>43</v>
      </c>
      <c r="D2" s="40"/>
      <c r="E2" s="41"/>
      <c r="F2" s="41"/>
      <c r="G2" s="1"/>
    </row>
    <row r="3" spans="1:7" ht="13.5" thickBot="1" x14ac:dyDescent="0.25">
      <c r="B3" s="10"/>
      <c r="C3" s="3"/>
      <c r="D3" s="4"/>
      <c r="E3" s="3"/>
      <c r="F3" s="3"/>
      <c r="G3" s="2"/>
    </row>
    <row r="4" spans="1:7" x14ac:dyDescent="0.2">
      <c r="A4" s="60"/>
      <c r="B4" s="61"/>
      <c r="C4" s="3" t="s">
        <v>15</v>
      </c>
      <c r="D4" s="12">
        <v>30</v>
      </c>
      <c r="E4" s="11" t="s">
        <v>17</v>
      </c>
      <c r="F4" s="298" t="s">
        <v>46</v>
      </c>
      <c r="G4" s="2"/>
    </row>
    <row r="5" spans="1:7" ht="13.5" thickBot="1" x14ac:dyDescent="0.25">
      <c r="B5" s="10"/>
      <c r="C5" s="3"/>
      <c r="D5" s="3"/>
      <c r="E5" s="3"/>
      <c r="F5" s="299"/>
      <c r="G5" s="2"/>
    </row>
    <row r="6" spans="1:7" x14ac:dyDescent="0.2">
      <c r="B6" s="10"/>
      <c r="C6" s="62" t="s">
        <v>71</v>
      </c>
      <c r="D6" s="63">
        <v>240</v>
      </c>
      <c r="E6" s="62" t="s">
        <v>47</v>
      </c>
      <c r="F6" s="11"/>
      <c r="G6" s="2"/>
    </row>
    <row r="7" spans="1:7" x14ac:dyDescent="0.2">
      <c r="B7" s="10"/>
      <c r="C7" s="3"/>
      <c r="D7" s="3"/>
      <c r="E7" s="3"/>
      <c r="F7" s="3"/>
      <c r="G7" s="2"/>
    </row>
    <row r="8" spans="1:7" x14ac:dyDescent="0.2">
      <c r="B8" s="10"/>
      <c r="C8" s="3" t="s">
        <v>2</v>
      </c>
      <c r="D8" s="99">
        <v>0.8</v>
      </c>
      <c r="E8" s="3"/>
      <c r="F8" s="3"/>
      <c r="G8" s="2"/>
    </row>
    <row r="9" spans="1:7" x14ac:dyDescent="0.2">
      <c r="B9" s="10"/>
      <c r="C9" s="3"/>
      <c r="D9" s="3"/>
      <c r="E9" s="3"/>
      <c r="F9" s="3"/>
      <c r="G9" s="2"/>
    </row>
    <row r="10" spans="1:7" x14ac:dyDescent="0.2">
      <c r="B10" s="10"/>
      <c r="C10" s="3" t="s">
        <v>13</v>
      </c>
      <c r="D10" s="12">
        <v>20</v>
      </c>
      <c r="E10" s="62" t="s">
        <v>47</v>
      </c>
      <c r="F10" s="3"/>
      <c r="G10" s="2"/>
    </row>
    <row r="11" spans="1:7" x14ac:dyDescent="0.2">
      <c r="B11" s="10"/>
      <c r="C11" s="3"/>
      <c r="D11" s="3"/>
      <c r="E11" s="3"/>
      <c r="F11" s="3"/>
      <c r="G11" s="2"/>
    </row>
    <row r="12" spans="1:7" x14ac:dyDescent="0.2">
      <c r="B12" s="10"/>
      <c r="C12" s="3" t="s">
        <v>126</v>
      </c>
      <c r="D12" s="99">
        <v>0.85</v>
      </c>
      <c r="E12" s="3"/>
      <c r="F12" s="3"/>
      <c r="G12" s="2"/>
    </row>
    <row r="13" spans="1:7" x14ac:dyDescent="0.2">
      <c r="B13" s="10"/>
      <c r="C13" s="3"/>
      <c r="D13" s="3"/>
      <c r="E13" s="3"/>
      <c r="F13" s="3"/>
      <c r="G13" s="2"/>
    </row>
    <row r="14" spans="1:7" x14ac:dyDescent="0.2">
      <c r="B14" s="10"/>
      <c r="C14" s="3" t="s">
        <v>22</v>
      </c>
      <c r="D14" s="105">
        <v>0.3</v>
      </c>
      <c r="E14" s="3"/>
      <c r="F14" s="3"/>
      <c r="G14" s="2"/>
    </row>
    <row r="15" spans="1:7" x14ac:dyDescent="0.2">
      <c r="B15" s="10"/>
      <c r="C15" s="3"/>
      <c r="D15" s="3"/>
      <c r="E15" s="3"/>
      <c r="F15" s="3"/>
      <c r="G15" s="2"/>
    </row>
    <row r="16" spans="1:7" x14ac:dyDescent="0.2">
      <c r="B16" s="10"/>
      <c r="C16" s="15"/>
      <c r="D16" s="4"/>
      <c r="E16" s="3"/>
      <c r="F16" s="3"/>
      <c r="G16" s="2"/>
    </row>
    <row r="17" spans="2:7" ht="24" x14ac:dyDescent="0.2">
      <c r="B17" s="42"/>
      <c r="C17" s="18" t="s">
        <v>20</v>
      </c>
      <c r="D17" s="20" t="s">
        <v>18</v>
      </c>
      <c r="E17" s="19" t="s">
        <v>12</v>
      </c>
      <c r="F17" s="59"/>
      <c r="G17" s="2"/>
    </row>
    <row r="18" spans="2:7" x14ac:dyDescent="0.2">
      <c r="B18" s="10"/>
      <c r="C18" s="17">
        <v>0.33333333333333331</v>
      </c>
      <c r="D18" s="14">
        <v>10</v>
      </c>
      <c r="E18" s="43">
        <f t="array" ref="E18">AgentsRequired(D18,$D$4,$D$6,$D$8,$D$10,$D$12,$D$14)</f>
        <v>4</v>
      </c>
      <c r="F18" s="5"/>
      <c r="G18" s="2"/>
    </row>
    <row r="19" spans="2:7" x14ac:dyDescent="0.2">
      <c r="B19" s="10"/>
      <c r="C19" s="16">
        <f t="shared" ref="C19:C65" si="0">C18+TIME(0,$D$4,0)</f>
        <v>0.35416666666666663</v>
      </c>
      <c r="D19" s="14">
        <v>32</v>
      </c>
      <c r="E19" s="43">
        <f t="array" ref="E19">AgentsRequired(D19,$D$4,$D$6,$D$8,$D$10,$D$12,$D$14)</f>
        <v>10</v>
      </c>
      <c r="F19" s="5"/>
      <c r="G19" s="2"/>
    </row>
    <row r="20" spans="2:7" x14ac:dyDescent="0.2">
      <c r="B20" s="10"/>
      <c r="C20" s="16">
        <f t="shared" si="0"/>
        <v>0.37499999999999994</v>
      </c>
      <c r="D20" s="14">
        <v>103</v>
      </c>
      <c r="E20" s="43">
        <f t="array" ref="E20">AgentsRequired(D20,$D$4,$D$6,$D$8,$D$10,$D$12,$D$14)</f>
        <v>26</v>
      </c>
      <c r="F20" s="5"/>
      <c r="G20" s="2"/>
    </row>
    <row r="21" spans="2:7" x14ac:dyDescent="0.2">
      <c r="B21" s="10"/>
      <c r="C21" s="16">
        <f t="shared" si="0"/>
        <v>0.39583333333333326</v>
      </c>
      <c r="D21" s="14">
        <v>140</v>
      </c>
      <c r="E21" s="43">
        <f t="array" ref="E21">AgentsRequired(D21,$D$4,$D$6,$D$8,$D$10,$D$12,$D$14)</f>
        <v>33</v>
      </c>
      <c r="F21" s="5"/>
      <c r="G21" s="2"/>
    </row>
    <row r="22" spans="2:7" x14ac:dyDescent="0.2">
      <c r="B22" s="10"/>
      <c r="C22" s="16">
        <f t="shared" si="0"/>
        <v>0.41666666666666657</v>
      </c>
      <c r="D22" s="14">
        <v>266</v>
      </c>
      <c r="E22" s="43">
        <f t="array" ref="E22">AgentsRequired(D22,$D$4,$D$6,$D$8,$D$10,$D$12,$D$14)</f>
        <v>60</v>
      </c>
      <c r="F22" s="5"/>
      <c r="G22" s="2"/>
    </row>
    <row r="23" spans="2:7" x14ac:dyDescent="0.2">
      <c r="B23" s="10"/>
      <c r="C23" s="16">
        <f t="shared" si="0"/>
        <v>0.43749999999999989</v>
      </c>
      <c r="D23" s="14">
        <v>361</v>
      </c>
      <c r="E23" s="43">
        <f t="array" ref="E23">AgentsRequired(D23,$D$4,$D$6,$D$8,$D$10,$D$12,$D$14)</f>
        <v>81</v>
      </c>
      <c r="F23" s="5"/>
      <c r="G23" s="2"/>
    </row>
    <row r="24" spans="2:7" x14ac:dyDescent="0.2">
      <c r="B24" s="10"/>
      <c r="C24" s="16">
        <f t="shared" si="0"/>
        <v>0.4583333333333332</v>
      </c>
      <c r="D24" s="14">
        <v>333</v>
      </c>
      <c r="E24" s="43">
        <f t="array" ref="E24">AgentsRequired(D24,$D$4,$D$6,$D$8,$D$10,$D$12,$D$14)</f>
        <v>76</v>
      </c>
      <c r="F24" s="5"/>
      <c r="G24" s="2"/>
    </row>
    <row r="25" spans="2:7" x14ac:dyDescent="0.2">
      <c r="B25" s="10"/>
      <c r="C25" s="16">
        <f t="shared" si="0"/>
        <v>0.47916666666666652</v>
      </c>
      <c r="D25" s="14">
        <v>281</v>
      </c>
      <c r="E25" s="43">
        <f t="array" ref="E25">AgentsRequired(D25,$D$4,$D$6,$D$8,$D$10,$D$12,$D$14)</f>
        <v>64</v>
      </c>
      <c r="F25" s="5"/>
      <c r="G25" s="2"/>
    </row>
    <row r="26" spans="2:7" x14ac:dyDescent="0.2">
      <c r="B26" s="10"/>
      <c r="C26" s="16">
        <f t="shared" si="0"/>
        <v>0.49999999999999983</v>
      </c>
      <c r="D26" s="14">
        <v>304</v>
      </c>
      <c r="E26" s="43">
        <f t="array" ref="E26">AgentsRequired(D26,$D$4,$D$6,$D$8,$D$10,$D$12,$D$14)</f>
        <v>69</v>
      </c>
      <c r="F26" s="5"/>
      <c r="G26" s="2"/>
    </row>
    <row r="27" spans="2:7" x14ac:dyDescent="0.2">
      <c r="B27" s="10"/>
      <c r="C27" s="16">
        <f t="shared" si="0"/>
        <v>0.52083333333333315</v>
      </c>
      <c r="D27" s="14">
        <v>220</v>
      </c>
      <c r="E27" s="43">
        <f t="array" ref="E27">AgentsRequired(D27,$D$4,$D$6,$D$8,$D$10,$D$12,$D$14)</f>
        <v>50</v>
      </c>
      <c r="F27" s="5"/>
      <c r="G27" s="2"/>
    </row>
    <row r="28" spans="2:7" x14ac:dyDescent="0.2">
      <c r="B28" s="10"/>
      <c r="C28" s="16">
        <f t="shared" si="0"/>
        <v>0.54166666666666652</v>
      </c>
      <c r="D28" s="14">
        <v>400</v>
      </c>
      <c r="E28" s="43">
        <f t="array" ref="E28">AgentsRequired(D28,$D$4,$D$6,$D$8,$D$10,$D$12,$D$14)</f>
        <v>90</v>
      </c>
      <c r="F28" s="5"/>
      <c r="G28" s="2"/>
    </row>
    <row r="29" spans="2:7" x14ac:dyDescent="0.2">
      <c r="B29" s="10"/>
      <c r="C29" s="16">
        <f t="shared" si="0"/>
        <v>0.56249999999999989</v>
      </c>
      <c r="D29" s="14">
        <v>259</v>
      </c>
      <c r="E29" s="43">
        <f t="array" ref="E29">AgentsRequired(D29,$D$4,$D$6,$D$8,$D$10,$D$12,$D$14)</f>
        <v>59</v>
      </c>
      <c r="F29" s="5"/>
      <c r="G29" s="2"/>
    </row>
    <row r="30" spans="2:7" x14ac:dyDescent="0.2">
      <c r="B30" s="10"/>
      <c r="C30" s="16">
        <f t="shared" si="0"/>
        <v>0.58333333333333326</v>
      </c>
      <c r="D30" s="14">
        <v>220</v>
      </c>
      <c r="E30" s="43">
        <f t="array" ref="E30">AgentsRequired(D30,$D$4,$D$6,$D$8,$D$10,$D$12,$D$14)</f>
        <v>50</v>
      </c>
      <c r="F30" s="5"/>
      <c r="G30" s="2"/>
    </row>
    <row r="31" spans="2:7" x14ac:dyDescent="0.2">
      <c r="B31" s="10"/>
      <c r="C31" s="16">
        <f t="shared" si="0"/>
        <v>0.60416666666666663</v>
      </c>
      <c r="D31" s="14">
        <v>258</v>
      </c>
      <c r="E31" s="43">
        <f t="array" ref="E31">AgentsRequired(D31,$D$4,$D$6,$D$8,$D$10,$D$12,$D$14)</f>
        <v>59</v>
      </c>
      <c r="F31" s="5"/>
      <c r="G31" s="2"/>
    </row>
    <row r="32" spans="2:7" x14ac:dyDescent="0.2">
      <c r="B32" s="10"/>
      <c r="C32" s="16">
        <f t="shared" si="0"/>
        <v>0.625</v>
      </c>
      <c r="D32" s="14">
        <v>276</v>
      </c>
      <c r="E32" s="43">
        <f t="array" ref="E32">AgentsRequired(D32,$D$4,$D$6,$D$8,$D$10,$D$12,$D$14)</f>
        <v>63</v>
      </c>
      <c r="F32" s="5"/>
      <c r="G32" s="2"/>
    </row>
    <row r="33" spans="2:7" x14ac:dyDescent="0.2">
      <c r="B33" s="10"/>
      <c r="C33" s="16">
        <f t="shared" si="0"/>
        <v>0.64583333333333337</v>
      </c>
      <c r="D33" s="14">
        <v>222</v>
      </c>
      <c r="E33" s="43">
        <f t="array" ref="E33">AgentsRequired(D33,$D$4,$D$6,$D$8,$D$10,$D$12,$D$14)</f>
        <v>50</v>
      </c>
      <c r="F33" s="5"/>
      <c r="G33" s="2"/>
    </row>
    <row r="34" spans="2:7" x14ac:dyDescent="0.2">
      <c r="B34" s="10"/>
      <c r="C34" s="16">
        <f t="shared" si="0"/>
        <v>0.66666666666666674</v>
      </c>
      <c r="D34" s="14">
        <v>180</v>
      </c>
      <c r="E34" s="43">
        <f t="array" ref="E34">AgentsRequired(D34,$D$4,$D$6,$D$8,$D$10,$D$12,$D$14)</f>
        <v>41</v>
      </c>
      <c r="F34" s="5"/>
      <c r="G34" s="2"/>
    </row>
    <row r="35" spans="2:7" x14ac:dyDescent="0.2">
      <c r="B35" s="10"/>
      <c r="C35" s="16">
        <f t="shared" si="0"/>
        <v>0.68750000000000011</v>
      </c>
      <c r="D35" s="14">
        <v>200</v>
      </c>
      <c r="E35" s="43">
        <f t="array" ref="E35">AgentsRequired(D35,$D$4,$D$6,$D$8,$D$10,$D$12,$D$14)</f>
        <v>46</v>
      </c>
      <c r="F35" s="5"/>
      <c r="G35" s="2"/>
    </row>
    <row r="36" spans="2:7" x14ac:dyDescent="0.2">
      <c r="B36" s="10"/>
      <c r="C36" s="16">
        <f t="shared" si="0"/>
        <v>0.70833333333333348</v>
      </c>
      <c r="D36" s="14">
        <v>152</v>
      </c>
      <c r="E36" s="43">
        <f t="array" ref="E36">AgentsRequired(D36,$D$4,$D$6,$D$8,$D$10,$D$12,$D$14)</f>
        <v>36</v>
      </c>
      <c r="F36" s="5"/>
      <c r="G36" s="2"/>
    </row>
    <row r="37" spans="2:7" x14ac:dyDescent="0.2">
      <c r="B37" s="10"/>
      <c r="C37" s="16">
        <f t="shared" si="0"/>
        <v>0.72916666666666685</v>
      </c>
      <c r="D37" s="14">
        <v>87</v>
      </c>
      <c r="E37" s="43">
        <f t="array" ref="E37">AgentsRequired(D37,$D$4,$D$6,$D$8,$D$10,$D$12,$D$14)</f>
        <v>21</v>
      </c>
      <c r="F37" s="5"/>
      <c r="G37" s="2"/>
    </row>
    <row r="38" spans="2:7" x14ac:dyDescent="0.2">
      <c r="B38" s="10"/>
      <c r="C38" s="16">
        <f t="shared" si="0"/>
        <v>0.75000000000000022</v>
      </c>
      <c r="D38" s="14">
        <v>42</v>
      </c>
      <c r="E38" s="43">
        <f t="array" ref="E38">AgentsRequired(D38,$D$4,$D$6,$D$8,$D$10,$D$12,$D$14)</f>
        <v>13</v>
      </c>
      <c r="F38" s="5"/>
      <c r="G38" s="2"/>
    </row>
    <row r="39" spans="2:7" x14ac:dyDescent="0.2">
      <c r="B39" s="10"/>
      <c r="C39" s="16">
        <f t="shared" si="0"/>
        <v>0.77083333333333359</v>
      </c>
      <c r="D39" s="14"/>
      <c r="E39" s="43">
        <f t="array" ref="E39">AgentsRequired(D39,$D$4,$D$6,$D$8,$D$10,$D$12,$D$14)</f>
        <v>0</v>
      </c>
      <c r="F39" s="5"/>
      <c r="G39" s="2"/>
    </row>
    <row r="40" spans="2:7" x14ac:dyDescent="0.2">
      <c r="B40" s="10"/>
      <c r="C40" s="16">
        <f t="shared" si="0"/>
        <v>0.79166666666666696</v>
      </c>
      <c r="D40" s="14"/>
      <c r="E40" s="43">
        <f t="array" ref="E40">AgentsRequired(D40,$D$4,$D$6,$D$8,$D$10,$D$12,$D$14)</f>
        <v>0</v>
      </c>
      <c r="F40" s="5"/>
      <c r="G40" s="2"/>
    </row>
    <row r="41" spans="2:7" x14ac:dyDescent="0.2">
      <c r="B41" s="10"/>
      <c r="C41" s="16">
        <f t="shared" si="0"/>
        <v>0.81250000000000033</v>
      </c>
      <c r="D41" s="14"/>
      <c r="E41" s="43">
        <f t="array" ref="E41">AgentsRequired(D41,$D$4,$D$6,$D$8,$D$10,$D$12,$D$14)</f>
        <v>0</v>
      </c>
      <c r="F41" s="5"/>
      <c r="G41" s="2"/>
    </row>
    <row r="42" spans="2:7" x14ac:dyDescent="0.2">
      <c r="B42" s="10"/>
      <c r="C42" s="16">
        <f t="shared" si="0"/>
        <v>0.8333333333333337</v>
      </c>
      <c r="D42" s="14"/>
      <c r="E42" s="43">
        <f t="array" ref="E42">AgentsRequired(D42,$D$4,$D$6,$D$8,$D$10,$D$12,$D$14)</f>
        <v>0</v>
      </c>
      <c r="F42" s="5"/>
      <c r="G42" s="2"/>
    </row>
    <row r="43" spans="2:7" x14ac:dyDescent="0.2">
      <c r="B43" s="10"/>
      <c r="C43" s="16">
        <f t="shared" si="0"/>
        <v>0.85416666666666707</v>
      </c>
      <c r="D43" s="14"/>
      <c r="E43" s="43">
        <f t="array" ref="E43">AgentsRequired(D43,$D$4,$D$6,$D$8,$D$10,$D$12,$D$14)</f>
        <v>0</v>
      </c>
      <c r="F43" s="5"/>
      <c r="G43" s="2"/>
    </row>
    <row r="44" spans="2:7" x14ac:dyDescent="0.2">
      <c r="B44" s="10"/>
      <c r="C44" s="16">
        <f t="shared" si="0"/>
        <v>0.87500000000000044</v>
      </c>
      <c r="D44" s="14"/>
      <c r="E44" s="43">
        <f t="array" ref="E44">AgentsRequired(D44,$D$4,$D$6,$D$8,$D$10,$D$12,$D$14)</f>
        <v>0</v>
      </c>
      <c r="F44" s="5"/>
      <c r="G44" s="2"/>
    </row>
    <row r="45" spans="2:7" x14ac:dyDescent="0.2">
      <c r="B45" s="10"/>
      <c r="C45" s="16">
        <f t="shared" si="0"/>
        <v>0.89583333333333381</v>
      </c>
      <c r="D45" s="14"/>
      <c r="E45" s="43">
        <f t="array" ref="E45">AgentsRequired(D45,$D$4,$D$6,$D$8,$D$10,$D$12,$D$14)</f>
        <v>0</v>
      </c>
      <c r="F45" s="5"/>
      <c r="G45" s="2"/>
    </row>
    <row r="46" spans="2:7" x14ac:dyDescent="0.2">
      <c r="B46" s="10"/>
      <c r="C46" s="16">
        <f t="shared" si="0"/>
        <v>0.91666666666666718</v>
      </c>
      <c r="D46" s="14"/>
      <c r="E46" s="43">
        <f t="array" ref="E46">AgentsRequired(D46,$D$4,$D$6,$D$8,$D$10,$D$12,$D$14)</f>
        <v>0</v>
      </c>
      <c r="F46" s="5"/>
      <c r="G46" s="2"/>
    </row>
    <row r="47" spans="2:7" x14ac:dyDescent="0.2">
      <c r="B47" s="10"/>
      <c r="C47" s="16">
        <f t="shared" si="0"/>
        <v>0.93750000000000056</v>
      </c>
      <c r="D47" s="14"/>
      <c r="E47" s="43">
        <f t="array" ref="E47">AgentsRequired(D47,$D$4,$D$6,$D$8,$D$10,$D$12,$D$14)</f>
        <v>0</v>
      </c>
      <c r="F47" s="5"/>
      <c r="G47" s="2"/>
    </row>
    <row r="48" spans="2:7" x14ac:dyDescent="0.2">
      <c r="B48" s="10"/>
      <c r="C48" s="16">
        <f t="shared" si="0"/>
        <v>0.95833333333333393</v>
      </c>
      <c r="D48" s="14"/>
      <c r="E48" s="43">
        <f t="array" ref="E48">AgentsRequired(D48,$D$4,$D$6,$D$8,$D$10,$D$12,$D$14)</f>
        <v>0</v>
      </c>
      <c r="F48" s="5"/>
      <c r="G48" s="2"/>
    </row>
    <row r="49" spans="2:7" x14ac:dyDescent="0.2">
      <c r="B49" s="10"/>
      <c r="C49" s="16">
        <f t="shared" si="0"/>
        <v>0.9791666666666673</v>
      </c>
      <c r="D49" s="14"/>
      <c r="E49" s="43">
        <f t="array" ref="E49">AgentsRequired(D49,$D$4,$D$6,$D$8,$D$10,$D$12,$D$14)</f>
        <v>0</v>
      </c>
      <c r="F49" s="5"/>
      <c r="G49" s="2"/>
    </row>
    <row r="50" spans="2:7" x14ac:dyDescent="0.2">
      <c r="B50" s="10"/>
      <c r="C50" s="16">
        <f t="shared" si="0"/>
        <v>1.0000000000000007</v>
      </c>
      <c r="D50" s="14"/>
      <c r="E50" s="43">
        <f t="array" ref="E50">AgentsRequired(D50,$D$4,$D$6,$D$8,$D$10,$D$12,$D$14)</f>
        <v>0</v>
      </c>
      <c r="F50" s="5"/>
      <c r="G50" s="2"/>
    </row>
    <row r="51" spans="2:7" x14ac:dyDescent="0.2">
      <c r="B51" s="10"/>
      <c r="C51" s="16">
        <f t="shared" si="0"/>
        <v>1.0208333333333339</v>
      </c>
      <c r="D51" s="14"/>
      <c r="E51" s="43">
        <f t="array" ref="E51">AgentsRequired(D51,$D$4,$D$6,$D$8,$D$10,$D$12,$D$14)</f>
        <v>0</v>
      </c>
      <c r="F51" s="5"/>
      <c r="G51" s="2"/>
    </row>
    <row r="52" spans="2:7" x14ac:dyDescent="0.2">
      <c r="B52" s="10"/>
      <c r="C52" s="16">
        <f t="shared" si="0"/>
        <v>1.0416666666666672</v>
      </c>
      <c r="D52" s="14"/>
      <c r="E52" s="43">
        <f t="array" ref="E52">AgentsRequired(D52,$D$4,$D$6,$D$8,$D$10,$D$12,$D$14)</f>
        <v>0</v>
      </c>
      <c r="F52" s="5"/>
      <c r="G52" s="2"/>
    </row>
    <row r="53" spans="2:7" x14ac:dyDescent="0.2">
      <c r="B53" s="10"/>
      <c r="C53" s="16">
        <f t="shared" si="0"/>
        <v>1.0625000000000004</v>
      </c>
      <c r="D53" s="14"/>
      <c r="E53" s="43">
        <f t="array" ref="E53">AgentsRequired(D53,$D$4,$D$6,$D$8,$D$10,$D$12,$D$14)</f>
        <v>0</v>
      </c>
      <c r="F53" s="5"/>
      <c r="G53" s="2"/>
    </row>
    <row r="54" spans="2:7" x14ac:dyDescent="0.2">
      <c r="B54" s="10"/>
      <c r="C54" s="16">
        <f t="shared" si="0"/>
        <v>1.0833333333333337</v>
      </c>
      <c r="D54" s="14"/>
      <c r="E54" s="43">
        <f t="array" ref="E54">AgentsRequired(D54,$D$4,$D$6,$D$8,$D$10,$D$12,$D$14)</f>
        <v>0</v>
      </c>
      <c r="F54" s="5"/>
      <c r="G54" s="2"/>
    </row>
    <row r="55" spans="2:7" x14ac:dyDescent="0.2">
      <c r="B55" s="10"/>
      <c r="C55" s="16">
        <f t="shared" si="0"/>
        <v>1.104166666666667</v>
      </c>
      <c r="D55" s="14"/>
      <c r="E55" s="43">
        <f t="array" ref="E55">AgentsRequired(D55,$D$4,$D$6,$D$8,$D$10,$D$12,$D$14)</f>
        <v>0</v>
      </c>
      <c r="F55" s="5"/>
      <c r="G55" s="2"/>
    </row>
    <row r="56" spans="2:7" x14ac:dyDescent="0.2">
      <c r="B56" s="10"/>
      <c r="C56" s="16">
        <f t="shared" si="0"/>
        <v>1.1250000000000002</v>
      </c>
      <c r="D56" s="14"/>
      <c r="E56" s="43">
        <f t="array" ref="E56">AgentsRequired(D56,$D$4,$D$6,$D$8,$D$10,$D$12,$D$14)</f>
        <v>0</v>
      </c>
      <c r="F56" s="5"/>
      <c r="G56" s="2"/>
    </row>
    <row r="57" spans="2:7" x14ac:dyDescent="0.2">
      <c r="B57" s="10"/>
      <c r="C57" s="16">
        <f t="shared" si="0"/>
        <v>1.1458333333333335</v>
      </c>
      <c r="D57" s="14"/>
      <c r="E57" s="43">
        <f t="array" ref="E57">AgentsRequired(D57,$D$4,$D$6,$D$8,$D$10,$D$12,$D$14)</f>
        <v>0</v>
      </c>
      <c r="F57" s="5"/>
      <c r="G57" s="2"/>
    </row>
    <row r="58" spans="2:7" x14ac:dyDescent="0.2">
      <c r="B58" s="10"/>
      <c r="C58" s="16">
        <f t="shared" si="0"/>
        <v>1.1666666666666667</v>
      </c>
      <c r="D58" s="14"/>
      <c r="E58" s="43">
        <f t="array" ref="E58">AgentsRequired(D58,$D$4,$D$6,$D$8,$D$10,$D$12,$D$14)</f>
        <v>0</v>
      </c>
      <c r="F58" s="5"/>
      <c r="G58" s="2"/>
    </row>
    <row r="59" spans="2:7" x14ac:dyDescent="0.2">
      <c r="B59" s="10"/>
      <c r="C59" s="16">
        <f t="shared" si="0"/>
        <v>1.1875</v>
      </c>
      <c r="D59" s="14"/>
      <c r="E59" s="43">
        <f t="array" ref="E59">AgentsRequired(D59,$D$4,$D$6,$D$8,$D$10,$D$12,$D$14)</f>
        <v>0</v>
      </c>
      <c r="F59" s="5"/>
      <c r="G59" s="2"/>
    </row>
    <row r="60" spans="2:7" x14ac:dyDescent="0.2">
      <c r="B60" s="10"/>
      <c r="C60" s="16">
        <f t="shared" si="0"/>
        <v>1.2083333333333333</v>
      </c>
      <c r="D60" s="14"/>
      <c r="E60" s="43">
        <f t="array" ref="E60">AgentsRequired(D60,$D$4,$D$6,$D$8,$D$10,$D$12,$D$14)</f>
        <v>0</v>
      </c>
      <c r="F60" s="5"/>
      <c r="G60" s="2"/>
    </row>
    <row r="61" spans="2:7" x14ac:dyDescent="0.2">
      <c r="B61" s="10"/>
      <c r="C61" s="16">
        <f t="shared" si="0"/>
        <v>1.2291666666666665</v>
      </c>
      <c r="D61" s="14"/>
      <c r="E61" s="43">
        <f t="array" ref="E61">AgentsRequired(D61,$D$4,$D$6,$D$8,$D$10,$D$12,$D$14)</f>
        <v>0</v>
      </c>
      <c r="F61" s="5"/>
      <c r="G61" s="2"/>
    </row>
    <row r="62" spans="2:7" x14ac:dyDescent="0.2">
      <c r="B62" s="10"/>
      <c r="C62" s="16">
        <f t="shared" si="0"/>
        <v>1.2499999999999998</v>
      </c>
      <c r="D62" s="14"/>
      <c r="E62" s="43">
        <f t="array" ref="E62">AgentsRequired(D62,$D$4,$D$6,$D$8,$D$10,$D$12,$D$14)</f>
        <v>0</v>
      </c>
      <c r="F62" s="5"/>
      <c r="G62" s="2"/>
    </row>
    <row r="63" spans="2:7" x14ac:dyDescent="0.2">
      <c r="B63" s="10"/>
      <c r="C63" s="16">
        <f t="shared" si="0"/>
        <v>1.270833333333333</v>
      </c>
      <c r="D63" s="14"/>
      <c r="E63" s="43">
        <f t="array" ref="E63">AgentsRequired(D63,$D$4,$D$6,$D$8,$D$10,$D$12,$D$14)</f>
        <v>0</v>
      </c>
      <c r="F63" s="5"/>
      <c r="G63" s="2"/>
    </row>
    <row r="64" spans="2:7" x14ac:dyDescent="0.2">
      <c r="B64" s="10"/>
      <c r="C64" s="16">
        <f t="shared" si="0"/>
        <v>1.2916666666666663</v>
      </c>
      <c r="D64" s="14"/>
      <c r="E64" s="43">
        <f t="array" ref="E64">AgentsRequired(D64,$D$4,$D$6,$D$8,$D$10,$D$12,$D$14)</f>
        <v>0</v>
      </c>
      <c r="F64" s="5"/>
      <c r="G64" s="2"/>
    </row>
    <row r="65" spans="1:7" x14ac:dyDescent="0.2">
      <c r="B65" s="10"/>
      <c r="C65" s="16">
        <f t="shared" si="0"/>
        <v>1.3124999999999996</v>
      </c>
      <c r="D65" s="14"/>
      <c r="E65" s="43">
        <f t="array" ref="E65">AgentsRequired(D65,$D$4,$D$6,$D$8,$D$10,$D$12,$D$14)</f>
        <v>0</v>
      </c>
      <c r="F65" s="5"/>
      <c r="G65" s="2"/>
    </row>
    <row r="66" spans="1:7" x14ac:dyDescent="0.2">
      <c r="B66" s="10"/>
      <c r="C66" s="64"/>
      <c r="D66" s="64"/>
      <c r="E66" s="5"/>
      <c r="F66" s="5"/>
      <c r="G66" s="2"/>
    </row>
    <row r="67" spans="1:7" ht="13.5" thickBot="1" x14ac:dyDescent="0.25">
      <c r="B67" s="10"/>
      <c r="C67" s="64"/>
      <c r="D67" s="64"/>
      <c r="E67" s="5"/>
      <c r="F67" s="5"/>
      <c r="G67" s="2"/>
    </row>
    <row r="68" spans="1:7" ht="24.75" customHeight="1" thickTop="1" thickBot="1" x14ac:dyDescent="0.25">
      <c r="B68" s="10"/>
      <c r="C68" s="64"/>
      <c r="D68" s="64"/>
      <c r="E68" s="5"/>
      <c r="F68" s="58" t="s">
        <v>46</v>
      </c>
      <c r="G68" s="2"/>
    </row>
    <row r="69" spans="1:7" ht="13.5" thickTop="1" x14ac:dyDescent="0.2">
      <c r="B69" s="10"/>
      <c r="C69" s="3"/>
      <c r="D69" s="4"/>
      <c r="E69" s="3"/>
      <c r="F69" s="3"/>
      <c r="G69" s="2"/>
    </row>
    <row r="70" spans="1:7" ht="13.5" thickBot="1" x14ac:dyDescent="0.25">
      <c r="B70" s="6"/>
      <c r="C70" s="7"/>
      <c r="D70" s="8"/>
      <c r="E70" s="7"/>
      <c r="F70" s="7"/>
      <c r="G70" s="9"/>
    </row>
    <row r="72" spans="1:7" ht="21" customHeight="1" x14ac:dyDescent="0.2"/>
    <row r="73" spans="1:7" x14ac:dyDescent="0.2">
      <c r="A73" s="66" t="s">
        <v>127</v>
      </c>
      <c r="B73" s="46"/>
      <c r="C73" s="46"/>
      <c r="D73" s="65"/>
    </row>
    <row r="74" spans="1:7" x14ac:dyDescent="0.2">
      <c r="A74" s="67" t="s">
        <v>48</v>
      </c>
      <c r="B74" s="46"/>
      <c r="C74" s="46"/>
      <c r="D74" s="65"/>
    </row>
    <row r="10002" spans="1:4" x14ac:dyDescent="0.2">
      <c r="A10002" s="66" t="s">
        <v>108</v>
      </c>
      <c r="B10002" s="46"/>
      <c r="C10002" s="46"/>
      <c r="D10002" s="65"/>
    </row>
    <row r="10003" spans="1:4" x14ac:dyDescent="0.2">
      <c r="A10003" s="67" t="s">
        <v>48</v>
      </c>
      <c r="B10003" s="46"/>
      <c r="C10003" s="46"/>
      <c r="D10003" s="65"/>
    </row>
  </sheetData>
  <mergeCells count="1">
    <mergeCell ref="F4:F5"/>
  </mergeCells>
  <dataValidations count="1">
    <dataValidation type="decimal" allowBlank="1" showInputMessage="1" showErrorMessage="1" errorTitle="Service Level" error="Please enter a value greater than zero and less than 100%" sqref="D8 D12" xr:uid="{00000000-0002-0000-0200-000000000000}">
      <formula1>0.00001</formula1>
      <formula2>0.999</formula2>
    </dataValidation>
  </dataValidations>
  <hyperlinks>
    <hyperlink ref="F4" location="'Expected Service Level'!A1" display="Next Page &gt;&gt;" xr:uid="{00000000-0004-0000-0200-000000000000}"/>
    <hyperlink ref="F68" location="'Expected Service Level'!A1" display="Next Page &gt;&gt;" xr:uid="{00000000-0004-0000-0200-000001000000}"/>
    <hyperlink ref="A74" r:id="rId1" xr:uid="{00000000-0004-0000-0200-000002000000}"/>
    <hyperlink ref="A10003" r:id="rId2" xr:uid="{00000000-0004-0000-0200-000003000000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0003"/>
  <sheetViews>
    <sheetView showGridLines="0" zoomScale="80" zoomScaleNormal="80" workbookViewId="0">
      <selection activeCell="J22" sqref="J22"/>
    </sheetView>
  </sheetViews>
  <sheetFormatPr baseColWidth="10" defaultColWidth="9.140625" defaultRowHeight="12.75" x14ac:dyDescent="0.2"/>
  <cols>
    <col min="2" max="2" width="9.42578125" customWidth="1"/>
    <col min="3" max="3" width="24.140625" customWidth="1"/>
    <col min="4" max="4" width="14.42578125" customWidth="1"/>
    <col min="5" max="5" width="16" customWidth="1"/>
    <col min="8" max="8" width="10.85546875" customWidth="1"/>
    <col min="9" max="9" width="13.42578125" customWidth="1"/>
    <col min="10" max="10" width="14.85546875" customWidth="1"/>
  </cols>
  <sheetData>
    <row r="1" spans="2:11" ht="13.5" thickBot="1" x14ac:dyDescent="0.25"/>
    <row r="2" spans="2:11" ht="27.75" customHeight="1" x14ac:dyDescent="0.25">
      <c r="B2" s="39"/>
      <c r="C2" s="75" t="s">
        <v>49</v>
      </c>
      <c r="D2" s="40"/>
      <c r="E2" s="41"/>
      <c r="F2" s="44"/>
      <c r="G2" s="44"/>
      <c r="H2" s="44"/>
      <c r="I2" s="44"/>
      <c r="J2" s="44"/>
      <c r="K2" s="45"/>
    </row>
    <row r="3" spans="2:11" ht="19.5" customHeight="1" x14ac:dyDescent="0.2">
      <c r="B3" s="10"/>
      <c r="C3" s="57"/>
      <c r="D3" s="4"/>
      <c r="E3" s="3"/>
      <c r="F3" s="46"/>
      <c r="G3" s="46"/>
      <c r="H3" s="46"/>
      <c r="I3" s="46"/>
      <c r="J3" s="46"/>
      <c r="K3" s="47"/>
    </row>
    <row r="4" spans="2:11" ht="13.5" thickBot="1" x14ac:dyDescent="0.25">
      <c r="B4" s="10"/>
      <c r="C4" s="3" t="s">
        <v>15</v>
      </c>
      <c r="D4" s="12">
        <v>30</v>
      </c>
      <c r="E4" s="11" t="s">
        <v>17</v>
      </c>
      <c r="F4" s="46"/>
      <c r="G4" s="46"/>
      <c r="H4" s="46"/>
      <c r="I4" s="46"/>
      <c r="J4" s="46"/>
      <c r="K4" s="47"/>
    </row>
    <row r="5" spans="2:11" ht="13.5" thickTop="1" x14ac:dyDescent="0.2">
      <c r="B5" s="10"/>
      <c r="C5" s="3"/>
      <c r="D5" s="3"/>
      <c r="E5" s="3"/>
      <c r="F5" s="48"/>
      <c r="G5" s="48"/>
      <c r="H5" s="48"/>
      <c r="I5" s="48"/>
      <c r="J5" s="300" t="s">
        <v>46</v>
      </c>
      <c r="K5" s="128"/>
    </row>
    <row r="6" spans="2:11" ht="13.5" thickBot="1" x14ac:dyDescent="0.25">
      <c r="B6" s="10"/>
      <c r="C6" s="3" t="s">
        <v>71</v>
      </c>
      <c r="D6" s="12">
        <v>240</v>
      </c>
      <c r="E6" s="3" t="s">
        <v>47</v>
      </c>
      <c r="F6" s="48"/>
      <c r="G6" s="48"/>
      <c r="H6" s="48"/>
      <c r="I6" s="49"/>
      <c r="J6" s="301"/>
      <c r="K6" s="128"/>
    </row>
    <row r="7" spans="2:11" ht="14.25" thickTop="1" thickBot="1" x14ac:dyDescent="0.25">
      <c r="B7" s="10"/>
      <c r="C7" s="3"/>
      <c r="D7" s="3"/>
      <c r="E7" s="3"/>
      <c r="F7" s="48"/>
      <c r="G7" s="48"/>
      <c r="H7" s="48"/>
      <c r="I7" s="49"/>
      <c r="J7" s="130"/>
      <c r="K7" s="50"/>
    </row>
    <row r="8" spans="2:11" ht="13.5" thickTop="1" x14ac:dyDescent="0.2">
      <c r="B8" s="10"/>
      <c r="C8" s="3" t="s">
        <v>2</v>
      </c>
      <c r="D8" s="13">
        <v>0.8</v>
      </c>
      <c r="E8" s="3"/>
      <c r="F8" s="48"/>
      <c r="G8" s="48"/>
      <c r="H8" s="48"/>
      <c r="I8" s="49"/>
      <c r="J8" s="127"/>
      <c r="K8" s="50"/>
    </row>
    <row r="9" spans="2:11" x14ac:dyDescent="0.2">
      <c r="B9" s="10"/>
      <c r="C9" s="3"/>
      <c r="D9" s="3"/>
      <c r="E9" s="3"/>
      <c r="F9" s="48"/>
      <c r="G9" s="48"/>
      <c r="H9" s="48"/>
      <c r="I9" s="49"/>
      <c r="J9" s="49"/>
      <c r="K9" s="50"/>
    </row>
    <row r="10" spans="2:11" x14ac:dyDescent="0.2">
      <c r="B10" s="10"/>
      <c r="C10" s="3" t="s">
        <v>13</v>
      </c>
      <c r="D10" s="12">
        <v>20</v>
      </c>
      <c r="E10" s="3" t="s">
        <v>47</v>
      </c>
      <c r="F10" s="48"/>
      <c r="G10" s="48"/>
      <c r="H10" s="48"/>
      <c r="I10" s="49"/>
      <c r="J10" s="49"/>
      <c r="K10" s="50"/>
    </row>
    <row r="11" spans="2:11" x14ac:dyDescent="0.2">
      <c r="B11" s="10"/>
      <c r="C11" s="3"/>
      <c r="D11" s="3"/>
      <c r="E11" s="3"/>
      <c r="F11" s="48"/>
      <c r="G11" s="48"/>
      <c r="H11" s="48"/>
      <c r="I11" s="49"/>
      <c r="J11" s="49"/>
      <c r="K11" s="50"/>
    </row>
    <row r="12" spans="2:11" x14ac:dyDescent="0.2">
      <c r="B12" s="10"/>
      <c r="C12" s="3" t="s">
        <v>126</v>
      </c>
      <c r="D12" s="99">
        <v>0.85</v>
      </c>
      <c r="E12" s="3"/>
      <c r="F12" s="48"/>
      <c r="G12" s="48"/>
      <c r="H12" s="48"/>
      <c r="I12" s="49"/>
      <c r="J12" s="49"/>
      <c r="K12" s="50"/>
    </row>
    <row r="13" spans="2:11" x14ac:dyDescent="0.2">
      <c r="B13" s="10"/>
      <c r="C13" s="3"/>
      <c r="D13" s="3"/>
      <c r="E13" s="3"/>
      <c r="F13" s="48"/>
      <c r="G13" s="48"/>
      <c r="H13" s="48"/>
      <c r="I13" s="49"/>
      <c r="J13" s="49"/>
      <c r="K13" s="50"/>
    </row>
    <row r="14" spans="2:11" x14ac:dyDescent="0.2">
      <c r="B14" s="10"/>
      <c r="C14" s="3" t="s">
        <v>22</v>
      </c>
      <c r="D14" s="105">
        <v>0.3</v>
      </c>
      <c r="E14" s="3"/>
      <c r="F14" s="48"/>
      <c r="G14" s="48"/>
      <c r="H14" s="48"/>
      <c r="I14" s="49"/>
      <c r="J14" s="49"/>
      <c r="K14" s="50"/>
    </row>
    <row r="15" spans="2:11" x14ac:dyDescent="0.2">
      <c r="B15" s="10"/>
      <c r="F15" s="48"/>
      <c r="G15" s="48"/>
      <c r="H15" s="48"/>
      <c r="I15" s="49"/>
      <c r="J15" s="49"/>
      <c r="K15" s="50"/>
    </row>
    <row r="16" spans="2:11" x14ac:dyDescent="0.2">
      <c r="B16" s="10"/>
      <c r="C16" s="15"/>
      <c r="D16" s="4"/>
      <c r="E16" s="3"/>
      <c r="F16" s="48"/>
      <c r="G16" s="48"/>
      <c r="H16" s="48"/>
      <c r="I16" s="49"/>
      <c r="J16" s="49"/>
      <c r="K16" s="50"/>
    </row>
    <row r="17" spans="2:11" ht="36" x14ac:dyDescent="0.2">
      <c r="B17" s="42"/>
      <c r="C17" s="18" t="s">
        <v>20</v>
      </c>
      <c r="D17" s="20" t="s">
        <v>18</v>
      </c>
      <c r="E17" s="56" t="s">
        <v>44</v>
      </c>
      <c r="F17" s="46"/>
      <c r="G17" s="56" t="s">
        <v>12</v>
      </c>
      <c r="H17" s="56" t="s">
        <v>45</v>
      </c>
      <c r="I17" s="56" t="s">
        <v>11</v>
      </c>
      <c r="J17" s="56" t="s">
        <v>35</v>
      </c>
      <c r="K17" s="50"/>
    </row>
    <row r="18" spans="2:11" x14ac:dyDescent="0.2">
      <c r="B18" s="10"/>
      <c r="C18" s="17">
        <v>0.33333333333333331</v>
      </c>
      <c r="D18" s="14">
        <v>10</v>
      </c>
      <c r="E18" s="72">
        <v>10</v>
      </c>
      <c r="F18" s="49"/>
      <c r="G18" s="43">
        <f>AgentsRequired(D18,$D$4,$D$6,$D$8,$D$10,$D$12,$D$14)</f>
        <v>4</v>
      </c>
      <c r="H18" s="51">
        <f>E18-G18</f>
        <v>6</v>
      </c>
      <c r="I18" s="55">
        <f>ServiceLevel(D18,$D$4,$D$6,$D$10,E18)</f>
        <v>0.99999927713733416</v>
      </c>
      <c r="J18" s="55">
        <f>ProbCallWaits(D18,$D$4,$D$6,E18)</f>
        <v>1.488376899420605E-6</v>
      </c>
      <c r="K18" s="50"/>
    </row>
    <row r="19" spans="2:11" x14ac:dyDescent="0.2">
      <c r="B19" s="10"/>
      <c r="C19" s="16">
        <f t="shared" ref="C19:C49" si="0">C18+TIME(0,$D$4,0)</f>
        <v>0.35416666666666663</v>
      </c>
      <c r="D19" s="14">
        <v>32</v>
      </c>
      <c r="E19" s="72">
        <v>10</v>
      </c>
      <c r="F19" s="49"/>
      <c r="G19" s="43">
        <f t="array" ref="G19">AgentsRequired(D19,$D$4,$D$6,$D$8,$D$10,$D$12,$D$14)</f>
        <v>10</v>
      </c>
      <c r="H19" s="51">
        <f t="shared" ref="H19:H49" si="1">E19-G19</f>
        <v>0</v>
      </c>
      <c r="I19" s="55">
        <f t="array" ref="I19">ServiceLevel(D19,$D$4,$D$6,$D$10,E19)</f>
        <v>0.99164946750169558</v>
      </c>
      <c r="J19" s="55">
        <f t="array" ref="J19">ProbCallWaits(D19,$D$4,$D$6,E19)</f>
        <v>1.3465126041010215E-2</v>
      </c>
      <c r="K19" s="50"/>
    </row>
    <row r="20" spans="2:11" x14ac:dyDescent="0.2">
      <c r="B20" s="10"/>
      <c r="C20" s="16">
        <f t="shared" si="0"/>
        <v>0.37499999999999994</v>
      </c>
      <c r="D20" s="14">
        <v>103</v>
      </c>
      <c r="E20" s="72">
        <v>30</v>
      </c>
      <c r="F20" s="49"/>
      <c r="G20" s="43">
        <f t="array" ref="G20">AgentsRequired(D20,$D$4,$D$6,$D$8,$D$10,$D$12,$D$14)</f>
        <v>26</v>
      </c>
      <c r="H20" s="51">
        <f t="shared" si="1"/>
        <v>4</v>
      </c>
      <c r="I20" s="55">
        <f t="array" ref="I20">ServiceLevel(D20,$D$4,$D$6,$D$10,E20)</f>
        <v>0.9999735504469518</v>
      </c>
      <c r="J20" s="55">
        <f t="array" ref="J20">ProbCallWaits(D20,$D$4,$D$6,E20)</f>
        <v>1.0259557629022321E-4</v>
      </c>
      <c r="K20" s="50"/>
    </row>
    <row r="21" spans="2:11" x14ac:dyDescent="0.2">
      <c r="B21" s="10"/>
      <c r="C21" s="16">
        <f t="shared" si="0"/>
        <v>0.39583333333333326</v>
      </c>
      <c r="D21" s="14">
        <v>140</v>
      </c>
      <c r="E21" s="72">
        <v>20</v>
      </c>
      <c r="F21" s="49"/>
      <c r="G21" s="43">
        <f t="array" ref="G21">AgentsRequired(D21,$D$4,$D$6,$D$8,$D$10,$D$12,$D$14)</f>
        <v>33</v>
      </c>
      <c r="H21" s="51">
        <f t="shared" si="1"/>
        <v>-13</v>
      </c>
      <c r="I21" s="55">
        <f>ServiceLevel(D21,$D$4,$D$6,$D$10,E21)</f>
        <v>0.3890218897507306</v>
      </c>
      <c r="J21" s="55">
        <f>ProbCallWaits(D21,$D$4,$D$6,E21)</f>
        <v>0.68277968878742712</v>
      </c>
      <c r="K21" s="50"/>
    </row>
    <row r="22" spans="2:11" x14ac:dyDescent="0.2">
      <c r="B22" s="10"/>
      <c r="C22" s="16">
        <f t="shared" si="0"/>
        <v>0.41666666666666657</v>
      </c>
      <c r="D22" s="14">
        <v>266</v>
      </c>
      <c r="E22" s="72">
        <v>35</v>
      </c>
      <c r="F22" s="49"/>
      <c r="G22" s="43">
        <f t="array" ref="G22">AgentsRequired(D22,$D$4,$D$6,$D$8,$D$10,$D$12,$D$14)</f>
        <v>60</v>
      </c>
      <c r="H22" s="51">
        <f t="shared" si="1"/>
        <v>-25</v>
      </c>
      <c r="I22" s="55">
        <f t="array" ref="I22">ServiceLevel(D22,$D$4,$D$6,$D$10,E22)</f>
        <v>0</v>
      </c>
      <c r="J22" s="55">
        <f t="array" ref="J22">ProbCallWaits(D22,$D$4,$D$6,E22)</f>
        <v>1</v>
      </c>
      <c r="K22" s="50"/>
    </row>
    <row r="23" spans="2:11" x14ac:dyDescent="0.2">
      <c r="B23" s="10"/>
      <c r="C23" s="16">
        <f t="shared" si="0"/>
        <v>0.43749999999999989</v>
      </c>
      <c r="D23" s="14">
        <v>361</v>
      </c>
      <c r="E23" s="72">
        <v>35</v>
      </c>
      <c r="F23" s="49"/>
      <c r="G23" s="43">
        <f t="array" ref="G23">AgentsRequired(D23,$D$4,$D$6,$D$8,$D$10,$D$12,$D$14)</f>
        <v>81</v>
      </c>
      <c r="H23" s="51">
        <f t="shared" si="1"/>
        <v>-46</v>
      </c>
      <c r="I23" s="55">
        <f t="array" ref="I23">ServiceLevel(D23,$D$4,$D$6,$D$10,E23)</f>
        <v>0</v>
      </c>
      <c r="J23" s="55">
        <f t="array" ref="J23">ProbCallWaits(D23,$D$4,$D$6,E23)</f>
        <v>1</v>
      </c>
      <c r="K23" s="50"/>
    </row>
    <row r="24" spans="2:11" x14ac:dyDescent="0.2">
      <c r="B24" s="10"/>
      <c r="C24" s="16">
        <f t="shared" si="0"/>
        <v>0.4583333333333332</v>
      </c>
      <c r="D24" s="14">
        <v>333</v>
      </c>
      <c r="E24" s="72">
        <v>40</v>
      </c>
      <c r="F24" s="49"/>
      <c r="G24" s="43">
        <f t="array" ref="G24">AgentsRequired(D24,$D$4,$D$6,$D$8,$D$10,$D$12,$D$14)</f>
        <v>76</v>
      </c>
      <c r="H24" s="51">
        <f t="shared" si="1"/>
        <v>-36</v>
      </c>
      <c r="I24" s="55">
        <f t="array" ref="I24">ServiceLevel(D24,$D$4,$D$6,$D$10,E24)</f>
        <v>0</v>
      </c>
      <c r="J24" s="55">
        <f t="array" ref="J24">ProbCallWaits(D24,$D$4,$D$6,E24)</f>
        <v>1</v>
      </c>
      <c r="K24" s="50"/>
    </row>
    <row r="25" spans="2:11" x14ac:dyDescent="0.2">
      <c r="B25" s="10"/>
      <c r="C25" s="16">
        <f t="shared" si="0"/>
        <v>0.47916666666666652</v>
      </c>
      <c r="D25" s="14">
        <v>281</v>
      </c>
      <c r="E25" s="72">
        <v>40</v>
      </c>
      <c r="F25" s="49"/>
      <c r="G25" s="43">
        <f t="array" ref="G25">AgentsRequired(D25,$D$4,$D$6,$D$8,$D$10,$D$12,$D$14)</f>
        <v>64</v>
      </c>
      <c r="H25" s="51">
        <f t="shared" si="1"/>
        <v>-24</v>
      </c>
      <c r="I25" s="55">
        <f t="array" ref="I25">ServiceLevel(D25,$D$4,$D$6,$D$10,E25)</f>
        <v>0.5235255718053754</v>
      </c>
      <c r="J25" s="55">
        <f t="array" ref="J25">ProbCallWaits(D25,$D$4,$D$6,E25)</f>
        <v>0.5884695401204193</v>
      </c>
      <c r="K25" s="50"/>
    </row>
    <row r="26" spans="2:11" x14ac:dyDescent="0.2">
      <c r="B26" s="10"/>
      <c r="C26" s="16">
        <f t="shared" si="0"/>
        <v>0.49999999999999983</v>
      </c>
      <c r="D26" s="14">
        <v>304</v>
      </c>
      <c r="E26" s="72">
        <v>45</v>
      </c>
      <c r="F26" s="49"/>
      <c r="G26" s="43">
        <f t="array" ref="G26">AgentsRequired(D26,$D$4,$D$6,$D$8,$D$10,$D$12,$D$14)</f>
        <v>69</v>
      </c>
      <c r="H26" s="51">
        <f t="shared" si="1"/>
        <v>-24</v>
      </c>
      <c r="I26" s="55">
        <f t="array" ref="I26">ServiceLevel(D26,$D$4,$D$6,$D$10,E26)</f>
        <v>0.73143444956678227</v>
      </c>
      <c r="J26" s="55">
        <f t="array" ref="J26">ProbCallWaits(D26,$D$4,$D$6,E26)</f>
        <v>0.38967663028337396</v>
      </c>
      <c r="K26" s="50"/>
    </row>
    <row r="27" spans="2:11" x14ac:dyDescent="0.2">
      <c r="B27" s="10"/>
      <c r="C27" s="16">
        <f t="shared" si="0"/>
        <v>0.52083333333333315</v>
      </c>
      <c r="D27" s="14">
        <v>220</v>
      </c>
      <c r="E27" s="72">
        <v>45</v>
      </c>
      <c r="F27" s="49"/>
      <c r="G27" s="43">
        <f t="array" ref="G27">AgentsRequired(D27,$D$4,$D$6,$D$8,$D$10,$D$12,$D$14)</f>
        <v>50</v>
      </c>
      <c r="H27" s="51">
        <f t="shared" si="1"/>
        <v>-5</v>
      </c>
      <c r="I27" s="55">
        <f t="array" ref="I27">ServiceLevel(D27,$D$4,$D$6,$D$10,E27)</f>
        <v>0.99872588759396408</v>
      </c>
      <c r="J27" s="55">
        <f t="array" ref="J27">ProbCallWaits(D27,$D$4,$D$6,E27)</f>
        <v>4.7011414437891919E-3</v>
      </c>
      <c r="K27" s="50"/>
    </row>
    <row r="28" spans="2:11" x14ac:dyDescent="0.2">
      <c r="B28" s="10"/>
      <c r="C28" s="16">
        <f t="shared" si="0"/>
        <v>0.54166666666666652</v>
      </c>
      <c r="D28" s="14">
        <v>246</v>
      </c>
      <c r="E28" s="72">
        <v>45</v>
      </c>
      <c r="F28" s="49"/>
      <c r="G28" s="43">
        <f t="array" ref="G28">AgentsRequired(D28,$D$4,$D$6,$D$8,$D$10,$D$12,$D$14)</f>
        <v>56</v>
      </c>
      <c r="H28" s="51">
        <f t="shared" si="1"/>
        <v>-11</v>
      </c>
      <c r="I28" s="55">
        <f t="array" ref="I28">ServiceLevel(D28,$D$4,$D$6,$D$10,E28)</f>
        <v>0.98964280669183491</v>
      </c>
      <c r="J28" s="55">
        <f t="array" ref="J28">ProbCallWaits(D28,$D$4,$D$6,E28)</f>
        <v>2.8626931929769506E-2</v>
      </c>
      <c r="K28" s="50"/>
    </row>
    <row r="29" spans="2:11" x14ac:dyDescent="0.2">
      <c r="B29" s="10"/>
      <c r="C29" s="16">
        <f t="shared" si="0"/>
        <v>0.56249999999999989</v>
      </c>
      <c r="D29" s="14">
        <v>259</v>
      </c>
      <c r="E29" s="72">
        <v>45</v>
      </c>
      <c r="F29" s="49"/>
      <c r="G29" s="43">
        <f t="array" ref="G29">AgentsRequired(D29,$D$4,$D$6,$D$8,$D$10,$D$12,$D$14)</f>
        <v>59</v>
      </c>
      <c r="H29" s="51">
        <f t="shared" si="1"/>
        <v>-14</v>
      </c>
      <c r="I29" s="55">
        <f t="array" ref="I29">ServiceLevel(D29,$D$4,$D$6,$D$10,E29)</f>
        <v>0.97515146378136874</v>
      </c>
      <c r="J29" s="55">
        <f t="array" ref="J29">ProbCallWaits(D29,$D$4,$D$6,E29)</f>
        <v>5.944319010781101E-2</v>
      </c>
      <c r="K29" s="50"/>
    </row>
    <row r="30" spans="2:11" x14ac:dyDescent="0.2">
      <c r="B30" s="10"/>
      <c r="C30" s="16">
        <f t="shared" si="0"/>
        <v>0.58333333333333326</v>
      </c>
      <c r="D30" s="14">
        <v>220</v>
      </c>
      <c r="E30" s="72">
        <v>50</v>
      </c>
      <c r="F30" s="49"/>
      <c r="G30" s="43">
        <f t="array" ref="G30">AgentsRequired(D30,$D$4,$D$6,$D$8,$D$10,$D$12,$D$14)</f>
        <v>50</v>
      </c>
      <c r="H30" s="51">
        <f t="shared" si="1"/>
        <v>0</v>
      </c>
      <c r="I30" s="55">
        <f t="array" ref="I30">ServiceLevel(D30,$D$4,$D$6,$D$10,E30)</f>
        <v>0.99993954517999928</v>
      </c>
      <c r="J30" s="55">
        <f t="array" ref="J30">ProbCallWaits(D30,$D$4,$D$6,E30)</f>
        <v>3.3836274546384483E-4</v>
      </c>
      <c r="K30" s="50"/>
    </row>
    <row r="31" spans="2:11" x14ac:dyDescent="0.2">
      <c r="B31" s="10"/>
      <c r="C31" s="16">
        <f t="shared" si="0"/>
        <v>0.60416666666666663</v>
      </c>
      <c r="D31" s="14">
        <v>258</v>
      </c>
      <c r="E31" s="72">
        <v>50</v>
      </c>
      <c r="F31" s="49"/>
      <c r="G31" s="43">
        <f t="array" ref="G31">AgentsRequired(D31,$D$4,$D$6,$D$8,$D$10,$D$12,$D$14)</f>
        <v>59</v>
      </c>
      <c r="H31" s="51">
        <f t="shared" si="1"/>
        <v>-9</v>
      </c>
      <c r="I31" s="55">
        <f t="array" ref="I31">ServiceLevel(D31,$D$4,$D$6,$D$10,E31)</f>
        <v>0.9977816794810721</v>
      </c>
      <c r="J31" s="55">
        <f t="array" ref="J31">ProbCallWaits(D31,$D$4,$D$6,E31)</f>
        <v>8.1396760878134754E-3</v>
      </c>
      <c r="K31" s="50"/>
    </row>
    <row r="32" spans="2:11" x14ac:dyDescent="0.2">
      <c r="B32" s="10"/>
      <c r="C32" s="16">
        <f t="shared" si="0"/>
        <v>0.625</v>
      </c>
      <c r="D32" s="14">
        <v>276</v>
      </c>
      <c r="E32" s="72">
        <v>50</v>
      </c>
      <c r="F32" s="49"/>
      <c r="G32" s="43">
        <f t="array" ref="G32">AgentsRequired(D32,$D$4,$D$6,$D$8,$D$10,$D$12,$D$14)</f>
        <v>63</v>
      </c>
      <c r="H32" s="51">
        <f t="shared" si="1"/>
        <v>-13</v>
      </c>
      <c r="I32" s="55">
        <f t="array" ref="I32">ServiceLevel(D32,$D$4,$D$6,$D$10,E32)</f>
        <v>0.99155769775129665</v>
      </c>
      <c r="J32" s="55">
        <f t="array" ref="J32">ProbCallWaits(D32,$D$4,$D$6,E32)</f>
        <v>2.5362077579441082E-2</v>
      </c>
      <c r="K32" s="50"/>
    </row>
    <row r="33" spans="2:11" x14ac:dyDescent="0.2">
      <c r="B33" s="10"/>
      <c r="C33" s="16">
        <f t="shared" si="0"/>
        <v>0.64583333333333337</v>
      </c>
      <c r="D33" s="14">
        <v>222</v>
      </c>
      <c r="E33" s="72">
        <v>50</v>
      </c>
      <c r="F33" s="49"/>
      <c r="G33" s="43">
        <f t="array" ref="G33">AgentsRequired(D33,$D$4,$D$6,$D$8,$D$10,$D$12,$D$14)</f>
        <v>50</v>
      </c>
      <c r="H33" s="51">
        <f t="shared" si="1"/>
        <v>0</v>
      </c>
      <c r="I33" s="55">
        <f t="array" ref="I33">ServiceLevel(D33,$D$4,$D$6,$D$10,E33)</f>
        <v>0.99992459104971543</v>
      </c>
      <c r="J33" s="55">
        <f t="array" ref="J33">ProbCallWaits(D33,$D$4,$D$6,E33)</f>
        <v>4.1278462672302767E-4</v>
      </c>
      <c r="K33" s="50"/>
    </row>
    <row r="34" spans="2:11" x14ac:dyDescent="0.2">
      <c r="B34" s="10"/>
      <c r="C34" s="16">
        <f t="shared" si="0"/>
        <v>0.66666666666666674</v>
      </c>
      <c r="D34" s="14">
        <v>180</v>
      </c>
      <c r="E34" s="72">
        <v>30</v>
      </c>
      <c r="F34" s="49"/>
      <c r="G34" s="43">
        <f t="array" ref="G34">AgentsRequired(D34,$D$4,$D$6,$D$8,$D$10,$D$12,$D$14)</f>
        <v>41</v>
      </c>
      <c r="H34" s="51">
        <f t="shared" si="1"/>
        <v>-11</v>
      </c>
      <c r="I34" s="55">
        <f t="array" ref="I34">ServiceLevel(D34,$D$4,$D$6,$D$10,E34)</f>
        <v>0.89515386344022108</v>
      </c>
      <c r="J34" s="55">
        <f t="array" ref="J34">ProbCallWaits(D34,$D$4,$D$6,E34)</f>
        <v>0.17286205549683792</v>
      </c>
      <c r="K34" s="50"/>
    </row>
    <row r="35" spans="2:11" x14ac:dyDescent="0.2">
      <c r="B35" s="10"/>
      <c r="C35" s="16">
        <f t="shared" si="0"/>
        <v>0.68750000000000011</v>
      </c>
      <c r="D35" s="14">
        <v>200</v>
      </c>
      <c r="E35" s="72">
        <v>30</v>
      </c>
      <c r="F35" s="49"/>
      <c r="G35" s="43">
        <f t="array" ref="G35">AgentsRequired(D35,$D$4,$D$6,$D$8,$D$10,$D$12,$D$14)</f>
        <v>46</v>
      </c>
      <c r="H35" s="51">
        <f t="shared" si="1"/>
        <v>-16</v>
      </c>
      <c r="I35" s="55">
        <f t="array" ref="I35">ServiceLevel(D35,$D$4,$D$6,$D$10,E35)</f>
        <v>0.67603858217408164</v>
      </c>
      <c r="J35" s="55">
        <f t="array" ref="J35">ProbCallWaits(D35,$D$4,$D$6,E35)</f>
        <v>0.42769152754467027</v>
      </c>
      <c r="K35" s="50"/>
    </row>
    <row r="36" spans="2:11" x14ac:dyDescent="0.2">
      <c r="B36" s="10"/>
      <c r="C36" s="16">
        <f t="shared" si="0"/>
        <v>0.70833333333333348</v>
      </c>
      <c r="D36" s="14">
        <v>152</v>
      </c>
      <c r="E36" s="72">
        <v>30</v>
      </c>
      <c r="F36" s="49"/>
      <c r="G36" s="43">
        <f t="array" ref="G36">AgentsRequired(D36,$D$4,$D$6,$D$8,$D$10,$D$12,$D$14)</f>
        <v>36</v>
      </c>
      <c r="H36" s="51">
        <f t="shared" si="1"/>
        <v>-6</v>
      </c>
      <c r="I36" s="55">
        <f t="array" ref="I36">ServiceLevel(D36,$D$4,$D$6,$D$10,E36)</f>
        <v>0.98702831190956519</v>
      </c>
      <c r="J36" s="55">
        <f t="array" ref="J36">ProbCallWaits(D36,$D$4,$D$6,E36)</f>
        <v>2.9191578333380829E-2</v>
      </c>
      <c r="K36" s="50"/>
    </row>
    <row r="37" spans="2:11" x14ac:dyDescent="0.2">
      <c r="B37" s="10"/>
      <c r="C37" s="16">
        <f t="shared" si="0"/>
        <v>0.72916666666666685</v>
      </c>
      <c r="D37" s="14">
        <v>87</v>
      </c>
      <c r="E37" s="72">
        <v>30</v>
      </c>
      <c r="F37" s="49"/>
      <c r="G37" s="43">
        <f t="array" ref="G37">AgentsRequired(D37,$D$4,$D$6,$D$8,$D$10,$D$12,$D$14)</f>
        <v>21</v>
      </c>
      <c r="H37" s="51">
        <f t="shared" si="1"/>
        <v>9</v>
      </c>
      <c r="I37" s="55">
        <f t="array" ref="I37">ServiceLevel(D37,$D$4,$D$6,$D$10,E37)</f>
        <v>0.99999895612433076</v>
      </c>
      <c r="J37" s="55">
        <f t="array" ref="J37">ProbCallWaits(D37,$D$4,$D$6,E37)</f>
        <v>4.836898574605246E-6</v>
      </c>
      <c r="K37" s="50"/>
    </row>
    <row r="38" spans="2:11" x14ac:dyDescent="0.2">
      <c r="B38" s="10"/>
      <c r="C38" s="16">
        <f t="shared" si="0"/>
        <v>0.75000000000000022</v>
      </c>
      <c r="D38" s="14">
        <v>42</v>
      </c>
      <c r="E38" s="72">
        <v>20</v>
      </c>
      <c r="F38" s="49"/>
      <c r="G38" s="43">
        <f t="array" ref="G38">AgentsRequired(D38,$D$4,$D$6,$D$8,$D$10,$D$12,$D$14)</f>
        <v>13</v>
      </c>
      <c r="H38" s="51">
        <f t="shared" si="1"/>
        <v>7</v>
      </c>
      <c r="I38" s="55">
        <f t="array" ref="I38">ServiceLevel(D38,$D$4,$D$6,$D$10,E38)</f>
        <v>0.99999941507399503</v>
      </c>
      <c r="J38" s="55">
        <f t="array" ref="J38">ProbCallWaits(D38,$D$4,$D$6,E38)</f>
        <v>1.9420227277203737E-6</v>
      </c>
      <c r="K38" s="50"/>
    </row>
    <row r="39" spans="2:11" x14ac:dyDescent="0.2">
      <c r="B39" s="10"/>
      <c r="C39" s="16">
        <f t="shared" si="0"/>
        <v>0.77083333333333359</v>
      </c>
      <c r="D39" s="14"/>
      <c r="E39" s="72"/>
      <c r="F39" s="49"/>
      <c r="G39" s="43">
        <f t="array" ref="G39">AgentsRequired(D39,$D$4,$D$6,$D$8,$D$10,$D$12,$D$14)</f>
        <v>0</v>
      </c>
      <c r="H39" s="51">
        <f t="shared" si="1"/>
        <v>0</v>
      </c>
      <c r="I39" s="55">
        <f t="array" ref="I39">ServiceLevel(D39,$D$4,$D$6,$D$10,E39)</f>
        <v>0</v>
      </c>
      <c r="J39" s="55">
        <f t="array" ref="J39">ProbCallWaits(D39,$D$4,$D$6,E39)</f>
        <v>1</v>
      </c>
      <c r="K39" s="50"/>
    </row>
    <row r="40" spans="2:11" x14ac:dyDescent="0.2">
      <c r="B40" s="10"/>
      <c r="C40" s="16">
        <f t="shared" si="0"/>
        <v>0.79166666666666696</v>
      </c>
      <c r="D40" s="14"/>
      <c r="E40" s="72"/>
      <c r="F40" s="49"/>
      <c r="G40" s="43">
        <f t="array" ref="G40">AgentsRequired(D40,$D$4,$D$6,$D$8,$D$10,$D$12,$D$14)</f>
        <v>0</v>
      </c>
      <c r="H40" s="51">
        <f t="shared" si="1"/>
        <v>0</v>
      </c>
      <c r="I40" s="55">
        <f t="array" ref="I40">ServiceLevel(D40,$D$4,$D$6,$D$10,E40)</f>
        <v>0</v>
      </c>
      <c r="J40" s="55">
        <f t="array" ref="J40">ProbCallWaits(D40,$D$4,$D$6,E40)</f>
        <v>1</v>
      </c>
      <c r="K40" s="50"/>
    </row>
    <row r="41" spans="2:11" x14ac:dyDescent="0.2">
      <c r="B41" s="10"/>
      <c r="C41" s="16">
        <f t="shared" si="0"/>
        <v>0.81250000000000033</v>
      </c>
      <c r="D41" s="14"/>
      <c r="E41" s="72"/>
      <c r="F41" s="49"/>
      <c r="G41" s="43">
        <f t="array" ref="G41">AgentsRequired(D41,$D$4,$D$6,$D$8,$D$10,$D$12,$D$14)</f>
        <v>0</v>
      </c>
      <c r="H41" s="51">
        <f t="shared" si="1"/>
        <v>0</v>
      </c>
      <c r="I41" s="55">
        <f t="array" ref="I41">ServiceLevel(D41,$D$4,$D$6,$D$10,E41)</f>
        <v>0</v>
      </c>
      <c r="J41" s="55">
        <f t="array" ref="J41">ProbCallWaits(D41,$D$4,$D$6,E41)</f>
        <v>1</v>
      </c>
      <c r="K41" s="50"/>
    </row>
    <row r="42" spans="2:11" x14ac:dyDescent="0.2">
      <c r="B42" s="10"/>
      <c r="C42" s="16">
        <f t="shared" si="0"/>
        <v>0.8333333333333337</v>
      </c>
      <c r="D42" s="14"/>
      <c r="E42" s="72"/>
      <c r="F42" s="49"/>
      <c r="G42" s="43">
        <f t="array" ref="G42">AgentsRequired(D42,$D$4,$D$6,$D$8,$D$10,$D$12,$D$14)</f>
        <v>0</v>
      </c>
      <c r="H42" s="51">
        <f t="shared" si="1"/>
        <v>0</v>
      </c>
      <c r="I42" s="55">
        <f t="array" ref="I42">ServiceLevel(D42,$D$4,$D$6,$D$10,E42)</f>
        <v>0</v>
      </c>
      <c r="J42" s="55">
        <f t="array" ref="J42">ProbCallWaits(D42,$D$4,$D$6,E42)</f>
        <v>1</v>
      </c>
      <c r="K42" s="50"/>
    </row>
    <row r="43" spans="2:11" x14ac:dyDescent="0.2">
      <c r="B43" s="10"/>
      <c r="C43" s="16">
        <f t="shared" si="0"/>
        <v>0.85416666666666707</v>
      </c>
      <c r="D43" s="14"/>
      <c r="E43" s="72"/>
      <c r="F43" s="49"/>
      <c r="G43" s="43">
        <f t="array" ref="G43">AgentsRequired(D43,$D$4,$D$6,$D$8,$D$10,$D$12,$D$14)</f>
        <v>0</v>
      </c>
      <c r="H43" s="51">
        <f t="shared" si="1"/>
        <v>0</v>
      </c>
      <c r="I43" s="55">
        <f t="array" ref="I43">ServiceLevel(D43,$D$4,$D$6,$D$10,E43)</f>
        <v>0</v>
      </c>
      <c r="J43" s="55">
        <f t="array" ref="J43">ProbCallWaits(D43,$D$4,$D$6,E43)</f>
        <v>1</v>
      </c>
      <c r="K43" s="50"/>
    </row>
    <row r="44" spans="2:11" x14ac:dyDescent="0.2">
      <c r="B44" s="10"/>
      <c r="C44" s="16">
        <f t="shared" si="0"/>
        <v>0.87500000000000044</v>
      </c>
      <c r="D44" s="14"/>
      <c r="E44" s="72"/>
      <c r="F44" s="49"/>
      <c r="G44" s="43">
        <f t="array" ref="G44">AgentsRequired(D44,$D$4,$D$6,$D$8,$D$10,$D$12,$D$14)</f>
        <v>0</v>
      </c>
      <c r="H44" s="51">
        <f t="shared" si="1"/>
        <v>0</v>
      </c>
      <c r="I44" s="55">
        <f t="array" ref="I44">ServiceLevel(D44,$D$4,$D$6,$D$10,E44)</f>
        <v>0</v>
      </c>
      <c r="J44" s="55">
        <f t="array" ref="J44">ProbCallWaits(D44,$D$4,$D$6,E44)</f>
        <v>1</v>
      </c>
      <c r="K44" s="50"/>
    </row>
    <row r="45" spans="2:11" x14ac:dyDescent="0.2">
      <c r="B45" s="10"/>
      <c r="C45" s="16">
        <f t="shared" si="0"/>
        <v>0.89583333333333381</v>
      </c>
      <c r="D45" s="14"/>
      <c r="E45" s="72"/>
      <c r="F45" s="49"/>
      <c r="G45" s="43">
        <f t="array" ref="G45">AgentsRequired(D45,$D$4,$D$6,$D$8,$D$10,$D$12,$D$14)</f>
        <v>0</v>
      </c>
      <c r="H45" s="51">
        <f t="shared" si="1"/>
        <v>0</v>
      </c>
      <c r="I45" s="55">
        <f t="array" ref="I45">ServiceLevel(D45,$D$4,$D$6,$D$10,E45)</f>
        <v>0</v>
      </c>
      <c r="J45" s="55">
        <f t="array" ref="J45">ProbCallWaits(D45,$D$4,$D$6,E45)</f>
        <v>1</v>
      </c>
      <c r="K45" s="50"/>
    </row>
    <row r="46" spans="2:11" x14ac:dyDescent="0.2">
      <c r="B46" s="10"/>
      <c r="C46" s="16">
        <f t="shared" si="0"/>
        <v>0.91666666666666718</v>
      </c>
      <c r="D46" s="14"/>
      <c r="E46" s="72"/>
      <c r="F46" s="49"/>
      <c r="G46" s="43">
        <f t="array" ref="G46">AgentsRequired(D46,$D$4,$D$6,$D$8,$D$10,$D$12,$D$14)</f>
        <v>0</v>
      </c>
      <c r="H46" s="51">
        <f t="shared" si="1"/>
        <v>0</v>
      </c>
      <c r="I46" s="55">
        <f t="array" ref="I46">ServiceLevel(D46,$D$4,$D$6,$D$10,E46)</f>
        <v>0</v>
      </c>
      <c r="J46" s="55">
        <f t="array" ref="J46">ProbCallWaits(D46,$D$4,$D$6,E46)</f>
        <v>1</v>
      </c>
      <c r="K46" s="50"/>
    </row>
    <row r="47" spans="2:11" x14ac:dyDescent="0.2">
      <c r="B47" s="10"/>
      <c r="C47" s="16">
        <f t="shared" si="0"/>
        <v>0.93750000000000056</v>
      </c>
      <c r="D47" s="14"/>
      <c r="E47" s="72"/>
      <c r="F47" s="49"/>
      <c r="G47" s="43">
        <f t="array" ref="G47">AgentsRequired(D47,$D$4,$D$6,$D$8,$D$10,$D$12,$D$14)</f>
        <v>0</v>
      </c>
      <c r="H47" s="51">
        <f t="shared" si="1"/>
        <v>0</v>
      </c>
      <c r="I47" s="55">
        <f t="array" ref="I47">ServiceLevel(D47,$D$4,$D$6,$D$10,E47)</f>
        <v>0</v>
      </c>
      <c r="J47" s="55">
        <f t="array" ref="J47">ProbCallWaits(D47,$D$4,$D$6,E47)</f>
        <v>1</v>
      </c>
      <c r="K47" s="50"/>
    </row>
    <row r="48" spans="2:11" x14ac:dyDescent="0.2">
      <c r="B48" s="10"/>
      <c r="C48" s="16">
        <f t="shared" si="0"/>
        <v>0.95833333333333393</v>
      </c>
      <c r="D48" s="14"/>
      <c r="E48" s="72"/>
      <c r="F48" s="49"/>
      <c r="G48" s="43">
        <f t="array" ref="G48">AgentsRequired(D48,$D$4,$D$6,$D$8,$D$10,$D$12,$D$14)</f>
        <v>0</v>
      </c>
      <c r="H48" s="51">
        <f t="shared" si="1"/>
        <v>0</v>
      </c>
      <c r="I48" s="55">
        <f t="array" ref="I48">ServiceLevel(D48,$D$4,$D$6,$D$10,E48)</f>
        <v>0</v>
      </c>
      <c r="J48" s="55">
        <f t="array" ref="J48">ProbCallWaits(D48,$D$4,$D$6,E48)</f>
        <v>1</v>
      </c>
      <c r="K48" s="50"/>
    </row>
    <row r="49" spans="1:11" x14ac:dyDescent="0.2">
      <c r="B49" s="10"/>
      <c r="C49" s="16">
        <f t="shared" si="0"/>
        <v>0.9791666666666673</v>
      </c>
      <c r="D49" s="14"/>
      <c r="E49" s="72"/>
      <c r="F49" s="49"/>
      <c r="G49" s="43">
        <f t="array" ref="G49">AgentsRequired(D49,$D$4,$D$6,$D$8,$D$10,$D$12,$D$14)</f>
        <v>0</v>
      </c>
      <c r="H49" s="51">
        <f t="shared" si="1"/>
        <v>0</v>
      </c>
      <c r="I49" s="55">
        <f t="array" ref="I49">ServiceLevel(D49,$D$4,$D$6,$D$10,E49)</f>
        <v>0</v>
      </c>
      <c r="J49" s="55">
        <f t="array" ref="J49">ProbCallWaits(D49,$D$4,$D$6,E49)</f>
        <v>1</v>
      </c>
      <c r="K49" s="50"/>
    </row>
    <row r="50" spans="1:11" x14ac:dyDescent="0.2">
      <c r="B50" s="10"/>
      <c r="C50" s="3"/>
      <c r="D50" s="4"/>
      <c r="E50" s="3"/>
      <c r="F50" s="46"/>
      <c r="G50" s="73"/>
      <c r="H50" s="74"/>
      <c r="I50" s="49"/>
      <c r="J50" s="49"/>
      <c r="K50" s="50"/>
    </row>
    <row r="51" spans="1:11" ht="13.5" thickBot="1" x14ac:dyDescent="0.25">
      <c r="B51" s="6"/>
      <c r="C51" s="7"/>
      <c r="D51" s="8"/>
      <c r="E51" s="7"/>
      <c r="F51" s="52"/>
      <c r="G51" s="52"/>
      <c r="H51" s="53"/>
      <c r="I51" s="53"/>
      <c r="J51" s="53"/>
      <c r="K51" s="54"/>
    </row>
    <row r="52" spans="1:11" ht="13.5" thickBot="1" x14ac:dyDescent="0.25"/>
    <row r="53" spans="1:11" ht="24.75" customHeight="1" thickTop="1" thickBot="1" x14ac:dyDescent="0.25">
      <c r="J53" s="58" t="s">
        <v>46</v>
      </c>
    </row>
    <row r="54" spans="1:11" ht="13.5" thickTop="1" x14ac:dyDescent="0.2">
      <c r="A54" s="66" t="s">
        <v>127</v>
      </c>
      <c r="B54" s="46"/>
      <c r="C54" s="46"/>
      <c r="D54" s="65"/>
    </row>
    <row r="55" spans="1:11" x14ac:dyDescent="0.2">
      <c r="A55" s="67" t="s">
        <v>48</v>
      </c>
      <c r="B55" s="46"/>
      <c r="C55" s="46"/>
      <c r="D55" s="65"/>
    </row>
    <row r="10002" spans="1:4" x14ac:dyDescent="0.2">
      <c r="A10002" s="66" t="s">
        <v>108</v>
      </c>
      <c r="B10002" s="46"/>
      <c r="C10002" s="46"/>
      <c r="D10002" s="65"/>
    </row>
    <row r="10003" spans="1:4" x14ac:dyDescent="0.2">
      <c r="A10003" s="67" t="s">
        <v>48</v>
      </c>
      <c r="B10003" s="46"/>
      <c r="C10003" s="46"/>
      <c r="D10003" s="65"/>
    </row>
  </sheetData>
  <mergeCells count="1">
    <mergeCell ref="J5:J6"/>
  </mergeCells>
  <dataValidations count="1">
    <dataValidation type="decimal" allowBlank="1" showInputMessage="1" showErrorMessage="1" errorTitle="Service Level" error="Please enter a value greater than zero and less than 100%" sqref="D8 D12" xr:uid="{00000000-0002-0000-0300-000000000000}">
      <formula1>0.00001</formula1>
      <formula2>0.999</formula2>
    </dataValidation>
  </dataValidations>
  <hyperlinks>
    <hyperlink ref="J5" location="'Other Tools'!A1" display="Next Page &gt;&gt;" xr:uid="{00000000-0004-0000-0300-000000000000}"/>
    <hyperlink ref="J53" location="'Other Tools'!A1" display="Next Page &gt;&gt;" xr:uid="{00000000-0004-0000-0300-000001000000}"/>
    <hyperlink ref="A55" r:id="rId1" xr:uid="{00000000-0004-0000-0300-000002000000}"/>
    <hyperlink ref="A10003" r:id="rId2" xr:uid="{00000000-0004-0000-0300-000003000000}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C31" sqref="C31"/>
    </sheetView>
  </sheetViews>
  <sheetFormatPr baseColWidth="10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030A0"/>
  </sheetPr>
  <dimension ref="A1:BG71"/>
  <sheetViews>
    <sheetView zoomScale="80" zoomScaleNormal="80" workbookViewId="0">
      <selection activeCell="K10" sqref="K10:Q10"/>
    </sheetView>
  </sheetViews>
  <sheetFormatPr baseColWidth="10" defaultRowHeight="11.25" x14ac:dyDescent="0.2"/>
  <cols>
    <col min="1" max="2" width="11.42578125" style="165"/>
    <col min="3" max="9" width="9.140625" style="165" bestFit="1" customWidth="1"/>
    <col min="10" max="49" width="8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B2" s="166"/>
      <c r="C2" s="167">
        <v>0.7</v>
      </c>
      <c r="K2" s="168">
        <f>K10*C61</f>
        <v>1331397.5999999999</v>
      </c>
      <c r="L2" s="168">
        <f t="shared" ref="L2:Q2" si="0">L10*D61</f>
        <v>1254038.9999999998</v>
      </c>
      <c r="M2" s="168">
        <f t="shared" si="0"/>
        <v>1345577.2000000002</v>
      </c>
      <c r="N2" s="168">
        <f t="shared" si="0"/>
        <v>1325887.2499999998</v>
      </c>
      <c r="O2" s="168">
        <f t="shared" si="0"/>
        <v>1304833.2000000002</v>
      </c>
      <c r="P2" s="168">
        <f t="shared" si="0"/>
        <v>1309561.4999999998</v>
      </c>
      <c r="Q2" s="168">
        <f t="shared" si="0"/>
        <v>1126295.166666667</v>
      </c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256">
        <v>5.886481759133376E-2</v>
      </c>
      <c r="D8" s="256">
        <v>5.8909580318742355E-2</v>
      </c>
      <c r="E8" s="256">
        <v>6.1179188388727032E-2</v>
      </c>
      <c r="F8" s="256">
        <v>6.4066223574485048E-2</v>
      </c>
      <c r="G8" s="256">
        <v>6.8467128984147391E-2</v>
      </c>
      <c r="H8" s="256">
        <v>6.3028045020750711E-2</v>
      </c>
      <c r="I8" s="256">
        <v>6.3182039094026629E-2</v>
      </c>
      <c r="K8" s="173"/>
      <c r="L8" s="173"/>
      <c r="M8" s="173"/>
      <c r="N8" s="173"/>
      <c r="O8" s="173"/>
      <c r="P8" s="173"/>
      <c r="Q8" s="173"/>
      <c r="S8" s="204"/>
      <c r="T8" s="204"/>
      <c r="U8" s="204"/>
      <c r="V8" s="204"/>
      <c r="W8" s="204"/>
      <c r="X8" s="204"/>
      <c r="Y8" s="204"/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 s="135">
        <f>C62</f>
        <v>208</v>
      </c>
      <c r="L10" s="135">
        <f t="shared" ref="L10:Q10" si="1">D62</f>
        <v>204</v>
      </c>
      <c r="M10" s="135">
        <f t="shared" si="1"/>
        <v>204</v>
      </c>
      <c r="N10" s="135">
        <f t="shared" si="1"/>
        <v>199</v>
      </c>
      <c r="O10" s="135">
        <f t="shared" si="1"/>
        <v>198</v>
      </c>
      <c r="P10" s="135">
        <f t="shared" si="1"/>
        <v>195</v>
      </c>
      <c r="Q10" s="135">
        <f t="shared" si="1"/>
        <v>191</v>
      </c>
      <c r="S10" s="173">
        <f>MAX(K13:K60)</f>
        <v>41</v>
      </c>
      <c r="T10" s="173">
        <f t="shared" ref="T10:Y10" si="2">MAX(L13:L60)</f>
        <v>38</v>
      </c>
      <c r="U10" s="173">
        <f t="shared" si="2"/>
        <v>40</v>
      </c>
      <c r="V10" s="173">
        <f t="shared" si="2"/>
        <v>41</v>
      </c>
      <c r="W10" s="173">
        <f t="shared" si="2"/>
        <v>41</v>
      </c>
      <c r="X10" s="173">
        <f t="shared" si="2"/>
        <v>44</v>
      </c>
      <c r="Y10" s="173">
        <f t="shared" si="2"/>
        <v>34</v>
      </c>
      <c r="AA10" s="175">
        <f>AY10/C61</f>
        <v>0.97775588969219929</v>
      </c>
      <c r="AB10" s="175">
        <f t="shared" ref="AB10:AG10" si="3">AZ10/D61</f>
        <v>0.97666141600235512</v>
      </c>
      <c r="AC10" s="175">
        <f t="shared" si="3"/>
        <v>0.97863530572933011</v>
      </c>
      <c r="AD10" s="175">
        <f t="shared" si="3"/>
        <v>0.9715319271512074</v>
      </c>
      <c r="AE10" s="175">
        <f t="shared" si="3"/>
        <v>0.97984270012619912</v>
      </c>
      <c r="AF10" s="175">
        <f t="shared" si="3"/>
        <v>0.98052506959019325</v>
      </c>
      <c r="AG10" s="175">
        <f t="shared" si="3"/>
        <v>0.97508858414448585</v>
      </c>
      <c r="AI10" s="175"/>
      <c r="AJ10" s="175"/>
      <c r="AK10" s="175"/>
      <c r="AL10" s="175"/>
      <c r="AM10" s="175"/>
      <c r="AN10" s="175"/>
      <c r="AO10" s="175"/>
      <c r="AQ10" s="302" t="s">
        <v>155</v>
      </c>
      <c r="AR10" s="303"/>
      <c r="AS10" s="303"/>
      <c r="AT10" s="303"/>
      <c r="AU10" s="303"/>
      <c r="AV10" s="303"/>
      <c r="AW10" s="304"/>
      <c r="AY10" s="177">
        <f>SUM(AY13:AY60)</f>
        <v>6258.5665621252829</v>
      </c>
      <c r="AZ10" s="177">
        <f t="shared" ref="AZ10:BE10" si="4">SUM(AZ13:AZ60)</f>
        <v>6003.7818895204764</v>
      </c>
      <c r="BA10" s="177">
        <f t="shared" si="4"/>
        <v>6455.045855413804</v>
      </c>
      <c r="BB10" s="177">
        <f t="shared" si="4"/>
        <v>6473.0743476267062</v>
      </c>
      <c r="BC10" s="177">
        <f t="shared" si="4"/>
        <v>6457.2287166783281</v>
      </c>
      <c r="BD10" s="177">
        <f t="shared" si="4"/>
        <v>6584.9122098468597</v>
      </c>
      <c r="BE10" s="177">
        <f t="shared" si="4"/>
        <v>5749.9348659360103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45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23.328571428571429</v>
      </c>
      <c r="B13" s="182">
        <v>0</v>
      </c>
      <c r="C13" s="135">
        <v>22.3</v>
      </c>
      <c r="D13" s="135">
        <v>19.399999999999999</v>
      </c>
      <c r="E13" s="135">
        <v>22.8</v>
      </c>
      <c r="F13" s="135">
        <v>23.8</v>
      </c>
      <c r="G13" s="135">
        <v>24.3</v>
      </c>
      <c r="H13" s="135">
        <v>24.4</v>
      </c>
      <c r="I13" s="135">
        <v>26.3</v>
      </c>
      <c r="J13" s="165">
        <v>1</v>
      </c>
      <c r="K13" s="43">
        <f>AgentsRequired(C13,$B$10,K$10,$C$4,$C$6,$C$2,$C$8)</f>
        <v>5</v>
      </c>
      <c r="L13" s="43">
        <f>AgentsRequired(D13,$B$10,L$10,$C$4,$C$6,$C$2,$D$8)</f>
        <v>4</v>
      </c>
      <c r="M13" s="43">
        <f>AgentsRequired(E13,$B$10,M$10,$C$4,$C$6,$C$2,$E$8)</f>
        <v>5</v>
      </c>
      <c r="N13" s="43">
        <f>AgentsRequired(F13,$B$10,N$10,$C$4,$C$6,$C$2,$F$8)</f>
        <v>5</v>
      </c>
      <c r="O13" s="43">
        <f>AgentsRequired(G13,$B$10,O$10,$C$4,$C$6,$C$2,$G$8)</f>
        <v>5</v>
      </c>
      <c r="P13" s="43">
        <f>AgentsRequired(H13,$B$10,P$10,$C$4,$C$6,$C$2,$H$8)</f>
        <v>5</v>
      </c>
      <c r="Q13" s="43">
        <f>AgentsRequired(I13,$B$10,Q$10,$C$4,$C$6,$C$2,$I$8)</f>
        <v>5</v>
      </c>
      <c r="R13" s="165">
        <v>1</v>
      </c>
      <c r="S13" s="183">
        <v>5</v>
      </c>
      <c r="T13" s="183">
        <v>7</v>
      </c>
      <c r="U13" s="183">
        <v>5</v>
      </c>
      <c r="V13" s="183">
        <v>7</v>
      </c>
      <c r="W13" s="183">
        <v>7</v>
      </c>
      <c r="X13" s="183">
        <v>5</v>
      </c>
      <c r="Y13" s="183">
        <v>4</v>
      </c>
      <c r="AA13" s="184">
        <f t="shared" ref="AA13:AG13" si="5">ServiceLevel(C13,$B$10,K$10,$C$6,S13)</f>
        <v>0.93212433109522852</v>
      </c>
      <c r="AB13" s="184">
        <f t="shared" si="5"/>
        <v>0.99828391418123885</v>
      </c>
      <c r="AC13" s="184">
        <f t="shared" si="5"/>
        <v>0.92584174108134687</v>
      </c>
      <c r="AD13" s="184">
        <f t="shared" si="5"/>
        <v>0.99439294666194877</v>
      </c>
      <c r="AE13" s="184">
        <f t="shared" si="5"/>
        <v>0.99458899493771169</v>
      </c>
      <c r="AF13" s="184">
        <f t="shared" si="5"/>
        <v>0.92896606933253489</v>
      </c>
      <c r="AG13" s="184">
        <f t="shared" si="5"/>
        <v>0.72044278384104354</v>
      </c>
      <c r="AI13" s="218">
        <f>S13-K13</f>
        <v>0</v>
      </c>
      <c r="AJ13" s="214">
        <f t="shared" ref="AJ13:AO13" si="6">T13-L13</f>
        <v>3</v>
      </c>
      <c r="AK13" s="214">
        <f t="shared" si="6"/>
        <v>0</v>
      </c>
      <c r="AL13" s="214">
        <f t="shared" si="6"/>
        <v>2</v>
      </c>
      <c r="AM13" s="214">
        <f t="shared" si="6"/>
        <v>2</v>
      </c>
      <c r="AN13" s="214">
        <f t="shared" si="6"/>
        <v>0</v>
      </c>
      <c r="AO13" s="214">
        <f t="shared" si="6"/>
        <v>-1</v>
      </c>
      <c r="AP13" s="206">
        <f>B13</f>
        <v>0</v>
      </c>
      <c r="AQ13" s="213">
        <f>S13/K13-1</f>
        <v>0</v>
      </c>
      <c r="AR13" s="213">
        <f t="shared" ref="AR13:AW13" si="7">T13/L13-1</f>
        <v>0.75</v>
      </c>
      <c r="AS13" s="213">
        <f t="shared" si="7"/>
        <v>0</v>
      </c>
      <c r="AT13" s="213">
        <f t="shared" si="7"/>
        <v>0.39999999999999991</v>
      </c>
      <c r="AU13" s="213">
        <f t="shared" si="7"/>
        <v>0.39999999999999991</v>
      </c>
      <c r="AV13" s="213">
        <f t="shared" si="7"/>
        <v>0</v>
      </c>
      <c r="AW13" s="213">
        <f t="shared" si="7"/>
        <v>-0.19999999999999996</v>
      </c>
      <c r="AY13" s="186">
        <f>AA13*C13</f>
        <v>20.786372583423596</v>
      </c>
      <c r="AZ13" s="186">
        <f t="shared" ref="AZ13:BE13" si="8">AB13*D13</f>
        <v>19.366707935116033</v>
      </c>
      <c r="BA13" s="186">
        <f t="shared" si="8"/>
        <v>21.109191696654708</v>
      </c>
      <c r="BB13" s="186">
        <f t="shared" si="8"/>
        <v>23.666552130554383</v>
      </c>
      <c r="BC13" s="186">
        <f t="shared" si="8"/>
        <v>24.168512576986394</v>
      </c>
      <c r="BD13" s="186">
        <f t="shared" si="8"/>
        <v>22.666772091713849</v>
      </c>
      <c r="BE13" s="186">
        <f t="shared" si="8"/>
        <v>18.947645215019445</v>
      </c>
    </row>
    <row r="14" spans="1:57" ht="12.75" x14ac:dyDescent="0.2">
      <c r="A14" s="181">
        <f t="shared" ref="A14:A60" si="9">AVERAGE(C14:I14)</f>
        <v>19.87857142857143</v>
      </c>
      <c r="B14" s="187">
        <f>B13+TIME(0,$B$10,0)</f>
        <v>2.0833333333333332E-2</v>
      </c>
      <c r="C14" s="135">
        <v>18.75</v>
      </c>
      <c r="D14" s="135">
        <v>16.75</v>
      </c>
      <c r="E14" s="135">
        <v>20.25</v>
      </c>
      <c r="F14" s="135">
        <v>20.25</v>
      </c>
      <c r="G14" s="135">
        <v>19.649999999999999</v>
      </c>
      <c r="H14" s="135">
        <v>19.2</v>
      </c>
      <c r="I14" s="135">
        <v>24.3</v>
      </c>
      <c r="J14" s="165">
        <v>2</v>
      </c>
      <c r="K14" s="43">
        <f t="shared" ref="K14:K60" si="10">AgentsRequired(C14,$B$10,K$10,$C$4,$C$6,$C$2,$C$8)</f>
        <v>4</v>
      </c>
      <c r="L14" s="43">
        <f t="shared" ref="L14:L60" si="11">AgentsRequired(D14,$B$10,L$10,$C$4,$C$6,$C$2,$D$8)</f>
        <v>4</v>
      </c>
      <c r="M14" s="43">
        <f t="shared" ref="M14:M60" si="12">AgentsRequired(E14,$B$10,M$10,$C$4,$C$6,$C$2,$E$8)</f>
        <v>4</v>
      </c>
      <c r="N14" s="43">
        <f t="shared" ref="N14:N60" si="13">AgentsRequired(F14,$B$10,N$10,$C$4,$C$6,$C$2,$F$8)</f>
        <v>4</v>
      </c>
      <c r="O14" s="43">
        <f t="shared" ref="O14:O60" si="14">AgentsRequired(G14,$B$10,O$10,$C$4,$C$6,$C$2,$G$8)</f>
        <v>4</v>
      </c>
      <c r="P14" s="43">
        <f t="shared" ref="P14:P60" si="15">AgentsRequired(H14,$B$10,P$10,$C$4,$C$6,$C$2,$H$8)</f>
        <v>4</v>
      </c>
      <c r="Q14" s="43">
        <f t="shared" ref="Q14:Q60" si="16">AgentsRequired(I14,$B$10,Q$10,$C$4,$C$6,$C$2,$I$8)</f>
        <v>5</v>
      </c>
      <c r="R14" s="165">
        <v>2</v>
      </c>
      <c r="S14" s="183">
        <v>5</v>
      </c>
      <c r="T14" s="183">
        <v>7</v>
      </c>
      <c r="U14" s="183">
        <v>5</v>
      </c>
      <c r="V14" s="183">
        <v>7</v>
      </c>
      <c r="W14" s="183">
        <v>7</v>
      </c>
      <c r="X14" s="183">
        <v>5</v>
      </c>
      <c r="Y14" s="183">
        <v>4</v>
      </c>
      <c r="AA14" s="184">
        <f t="shared" ref="AA14:AA60" si="17">ServiceLevel(C14,$B$10,K$10,$C$6,S14)</f>
        <v>0.96289054341888547</v>
      </c>
      <c r="AB14" s="184">
        <f t="shared" ref="AB14:AB60" si="18">ServiceLevel(D14,$B$10,L$10,$C$6,T14)</f>
        <v>0.99911661342532521</v>
      </c>
      <c r="AC14" s="184">
        <f t="shared" ref="AC14:AC60" si="19">ServiceLevel(E14,$B$10,M$10,$C$6,U14)</f>
        <v>0.95829557132311993</v>
      </c>
      <c r="AD14" s="184">
        <f t="shared" ref="AD14:AD60" si="20">ServiceLevel(F14,$B$10,N$10,$C$6,V14)</f>
        <v>0.99806303938331054</v>
      </c>
      <c r="AE14" s="184">
        <f t="shared" ref="AE14:AE60" si="21">ServiceLevel(G14,$B$10,O$10,$C$6,W14)</f>
        <v>0.99813360545209018</v>
      </c>
      <c r="AF14" s="184">
        <f t="shared" ref="AF14:AF60" si="22">ServiceLevel(H14,$B$10,P$10,$C$6,X14)</f>
        <v>0.97320962709095316</v>
      </c>
      <c r="AG14" s="184">
        <f t="shared" ref="AG14:AG60" si="23">ServiceLevel(I14,$B$10,Q$10,$C$6,Y14)</f>
        <v>0.78729959954488327</v>
      </c>
      <c r="AI14" s="214">
        <f t="shared" ref="AI14:AI60" si="24">S14-K14</f>
        <v>1</v>
      </c>
      <c r="AJ14" s="214">
        <f t="shared" ref="AJ14:AJ60" si="25">T14-L14</f>
        <v>3</v>
      </c>
      <c r="AK14" s="214">
        <f t="shared" ref="AK14:AK60" si="26">U14-M14</f>
        <v>1</v>
      </c>
      <c r="AL14" s="214">
        <f t="shared" ref="AL14:AL60" si="27">V14-N14</f>
        <v>3</v>
      </c>
      <c r="AM14" s="214">
        <f t="shared" ref="AM14:AM60" si="28">W14-O14</f>
        <v>3</v>
      </c>
      <c r="AN14" s="214">
        <f t="shared" ref="AN14:AN60" si="29">X14-P14</f>
        <v>1</v>
      </c>
      <c r="AO14" s="214">
        <f t="shared" ref="AO14:AO60" si="30">Y14-Q14</f>
        <v>-1</v>
      </c>
      <c r="AP14" s="206">
        <f t="shared" ref="AP14:AP60" si="31">B14</f>
        <v>2.0833333333333332E-2</v>
      </c>
      <c r="AQ14" s="213">
        <f t="shared" ref="AQ14:AQ60" si="32">S14/K14-1</f>
        <v>0.25</v>
      </c>
      <c r="AR14" s="213">
        <f t="shared" ref="AR14:AR60" si="33">T14/L14-1</f>
        <v>0.75</v>
      </c>
      <c r="AS14" s="213">
        <f t="shared" ref="AS14:AS60" si="34">U14/M14-1</f>
        <v>0.25</v>
      </c>
      <c r="AT14" s="213">
        <f t="shared" ref="AT14:AT60" si="35">V14/N14-1</f>
        <v>0.75</v>
      </c>
      <c r="AU14" s="213">
        <f t="shared" ref="AU14:AU60" si="36">W14/O14-1</f>
        <v>0.75</v>
      </c>
      <c r="AV14" s="213">
        <f t="shared" ref="AV14:AV60" si="37">X14/P14-1</f>
        <v>0.25</v>
      </c>
      <c r="AW14" s="213">
        <f t="shared" ref="AW14:AW60" si="38">Y14/Q14-1</f>
        <v>-0.19999999999999996</v>
      </c>
      <c r="AY14" s="186">
        <f t="shared" ref="AY14:AY60" si="39">AA14*C14</f>
        <v>18.054197689104104</v>
      </c>
      <c r="AZ14" s="186">
        <f t="shared" ref="AZ14:AZ60" si="40">AB14*D14</f>
        <v>16.735203274874198</v>
      </c>
      <c r="BA14" s="186">
        <f t="shared" ref="BA14:BA60" si="41">AC14*E14</f>
        <v>19.405485319293177</v>
      </c>
      <c r="BB14" s="186">
        <f t="shared" ref="BB14:BB60" si="42">AD14*F14</f>
        <v>20.210776547512037</v>
      </c>
      <c r="BC14" s="186">
        <f t="shared" ref="BC14:BC60" si="43">AE14*G14</f>
        <v>19.613325347133571</v>
      </c>
      <c r="BD14" s="186">
        <f t="shared" ref="BD14:BD60" si="44">AF14*H14</f>
        <v>18.6856248401463</v>
      </c>
      <c r="BE14" s="186">
        <f t="shared" ref="BE14:BE60" si="45">AG14*I14</f>
        <v>19.131380268940664</v>
      </c>
    </row>
    <row r="15" spans="1:57" ht="12.75" x14ac:dyDescent="0.2">
      <c r="A15" s="181">
        <f t="shared" si="9"/>
        <v>16.971428571428568</v>
      </c>
      <c r="B15" s="187">
        <f t="shared" ref="B15:B60" si="46">B14+TIME(0,$B$10,0)</f>
        <v>4.1666666666666664E-2</v>
      </c>
      <c r="C15" s="135">
        <v>15.433333333333332</v>
      </c>
      <c r="D15" s="135">
        <v>14.366666666666667</v>
      </c>
      <c r="E15" s="135">
        <v>17.533333333333335</v>
      </c>
      <c r="F15" s="135">
        <v>17.433333333333334</v>
      </c>
      <c r="G15" s="135">
        <v>15.866666666666665</v>
      </c>
      <c r="H15" s="135">
        <v>17.366666666666664</v>
      </c>
      <c r="I15" s="135">
        <v>20.8</v>
      </c>
      <c r="J15" s="165">
        <v>3</v>
      </c>
      <c r="K15" s="43">
        <f t="shared" si="10"/>
        <v>4</v>
      </c>
      <c r="L15" s="43">
        <f t="shared" si="11"/>
        <v>3</v>
      </c>
      <c r="M15" s="43">
        <f t="shared" si="12"/>
        <v>4</v>
      </c>
      <c r="N15" s="43">
        <f t="shared" si="13"/>
        <v>4</v>
      </c>
      <c r="O15" s="43">
        <f t="shared" si="14"/>
        <v>4</v>
      </c>
      <c r="P15" s="43">
        <f t="shared" si="15"/>
        <v>4</v>
      </c>
      <c r="Q15" s="43">
        <f t="shared" si="16"/>
        <v>4</v>
      </c>
      <c r="R15" s="165">
        <v>3</v>
      </c>
      <c r="S15" s="183">
        <v>3</v>
      </c>
      <c r="T15" s="183">
        <v>6</v>
      </c>
      <c r="U15" s="183">
        <v>5</v>
      </c>
      <c r="V15" s="183">
        <v>6</v>
      </c>
      <c r="W15" s="183">
        <v>7</v>
      </c>
      <c r="X15" s="183">
        <v>4</v>
      </c>
      <c r="Y15" s="183">
        <v>4</v>
      </c>
      <c r="AA15" s="184">
        <f t="shared" si="17"/>
        <v>0.77325695354505708</v>
      </c>
      <c r="AB15" s="184">
        <f t="shared" si="18"/>
        <v>0.99831732668873041</v>
      </c>
      <c r="AC15" s="184">
        <f t="shared" si="19"/>
        <v>0.97314709564766566</v>
      </c>
      <c r="AD15" s="184">
        <f t="shared" si="20"/>
        <v>0.99607527082633152</v>
      </c>
      <c r="AE15" s="184">
        <f t="shared" si="21"/>
        <v>0.99951257244003033</v>
      </c>
      <c r="AF15" s="184">
        <f t="shared" si="22"/>
        <v>0.92929347750844116</v>
      </c>
      <c r="AG15" s="184">
        <f t="shared" si="23"/>
        <v>0.86536393466208195</v>
      </c>
      <c r="AI15" s="214">
        <f t="shared" si="24"/>
        <v>-1</v>
      </c>
      <c r="AJ15" s="214">
        <f t="shared" si="25"/>
        <v>3</v>
      </c>
      <c r="AK15" s="214">
        <f t="shared" si="26"/>
        <v>1</v>
      </c>
      <c r="AL15" s="214">
        <f t="shared" si="27"/>
        <v>2</v>
      </c>
      <c r="AM15" s="214">
        <f t="shared" si="28"/>
        <v>3</v>
      </c>
      <c r="AN15" s="214">
        <f t="shared" si="29"/>
        <v>0</v>
      </c>
      <c r="AO15" s="214">
        <f t="shared" si="30"/>
        <v>0</v>
      </c>
      <c r="AP15" s="206">
        <f t="shared" si="31"/>
        <v>4.1666666666666664E-2</v>
      </c>
      <c r="AQ15" s="213">
        <f t="shared" si="32"/>
        <v>-0.25</v>
      </c>
      <c r="AR15" s="213">
        <f t="shared" si="33"/>
        <v>1</v>
      </c>
      <c r="AS15" s="213">
        <f t="shared" si="34"/>
        <v>0.25</v>
      </c>
      <c r="AT15" s="213">
        <f t="shared" si="35"/>
        <v>0.5</v>
      </c>
      <c r="AU15" s="213">
        <f t="shared" si="36"/>
        <v>0.75</v>
      </c>
      <c r="AV15" s="213">
        <f t="shared" si="37"/>
        <v>0</v>
      </c>
      <c r="AW15" s="213">
        <f t="shared" si="38"/>
        <v>0</v>
      </c>
      <c r="AY15" s="186">
        <f t="shared" si="39"/>
        <v>11.933932316378714</v>
      </c>
      <c r="AZ15" s="186">
        <f t="shared" si="40"/>
        <v>14.34249226009476</v>
      </c>
      <c r="BA15" s="186">
        <f t="shared" si="41"/>
        <v>17.06251241035574</v>
      </c>
      <c r="BB15" s="186">
        <f t="shared" si="42"/>
        <v>17.364912221405714</v>
      </c>
      <c r="BC15" s="186">
        <f t="shared" si="43"/>
        <v>15.85893281604848</v>
      </c>
      <c r="BD15" s="186">
        <f t="shared" si="44"/>
        <v>16.138730059396593</v>
      </c>
      <c r="BE15" s="186">
        <f t="shared" si="45"/>
        <v>17.999569840971304</v>
      </c>
    </row>
    <row r="16" spans="1:57" ht="12.75" x14ac:dyDescent="0.2">
      <c r="A16" s="181">
        <f t="shared" si="9"/>
        <v>12.047619047619047</v>
      </c>
      <c r="B16" s="187">
        <f t="shared" si="46"/>
        <v>6.25E-2</v>
      </c>
      <c r="C16" s="135">
        <v>10.533333333333333</v>
      </c>
      <c r="D16" s="135">
        <v>10.6</v>
      </c>
      <c r="E16" s="135">
        <v>12.566666666666665</v>
      </c>
      <c r="F16" s="135">
        <v>11.866666666666667</v>
      </c>
      <c r="G16" s="135">
        <v>10.433333333333334</v>
      </c>
      <c r="H16" s="135">
        <v>12.333333333333334</v>
      </c>
      <c r="I16" s="135">
        <v>16</v>
      </c>
      <c r="J16" s="165">
        <v>4</v>
      </c>
      <c r="K16" s="43">
        <f t="shared" si="10"/>
        <v>3</v>
      </c>
      <c r="L16" s="43">
        <f t="shared" si="11"/>
        <v>3</v>
      </c>
      <c r="M16" s="43">
        <f t="shared" si="12"/>
        <v>3</v>
      </c>
      <c r="N16" s="43">
        <f t="shared" si="13"/>
        <v>3</v>
      </c>
      <c r="O16" s="43">
        <f t="shared" si="14"/>
        <v>3</v>
      </c>
      <c r="P16" s="43">
        <f t="shared" si="15"/>
        <v>3</v>
      </c>
      <c r="Q16" s="43">
        <f t="shared" si="16"/>
        <v>4</v>
      </c>
      <c r="R16" s="165">
        <v>4</v>
      </c>
      <c r="S16" s="183">
        <v>3</v>
      </c>
      <c r="T16" s="183">
        <v>6</v>
      </c>
      <c r="U16" s="183">
        <v>5</v>
      </c>
      <c r="V16" s="183">
        <v>6</v>
      </c>
      <c r="W16" s="183">
        <v>7</v>
      </c>
      <c r="X16" s="183">
        <v>4</v>
      </c>
      <c r="Y16" s="183">
        <v>4</v>
      </c>
      <c r="AA16" s="184">
        <f t="shared" si="17"/>
        <v>0.90179114914907643</v>
      </c>
      <c r="AB16" s="184">
        <f t="shared" si="18"/>
        <v>0.99953257974891296</v>
      </c>
      <c r="AC16" s="184">
        <f t="shared" si="19"/>
        <v>0.99334778035602755</v>
      </c>
      <c r="AD16" s="184">
        <f t="shared" si="20"/>
        <v>0.99936961182276007</v>
      </c>
      <c r="AE16" s="184">
        <f t="shared" si="21"/>
        <v>0.99997445106599248</v>
      </c>
      <c r="AF16" s="184">
        <f t="shared" si="22"/>
        <v>0.97916797404040923</v>
      </c>
      <c r="AG16" s="184">
        <f t="shared" si="23"/>
        <v>0.94747487209308801</v>
      </c>
      <c r="AI16" s="214">
        <f t="shared" si="24"/>
        <v>0</v>
      </c>
      <c r="AJ16" s="214">
        <f t="shared" si="25"/>
        <v>3</v>
      </c>
      <c r="AK16" s="214">
        <f t="shared" si="26"/>
        <v>2</v>
      </c>
      <c r="AL16" s="214">
        <f t="shared" si="27"/>
        <v>3</v>
      </c>
      <c r="AM16" s="214">
        <f t="shared" si="28"/>
        <v>4</v>
      </c>
      <c r="AN16" s="214">
        <f t="shared" si="29"/>
        <v>1</v>
      </c>
      <c r="AO16" s="214">
        <f t="shared" si="30"/>
        <v>0</v>
      </c>
      <c r="AP16" s="206">
        <f t="shared" si="31"/>
        <v>6.25E-2</v>
      </c>
      <c r="AQ16" s="213">
        <f t="shared" si="32"/>
        <v>0</v>
      </c>
      <c r="AR16" s="213">
        <f t="shared" si="33"/>
        <v>1</v>
      </c>
      <c r="AS16" s="213">
        <f t="shared" si="34"/>
        <v>0.66666666666666674</v>
      </c>
      <c r="AT16" s="213">
        <f t="shared" si="35"/>
        <v>1</v>
      </c>
      <c r="AU16" s="213">
        <f t="shared" si="36"/>
        <v>1.3333333333333335</v>
      </c>
      <c r="AV16" s="213">
        <f t="shared" si="37"/>
        <v>0.33333333333333326</v>
      </c>
      <c r="AW16" s="213">
        <f t="shared" si="38"/>
        <v>0</v>
      </c>
      <c r="AY16" s="186">
        <f t="shared" si="39"/>
        <v>9.4988667710369388</v>
      </c>
      <c r="AZ16" s="186">
        <f t="shared" si="40"/>
        <v>10.595045345338477</v>
      </c>
      <c r="BA16" s="186">
        <f t="shared" si="41"/>
        <v>12.483070439807411</v>
      </c>
      <c r="BB16" s="186">
        <f t="shared" si="42"/>
        <v>11.859186060296754</v>
      </c>
      <c r="BC16" s="186">
        <f t="shared" si="43"/>
        <v>10.433066772788521</v>
      </c>
      <c r="BD16" s="186">
        <f t="shared" si="44"/>
        <v>12.076405013165047</v>
      </c>
      <c r="BE16" s="186">
        <f t="shared" si="45"/>
        <v>15.159597953489408</v>
      </c>
    </row>
    <row r="17" spans="1:57" ht="12.75" x14ac:dyDescent="0.2">
      <c r="A17" s="181">
        <f t="shared" si="9"/>
        <v>9.1190476190476186</v>
      </c>
      <c r="B17" s="187">
        <f t="shared" si="46"/>
        <v>8.3333333333333329E-2</v>
      </c>
      <c r="C17" s="135">
        <v>7.4666666666666659</v>
      </c>
      <c r="D17" s="135">
        <v>7.7333333333333334</v>
      </c>
      <c r="E17" s="135">
        <v>9.2000000000000011</v>
      </c>
      <c r="F17" s="135">
        <v>8.5666666666666664</v>
      </c>
      <c r="G17" s="135">
        <v>7.9666666666666659</v>
      </c>
      <c r="H17" s="135">
        <v>10.366666666666667</v>
      </c>
      <c r="I17" s="135">
        <v>12.533333333333333</v>
      </c>
      <c r="J17" s="165">
        <v>5</v>
      </c>
      <c r="K17" s="43">
        <f t="shared" si="10"/>
        <v>2</v>
      </c>
      <c r="L17" s="43">
        <f t="shared" si="11"/>
        <v>3</v>
      </c>
      <c r="M17" s="43">
        <f t="shared" si="12"/>
        <v>3</v>
      </c>
      <c r="N17" s="43">
        <f t="shared" si="13"/>
        <v>3</v>
      </c>
      <c r="O17" s="43">
        <f t="shared" si="14"/>
        <v>2</v>
      </c>
      <c r="P17" s="43">
        <f t="shared" si="15"/>
        <v>3</v>
      </c>
      <c r="Q17" s="43">
        <f t="shared" si="16"/>
        <v>3</v>
      </c>
      <c r="R17" s="165">
        <v>5</v>
      </c>
      <c r="S17" s="183">
        <v>2</v>
      </c>
      <c r="T17" s="183">
        <v>5</v>
      </c>
      <c r="U17" s="183">
        <v>4</v>
      </c>
      <c r="V17" s="183">
        <v>6</v>
      </c>
      <c r="W17" s="183">
        <v>6</v>
      </c>
      <c r="X17" s="183">
        <v>3</v>
      </c>
      <c r="Y17" s="183">
        <v>4</v>
      </c>
      <c r="AA17" s="184">
        <f t="shared" si="17"/>
        <v>0.83479467186586531</v>
      </c>
      <c r="AB17" s="184">
        <f t="shared" si="18"/>
        <v>0.99924440378996238</v>
      </c>
      <c r="AC17" s="184">
        <f t="shared" si="19"/>
        <v>0.99092772764124659</v>
      </c>
      <c r="AD17" s="184">
        <f t="shared" si="20"/>
        <v>0.99986791540575115</v>
      </c>
      <c r="AE17" s="184">
        <f t="shared" si="21"/>
        <v>0.99993355724553223</v>
      </c>
      <c r="AF17" s="184">
        <f t="shared" si="22"/>
        <v>0.93873620219085951</v>
      </c>
      <c r="AG17" s="184">
        <f t="shared" si="23"/>
        <v>0.97471617270118749</v>
      </c>
      <c r="AI17" s="214">
        <f t="shared" si="24"/>
        <v>0</v>
      </c>
      <c r="AJ17" s="214">
        <f t="shared" si="25"/>
        <v>2</v>
      </c>
      <c r="AK17" s="214">
        <f t="shared" si="26"/>
        <v>1</v>
      </c>
      <c r="AL17" s="214">
        <f t="shared" si="27"/>
        <v>3</v>
      </c>
      <c r="AM17" s="214">
        <f t="shared" si="28"/>
        <v>4</v>
      </c>
      <c r="AN17" s="214">
        <f t="shared" si="29"/>
        <v>0</v>
      </c>
      <c r="AO17" s="214">
        <f t="shared" si="30"/>
        <v>1</v>
      </c>
      <c r="AP17" s="206">
        <f t="shared" si="31"/>
        <v>8.3333333333333329E-2</v>
      </c>
      <c r="AQ17" s="213">
        <f t="shared" si="32"/>
        <v>0</v>
      </c>
      <c r="AR17" s="213">
        <f t="shared" si="33"/>
        <v>0.66666666666666674</v>
      </c>
      <c r="AS17" s="213">
        <f t="shared" si="34"/>
        <v>0.33333333333333326</v>
      </c>
      <c r="AT17" s="213">
        <f t="shared" si="35"/>
        <v>1</v>
      </c>
      <c r="AU17" s="213">
        <f t="shared" si="36"/>
        <v>2</v>
      </c>
      <c r="AV17" s="213">
        <f t="shared" si="37"/>
        <v>0</v>
      </c>
      <c r="AW17" s="213">
        <f t="shared" si="38"/>
        <v>0.33333333333333326</v>
      </c>
      <c r="AY17" s="186">
        <f t="shared" si="39"/>
        <v>6.2331335499317939</v>
      </c>
      <c r="AZ17" s="186">
        <f t="shared" si="40"/>
        <v>7.7274900559757089</v>
      </c>
      <c r="BA17" s="186">
        <f t="shared" si="41"/>
        <v>9.1165350942994703</v>
      </c>
      <c r="BB17" s="186">
        <f t="shared" si="42"/>
        <v>8.5655351419759338</v>
      </c>
      <c r="BC17" s="186">
        <f t="shared" si="43"/>
        <v>7.9661373393894062</v>
      </c>
      <c r="BD17" s="186">
        <f t="shared" si="44"/>
        <v>9.7315652960452432</v>
      </c>
      <c r="BE17" s="186">
        <f t="shared" si="45"/>
        <v>12.216442697854884</v>
      </c>
    </row>
    <row r="18" spans="1:57" ht="12.75" x14ac:dyDescent="0.2">
      <c r="A18" s="181">
        <f t="shared" si="9"/>
        <v>7.3857142857142861</v>
      </c>
      <c r="B18" s="187">
        <f t="shared" si="46"/>
        <v>0.10416666666666666</v>
      </c>
      <c r="C18" s="135">
        <v>6.3666666666666671</v>
      </c>
      <c r="D18" s="135">
        <v>6</v>
      </c>
      <c r="E18" s="135">
        <v>7.3</v>
      </c>
      <c r="F18" s="135">
        <v>6.6333333333333329</v>
      </c>
      <c r="G18" s="135">
        <v>7.333333333333333</v>
      </c>
      <c r="H18" s="135">
        <v>7.6333333333333329</v>
      </c>
      <c r="I18" s="135">
        <v>10.433333333333334</v>
      </c>
      <c r="J18" s="165">
        <v>6</v>
      </c>
      <c r="K18" s="43">
        <f t="shared" si="10"/>
        <v>2</v>
      </c>
      <c r="L18" s="43">
        <f t="shared" si="11"/>
        <v>2</v>
      </c>
      <c r="M18" s="43">
        <f t="shared" si="12"/>
        <v>2</v>
      </c>
      <c r="N18" s="43">
        <f t="shared" si="13"/>
        <v>2</v>
      </c>
      <c r="O18" s="43">
        <f t="shared" si="14"/>
        <v>2</v>
      </c>
      <c r="P18" s="43">
        <f t="shared" si="15"/>
        <v>2</v>
      </c>
      <c r="Q18" s="43">
        <f t="shared" si="16"/>
        <v>3</v>
      </c>
      <c r="R18" s="165">
        <v>6</v>
      </c>
      <c r="S18" s="183">
        <v>2</v>
      </c>
      <c r="T18" s="183">
        <v>5</v>
      </c>
      <c r="U18" s="183">
        <v>4</v>
      </c>
      <c r="V18" s="183">
        <v>6</v>
      </c>
      <c r="W18" s="183">
        <v>6</v>
      </c>
      <c r="X18" s="183">
        <v>3</v>
      </c>
      <c r="Y18" s="183">
        <v>4</v>
      </c>
      <c r="AA18" s="184">
        <f t="shared" si="17"/>
        <v>0.87756701387157243</v>
      </c>
      <c r="AB18" s="184">
        <f t="shared" si="18"/>
        <v>0.99980060635001888</v>
      </c>
      <c r="AC18" s="184">
        <f t="shared" si="19"/>
        <v>0.99637534178804221</v>
      </c>
      <c r="AD18" s="184">
        <f t="shared" si="20"/>
        <v>0.9999673192823485</v>
      </c>
      <c r="AE18" s="184">
        <f t="shared" si="21"/>
        <v>0.99996848174101172</v>
      </c>
      <c r="AF18" s="184">
        <f t="shared" si="22"/>
        <v>0.96695357572423279</v>
      </c>
      <c r="AG18" s="184">
        <f t="shared" si="23"/>
        <v>0.99013498202191663</v>
      </c>
      <c r="AI18" s="214">
        <f t="shared" si="24"/>
        <v>0</v>
      </c>
      <c r="AJ18" s="214">
        <f t="shared" si="25"/>
        <v>3</v>
      </c>
      <c r="AK18" s="214">
        <f t="shared" si="26"/>
        <v>2</v>
      </c>
      <c r="AL18" s="214">
        <f t="shared" si="27"/>
        <v>4</v>
      </c>
      <c r="AM18" s="214">
        <f t="shared" si="28"/>
        <v>4</v>
      </c>
      <c r="AN18" s="214">
        <f t="shared" si="29"/>
        <v>1</v>
      </c>
      <c r="AO18" s="214">
        <f t="shared" si="30"/>
        <v>1</v>
      </c>
      <c r="AP18" s="206">
        <f t="shared" si="31"/>
        <v>0.10416666666666666</v>
      </c>
      <c r="AQ18" s="213">
        <f t="shared" si="32"/>
        <v>0</v>
      </c>
      <c r="AR18" s="213">
        <f t="shared" si="33"/>
        <v>1.5</v>
      </c>
      <c r="AS18" s="213">
        <f t="shared" si="34"/>
        <v>1</v>
      </c>
      <c r="AT18" s="213">
        <f t="shared" si="35"/>
        <v>2</v>
      </c>
      <c r="AU18" s="213">
        <f t="shared" si="36"/>
        <v>2</v>
      </c>
      <c r="AV18" s="213">
        <f t="shared" si="37"/>
        <v>0.5</v>
      </c>
      <c r="AW18" s="213">
        <f t="shared" si="38"/>
        <v>0.33333333333333326</v>
      </c>
      <c r="AY18" s="186">
        <f t="shared" si="39"/>
        <v>5.5871766549823452</v>
      </c>
      <c r="AZ18" s="186">
        <f t="shared" si="40"/>
        <v>5.9988036381001137</v>
      </c>
      <c r="BA18" s="186">
        <f t="shared" si="41"/>
        <v>7.2735399950527082</v>
      </c>
      <c r="BB18" s="186">
        <f t="shared" si="42"/>
        <v>6.6331165512395778</v>
      </c>
      <c r="BC18" s="186">
        <f t="shared" si="43"/>
        <v>7.3331021994340855</v>
      </c>
      <c r="BD18" s="186">
        <f t="shared" si="44"/>
        <v>7.3810789613616432</v>
      </c>
      <c r="BE18" s="186">
        <f t="shared" si="45"/>
        <v>10.330408312428665</v>
      </c>
    </row>
    <row r="19" spans="1:57" ht="12.75" x14ac:dyDescent="0.2">
      <c r="A19" s="181">
        <f t="shared" si="9"/>
        <v>6.3809523809523814</v>
      </c>
      <c r="B19" s="187">
        <f t="shared" si="46"/>
        <v>0.12499999999999999</v>
      </c>
      <c r="C19" s="135">
        <v>5.666666666666667</v>
      </c>
      <c r="D19" s="135">
        <v>4.7</v>
      </c>
      <c r="E19" s="135">
        <v>6.666666666666667</v>
      </c>
      <c r="F19" s="135">
        <v>6.166666666666667</v>
      </c>
      <c r="G19" s="135">
        <v>6.4666666666666659</v>
      </c>
      <c r="H19" s="135">
        <v>6.5</v>
      </c>
      <c r="I19" s="135">
        <v>8.5</v>
      </c>
      <c r="J19" s="165">
        <v>7</v>
      </c>
      <c r="K19" s="43">
        <f t="shared" si="10"/>
        <v>2</v>
      </c>
      <c r="L19" s="43">
        <f t="shared" si="11"/>
        <v>2</v>
      </c>
      <c r="M19" s="43">
        <f t="shared" si="12"/>
        <v>2</v>
      </c>
      <c r="N19" s="43">
        <f t="shared" si="13"/>
        <v>2</v>
      </c>
      <c r="O19" s="43">
        <f t="shared" si="14"/>
        <v>2</v>
      </c>
      <c r="P19" s="43">
        <f t="shared" si="15"/>
        <v>2</v>
      </c>
      <c r="Q19" s="43">
        <f t="shared" si="16"/>
        <v>2</v>
      </c>
      <c r="R19" s="165">
        <v>7</v>
      </c>
      <c r="S19" s="183">
        <v>3</v>
      </c>
      <c r="T19" s="183">
        <v>3</v>
      </c>
      <c r="U19" s="183">
        <v>3</v>
      </c>
      <c r="V19" s="183">
        <v>7</v>
      </c>
      <c r="W19" s="183">
        <v>5</v>
      </c>
      <c r="X19" s="183">
        <v>4</v>
      </c>
      <c r="Y19" s="183">
        <v>3</v>
      </c>
      <c r="AA19" s="184">
        <f t="shared" si="17"/>
        <v>0.98148508199967854</v>
      </c>
      <c r="AB19" s="184">
        <f t="shared" si="18"/>
        <v>0.98964181645595772</v>
      </c>
      <c r="AC19" s="184">
        <f t="shared" si="19"/>
        <v>0.97338323509680202</v>
      </c>
      <c r="AD19" s="184">
        <f t="shared" si="20"/>
        <v>0.99999905571122738</v>
      </c>
      <c r="AE19" s="184">
        <f t="shared" si="21"/>
        <v>0.99983319306889029</v>
      </c>
      <c r="AF19" s="184">
        <f t="shared" si="22"/>
        <v>0.99834641414746517</v>
      </c>
      <c r="AG19" s="184">
        <f t="shared" si="23"/>
        <v>0.96923438347065982</v>
      </c>
      <c r="AI19" s="214">
        <f t="shared" si="24"/>
        <v>1</v>
      </c>
      <c r="AJ19" s="214">
        <f t="shared" si="25"/>
        <v>1</v>
      </c>
      <c r="AK19" s="214">
        <f t="shared" si="26"/>
        <v>1</v>
      </c>
      <c r="AL19" s="214">
        <f t="shared" si="27"/>
        <v>5</v>
      </c>
      <c r="AM19" s="214">
        <f t="shared" si="28"/>
        <v>3</v>
      </c>
      <c r="AN19" s="214">
        <f t="shared" si="29"/>
        <v>2</v>
      </c>
      <c r="AO19" s="214">
        <f t="shared" si="30"/>
        <v>1</v>
      </c>
      <c r="AP19" s="206">
        <f t="shared" si="31"/>
        <v>0.12499999999999999</v>
      </c>
      <c r="AQ19" s="213">
        <f t="shared" si="32"/>
        <v>0.5</v>
      </c>
      <c r="AR19" s="213">
        <f t="shared" si="33"/>
        <v>0.5</v>
      </c>
      <c r="AS19" s="213">
        <f t="shared" si="34"/>
        <v>0.5</v>
      </c>
      <c r="AT19" s="213">
        <f t="shared" si="35"/>
        <v>2.5</v>
      </c>
      <c r="AU19" s="213">
        <f t="shared" si="36"/>
        <v>1.5</v>
      </c>
      <c r="AV19" s="213">
        <f t="shared" si="37"/>
        <v>1</v>
      </c>
      <c r="AW19" s="213">
        <f t="shared" si="38"/>
        <v>0.5</v>
      </c>
      <c r="AY19" s="186">
        <f t="shared" si="39"/>
        <v>5.5617487979981783</v>
      </c>
      <c r="AZ19" s="186">
        <f t="shared" si="40"/>
        <v>4.6513165373430017</v>
      </c>
      <c r="BA19" s="186">
        <f t="shared" si="41"/>
        <v>6.4892215673120139</v>
      </c>
      <c r="BB19" s="186">
        <f t="shared" si="42"/>
        <v>6.1666608435525694</v>
      </c>
      <c r="BC19" s="186">
        <f t="shared" si="43"/>
        <v>6.4655879818454896</v>
      </c>
      <c r="BD19" s="186">
        <f t="shared" si="44"/>
        <v>6.4892516919585237</v>
      </c>
      <c r="BE19" s="186">
        <f t="shared" si="45"/>
        <v>8.2384922595006085</v>
      </c>
    </row>
    <row r="20" spans="1:57" ht="12.75" x14ac:dyDescent="0.2">
      <c r="A20" s="181">
        <f t="shared" si="9"/>
        <v>5.5428571428571436</v>
      </c>
      <c r="B20" s="187">
        <f t="shared" si="46"/>
        <v>0.14583333333333331</v>
      </c>
      <c r="C20" s="135">
        <v>5.4333333333333336</v>
      </c>
      <c r="D20" s="135">
        <v>4.3333333333333339</v>
      </c>
      <c r="E20" s="135">
        <v>5.6333333333333329</v>
      </c>
      <c r="F20" s="135">
        <v>5.5333333333333341</v>
      </c>
      <c r="G20" s="135">
        <v>5.7666666666666666</v>
      </c>
      <c r="H20" s="135">
        <v>5.7666666666666666</v>
      </c>
      <c r="I20" s="135">
        <v>6.333333333333333</v>
      </c>
      <c r="J20" s="165">
        <v>8</v>
      </c>
      <c r="K20" s="43">
        <f t="shared" si="10"/>
        <v>2</v>
      </c>
      <c r="L20" s="43">
        <f t="shared" si="11"/>
        <v>2</v>
      </c>
      <c r="M20" s="43">
        <f t="shared" si="12"/>
        <v>2</v>
      </c>
      <c r="N20" s="43">
        <f t="shared" si="13"/>
        <v>2</v>
      </c>
      <c r="O20" s="43">
        <f t="shared" si="14"/>
        <v>2</v>
      </c>
      <c r="P20" s="43">
        <f t="shared" si="15"/>
        <v>2</v>
      </c>
      <c r="Q20" s="43">
        <f t="shared" si="16"/>
        <v>2</v>
      </c>
      <c r="R20" s="165">
        <v>8</v>
      </c>
      <c r="S20" s="183">
        <v>3</v>
      </c>
      <c r="T20" s="183">
        <v>3</v>
      </c>
      <c r="U20" s="183">
        <v>3</v>
      </c>
      <c r="V20" s="183">
        <v>7</v>
      </c>
      <c r="W20" s="183">
        <v>5</v>
      </c>
      <c r="X20" s="183">
        <v>4</v>
      </c>
      <c r="Y20" s="183">
        <v>3</v>
      </c>
      <c r="AA20" s="184">
        <f t="shared" si="17"/>
        <v>0.98890643182961813</v>
      </c>
      <c r="AB20" s="184">
        <f t="shared" si="18"/>
        <v>0.99450653844361847</v>
      </c>
      <c r="AC20" s="184">
        <f t="shared" si="19"/>
        <v>0.98269273618643838</v>
      </c>
      <c r="AD20" s="184">
        <f t="shared" si="20"/>
        <v>0.99999905571122738</v>
      </c>
      <c r="AE20" s="184">
        <f t="shared" si="21"/>
        <v>0.99983319306889029</v>
      </c>
      <c r="AF20" s="184">
        <f t="shared" si="22"/>
        <v>0.99834641414746517</v>
      </c>
      <c r="AG20" s="184">
        <f t="shared" si="23"/>
        <v>0.98627880730017348</v>
      </c>
      <c r="AI20" s="214">
        <f t="shared" si="24"/>
        <v>1</v>
      </c>
      <c r="AJ20" s="214">
        <f t="shared" si="25"/>
        <v>1</v>
      </c>
      <c r="AK20" s="214">
        <f t="shared" si="26"/>
        <v>1</v>
      </c>
      <c r="AL20" s="214">
        <f t="shared" si="27"/>
        <v>5</v>
      </c>
      <c r="AM20" s="214">
        <f t="shared" si="28"/>
        <v>3</v>
      </c>
      <c r="AN20" s="214">
        <f t="shared" si="29"/>
        <v>2</v>
      </c>
      <c r="AO20" s="214">
        <f t="shared" si="30"/>
        <v>1</v>
      </c>
      <c r="AP20" s="206">
        <f t="shared" si="31"/>
        <v>0.14583333333333331</v>
      </c>
      <c r="AQ20" s="213">
        <f t="shared" si="32"/>
        <v>0.5</v>
      </c>
      <c r="AR20" s="213">
        <f t="shared" si="33"/>
        <v>0.5</v>
      </c>
      <c r="AS20" s="213">
        <f t="shared" si="34"/>
        <v>0.5</v>
      </c>
      <c r="AT20" s="213">
        <f t="shared" si="35"/>
        <v>2.5</v>
      </c>
      <c r="AU20" s="213">
        <f t="shared" si="36"/>
        <v>1.5</v>
      </c>
      <c r="AV20" s="213">
        <f t="shared" si="37"/>
        <v>1</v>
      </c>
      <c r="AW20" s="213">
        <f t="shared" si="38"/>
        <v>0.5</v>
      </c>
      <c r="AY20" s="186">
        <f t="shared" si="39"/>
        <v>5.3730582796075916</v>
      </c>
      <c r="AZ20" s="186">
        <f t="shared" si="40"/>
        <v>4.3095283332556802</v>
      </c>
      <c r="BA20" s="186">
        <f t="shared" si="41"/>
        <v>5.5358357471836026</v>
      </c>
      <c r="BB20" s="186">
        <f t="shared" si="42"/>
        <v>5.5333281082687922</v>
      </c>
      <c r="BC20" s="186">
        <f t="shared" si="43"/>
        <v>5.7657047466972671</v>
      </c>
      <c r="BD20" s="186">
        <f t="shared" si="44"/>
        <v>5.7571309882503821</v>
      </c>
      <c r="BE20" s="186">
        <f t="shared" si="45"/>
        <v>6.2464324462344321</v>
      </c>
    </row>
    <row r="21" spans="1:57" ht="12.75" x14ac:dyDescent="0.2">
      <c r="A21" s="181">
        <f t="shared" si="9"/>
        <v>5.480952380952381</v>
      </c>
      <c r="B21" s="187">
        <f t="shared" si="46"/>
        <v>0.16666666666666666</v>
      </c>
      <c r="C21" s="135">
        <v>5.4000000000000012</v>
      </c>
      <c r="D21" s="135">
        <v>4.4000000000000004</v>
      </c>
      <c r="E21" s="135">
        <v>5.6000000000000005</v>
      </c>
      <c r="F21" s="135">
        <v>5.5666666666666673</v>
      </c>
      <c r="G21" s="135">
        <v>5.6333333333333329</v>
      </c>
      <c r="H21" s="135">
        <v>6.4333333333333336</v>
      </c>
      <c r="I21" s="135">
        <v>5.333333333333333</v>
      </c>
      <c r="J21" s="165">
        <v>9</v>
      </c>
      <c r="K21" s="43">
        <f t="shared" si="10"/>
        <v>2</v>
      </c>
      <c r="L21" s="43">
        <f t="shared" si="11"/>
        <v>2</v>
      </c>
      <c r="M21" s="43">
        <f t="shared" si="12"/>
        <v>2</v>
      </c>
      <c r="N21" s="43">
        <f t="shared" si="13"/>
        <v>2</v>
      </c>
      <c r="O21" s="43">
        <f t="shared" si="14"/>
        <v>2</v>
      </c>
      <c r="P21" s="43">
        <f t="shared" si="15"/>
        <v>2</v>
      </c>
      <c r="Q21" s="43">
        <f t="shared" si="16"/>
        <v>2</v>
      </c>
      <c r="R21" s="165">
        <v>9</v>
      </c>
      <c r="S21" s="183">
        <v>2</v>
      </c>
      <c r="T21" s="183">
        <v>3</v>
      </c>
      <c r="U21" s="183">
        <v>3</v>
      </c>
      <c r="V21" s="183">
        <v>6</v>
      </c>
      <c r="W21" s="183">
        <v>5</v>
      </c>
      <c r="X21" s="183">
        <v>5</v>
      </c>
      <c r="Y21" s="183">
        <v>3</v>
      </c>
      <c r="AA21" s="184">
        <f t="shared" si="17"/>
        <v>0.91407805533933884</v>
      </c>
      <c r="AB21" s="184">
        <f t="shared" si="18"/>
        <v>0.99450653844361847</v>
      </c>
      <c r="AC21" s="184">
        <f t="shared" si="19"/>
        <v>0.98269273618643838</v>
      </c>
      <c r="AD21" s="184">
        <f t="shared" si="20"/>
        <v>0.99998628936465406</v>
      </c>
      <c r="AE21" s="184">
        <f t="shared" si="21"/>
        <v>0.99983319306889029</v>
      </c>
      <c r="AF21" s="184">
        <f t="shared" si="22"/>
        <v>0.99984784655109693</v>
      </c>
      <c r="AG21" s="184">
        <f t="shared" si="23"/>
        <v>0.99181872247949443</v>
      </c>
      <c r="AI21" s="214">
        <f t="shared" si="24"/>
        <v>0</v>
      </c>
      <c r="AJ21" s="214">
        <f t="shared" si="25"/>
        <v>1</v>
      </c>
      <c r="AK21" s="214">
        <f t="shared" si="26"/>
        <v>1</v>
      </c>
      <c r="AL21" s="214">
        <f t="shared" si="27"/>
        <v>4</v>
      </c>
      <c r="AM21" s="214">
        <f t="shared" si="28"/>
        <v>3</v>
      </c>
      <c r="AN21" s="214">
        <f t="shared" si="29"/>
        <v>3</v>
      </c>
      <c r="AO21" s="214">
        <f t="shared" si="30"/>
        <v>1</v>
      </c>
      <c r="AP21" s="206">
        <f t="shared" si="31"/>
        <v>0.16666666666666666</v>
      </c>
      <c r="AQ21" s="213">
        <f t="shared" si="32"/>
        <v>0</v>
      </c>
      <c r="AR21" s="213">
        <f t="shared" si="33"/>
        <v>0.5</v>
      </c>
      <c r="AS21" s="213">
        <f t="shared" si="34"/>
        <v>0.5</v>
      </c>
      <c r="AT21" s="213">
        <f t="shared" si="35"/>
        <v>2</v>
      </c>
      <c r="AU21" s="213">
        <f t="shared" si="36"/>
        <v>1.5</v>
      </c>
      <c r="AV21" s="213">
        <f t="shared" si="37"/>
        <v>1.5</v>
      </c>
      <c r="AW21" s="213">
        <f t="shared" si="38"/>
        <v>0.5</v>
      </c>
      <c r="AY21" s="186">
        <f t="shared" si="39"/>
        <v>4.9360214988324307</v>
      </c>
      <c r="AZ21" s="186">
        <f t="shared" si="40"/>
        <v>4.375828769151922</v>
      </c>
      <c r="BA21" s="186">
        <f t="shared" si="41"/>
        <v>5.5030793226440551</v>
      </c>
      <c r="BB21" s="186">
        <f t="shared" si="42"/>
        <v>5.5665903441299083</v>
      </c>
      <c r="BC21" s="186">
        <f t="shared" si="43"/>
        <v>5.6323936542880819</v>
      </c>
      <c r="BD21" s="186">
        <f t="shared" si="44"/>
        <v>6.4323544794787235</v>
      </c>
      <c r="BE21" s="186">
        <f t="shared" si="45"/>
        <v>5.2896998532239703</v>
      </c>
    </row>
    <row r="22" spans="1:57" ht="12.75" x14ac:dyDescent="0.2">
      <c r="A22" s="181">
        <f t="shared" si="9"/>
        <v>6.0095238095238086</v>
      </c>
      <c r="B22" s="187">
        <f t="shared" si="46"/>
        <v>0.1875</v>
      </c>
      <c r="C22" s="135">
        <v>5.333333333333333</v>
      </c>
      <c r="D22" s="135">
        <v>4.9333333333333336</v>
      </c>
      <c r="E22" s="135">
        <v>5.9333333333333336</v>
      </c>
      <c r="F22" s="135">
        <v>6.2</v>
      </c>
      <c r="G22" s="135">
        <v>6.7</v>
      </c>
      <c r="H22" s="135">
        <v>7.1000000000000005</v>
      </c>
      <c r="I22" s="135">
        <v>5.8666666666666671</v>
      </c>
      <c r="J22" s="165">
        <v>10</v>
      </c>
      <c r="K22" s="43">
        <f t="shared" si="10"/>
        <v>2</v>
      </c>
      <c r="L22" s="43">
        <f t="shared" si="11"/>
        <v>2</v>
      </c>
      <c r="M22" s="43">
        <f t="shared" si="12"/>
        <v>2</v>
      </c>
      <c r="N22" s="43">
        <f t="shared" si="13"/>
        <v>2</v>
      </c>
      <c r="O22" s="43">
        <f t="shared" si="14"/>
        <v>2</v>
      </c>
      <c r="P22" s="43">
        <f t="shared" si="15"/>
        <v>2</v>
      </c>
      <c r="Q22" s="43">
        <f t="shared" si="16"/>
        <v>2</v>
      </c>
      <c r="R22" s="165">
        <v>10</v>
      </c>
      <c r="S22" s="183">
        <v>2</v>
      </c>
      <c r="T22" s="183">
        <v>3</v>
      </c>
      <c r="U22" s="183">
        <v>3</v>
      </c>
      <c r="V22" s="183">
        <v>6</v>
      </c>
      <c r="W22" s="183">
        <v>5</v>
      </c>
      <c r="X22" s="183">
        <v>5</v>
      </c>
      <c r="Y22" s="183">
        <v>3</v>
      </c>
      <c r="AA22" s="184">
        <f t="shared" si="17"/>
        <v>0.91407805533933884</v>
      </c>
      <c r="AB22" s="184">
        <f t="shared" si="18"/>
        <v>0.98964181645595772</v>
      </c>
      <c r="AC22" s="184">
        <f t="shared" si="19"/>
        <v>0.98269273618643838</v>
      </c>
      <c r="AD22" s="184">
        <f t="shared" si="20"/>
        <v>0.99998628936465406</v>
      </c>
      <c r="AE22" s="184">
        <f t="shared" si="21"/>
        <v>0.9996573967942739</v>
      </c>
      <c r="AF22" s="184">
        <f t="shared" si="22"/>
        <v>0.99968711327213688</v>
      </c>
      <c r="AG22" s="184">
        <f t="shared" si="23"/>
        <v>0.98627880730017348</v>
      </c>
      <c r="AI22" s="214">
        <f t="shared" si="24"/>
        <v>0</v>
      </c>
      <c r="AJ22" s="214">
        <f t="shared" si="25"/>
        <v>1</v>
      </c>
      <c r="AK22" s="214">
        <f t="shared" si="26"/>
        <v>1</v>
      </c>
      <c r="AL22" s="214">
        <f t="shared" si="27"/>
        <v>4</v>
      </c>
      <c r="AM22" s="214">
        <f t="shared" si="28"/>
        <v>3</v>
      </c>
      <c r="AN22" s="214">
        <f t="shared" si="29"/>
        <v>3</v>
      </c>
      <c r="AO22" s="214">
        <f t="shared" si="30"/>
        <v>1</v>
      </c>
      <c r="AP22" s="206">
        <f t="shared" si="31"/>
        <v>0.1875</v>
      </c>
      <c r="AQ22" s="213">
        <f t="shared" si="32"/>
        <v>0</v>
      </c>
      <c r="AR22" s="213">
        <f t="shared" si="33"/>
        <v>0.5</v>
      </c>
      <c r="AS22" s="213">
        <f t="shared" si="34"/>
        <v>0.5</v>
      </c>
      <c r="AT22" s="213">
        <f t="shared" si="35"/>
        <v>2</v>
      </c>
      <c r="AU22" s="213">
        <f t="shared" si="36"/>
        <v>1.5</v>
      </c>
      <c r="AV22" s="213">
        <f t="shared" si="37"/>
        <v>1.5</v>
      </c>
      <c r="AW22" s="213">
        <f t="shared" si="38"/>
        <v>0.5</v>
      </c>
      <c r="AY22" s="186">
        <f t="shared" si="39"/>
        <v>4.8750829618098068</v>
      </c>
      <c r="AZ22" s="186">
        <f t="shared" si="40"/>
        <v>4.8822329611827247</v>
      </c>
      <c r="BA22" s="186">
        <f t="shared" si="41"/>
        <v>5.8306435680395348</v>
      </c>
      <c r="BB22" s="186">
        <f t="shared" si="42"/>
        <v>6.1999149940608556</v>
      </c>
      <c r="BC22" s="186">
        <f t="shared" si="43"/>
        <v>6.697704558521635</v>
      </c>
      <c r="BD22" s="186">
        <f t="shared" si="44"/>
        <v>7.0977785042321724</v>
      </c>
      <c r="BE22" s="186">
        <f t="shared" si="45"/>
        <v>5.7861690028276849</v>
      </c>
    </row>
    <row r="23" spans="1:57" ht="12.75" x14ac:dyDescent="0.2">
      <c r="A23" s="181">
        <f t="shared" si="9"/>
        <v>8.0476190476190474</v>
      </c>
      <c r="B23" s="187">
        <f t="shared" si="46"/>
        <v>0.20833333333333334</v>
      </c>
      <c r="C23" s="135">
        <v>6.833333333333333</v>
      </c>
      <c r="D23" s="135">
        <v>7.333333333333333</v>
      </c>
      <c r="E23" s="135">
        <v>7.9666666666666659</v>
      </c>
      <c r="F23" s="135">
        <v>8.6333333333333329</v>
      </c>
      <c r="G23" s="135">
        <v>8.4</v>
      </c>
      <c r="H23" s="135">
        <v>9.6666666666666661</v>
      </c>
      <c r="I23" s="135">
        <v>7.5</v>
      </c>
      <c r="J23" s="165">
        <v>11</v>
      </c>
      <c r="K23" s="43">
        <f>AgentsRequired(C23,$B$10,K$10,$C$4,$C$6,$C$2,$C$8)</f>
        <v>2</v>
      </c>
      <c r="L23" s="43">
        <f t="shared" si="11"/>
        <v>2</v>
      </c>
      <c r="M23" s="43">
        <f t="shared" si="12"/>
        <v>3</v>
      </c>
      <c r="N23" s="43">
        <f t="shared" si="13"/>
        <v>3</v>
      </c>
      <c r="O23" s="43">
        <f t="shared" si="14"/>
        <v>2</v>
      </c>
      <c r="P23" s="43">
        <f t="shared" si="15"/>
        <v>3</v>
      </c>
      <c r="Q23" s="43">
        <f t="shared" si="16"/>
        <v>2</v>
      </c>
      <c r="R23" s="165">
        <v>11</v>
      </c>
      <c r="S23" s="183">
        <v>3</v>
      </c>
      <c r="T23" s="183">
        <v>6</v>
      </c>
      <c r="U23" s="183">
        <v>4</v>
      </c>
      <c r="V23" s="183">
        <v>6</v>
      </c>
      <c r="W23" s="183">
        <v>6</v>
      </c>
      <c r="X23" s="183">
        <v>5</v>
      </c>
      <c r="Y23" s="183">
        <v>4</v>
      </c>
      <c r="AA23" s="184">
        <f t="shared" si="17"/>
        <v>0.97155668423302366</v>
      </c>
      <c r="AB23" s="184">
        <f t="shared" si="18"/>
        <v>0.99996097126826766</v>
      </c>
      <c r="AC23" s="184">
        <f t="shared" si="19"/>
        <v>0.99408529994940231</v>
      </c>
      <c r="AD23" s="184">
        <f t="shared" si="20"/>
        <v>0.99986791540575115</v>
      </c>
      <c r="AE23" s="184">
        <f t="shared" si="21"/>
        <v>0.99993355724553223</v>
      </c>
      <c r="AF23" s="184">
        <f t="shared" si="22"/>
        <v>0.99839046710766588</v>
      </c>
      <c r="AG23" s="184">
        <f t="shared" si="23"/>
        <v>0.99563553096706725</v>
      </c>
      <c r="AI23" s="214">
        <f t="shared" si="24"/>
        <v>1</v>
      </c>
      <c r="AJ23" s="214">
        <f t="shared" si="25"/>
        <v>4</v>
      </c>
      <c r="AK23" s="214">
        <f t="shared" si="26"/>
        <v>1</v>
      </c>
      <c r="AL23" s="214">
        <f t="shared" si="27"/>
        <v>3</v>
      </c>
      <c r="AM23" s="214">
        <f t="shared" si="28"/>
        <v>4</v>
      </c>
      <c r="AN23" s="214">
        <f t="shared" si="29"/>
        <v>2</v>
      </c>
      <c r="AO23" s="214">
        <f t="shared" si="30"/>
        <v>2</v>
      </c>
      <c r="AP23" s="206">
        <f t="shared" si="31"/>
        <v>0.20833333333333334</v>
      </c>
      <c r="AQ23" s="213">
        <f t="shared" si="32"/>
        <v>0.5</v>
      </c>
      <c r="AR23" s="213">
        <f t="shared" si="33"/>
        <v>2</v>
      </c>
      <c r="AS23" s="213">
        <f t="shared" si="34"/>
        <v>0.33333333333333326</v>
      </c>
      <c r="AT23" s="213">
        <f t="shared" si="35"/>
        <v>1</v>
      </c>
      <c r="AU23" s="213">
        <f t="shared" si="36"/>
        <v>2</v>
      </c>
      <c r="AV23" s="213">
        <f t="shared" si="37"/>
        <v>0.66666666666666674</v>
      </c>
      <c r="AW23" s="213">
        <f t="shared" si="38"/>
        <v>1</v>
      </c>
      <c r="AY23" s="186">
        <f t="shared" si="39"/>
        <v>6.6389706755923283</v>
      </c>
      <c r="AZ23" s="186">
        <f t="shared" si="40"/>
        <v>7.3330471226339622</v>
      </c>
      <c r="BA23" s="186">
        <f t="shared" si="41"/>
        <v>7.9195462229302374</v>
      </c>
      <c r="BB23" s="186">
        <f t="shared" si="42"/>
        <v>8.6321930030029836</v>
      </c>
      <c r="BC23" s="186">
        <f t="shared" si="43"/>
        <v>8.3994418808624705</v>
      </c>
      <c r="BD23" s="186">
        <f t="shared" si="44"/>
        <v>9.6511078487074364</v>
      </c>
      <c r="BE23" s="186">
        <f t="shared" si="45"/>
        <v>7.4672664822530042</v>
      </c>
    </row>
    <row r="24" spans="1:57" ht="12.75" x14ac:dyDescent="0.2">
      <c r="A24" s="181">
        <f t="shared" si="9"/>
        <v>13.742857142857144</v>
      </c>
      <c r="B24" s="187">
        <f t="shared" si="46"/>
        <v>0.22916666666666669</v>
      </c>
      <c r="C24" s="135">
        <v>11</v>
      </c>
      <c r="D24" s="135">
        <v>13.1</v>
      </c>
      <c r="E24" s="135">
        <v>14.066666666666668</v>
      </c>
      <c r="F24" s="135">
        <v>14.733333333333333</v>
      </c>
      <c r="G24" s="135">
        <v>14.699999999999998</v>
      </c>
      <c r="H24" s="135">
        <v>15.299999999999999</v>
      </c>
      <c r="I24" s="135">
        <v>13.299999999999999</v>
      </c>
      <c r="J24" s="165">
        <v>12</v>
      </c>
      <c r="K24" s="43">
        <f t="shared" si="10"/>
        <v>3</v>
      </c>
      <c r="L24" s="43">
        <f t="shared" si="11"/>
        <v>3</v>
      </c>
      <c r="M24" s="43">
        <f t="shared" si="12"/>
        <v>3</v>
      </c>
      <c r="N24" s="43">
        <f t="shared" si="13"/>
        <v>3</v>
      </c>
      <c r="O24" s="43">
        <f t="shared" si="14"/>
        <v>3</v>
      </c>
      <c r="P24" s="43">
        <f t="shared" si="15"/>
        <v>3</v>
      </c>
      <c r="Q24" s="43">
        <f t="shared" si="16"/>
        <v>3</v>
      </c>
      <c r="R24" s="165">
        <v>12</v>
      </c>
      <c r="S24" s="183">
        <v>3</v>
      </c>
      <c r="T24" s="183">
        <v>6</v>
      </c>
      <c r="U24" s="183">
        <v>4</v>
      </c>
      <c r="V24" s="183">
        <v>6</v>
      </c>
      <c r="W24" s="183">
        <v>6</v>
      </c>
      <c r="X24" s="183">
        <v>5</v>
      </c>
      <c r="Y24" s="183">
        <v>4</v>
      </c>
      <c r="AA24" s="184">
        <f t="shared" si="17"/>
        <v>0.90179114914907643</v>
      </c>
      <c r="AB24" s="184">
        <f t="shared" si="18"/>
        <v>0.99886058809141298</v>
      </c>
      <c r="AC24" s="184">
        <f t="shared" si="19"/>
        <v>0.95650844004546931</v>
      </c>
      <c r="AD24" s="184">
        <f t="shared" si="20"/>
        <v>0.99794754445231038</v>
      </c>
      <c r="AE24" s="184">
        <f t="shared" si="21"/>
        <v>0.99801403739519512</v>
      </c>
      <c r="AF24" s="184">
        <f t="shared" si="22"/>
        <v>0.990272786081006</v>
      </c>
      <c r="AG24" s="184">
        <f t="shared" si="23"/>
        <v>0.97471617270118749</v>
      </c>
      <c r="AI24" s="214">
        <f t="shared" si="24"/>
        <v>0</v>
      </c>
      <c r="AJ24" s="214">
        <f t="shared" si="25"/>
        <v>3</v>
      </c>
      <c r="AK24" s="214">
        <f t="shared" si="26"/>
        <v>1</v>
      </c>
      <c r="AL24" s="214">
        <f t="shared" si="27"/>
        <v>3</v>
      </c>
      <c r="AM24" s="214">
        <f t="shared" si="28"/>
        <v>3</v>
      </c>
      <c r="AN24" s="214">
        <f t="shared" si="29"/>
        <v>2</v>
      </c>
      <c r="AO24" s="214">
        <f t="shared" si="30"/>
        <v>1</v>
      </c>
      <c r="AP24" s="206">
        <f t="shared" si="31"/>
        <v>0.22916666666666669</v>
      </c>
      <c r="AQ24" s="213">
        <f t="shared" si="32"/>
        <v>0</v>
      </c>
      <c r="AR24" s="213">
        <f t="shared" si="33"/>
        <v>1</v>
      </c>
      <c r="AS24" s="213">
        <f t="shared" si="34"/>
        <v>0.33333333333333326</v>
      </c>
      <c r="AT24" s="213">
        <f t="shared" si="35"/>
        <v>1</v>
      </c>
      <c r="AU24" s="213">
        <f t="shared" si="36"/>
        <v>1</v>
      </c>
      <c r="AV24" s="213">
        <f t="shared" si="37"/>
        <v>0.66666666666666674</v>
      </c>
      <c r="AW24" s="213">
        <f t="shared" si="38"/>
        <v>0.33333333333333326</v>
      </c>
      <c r="AY24" s="186">
        <f t="shared" si="39"/>
        <v>9.9197026406398408</v>
      </c>
      <c r="AZ24" s="186">
        <f t="shared" si="40"/>
        <v>13.08507370399751</v>
      </c>
      <c r="BA24" s="186">
        <f t="shared" si="41"/>
        <v>13.454885389972937</v>
      </c>
      <c r="BB24" s="186">
        <f t="shared" si="42"/>
        <v>14.703093821597372</v>
      </c>
      <c r="BC24" s="186">
        <f t="shared" si="43"/>
        <v>14.670806349709366</v>
      </c>
      <c r="BD24" s="186">
        <f t="shared" si="44"/>
        <v>15.151173627039391</v>
      </c>
      <c r="BE24" s="186">
        <f t="shared" si="45"/>
        <v>12.963725096925792</v>
      </c>
    </row>
    <row r="25" spans="1:57" ht="12.75" x14ac:dyDescent="0.2">
      <c r="A25" s="181">
        <f t="shared" si="9"/>
        <v>27.338095238095239</v>
      </c>
      <c r="B25" s="187">
        <f t="shared" si="46"/>
        <v>0.25</v>
      </c>
      <c r="C25" s="135">
        <v>23.166666666666668</v>
      </c>
      <c r="D25" s="135">
        <v>26.533333333333331</v>
      </c>
      <c r="E25" s="135">
        <v>28.033333333333331</v>
      </c>
      <c r="F25" s="135">
        <v>28.333333333333332</v>
      </c>
      <c r="G25" s="135">
        <v>29.366666666666664</v>
      </c>
      <c r="H25" s="135">
        <v>29.866666666666664</v>
      </c>
      <c r="I25" s="135">
        <v>26.066666666666666</v>
      </c>
      <c r="J25" s="165">
        <v>13</v>
      </c>
      <c r="K25" s="43">
        <f t="shared" si="10"/>
        <v>5</v>
      </c>
      <c r="L25" s="43">
        <f t="shared" si="11"/>
        <v>5</v>
      </c>
      <c r="M25" s="43">
        <f t="shared" si="12"/>
        <v>5</v>
      </c>
      <c r="N25" s="43">
        <f t="shared" si="13"/>
        <v>5</v>
      </c>
      <c r="O25" s="43">
        <f t="shared" si="14"/>
        <v>5</v>
      </c>
      <c r="P25" s="43">
        <f t="shared" si="15"/>
        <v>5</v>
      </c>
      <c r="Q25" s="43">
        <f t="shared" si="16"/>
        <v>5</v>
      </c>
      <c r="R25" s="165">
        <v>13</v>
      </c>
      <c r="S25" s="183">
        <v>5</v>
      </c>
      <c r="T25" s="183">
        <v>7</v>
      </c>
      <c r="U25" s="183">
        <v>6</v>
      </c>
      <c r="V25" s="183">
        <v>7</v>
      </c>
      <c r="W25" s="183">
        <v>7</v>
      </c>
      <c r="X25" s="183">
        <v>7</v>
      </c>
      <c r="Y25" s="183">
        <v>5</v>
      </c>
      <c r="AA25" s="184">
        <f t="shared" si="17"/>
        <v>0.91865455644236127</v>
      </c>
      <c r="AB25" s="184">
        <f t="shared" si="18"/>
        <v>0.98703156371892897</v>
      </c>
      <c r="AC25" s="184">
        <f t="shared" si="19"/>
        <v>0.94638705694208558</v>
      </c>
      <c r="AD25" s="184">
        <f t="shared" si="20"/>
        <v>0.98656162258079549</v>
      </c>
      <c r="AE25" s="184">
        <f t="shared" si="21"/>
        <v>0.9841992343054986</v>
      </c>
      <c r="AF25" s="184">
        <f t="shared" si="22"/>
        <v>0.98277712161383046</v>
      </c>
      <c r="AG25" s="184">
        <f t="shared" si="23"/>
        <v>0.91065311476031074</v>
      </c>
      <c r="AI25" s="214">
        <f t="shared" si="24"/>
        <v>0</v>
      </c>
      <c r="AJ25" s="214">
        <f t="shared" si="25"/>
        <v>2</v>
      </c>
      <c r="AK25" s="214">
        <f t="shared" si="26"/>
        <v>1</v>
      </c>
      <c r="AL25" s="214">
        <f t="shared" si="27"/>
        <v>2</v>
      </c>
      <c r="AM25" s="214">
        <f t="shared" si="28"/>
        <v>2</v>
      </c>
      <c r="AN25" s="214">
        <f t="shared" si="29"/>
        <v>2</v>
      </c>
      <c r="AO25" s="214">
        <f t="shared" si="30"/>
        <v>0</v>
      </c>
      <c r="AP25" s="206">
        <f t="shared" si="31"/>
        <v>0.25</v>
      </c>
      <c r="AQ25" s="213">
        <f t="shared" si="32"/>
        <v>0</v>
      </c>
      <c r="AR25" s="213">
        <f t="shared" si="33"/>
        <v>0.39999999999999991</v>
      </c>
      <c r="AS25" s="213">
        <f t="shared" si="34"/>
        <v>0.19999999999999996</v>
      </c>
      <c r="AT25" s="213">
        <f t="shared" si="35"/>
        <v>0.39999999999999991</v>
      </c>
      <c r="AU25" s="213">
        <f t="shared" si="36"/>
        <v>0.39999999999999991</v>
      </c>
      <c r="AV25" s="213">
        <f t="shared" si="37"/>
        <v>0.39999999999999991</v>
      </c>
      <c r="AW25" s="213">
        <f t="shared" si="38"/>
        <v>0</v>
      </c>
      <c r="AY25" s="186">
        <f t="shared" si="39"/>
        <v>21.282163890914703</v>
      </c>
      <c r="AZ25" s="186">
        <f t="shared" si="40"/>
        <v>26.18923749067558</v>
      </c>
      <c r="BA25" s="186">
        <f t="shared" si="41"/>
        <v>26.530383829609796</v>
      </c>
      <c r="BB25" s="186">
        <f t="shared" si="42"/>
        <v>27.952579306455871</v>
      </c>
      <c r="BC25" s="186">
        <f t="shared" si="43"/>
        <v>28.902650847438139</v>
      </c>
      <c r="BD25" s="186">
        <f t="shared" si="44"/>
        <v>29.352276698866401</v>
      </c>
      <c r="BE25" s="186">
        <f t="shared" si="45"/>
        <v>23.737691191418765</v>
      </c>
    </row>
    <row r="26" spans="1:57" ht="12.75" x14ac:dyDescent="0.2">
      <c r="A26" s="181">
        <f t="shared" si="9"/>
        <v>50.738095238095241</v>
      </c>
      <c r="B26" s="187">
        <f t="shared" si="46"/>
        <v>0.27083333333333331</v>
      </c>
      <c r="C26" s="135">
        <v>43.166666666666664</v>
      </c>
      <c r="D26" s="135">
        <v>46.833333333333336</v>
      </c>
      <c r="E26" s="135">
        <v>49</v>
      </c>
      <c r="F26" s="135">
        <v>52.9</v>
      </c>
      <c r="G26" s="135">
        <v>58.533333333333331</v>
      </c>
      <c r="H26" s="135">
        <v>55.666666666666664</v>
      </c>
      <c r="I26" s="135">
        <v>49.066666666666663</v>
      </c>
      <c r="J26" s="165">
        <v>14</v>
      </c>
      <c r="K26" s="43">
        <f t="shared" si="10"/>
        <v>9</v>
      </c>
      <c r="L26" s="43">
        <f t="shared" si="11"/>
        <v>9</v>
      </c>
      <c r="M26" s="43">
        <f t="shared" si="12"/>
        <v>9</v>
      </c>
      <c r="N26" s="43">
        <f>AgentsRequired(F26,$B$10,N$10,$C$4,$C$6,$C$2,$F$8)</f>
        <v>10</v>
      </c>
      <c r="O26" s="43">
        <f t="shared" si="14"/>
        <v>11</v>
      </c>
      <c r="P26" s="43">
        <f t="shared" si="15"/>
        <v>10</v>
      </c>
      <c r="Q26" s="43">
        <f t="shared" si="16"/>
        <v>9</v>
      </c>
      <c r="R26" s="165">
        <v>14</v>
      </c>
      <c r="S26" s="183">
        <v>9</v>
      </c>
      <c r="T26" s="183">
        <v>9</v>
      </c>
      <c r="U26" s="183">
        <v>9</v>
      </c>
      <c r="V26" s="183">
        <v>9</v>
      </c>
      <c r="W26" s="183">
        <v>11</v>
      </c>
      <c r="X26" s="183">
        <v>10</v>
      </c>
      <c r="Y26" s="183">
        <v>9</v>
      </c>
      <c r="AA26" s="184">
        <f t="shared" si="17"/>
        <v>0.97562964331501312</v>
      </c>
      <c r="AB26" s="184">
        <f t="shared" si="18"/>
        <v>0.96236299087536603</v>
      </c>
      <c r="AC26" s="184">
        <f t="shared" si="19"/>
        <v>0.95065274393726873</v>
      </c>
      <c r="AD26" s="184">
        <f t="shared" si="20"/>
        <v>0.93189531567171235</v>
      </c>
      <c r="AE26" s="184">
        <f t="shared" si="21"/>
        <v>0.97991832895411868</v>
      </c>
      <c r="AF26" s="184">
        <f t="shared" si="22"/>
        <v>0.96796889815930265</v>
      </c>
      <c r="AG26" s="184">
        <f t="shared" si="23"/>
        <v>0.97022538252661217</v>
      </c>
      <c r="AI26" s="214">
        <f t="shared" si="24"/>
        <v>0</v>
      </c>
      <c r="AJ26" s="214">
        <f t="shared" si="25"/>
        <v>0</v>
      </c>
      <c r="AK26" s="214">
        <f t="shared" si="26"/>
        <v>0</v>
      </c>
      <c r="AL26" s="214">
        <f t="shared" si="27"/>
        <v>-1</v>
      </c>
      <c r="AM26" s="214">
        <f t="shared" si="28"/>
        <v>0</v>
      </c>
      <c r="AN26" s="214">
        <f t="shared" si="29"/>
        <v>0</v>
      </c>
      <c r="AO26" s="214">
        <f t="shared" si="30"/>
        <v>0</v>
      </c>
      <c r="AP26" s="206">
        <f t="shared" si="31"/>
        <v>0.27083333333333331</v>
      </c>
      <c r="AQ26" s="213">
        <f t="shared" si="32"/>
        <v>0</v>
      </c>
      <c r="AR26" s="213">
        <f t="shared" si="33"/>
        <v>0</v>
      </c>
      <c r="AS26" s="213">
        <f t="shared" si="34"/>
        <v>0</v>
      </c>
      <c r="AT26" s="213">
        <f t="shared" si="35"/>
        <v>-9.9999999999999978E-2</v>
      </c>
      <c r="AU26" s="213">
        <f t="shared" si="36"/>
        <v>0</v>
      </c>
      <c r="AV26" s="213">
        <f t="shared" si="37"/>
        <v>0</v>
      </c>
      <c r="AW26" s="213">
        <f t="shared" si="38"/>
        <v>0</v>
      </c>
      <c r="AY26" s="186">
        <f t="shared" si="39"/>
        <v>42.114679603098061</v>
      </c>
      <c r="AZ26" s="186">
        <f t="shared" si="40"/>
        <v>45.070666739329646</v>
      </c>
      <c r="BA26" s="186">
        <f t="shared" si="41"/>
        <v>46.581984452926164</v>
      </c>
      <c r="BB26" s="186">
        <f t="shared" si="42"/>
        <v>49.297262199033582</v>
      </c>
      <c r="BC26" s="186">
        <f t="shared" si="43"/>
        <v>57.357886188114414</v>
      </c>
      <c r="BD26" s="186">
        <f t="shared" si="44"/>
        <v>53.883601997534512</v>
      </c>
      <c r="BE26" s="186">
        <f t="shared" si="45"/>
        <v>47.605725435972431</v>
      </c>
    </row>
    <row r="27" spans="1:57" ht="12.75" x14ac:dyDescent="0.2">
      <c r="A27" s="181">
        <f t="shared" si="9"/>
        <v>79.48571428571428</v>
      </c>
      <c r="B27" s="187">
        <f t="shared" si="46"/>
        <v>0.29166666666666663</v>
      </c>
      <c r="C27" s="135">
        <v>68.533333333333331</v>
      </c>
      <c r="D27" s="135">
        <v>73.433333333333337</v>
      </c>
      <c r="E27" s="135">
        <v>75.766666666666666</v>
      </c>
      <c r="F27" s="135">
        <v>82.733333333333334</v>
      </c>
      <c r="G27" s="135">
        <v>88.833333333333329</v>
      </c>
      <c r="H27" s="135">
        <v>89.899999999999991</v>
      </c>
      <c r="I27" s="135">
        <v>77.2</v>
      </c>
      <c r="J27" s="165">
        <v>15</v>
      </c>
      <c r="K27" s="43">
        <f t="shared" si="10"/>
        <v>13</v>
      </c>
      <c r="L27" s="43">
        <f t="shared" si="11"/>
        <v>13</v>
      </c>
      <c r="M27" s="43">
        <f t="shared" si="12"/>
        <v>14</v>
      </c>
      <c r="N27" s="43">
        <f t="shared" si="13"/>
        <v>15</v>
      </c>
      <c r="O27" s="43">
        <f t="shared" si="14"/>
        <v>15</v>
      </c>
      <c r="P27" s="43">
        <f t="shared" si="15"/>
        <v>15</v>
      </c>
      <c r="Q27" s="43">
        <f t="shared" si="16"/>
        <v>13</v>
      </c>
      <c r="R27" s="165">
        <v>15</v>
      </c>
      <c r="S27" s="183">
        <v>20</v>
      </c>
      <c r="T27" s="183">
        <v>18</v>
      </c>
      <c r="U27" s="183">
        <v>19</v>
      </c>
      <c r="V27" s="183">
        <v>20</v>
      </c>
      <c r="W27" s="183">
        <v>22</v>
      </c>
      <c r="X27" s="183">
        <v>19</v>
      </c>
      <c r="Y27" s="183">
        <v>13</v>
      </c>
      <c r="AA27" s="184">
        <f t="shared" si="17"/>
        <v>0.99999209119075283</v>
      </c>
      <c r="AB27" s="184">
        <f t="shared" si="18"/>
        <v>0.99986079307106768</v>
      </c>
      <c r="AC27" s="184">
        <f t="shared" si="19"/>
        <v>0.99992450060114257</v>
      </c>
      <c r="AD27" s="184">
        <f t="shared" si="20"/>
        <v>0.99994614691662886</v>
      </c>
      <c r="AE27" s="184">
        <f t="shared" si="21"/>
        <v>0.99998608400626754</v>
      </c>
      <c r="AF27" s="184">
        <f t="shared" si="22"/>
        <v>0.99964686002142356</v>
      </c>
      <c r="AG27" s="184">
        <f t="shared" si="23"/>
        <v>0.98090962591373099</v>
      </c>
      <c r="AI27" s="214">
        <f t="shared" si="24"/>
        <v>7</v>
      </c>
      <c r="AJ27" s="214">
        <f t="shared" si="25"/>
        <v>5</v>
      </c>
      <c r="AK27" s="214">
        <f t="shared" si="26"/>
        <v>5</v>
      </c>
      <c r="AL27" s="214">
        <f t="shared" si="27"/>
        <v>5</v>
      </c>
      <c r="AM27" s="214">
        <f t="shared" si="28"/>
        <v>7</v>
      </c>
      <c r="AN27" s="214">
        <f t="shared" si="29"/>
        <v>4</v>
      </c>
      <c r="AO27" s="214">
        <f t="shared" si="30"/>
        <v>0</v>
      </c>
      <c r="AP27" s="206">
        <f t="shared" si="31"/>
        <v>0.29166666666666663</v>
      </c>
      <c r="AQ27" s="213">
        <f t="shared" si="32"/>
        <v>0.53846153846153855</v>
      </c>
      <c r="AR27" s="213">
        <f t="shared" si="33"/>
        <v>0.38461538461538458</v>
      </c>
      <c r="AS27" s="213">
        <f t="shared" si="34"/>
        <v>0.35714285714285721</v>
      </c>
      <c r="AT27" s="213">
        <f t="shared" si="35"/>
        <v>0.33333333333333326</v>
      </c>
      <c r="AU27" s="213">
        <f t="shared" si="36"/>
        <v>0.46666666666666656</v>
      </c>
      <c r="AV27" s="213">
        <f t="shared" si="37"/>
        <v>0.26666666666666661</v>
      </c>
      <c r="AW27" s="213">
        <f t="shared" si="38"/>
        <v>0</v>
      </c>
      <c r="AY27" s="186">
        <f t="shared" si="39"/>
        <v>68.53279131627292</v>
      </c>
      <c r="AZ27" s="186">
        <f t="shared" si="40"/>
        <v>73.423110904518737</v>
      </c>
      <c r="BA27" s="186">
        <f t="shared" si="41"/>
        <v>75.760946328879896</v>
      </c>
      <c r="BB27" s="186">
        <f t="shared" si="42"/>
        <v>82.728877888235758</v>
      </c>
      <c r="BC27" s="186">
        <f t="shared" si="43"/>
        <v>88.832097129223428</v>
      </c>
      <c r="BD27" s="186">
        <f t="shared" si="44"/>
        <v>89.868252715925962</v>
      </c>
      <c r="BE27" s="186">
        <f t="shared" si="45"/>
        <v>75.726223120540041</v>
      </c>
    </row>
    <row r="28" spans="1:57" ht="12.75" x14ac:dyDescent="0.2">
      <c r="A28" s="181">
        <f t="shared" si="9"/>
        <v>106.93333333333335</v>
      </c>
      <c r="B28" s="187">
        <f t="shared" si="46"/>
        <v>0.31249999999999994</v>
      </c>
      <c r="C28" s="135">
        <v>97.033333333333346</v>
      </c>
      <c r="D28" s="135">
        <v>96.733333333333334</v>
      </c>
      <c r="E28" s="135">
        <v>100.06666666666666</v>
      </c>
      <c r="F28" s="135">
        <v>110</v>
      </c>
      <c r="G28" s="135">
        <v>114.3</v>
      </c>
      <c r="H28" s="135">
        <v>121.7</v>
      </c>
      <c r="I28" s="135">
        <v>108.7</v>
      </c>
      <c r="J28" s="165">
        <v>16</v>
      </c>
      <c r="K28" s="43">
        <f t="shared" si="10"/>
        <v>18</v>
      </c>
      <c r="L28" s="43">
        <f t="shared" si="11"/>
        <v>17</v>
      </c>
      <c r="M28" s="43">
        <f t="shared" si="12"/>
        <v>18</v>
      </c>
      <c r="N28" s="43">
        <f t="shared" si="13"/>
        <v>19</v>
      </c>
      <c r="O28" s="43">
        <f t="shared" si="14"/>
        <v>19</v>
      </c>
      <c r="P28" s="43">
        <f t="shared" si="15"/>
        <v>20</v>
      </c>
      <c r="Q28" s="43">
        <f t="shared" si="16"/>
        <v>18</v>
      </c>
      <c r="R28" s="165">
        <v>16</v>
      </c>
      <c r="S28" s="183">
        <v>23</v>
      </c>
      <c r="T28" s="183">
        <v>21</v>
      </c>
      <c r="U28" s="183">
        <v>22</v>
      </c>
      <c r="V28" s="183">
        <v>21</v>
      </c>
      <c r="W28" s="183">
        <v>23</v>
      </c>
      <c r="X28" s="183">
        <v>21</v>
      </c>
      <c r="Y28" s="183">
        <v>18</v>
      </c>
      <c r="AA28" s="184">
        <f t="shared" si="17"/>
        <v>0.99995296050941496</v>
      </c>
      <c r="AB28" s="184">
        <f t="shared" si="18"/>
        <v>0.99973417561524991</v>
      </c>
      <c r="AC28" s="184">
        <f t="shared" si="19"/>
        <v>0.99985041508022665</v>
      </c>
      <c r="AD28" s="184">
        <f t="shared" si="20"/>
        <v>0.99897116960062726</v>
      </c>
      <c r="AE28" s="184">
        <f t="shared" si="21"/>
        <v>0.99976681047425253</v>
      </c>
      <c r="AF28" s="184">
        <f t="shared" si="22"/>
        <v>0.99694999553688313</v>
      </c>
      <c r="AG28" s="184">
        <f t="shared" si="23"/>
        <v>0.99253442559700888</v>
      </c>
      <c r="AI28" s="214">
        <f t="shared" si="24"/>
        <v>5</v>
      </c>
      <c r="AJ28" s="214">
        <f t="shared" si="25"/>
        <v>4</v>
      </c>
      <c r="AK28" s="214">
        <f t="shared" si="26"/>
        <v>4</v>
      </c>
      <c r="AL28" s="214">
        <f t="shared" si="27"/>
        <v>2</v>
      </c>
      <c r="AM28" s="214">
        <f t="shared" si="28"/>
        <v>4</v>
      </c>
      <c r="AN28" s="214">
        <f t="shared" si="29"/>
        <v>1</v>
      </c>
      <c r="AO28" s="214">
        <f t="shared" si="30"/>
        <v>0</v>
      </c>
      <c r="AP28" s="206">
        <f t="shared" si="31"/>
        <v>0.31249999999999994</v>
      </c>
      <c r="AQ28" s="213">
        <f t="shared" si="32"/>
        <v>0.27777777777777768</v>
      </c>
      <c r="AR28" s="213">
        <f t="shared" si="33"/>
        <v>0.23529411764705888</v>
      </c>
      <c r="AS28" s="213">
        <f t="shared" si="34"/>
        <v>0.22222222222222232</v>
      </c>
      <c r="AT28" s="213">
        <f t="shared" si="35"/>
        <v>0.10526315789473695</v>
      </c>
      <c r="AU28" s="213">
        <f t="shared" si="36"/>
        <v>0.21052631578947367</v>
      </c>
      <c r="AV28" s="213">
        <f t="shared" si="37"/>
        <v>5.0000000000000044E-2</v>
      </c>
      <c r="AW28" s="213">
        <f t="shared" si="38"/>
        <v>0</v>
      </c>
      <c r="AY28" s="186">
        <f t="shared" si="39"/>
        <v>97.028768934763576</v>
      </c>
      <c r="AZ28" s="186">
        <f t="shared" si="40"/>
        <v>96.70761925451518</v>
      </c>
      <c r="BA28" s="186">
        <f t="shared" si="41"/>
        <v>100.05169820236134</v>
      </c>
      <c r="BB28" s="186">
        <f t="shared" si="42"/>
        <v>109.886828656069</v>
      </c>
      <c r="BC28" s="186">
        <f t="shared" si="43"/>
        <v>114.27334643720707</v>
      </c>
      <c r="BD28" s="186">
        <f t="shared" si="44"/>
        <v>121.32881445683869</v>
      </c>
      <c r="BE28" s="186">
        <f t="shared" si="45"/>
        <v>107.88849206239487</v>
      </c>
    </row>
    <row r="29" spans="1:57" ht="12.75" x14ac:dyDescent="0.2">
      <c r="A29" s="181">
        <f t="shared" si="9"/>
        <v>131.6</v>
      </c>
      <c r="B29" s="187">
        <f t="shared" si="46"/>
        <v>0.33333333333333326</v>
      </c>
      <c r="C29" s="135">
        <v>123</v>
      </c>
      <c r="D29" s="135">
        <v>120.8</v>
      </c>
      <c r="E29" s="135">
        <v>124.26666666666665</v>
      </c>
      <c r="F29" s="135">
        <v>132.43333333333331</v>
      </c>
      <c r="G29" s="135">
        <v>136.63333333333333</v>
      </c>
      <c r="H29" s="135">
        <v>149.9</v>
      </c>
      <c r="I29" s="135">
        <v>134.16666666666666</v>
      </c>
      <c r="J29" s="165">
        <v>17</v>
      </c>
      <c r="K29" s="43">
        <f t="shared" si="10"/>
        <v>22</v>
      </c>
      <c r="L29" s="43">
        <f t="shared" si="11"/>
        <v>21</v>
      </c>
      <c r="M29" s="43">
        <f t="shared" si="12"/>
        <v>22</v>
      </c>
      <c r="N29" s="43">
        <f t="shared" si="13"/>
        <v>22</v>
      </c>
      <c r="O29" s="43">
        <f t="shared" si="14"/>
        <v>24</v>
      </c>
      <c r="P29" s="43">
        <f t="shared" si="15"/>
        <v>26</v>
      </c>
      <c r="Q29" s="43">
        <f t="shared" si="16"/>
        <v>22</v>
      </c>
      <c r="R29" s="165">
        <v>17</v>
      </c>
      <c r="S29" s="183">
        <v>27</v>
      </c>
      <c r="T29" s="183">
        <v>23</v>
      </c>
      <c r="U29" s="183">
        <v>24</v>
      </c>
      <c r="V29" s="183">
        <v>26</v>
      </c>
      <c r="W29" s="183">
        <v>29</v>
      </c>
      <c r="X29" s="183">
        <v>27</v>
      </c>
      <c r="Y29" s="183">
        <v>22</v>
      </c>
      <c r="AA29" s="184">
        <f t="shared" si="17"/>
        <v>0.99995677719558129</v>
      </c>
      <c r="AB29" s="184">
        <f t="shared" si="18"/>
        <v>0.99901573536798727</v>
      </c>
      <c r="AC29" s="184">
        <f t="shared" si="19"/>
        <v>0.99942155819716183</v>
      </c>
      <c r="AD29" s="184">
        <f t="shared" si="20"/>
        <v>0.99984561240758818</v>
      </c>
      <c r="AE29" s="184">
        <f t="shared" si="21"/>
        <v>0.9999855755496363</v>
      </c>
      <c r="AF29" s="184">
        <f t="shared" si="22"/>
        <v>0.99963542303126418</v>
      </c>
      <c r="AG29" s="184">
        <f t="shared" si="23"/>
        <v>0.99665399961338086</v>
      </c>
      <c r="AI29" s="214">
        <f t="shared" si="24"/>
        <v>5</v>
      </c>
      <c r="AJ29" s="214">
        <f t="shared" si="25"/>
        <v>2</v>
      </c>
      <c r="AK29" s="214">
        <f t="shared" si="26"/>
        <v>2</v>
      </c>
      <c r="AL29" s="214">
        <f t="shared" si="27"/>
        <v>4</v>
      </c>
      <c r="AM29" s="214">
        <f t="shared" si="28"/>
        <v>5</v>
      </c>
      <c r="AN29" s="214">
        <f t="shared" si="29"/>
        <v>1</v>
      </c>
      <c r="AO29" s="214">
        <f t="shared" si="30"/>
        <v>0</v>
      </c>
      <c r="AP29" s="206">
        <f t="shared" si="31"/>
        <v>0.33333333333333326</v>
      </c>
      <c r="AQ29" s="213">
        <f t="shared" si="32"/>
        <v>0.22727272727272729</v>
      </c>
      <c r="AR29" s="213">
        <f t="shared" si="33"/>
        <v>9.5238095238095344E-2</v>
      </c>
      <c r="AS29" s="213">
        <f t="shared" si="34"/>
        <v>9.0909090909090828E-2</v>
      </c>
      <c r="AT29" s="213">
        <f t="shared" si="35"/>
        <v>0.18181818181818188</v>
      </c>
      <c r="AU29" s="213">
        <f t="shared" si="36"/>
        <v>0.20833333333333326</v>
      </c>
      <c r="AV29" s="213">
        <f t="shared" si="37"/>
        <v>3.8461538461538547E-2</v>
      </c>
      <c r="AW29" s="213">
        <f t="shared" si="38"/>
        <v>0</v>
      </c>
      <c r="AY29" s="186">
        <f t="shared" si="39"/>
        <v>122.9946835950565</v>
      </c>
      <c r="AZ29" s="186">
        <f t="shared" si="40"/>
        <v>120.68110083245286</v>
      </c>
      <c r="BA29" s="186">
        <f t="shared" si="41"/>
        <v>124.19478563196729</v>
      </c>
      <c r="BB29" s="186">
        <f t="shared" si="42"/>
        <v>132.4128872698449</v>
      </c>
      <c r="BC29" s="186">
        <f t="shared" si="43"/>
        <v>136.63136247259862</v>
      </c>
      <c r="BD29" s="186">
        <f t="shared" si="44"/>
        <v>149.8453499123865</v>
      </c>
      <c r="BE29" s="186">
        <f t="shared" si="45"/>
        <v>133.7177449481286</v>
      </c>
    </row>
    <row r="30" spans="1:57" ht="12.75" x14ac:dyDescent="0.2">
      <c r="A30" s="181">
        <f t="shared" si="9"/>
        <v>155.63333333333335</v>
      </c>
      <c r="B30" s="187">
        <f t="shared" si="46"/>
        <v>0.35416666666666657</v>
      </c>
      <c r="C30" s="135">
        <v>151.96666666666667</v>
      </c>
      <c r="D30" s="135">
        <v>143.43333333333331</v>
      </c>
      <c r="E30" s="135">
        <v>147.4</v>
      </c>
      <c r="F30" s="135">
        <v>152.43333333333331</v>
      </c>
      <c r="G30" s="135">
        <v>160.20000000000002</v>
      </c>
      <c r="H30" s="135">
        <v>176.56666666666669</v>
      </c>
      <c r="I30" s="135">
        <v>157.43333333333331</v>
      </c>
      <c r="J30" s="165">
        <v>18</v>
      </c>
      <c r="K30" s="43">
        <f t="shared" si="10"/>
        <v>28</v>
      </c>
      <c r="L30" s="43">
        <f t="shared" si="11"/>
        <v>26</v>
      </c>
      <c r="M30" s="43">
        <f t="shared" si="12"/>
        <v>26</v>
      </c>
      <c r="N30" s="43">
        <f t="shared" si="13"/>
        <v>27</v>
      </c>
      <c r="O30" s="43">
        <f t="shared" si="14"/>
        <v>28</v>
      </c>
      <c r="P30" s="43">
        <f>AgentsRequired(H30,$B$10,P$10,$C$4,$C$6,$C$2,$H$8)</f>
        <v>30</v>
      </c>
      <c r="Q30" s="43">
        <f t="shared" si="16"/>
        <v>26</v>
      </c>
      <c r="R30" s="165">
        <v>18</v>
      </c>
      <c r="S30" s="183">
        <v>33</v>
      </c>
      <c r="T30" s="183">
        <v>29</v>
      </c>
      <c r="U30" s="183">
        <v>31</v>
      </c>
      <c r="V30" s="183">
        <v>31</v>
      </c>
      <c r="W30" s="183">
        <v>31</v>
      </c>
      <c r="X30" s="183">
        <v>31</v>
      </c>
      <c r="Y30" s="183">
        <v>26</v>
      </c>
      <c r="AA30" s="184">
        <f t="shared" si="17"/>
        <v>0.99999201345514355</v>
      </c>
      <c r="AB30" s="184">
        <f t="shared" si="18"/>
        <v>0.99993434081233012</v>
      </c>
      <c r="AC30" s="184">
        <f t="shared" si="19"/>
        <v>0.99998322597308897</v>
      </c>
      <c r="AD30" s="184">
        <f t="shared" si="20"/>
        <v>0.99998199418836675</v>
      </c>
      <c r="AE30" s="184">
        <f t="shared" si="21"/>
        <v>0.9999550259634713</v>
      </c>
      <c r="AF30" s="184">
        <f t="shared" si="22"/>
        <v>0.99977080379764183</v>
      </c>
      <c r="AG30" s="184">
        <f t="shared" si="23"/>
        <v>0.99876549517444602</v>
      </c>
      <c r="AI30" s="214">
        <f t="shared" si="24"/>
        <v>5</v>
      </c>
      <c r="AJ30" s="214">
        <f t="shared" si="25"/>
        <v>3</v>
      </c>
      <c r="AK30" s="214">
        <f t="shared" si="26"/>
        <v>5</v>
      </c>
      <c r="AL30" s="214">
        <f t="shared" si="27"/>
        <v>4</v>
      </c>
      <c r="AM30" s="214">
        <f t="shared" si="28"/>
        <v>3</v>
      </c>
      <c r="AN30" s="214">
        <f t="shared" si="29"/>
        <v>1</v>
      </c>
      <c r="AO30" s="214">
        <f t="shared" si="30"/>
        <v>0</v>
      </c>
      <c r="AP30" s="206">
        <f t="shared" si="31"/>
        <v>0.35416666666666657</v>
      </c>
      <c r="AQ30" s="213">
        <f t="shared" si="32"/>
        <v>0.1785714285714286</v>
      </c>
      <c r="AR30" s="213">
        <f t="shared" si="33"/>
        <v>0.11538461538461542</v>
      </c>
      <c r="AS30" s="213">
        <f t="shared" si="34"/>
        <v>0.19230769230769229</v>
      </c>
      <c r="AT30" s="213">
        <f t="shared" si="35"/>
        <v>0.14814814814814814</v>
      </c>
      <c r="AU30" s="213">
        <f t="shared" si="36"/>
        <v>0.10714285714285721</v>
      </c>
      <c r="AV30" s="213">
        <f t="shared" si="37"/>
        <v>3.3333333333333437E-2</v>
      </c>
      <c r="AW30" s="213">
        <f t="shared" si="38"/>
        <v>0</v>
      </c>
      <c r="AY30" s="186">
        <f t="shared" si="39"/>
        <v>151.96545297806665</v>
      </c>
      <c r="AZ30" s="186">
        <f t="shared" si="40"/>
        <v>143.42391561718185</v>
      </c>
      <c r="BA30" s="186">
        <f t="shared" si="41"/>
        <v>147.39752750843331</v>
      </c>
      <c r="BB30" s="186">
        <f t="shared" si="42"/>
        <v>152.43058864744668</v>
      </c>
      <c r="BC30" s="186">
        <f t="shared" si="43"/>
        <v>160.19279515934812</v>
      </c>
      <c r="BD30" s="186">
        <f t="shared" si="44"/>
        <v>176.52619825720365</v>
      </c>
      <c r="BE30" s="186">
        <f t="shared" si="45"/>
        <v>157.23898112363025</v>
      </c>
    </row>
    <row r="31" spans="1:57" ht="12.75" x14ac:dyDescent="0.2">
      <c r="A31" s="181">
        <f t="shared" si="9"/>
        <v>178.4190476190476</v>
      </c>
      <c r="B31" s="187">
        <f t="shared" si="46"/>
        <v>0.37499999999999989</v>
      </c>
      <c r="C31" s="135">
        <v>175.23333333333335</v>
      </c>
      <c r="D31" s="135">
        <v>169.06666666666663</v>
      </c>
      <c r="E31" s="135">
        <v>174.96666666666667</v>
      </c>
      <c r="F31" s="135">
        <v>172.43333333333331</v>
      </c>
      <c r="G31" s="135">
        <v>186.83333333333334</v>
      </c>
      <c r="H31" s="135">
        <v>200.56666666666669</v>
      </c>
      <c r="I31" s="135">
        <v>169.83333333333331</v>
      </c>
      <c r="J31" s="165">
        <v>19</v>
      </c>
      <c r="K31" s="43">
        <f t="shared" si="10"/>
        <v>31</v>
      </c>
      <c r="L31" s="43">
        <f t="shared" si="11"/>
        <v>30</v>
      </c>
      <c r="M31" s="43">
        <f t="shared" si="12"/>
        <v>31</v>
      </c>
      <c r="N31" s="43">
        <f t="shared" si="13"/>
        <v>30</v>
      </c>
      <c r="O31" s="43">
        <f t="shared" si="14"/>
        <v>32</v>
      </c>
      <c r="P31" s="43">
        <f t="shared" si="15"/>
        <v>34</v>
      </c>
      <c r="Q31" s="43">
        <f t="shared" si="16"/>
        <v>28</v>
      </c>
      <c r="R31" s="165">
        <v>19</v>
      </c>
      <c r="S31" s="183">
        <v>36</v>
      </c>
      <c r="T31" s="183">
        <v>30</v>
      </c>
      <c r="U31" s="183">
        <v>34</v>
      </c>
      <c r="V31" s="183">
        <v>38</v>
      </c>
      <c r="W31" s="183">
        <v>34</v>
      </c>
      <c r="X31" s="183">
        <v>35</v>
      </c>
      <c r="Y31" s="183">
        <v>28</v>
      </c>
      <c r="AA31" s="184">
        <f t="shared" si="17"/>
        <v>0.99998907211373389</v>
      </c>
      <c r="AB31" s="184">
        <f t="shared" si="18"/>
        <v>0.99939588424164949</v>
      </c>
      <c r="AC31" s="184">
        <f t="shared" si="19"/>
        <v>0.99996034026175751</v>
      </c>
      <c r="AD31" s="184">
        <f t="shared" si="20"/>
        <v>0.99999972153270678</v>
      </c>
      <c r="AE31" s="184">
        <f t="shared" si="21"/>
        <v>0.99992376462598431</v>
      </c>
      <c r="AF31" s="184">
        <f t="shared" si="22"/>
        <v>0.99989702489573551</v>
      </c>
      <c r="AG31" s="184">
        <f t="shared" si="23"/>
        <v>0.99912021191873501</v>
      </c>
      <c r="AI31" s="214">
        <f t="shared" si="24"/>
        <v>5</v>
      </c>
      <c r="AJ31" s="214">
        <f t="shared" si="25"/>
        <v>0</v>
      </c>
      <c r="AK31" s="214">
        <f t="shared" si="26"/>
        <v>3</v>
      </c>
      <c r="AL31" s="214">
        <f t="shared" si="27"/>
        <v>8</v>
      </c>
      <c r="AM31" s="214">
        <f t="shared" si="28"/>
        <v>2</v>
      </c>
      <c r="AN31" s="214">
        <f t="shared" si="29"/>
        <v>1</v>
      </c>
      <c r="AO31" s="214">
        <f t="shared" si="30"/>
        <v>0</v>
      </c>
      <c r="AP31" s="206">
        <f t="shared" si="31"/>
        <v>0.37499999999999989</v>
      </c>
      <c r="AQ31" s="213">
        <f t="shared" si="32"/>
        <v>0.16129032258064524</v>
      </c>
      <c r="AR31" s="213">
        <f t="shared" si="33"/>
        <v>0</v>
      </c>
      <c r="AS31" s="213">
        <f t="shared" si="34"/>
        <v>9.6774193548387011E-2</v>
      </c>
      <c r="AT31" s="213">
        <f t="shared" si="35"/>
        <v>0.26666666666666661</v>
      </c>
      <c r="AU31" s="213">
        <f t="shared" si="36"/>
        <v>6.25E-2</v>
      </c>
      <c r="AV31" s="213">
        <f t="shared" si="37"/>
        <v>2.9411764705882248E-2</v>
      </c>
      <c r="AW31" s="213">
        <f t="shared" si="38"/>
        <v>0</v>
      </c>
      <c r="AY31" s="186">
        <f t="shared" si="39"/>
        <v>175.23141840339665</v>
      </c>
      <c r="AZ31" s="186">
        <f t="shared" si="40"/>
        <v>168.96453082912151</v>
      </c>
      <c r="BA31" s="186">
        <f t="shared" si="41"/>
        <v>174.95972753446551</v>
      </c>
      <c r="BB31" s="186">
        <f t="shared" si="42"/>
        <v>172.43328531628973</v>
      </c>
      <c r="BC31" s="186">
        <f t="shared" si="43"/>
        <v>186.81909002428807</v>
      </c>
      <c r="BD31" s="186">
        <f t="shared" si="44"/>
        <v>200.5460132932547</v>
      </c>
      <c r="BE31" s="186">
        <f t="shared" si="45"/>
        <v>169.68391599086513</v>
      </c>
    </row>
    <row r="32" spans="1:57" ht="12.75" x14ac:dyDescent="0.2">
      <c r="A32" s="181">
        <f t="shared" si="9"/>
        <v>195.78095238095239</v>
      </c>
      <c r="B32" s="187">
        <f t="shared" si="46"/>
        <v>0.3958333333333332</v>
      </c>
      <c r="C32" s="135">
        <v>196.23333333333335</v>
      </c>
      <c r="D32" s="135">
        <v>187.23333333333335</v>
      </c>
      <c r="E32" s="135">
        <v>200.56666666666669</v>
      </c>
      <c r="F32" s="135">
        <v>185.1</v>
      </c>
      <c r="G32" s="135">
        <v>203.1</v>
      </c>
      <c r="H32" s="135">
        <v>219.26666666666665</v>
      </c>
      <c r="I32" s="135">
        <v>178.96666666666667</v>
      </c>
      <c r="J32" s="165">
        <v>20</v>
      </c>
      <c r="K32" s="43">
        <f t="shared" si="10"/>
        <v>35</v>
      </c>
      <c r="L32" s="43">
        <f t="shared" si="11"/>
        <v>33</v>
      </c>
      <c r="M32" s="43">
        <f t="shared" si="12"/>
        <v>35</v>
      </c>
      <c r="N32" s="43">
        <f t="shared" si="13"/>
        <v>32</v>
      </c>
      <c r="O32" s="43">
        <f t="shared" si="14"/>
        <v>34</v>
      </c>
      <c r="P32" s="43">
        <f t="shared" si="15"/>
        <v>36</v>
      </c>
      <c r="Q32" s="43">
        <f t="shared" si="16"/>
        <v>30</v>
      </c>
      <c r="R32" s="165">
        <v>20</v>
      </c>
      <c r="S32" s="183">
        <v>36</v>
      </c>
      <c r="T32" s="183">
        <v>33</v>
      </c>
      <c r="U32" s="183">
        <v>35</v>
      </c>
      <c r="V32" s="183">
        <v>38</v>
      </c>
      <c r="W32" s="183">
        <v>34</v>
      </c>
      <c r="X32" s="183">
        <v>34</v>
      </c>
      <c r="Y32" s="183">
        <v>30</v>
      </c>
      <c r="AA32" s="184">
        <f t="shared" si="17"/>
        <v>0.99986422946790277</v>
      </c>
      <c r="AB32" s="184">
        <f t="shared" si="18"/>
        <v>0.99963735113487173</v>
      </c>
      <c r="AC32" s="184">
        <f t="shared" si="19"/>
        <v>0.99968196151417033</v>
      </c>
      <c r="AD32" s="184">
        <f t="shared" si="20"/>
        <v>0.99999824038181273</v>
      </c>
      <c r="AE32" s="184">
        <f t="shared" si="21"/>
        <v>0.99958106697141047</v>
      </c>
      <c r="AF32" s="184">
        <f t="shared" si="22"/>
        <v>0.99865742228165166</v>
      </c>
      <c r="AG32" s="184">
        <f t="shared" si="23"/>
        <v>0.99958394584427834</v>
      </c>
      <c r="AI32" s="214">
        <f t="shared" si="24"/>
        <v>1</v>
      </c>
      <c r="AJ32" s="214">
        <f t="shared" si="25"/>
        <v>0</v>
      </c>
      <c r="AK32" s="214">
        <f t="shared" si="26"/>
        <v>0</v>
      </c>
      <c r="AL32" s="214">
        <f t="shared" si="27"/>
        <v>6</v>
      </c>
      <c r="AM32" s="214">
        <f t="shared" si="28"/>
        <v>0</v>
      </c>
      <c r="AN32" s="214">
        <f t="shared" si="29"/>
        <v>-2</v>
      </c>
      <c r="AO32" s="214">
        <f t="shared" si="30"/>
        <v>0</v>
      </c>
      <c r="AP32" s="206">
        <f t="shared" si="31"/>
        <v>0.3958333333333332</v>
      </c>
      <c r="AQ32" s="213">
        <f t="shared" si="32"/>
        <v>2.857142857142847E-2</v>
      </c>
      <c r="AR32" s="213">
        <f t="shared" si="33"/>
        <v>0</v>
      </c>
      <c r="AS32" s="213">
        <f t="shared" si="34"/>
        <v>0</v>
      </c>
      <c r="AT32" s="213">
        <f t="shared" si="35"/>
        <v>0.1875</v>
      </c>
      <c r="AU32" s="213">
        <f t="shared" si="36"/>
        <v>0</v>
      </c>
      <c r="AV32" s="213">
        <f t="shared" si="37"/>
        <v>-5.555555555555558E-2</v>
      </c>
      <c r="AW32" s="213">
        <f t="shared" si="38"/>
        <v>0</v>
      </c>
      <c r="AY32" s="186">
        <f t="shared" si="39"/>
        <v>196.20669062925145</v>
      </c>
      <c r="AZ32" s="186">
        <f t="shared" si="40"/>
        <v>187.16543337748584</v>
      </c>
      <c r="BA32" s="186">
        <f t="shared" si="41"/>
        <v>200.50287874769211</v>
      </c>
      <c r="BB32" s="186">
        <f t="shared" si="42"/>
        <v>185.09967429467352</v>
      </c>
      <c r="BC32" s="186">
        <f t="shared" si="43"/>
        <v>203.01491470189347</v>
      </c>
      <c r="BD32" s="186">
        <f t="shared" si="44"/>
        <v>218.97228412562347</v>
      </c>
      <c r="BE32" s="186">
        <f t="shared" si="45"/>
        <v>178.89220684126434</v>
      </c>
    </row>
    <row r="33" spans="1:59" ht="12.75" x14ac:dyDescent="0.2">
      <c r="A33" s="181">
        <f t="shared" si="9"/>
        <v>209.20476190476188</v>
      </c>
      <c r="B33" s="187">
        <f t="shared" si="46"/>
        <v>0.41666666666666652</v>
      </c>
      <c r="C33" s="135">
        <v>208.86666666666665</v>
      </c>
      <c r="D33" s="135">
        <v>199.66666666666666</v>
      </c>
      <c r="E33" s="135">
        <v>218.19999999999996</v>
      </c>
      <c r="F33" s="135">
        <v>199.56666666666669</v>
      </c>
      <c r="G33" s="135">
        <v>217.56666666666669</v>
      </c>
      <c r="H33" s="135">
        <v>234.56666666666669</v>
      </c>
      <c r="I33" s="135">
        <v>186</v>
      </c>
      <c r="J33" s="165">
        <v>21</v>
      </c>
      <c r="K33" s="43">
        <f t="shared" si="10"/>
        <v>37</v>
      </c>
      <c r="L33" s="43">
        <f t="shared" si="11"/>
        <v>35</v>
      </c>
      <c r="M33" s="43">
        <f t="shared" si="12"/>
        <v>38</v>
      </c>
      <c r="N33" s="43">
        <f t="shared" si="13"/>
        <v>34</v>
      </c>
      <c r="O33" s="43">
        <f t="shared" si="14"/>
        <v>38</v>
      </c>
      <c r="P33" s="43">
        <f t="shared" si="15"/>
        <v>39</v>
      </c>
      <c r="Q33" s="43">
        <f t="shared" si="16"/>
        <v>31</v>
      </c>
      <c r="R33" s="165">
        <v>21</v>
      </c>
      <c r="S33" s="183">
        <v>37</v>
      </c>
      <c r="T33" s="183">
        <v>36</v>
      </c>
      <c r="U33" s="183">
        <v>38</v>
      </c>
      <c r="V33" s="183">
        <v>38</v>
      </c>
      <c r="W33" s="183">
        <v>37</v>
      </c>
      <c r="X33" s="183">
        <v>40</v>
      </c>
      <c r="Y33" s="183">
        <v>30</v>
      </c>
      <c r="AA33" s="184">
        <f t="shared" si="17"/>
        <v>0.99975426923555899</v>
      </c>
      <c r="AB33" s="184">
        <f t="shared" si="18"/>
        <v>0.99987194343275609</v>
      </c>
      <c r="AC33" s="184">
        <f t="shared" si="19"/>
        <v>0.99982772504938444</v>
      </c>
      <c r="AD33" s="184">
        <f t="shared" si="20"/>
        <v>0.99998819527765093</v>
      </c>
      <c r="AE33" s="184">
        <f t="shared" si="21"/>
        <v>0.99982581449597685</v>
      </c>
      <c r="AF33" s="184">
        <f t="shared" si="22"/>
        <v>0.99994229648688837</v>
      </c>
      <c r="AG33" s="184">
        <f t="shared" si="23"/>
        <v>0.99915369415411115</v>
      </c>
      <c r="AI33" s="214">
        <f t="shared" si="24"/>
        <v>0</v>
      </c>
      <c r="AJ33" s="214">
        <f t="shared" si="25"/>
        <v>1</v>
      </c>
      <c r="AK33" s="214">
        <f t="shared" si="26"/>
        <v>0</v>
      </c>
      <c r="AL33" s="214">
        <f t="shared" si="27"/>
        <v>4</v>
      </c>
      <c r="AM33" s="214">
        <f t="shared" si="28"/>
        <v>-1</v>
      </c>
      <c r="AN33" s="214">
        <f t="shared" si="29"/>
        <v>1</v>
      </c>
      <c r="AO33" s="214">
        <f t="shared" si="30"/>
        <v>-1</v>
      </c>
      <c r="AP33" s="206">
        <f t="shared" si="31"/>
        <v>0.41666666666666652</v>
      </c>
      <c r="AQ33" s="213">
        <f t="shared" si="32"/>
        <v>0</v>
      </c>
      <c r="AR33" s="213">
        <f t="shared" si="33"/>
        <v>2.857142857142847E-2</v>
      </c>
      <c r="AS33" s="213">
        <f t="shared" si="34"/>
        <v>0</v>
      </c>
      <c r="AT33" s="213">
        <f t="shared" si="35"/>
        <v>0.11764705882352944</v>
      </c>
      <c r="AU33" s="213">
        <f t="shared" si="36"/>
        <v>-2.6315789473684181E-2</v>
      </c>
      <c r="AV33" s="213">
        <f t="shared" si="37"/>
        <v>2.564102564102555E-2</v>
      </c>
      <c r="AW33" s="213">
        <f t="shared" si="38"/>
        <v>-3.2258064516129004E-2</v>
      </c>
      <c r="AY33" s="186">
        <f t="shared" si="39"/>
        <v>208.81534170100039</v>
      </c>
      <c r="AZ33" s="186">
        <f t="shared" si="40"/>
        <v>199.6410980387403</v>
      </c>
      <c r="BA33" s="186">
        <f t="shared" si="41"/>
        <v>218.16240960577565</v>
      </c>
      <c r="BB33" s="186">
        <f t="shared" si="42"/>
        <v>199.56431083757656</v>
      </c>
      <c r="BC33" s="186">
        <f t="shared" si="43"/>
        <v>217.52876970717472</v>
      </c>
      <c r="BD33" s="186">
        <f t="shared" si="44"/>
        <v>234.55313134594115</v>
      </c>
      <c r="BE33" s="186">
        <f t="shared" si="45"/>
        <v>185.84258711266466</v>
      </c>
    </row>
    <row r="34" spans="1:59" ht="12.75" x14ac:dyDescent="0.2">
      <c r="A34" s="181">
        <f t="shared" si="9"/>
        <v>219.51428571428573</v>
      </c>
      <c r="B34" s="187">
        <f t="shared" si="46"/>
        <v>0.43749999999999983</v>
      </c>
      <c r="C34" s="135">
        <v>220.4</v>
      </c>
      <c r="D34" s="135">
        <v>205.43333333333331</v>
      </c>
      <c r="E34" s="135">
        <v>225.80000000000004</v>
      </c>
      <c r="F34" s="135">
        <v>213.73333333333335</v>
      </c>
      <c r="G34" s="135">
        <v>228.29999999999998</v>
      </c>
      <c r="H34" s="135">
        <v>248.26666666666665</v>
      </c>
      <c r="I34" s="135">
        <v>194.66666666666666</v>
      </c>
      <c r="J34" s="165">
        <v>22</v>
      </c>
      <c r="K34" s="43">
        <f t="shared" si="10"/>
        <v>39</v>
      </c>
      <c r="L34" s="43">
        <f t="shared" si="11"/>
        <v>36</v>
      </c>
      <c r="M34" s="43">
        <f t="shared" si="12"/>
        <v>39</v>
      </c>
      <c r="N34" s="43">
        <f t="shared" si="13"/>
        <v>36</v>
      </c>
      <c r="O34" s="43">
        <f t="shared" si="14"/>
        <v>39</v>
      </c>
      <c r="P34" s="43">
        <f t="shared" si="15"/>
        <v>42</v>
      </c>
      <c r="Q34" s="43">
        <f t="shared" si="16"/>
        <v>32</v>
      </c>
      <c r="R34" s="165">
        <v>22</v>
      </c>
      <c r="S34" s="183">
        <v>38</v>
      </c>
      <c r="T34" s="183">
        <v>37</v>
      </c>
      <c r="U34" s="183">
        <v>38</v>
      </c>
      <c r="V34" s="183">
        <v>38</v>
      </c>
      <c r="W34" s="183">
        <v>38</v>
      </c>
      <c r="X34" s="183">
        <v>41</v>
      </c>
      <c r="Y34" s="183">
        <v>31</v>
      </c>
      <c r="AA34" s="184">
        <f t="shared" si="17"/>
        <v>0.99965109738230251</v>
      </c>
      <c r="AB34" s="184">
        <f t="shared" si="18"/>
        <v>0.99990273186637035</v>
      </c>
      <c r="AC34" s="184">
        <f t="shared" si="19"/>
        <v>0.99961684330343137</v>
      </c>
      <c r="AD34" s="184">
        <f t="shared" si="20"/>
        <v>0.99994198907448928</v>
      </c>
      <c r="AE34" s="184">
        <f t="shared" si="21"/>
        <v>0.99978545252500972</v>
      </c>
      <c r="AF34" s="184">
        <f t="shared" si="22"/>
        <v>0.99990474276686037</v>
      </c>
      <c r="AG34" s="184">
        <f t="shared" si="23"/>
        <v>0.99909024888008902</v>
      </c>
      <c r="AI34" s="214">
        <f t="shared" si="24"/>
        <v>-1</v>
      </c>
      <c r="AJ34" s="214">
        <f t="shared" si="25"/>
        <v>1</v>
      </c>
      <c r="AK34" s="214">
        <f t="shared" si="26"/>
        <v>-1</v>
      </c>
      <c r="AL34" s="214">
        <f t="shared" si="27"/>
        <v>2</v>
      </c>
      <c r="AM34" s="214">
        <f t="shared" si="28"/>
        <v>-1</v>
      </c>
      <c r="AN34" s="214">
        <f t="shared" si="29"/>
        <v>-1</v>
      </c>
      <c r="AO34" s="214">
        <f t="shared" si="30"/>
        <v>-1</v>
      </c>
      <c r="AP34" s="206">
        <f t="shared" si="31"/>
        <v>0.43749999999999983</v>
      </c>
      <c r="AQ34" s="213">
        <f t="shared" si="32"/>
        <v>-2.5641025641025661E-2</v>
      </c>
      <c r="AR34" s="213">
        <f t="shared" si="33"/>
        <v>2.7777777777777679E-2</v>
      </c>
      <c r="AS34" s="213">
        <f t="shared" si="34"/>
        <v>-2.5641025641025661E-2</v>
      </c>
      <c r="AT34" s="213">
        <f t="shared" si="35"/>
        <v>5.555555555555558E-2</v>
      </c>
      <c r="AU34" s="213">
        <f t="shared" si="36"/>
        <v>-2.5641025641025661E-2</v>
      </c>
      <c r="AV34" s="213">
        <f t="shared" si="37"/>
        <v>-2.3809523809523836E-2</v>
      </c>
      <c r="AW34" s="213">
        <f t="shared" si="38"/>
        <v>-3.125E-2</v>
      </c>
      <c r="AY34" s="186">
        <f t="shared" si="39"/>
        <v>220.32310186305949</v>
      </c>
      <c r="AZ34" s="186">
        <f t="shared" si="40"/>
        <v>205.41335121641467</v>
      </c>
      <c r="BA34" s="186">
        <f t="shared" si="41"/>
        <v>225.71348321791484</v>
      </c>
      <c r="BB34" s="186">
        <f t="shared" si="42"/>
        <v>213.7209344648542</v>
      </c>
      <c r="BC34" s="186">
        <f t="shared" si="43"/>
        <v>228.25101881145972</v>
      </c>
      <c r="BD34" s="186">
        <f t="shared" si="44"/>
        <v>248.2430174709192</v>
      </c>
      <c r="BE34" s="186">
        <f t="shared" si="45"/>
        <v>194.48956844865731</v>
      </c>
    </row>
    <row r="35" spans="1:59" ht="12.75" x14ac:dyDescent="0.2">
      <c r="A35" s="181">
        <f t="shared" si="9"/>
        <v>227.26190476190479</v>
      </c>
      <c r="B35" s="187">
        <f t="shared" si="46"/>
        <v>0.45833333333333315</v>
      </c>
      <c r="C35" s="135">
        <v>230.5</v>
      </c>
      <c r="D35" s="135">
        <v>212.86666666666667</v>
      </c>
      <c r="E35" s="135">
        <v>223.76666666666665</v>
      </c>
      <c r="F35" s="135">
        <v>229.96666666666667</v>
      </c>
      <c r="G35" s="135">
        <v>237.03333333333333</v>
      </c>
      <c r="H35" s="135">
        <v>256.9666666666667</v>
      </c>
      <c r="I35" s="135">
        <v>199.73333333333335</v>
      </c>
      <c r="J35" s="165">
        <v>23</v>
      </c>
      <c r="K35" s="43">
        <f t="shared" si="10"/>
        <v>40</v>
      </c>
      <c r="L35" s="43">
        <f t="shared" si="11"/>
        <v>37</v>
      </c>
      <c r="M35" s="43">
        <f t="shared" si="12"/>
        <v>39</v>
      </c>
      <c r="N35" s="43">
        <f t="shared" si="13"/>
        <v>40</v>
      </c>
      <c r="O35" s="43">
        <f t="shared" si="14"/>
        <v>41</v>
      </c>
      <c r="P35" s="43">
        <f t="shared" si="15"/>
        <v>43</v>
      </c>
      <c r="Q35" s="43">
        <f t="shared" si="16"/>
        <v>33</v>
      </c>
      <c r="R35" s="165">
        <v>23</v>
      </c>
      <c r="S35" s="183">
        <v>39</v>
      </c>
      <c r="T35" s="183">
        <v>38</v>
      </c>
      <c r="U35" s="183">
        <v>38</v>
      </c>
      <c r="V35" s="183">
        <v>40</v>
      </c>
      <c r="W35" s="183">
        <v>39</v>
      </c>
      <c r="X35" s="183">
        <v>41</v>
      </c>
      <c r="Y35" s="183">
        <v>33</v>
      </c>
      <c r="AA35" s="184">
        <f t="shared" si="17"/>
        <v>0.99955954126934787</v>
      </c>
      <c r="AB35" s="184">
        <f t="shared" si="18"/>
        <v>0.99989790130258949</v>
      </c>
      <c r="AC35" s="184">
        <f t="shared" si="19"/>
        <v>0.99968493486539645</v>
      </c>
      <c r="AD35" s="184">
        <f t="shared" si="20"/>
        <v>0.99993865757627987</v>
      </c>
      <c r="AE35" s="184">
        <f t="shared" si="21"/>
        <v>0.99976279650190203</v>
      </c>
      <c r="AF35" s="184">
        <f t="shared" si="22"/>
        <v>0.99977549627791806</v>
      </c>
      <c r="AG35" s="184">
        <f t="shared" si="23"/>
        <v>0.99970568732922993</v>
      </c>
      <c r="AI35" s="214">
        <f t="shared" si="24"/>
        <v>-1</v>
      </c>
      <c r="AJ35" s="214">
        <f t="shared" si="25"/>
        <v>1</v>
      </c>
      <c r="AK35" s="214">
        <f t="shared" si="26"/>
        <v>-1</v>
      </c>
      <c r="AL35" s="214">
        <f t="shared" si="27"/>
        <v>0</v>
      </c>
      <c r="AM35" s="214">
        <f t="shared" si="28"/>
        <v>-2</v>
      </c>
      <c r="AN35" s="214">
        <f t="shared" si="29"/>
        <v>-2</v>
      </c>
      <c r="AO35" s="214">
        <f t="shared" si="30"/>
        <v>0</v>
      </c>
      <c r="AP35" s="206">
        <f t="shared" si="31"/>
        <v>0.45833333333333315</v>
      </c>
      <c r="AQ35" s="213">
        <f t="shared" si="32"/>
        <v>-2.5000000000000022E-2</v>
      </c>
      <c r="AR35" s="213">
        <f t="shared" si="33"/>
        <v>2.7027027027026973E-2</v>
      </c>
      <c r="AS35" s="213">
        <f t="shared" si="34"/>
        <v>-2.5641025641025661E-2</v>
      </c>
      <c r="AT35" s="213">
        <f t="shared" si="35"/>
        <v>0</v>
      </c>
      <c r="AU35" s="213">
        <f t="shared" si="36"/>
        <v>-4.8780487804878092E-2</v>
      </c>
      <c r="AV35" s="213">
        <f t="shared" si="37"/>
        <v>-4.6511627906976716E-2</v>
      </c>
      <c r="AW35" s="213">
        <f t="shared" si="38"/>
        <v>0</v>
      </c>
      <c r="AY35" s="186">
        <f t="shared" si="39"/>
        <v>230.39847426258467</v>
      </c>
      <c r="AZ35" s="186">
        <f t="shared" si="40"/>
        <v>212.84493325727789</v>
      </c>
      <c r="BA35" s="186">
        <f t="shared" si="41"/>
        <v>223.69616559171354</v>
      </c>
      <c r="BB35" s="186">
        <f t="shared" si="42"/>
        <v>229.95255995395848</v>
      </c>
      <c r="BC35" s="186">
        <f t="shared" si="43"/>
        <v>236.97710819750085</v>
      </c>
      <c r="BD35" s="186">
        <f t="shared" si="44"/>
        <v>256.90897669354905</v>
      </c>
      <c r="BE35" s="186">
        <f t="shared" si="45"/>
        <v>199.67454928255822</v>
      </c>
    </row>
    <row r="36" spans="1:59" ht="12.75" x14ac:dyDescent="0.2">
      <c r="A36" s="181">
        <f t="shared" si="9"/>
        <v>230.37142857142859</v>
      </c>
      <c r="B36" s="187">
        <f t="shared" si="46"/>
        <v>0.47916666666666646</v>
      </c>
      <c r="C36" s="135">
        <v>234.86666666666667</v>
      </c>
      <c r="D36" s="135">
        <v>218.20000000000002</v>
      </c>
      <c r="E36" s="135">
        <v>217.6</v>
      </c>
      <c r="F36" s="135">
        <v>236.56666666666669</v>
      </c>
      <c r="G36" s="135">
        <v>236.83333333333334</v>
      </c>
      <c r="H36" s="135">
        <v>263.56666666666666</v>
      </c>
      <c r="I36" s="135">
        <v>204.96666666666667</v>
      </c>
      <c r="J36" s="165">
        <v>24</v>
      </c>
      <c r="K36" s="43">
        <f t="shared" si="10"/>
        <v>41</v>
      </c>
      <c r="L36" s="43">
        <f t="shared" si="11"/>
        <v>38</v>
      </c>
      <c r="M36" s="43">
        <f t="shared" si="12"/>
        <v>38</v>
      </c>
      <c r="N36" s="43">
        <f t="shared" si="13"/>
        <v>41</v>
      </c>
      <c r="O36" s="43">
        <f t="shared" si="14"/>
        <v>41</v>
      </c>
      <c r="P36" s="43">
        <f t="shared" si="15"/>
        <v>44</v>
      </c>
      <c r="Q36" s="43">
        <f t="shared" si="16"/>
        <v>34</v>
      </c>
      <c r="R36" s="165">
        <v>24</v>
      </c>
      <c r="S36" s="183">
        <v>39</v>
      </c>
      <c r="T36" s="183">
        <v>38</v>
      </c>
      <c r="U36" s="183">
        <v>38</v>
      </c>
      <c r="V36" s="183">
        <v>40</v>
      </c>
      <c r="W36" s="183">
        <v>39</v>
      </c>
      <c r="X36" s="183">
        <v>41</v>
      </c>
      <c r="Y36" s="183">
        <v>33</v>
      </c>
      <c r="AA36" s="184">
        <f t="shared" si="17"/>
        <v>0.99929218037429979</v>
      </c>
      <c r="AB36" s="184">
        <f t="shared" si="18"/>
        <v>0.99982772504938444</v>
      </c>
      <c r="AC36" s="184">
        <f t="shared" si="19"/>
        <v>0.99982772504938444</v>
      </c>
      <c r="AD36" s="184">
        <f t="shared" si="20"/>
        <v>0.99987486797685965</v>
      </c>
      <c r="AE36" s="184">
        <f t="shared" si="21"/>
        <v>0.99976279650190203</v>
      </c>
      <c r="AF36" s="184">
        <f t="shared" si="22"/>
        <v>0.99957626821485712</v>
      </c>
      <c r="AG36" s="184">
        <f t="shared" si="23"/>
        <v>0.99951649982171054</v>
      </c>
      <c r="AI36" s="214">
        <f t="shared" si="24"/>
        <v>-2</v>
      </c>
      <c r="AJ36" s="214">
        <f t="shared" si="25"/>
        <v>0</v>
      </c>
      <c r="AK36" s="214">
        <f t="shared" si="26"/>
        <v>0</v>
      </c>
      <c r="AL36" s="214">
        <f t="shared" si="27"/>
        <v>-1</v>
      </c>
      <c r="AM36" s="214">
        <f t="shared" si="28"/>
        <v>-2</v>
      </c>
      <c r="AN36" s="214">
        <f t="shared" si="29"/>
        <v>-3</v>
      </c>
      <c r="AO36" s="214">
        <f t="shared" si="30"/>
        <v>-1</v>
      </c>
      <c r="AP36" s="206">
        <f t="shared" si="31"/>
        <v>0.47916666666666646</v>
      </c>
      <c r="AQ36" s="213">
        <f t="shared" si="32"/>
        <v>-4.8780487804878092E-2</v>
      </c>
      <c r="AR36" s="213">
        <f t="shared" si="33"/>
        <v>0</v>
      </c>
      <c r="AS36" s="213">
        <f t="shared" si="34"/>
        <v>0</v>
      </c>
      <c r="AT36" s="213">
        <f t="shared" si="35"/>
        <v>-2.4390243902439046E-2</v>
      </c>
      <c r="AU36" s="213">
        <f t="shared" si="36"/>
        <v>-4.8780487804878092E-2</v>
      </c>
      <c r="AV36" s="213">
        <f t="shared" si="37"/>
        <v>-6.8181818181818232E-2</v>
      </c>
      <c r="AW36" s="213">
        <f t="shared" si="38"/>
        <v>-2.9411764705882359E-2</v>
      </c>
      <c r="AY36" s="186">
        <f t="shared" si="39"/>
        <v>234.70042343057722</v>
      </c>
      <c r="AZ36" s="186">
        <f t="shared" si="40"/>
        <v>218.16240960577571</v>
      </c>
      <c r="BA36" s="186">
        <f t="shared" si="41"/>
        <v>217.56251297074604</v>
      </c>
      <c r="BB36" s="186">
        <f t="shared" si="42"/>
        <v>236.53706460105911</v>
      </c>
      <c r="BC36" s="186">
        <f t="shared" si="43"/>
        <v>236.77715563820047</v>
      </c>
      <c r="BD36" s="186">
        <f t="shared" si="44"/>
        <v>263.45498509249586</v>
      </c>
      <c r="BE36" s="186">
        <f t="shared" si="45"/>
        <v>204.86756524678995</v>
      </c>
    </row>
    <row r="37" spans="1:59" ht="12.75" x14ac:dyDescent="0.2">
      <c r="A37" s="181">
        <f t="shared" si="9"/>
        <v>229.11428571428573</v>
      </c>
      <c r="B37" s="187">
        <f t="shared" si="46"/>
        <v>0.49999999999999978</v>
      </c>
      <c r="C37" s="135">
        <v>232.5333333333333</v>
      </c>
      <c r="D37" s="135">
        <v>215.73333333333335</v>
      </c>
      <c r="E37" s="135">
        <v>219.20000000000002</v>
      </c>
      <c r="F37" s="135">
        <v>238.96666666666667</v>
      </c>
      <c r="G37" s="135">
        <v>232.63333333333333</v>
      </c>
      <c r="H37" s="135">
        <v>261.86666666666667</v>
      </c>
      <c r="I37" s="135">
        <v>202.86666666666667</v>
      </c>
      <c r="J37" s="165">
        <v>25</v>
      </c>
      <c r="K37" s="43">
        <f t="shared" si="10"/>
        <v>41</v>
      </c>
      <c r="L37" s="43">
        <f t="shared" si="11"/>
        <v>37</v>
      </c>
      <c r="M37" s="43">
        <f t="shared" si="12"/>
        <v>38</v>
      </c>
      <c r="N37" s="43">
        <f t="shared" si="13"/>
        <v>41</v>
      </c>
      <c r="O37" s="43">
        <f t="shared" si="14"/>
        <v>40</v>
      </c>
      <c r="P37" s="43">
        <f t="shared" si="15"/>
        <v>44</v>
      </c>
      <c r="Q37" s="43">
        <f t="shared" si="16"/>
        <v>33</v>
      </c>
      <c r="R37" s="165">
        <v>25</v>
      </c>
      <c r="S37" s="183">
        <v>33</v>
      </c>
      <c r="T37" s="183">
        <v>37</v>
      </c>
      <c r="U37" s="183">
        <v>34</v>
      </c>
      <c r="V37" s="183">
        <v>37</v>
      </c>
      <c r="W37" s="183">
        <v>36</v>
      </c>
      <c r="X37" s="183">
        <v>43</v>
      </c>
      <c r="Y37" s="183">
        <v>33</v>
      </c>
      <c r="AA37" s="184">
        <f t="shared" si="17"/>
        <v>0.96742380560227959</v>
      </c>
      <c r="AB37" s="184">
        <f t="shared" si="18"/>
        <v>0.999693409655107</v>
      </c>
      <c r="AC37" s="184">
        <f t="shared" si="19"/>
        <v>0.99631927531141384</v>
      </c>
      <c r="AD37" s="184">
        <f t="shared" si="20"/>
        <v>0.99856839940928011</v>
      </c>
      <c r="AE37" s="184">
        <f t="shared" si="21"/>
        <v>0.99846194995585569</v>
      </c>
      <c r="AF37" s="184">
        <f t="shared" si="22"/>
        <v>0.99992255837303246</v>
      </c>
      <c r="AG37" s="184">
        <f t="shared" si="23"/>
        <v>0.99960270762057923</v>
      </c>
      <c r="AI37" s="214">
        <f t="shared" si="24"/>
        <v>-8</v>
      </c>
      <c r="AJ37" s="214">
        <f t="shared" si="25"/>
        <v>0</v>
      </c>
      <c r="AK37" s="214">
        <f t="shared" si="26"/>
        <v>-4</v>
      </c>
      <c r="AL37" s="214">
        <f t="shared" si="27"/>
        <v>-4</v>
      </c>
      <c r="AM37" s="214">
        <f t="shared" si="28"/>
        <v>-4</v>
      </c>
      <c r="AN37" s="214">
        <f t="shared" si="29"/>
        <v>-1</v>
      </c>
      <c r="AO37" s="214">
        <f t="shared" si="30"/>
        <v>0</v>
      </c>
      <c r="AP37" s="206">
        <f t="shared" si="31"/>
        <v>0.49999999999999978</v>
      </c>
      <c r="AQ37" s="213">
        <f t="shared" si="32"/>
        <v>-0.19512195121951215</v>
      </c>
      <c r="AR37" s="213">
        <f t="shared" si="33"/>
        <v>0</v>
      </c>
      <c r="AS37" s="213">
        <f t="shared" si="34"/>
        <v>-0.10526315789473684</v>
      </c>
      <c r="AT37" s="213">
        <f t="shared" si="35"/>
        <v>-9.7560975609756073E-2</v>
      </c>
      <c r="AU37" s="213">
        <f t="shared" si="36"/>
        <v>-9.9999999999999978E-2</v>
      </c>
      <c r="AV37" s="213">
        <f t="shared" si="37"/>
        <v>-2.2727272727272707E-2</v>
      </c>
      <c r="AW37" s="213">
        <f t="shared" si="38"/>
        <v>0</v>
      </c>
      <c r="AY37" s="186">
        <f t="shared" si="39"/>
        <v>224.95828226271672</v>
      </c>
      <c r="AZ37" s="186">
        <f t="shared" si="40"/>
        <v>215.66719157626176</v>
      </c>
      <c r="BA37" s="186">
        <f t="shared" si="41"/>
        <v>218.39318514826192</v>
      </c>
      <c r="BB37" s="186">
        <f t="shared" si="42"/>
        <v>238.6245618455043</v>
      </c>
      <c r="BC37" s="186">
        <f t="shared" si="43"/>
        <v>232.27553162473055</v>
      </c>
      <c r="BD37" s="186">
        <f t="shared" si="44"/>
        <v>261.84638728595144</v>
      </c>
      <c r="BE37" s="186">
        <f t="shared" si="45"/>
        <v>202.7860692859615</v>
      </c>
    </row>
    <row r="38" spans="1:59" ht="12.75" x14ac:dyDescent="0.2">
      <c r="A38" s="181">
        <f t="shared" si="9"/>
        <v>226.37142857142859</v>
      </c>
      <c r="B38" s="187">
        <f t="shared" si="46"/>
        <v>0.52083333333333315</v>
      </c>
      <c r="C38" s="135">
        <v>226.5</v>
      </c>
      <c r="D38" s="135">
        <v>212.4</v>
      </c>
      <c r="E38" s="135">
        <v>221.33333333333334</v>
      </c>
      <c r="F38" s="135">
        <v>237.5</v>
      </c>
      <c r="G38" s="135">
        <v>227.63333333333333</v>
      </c>
      <c r="H38" s="135">
        <v>255.33333333333334</v>
      </c>
      <c r="I38" s="135">
        <v>203.9</v>
      </c>
      <c r="J38" s="165">
        <v>26</v>
      </c>
      <c r="K38" s="43">
        <f t="shared" si="10"/>
        <v>40</v>
      </c>
      <c r="L38" s="43">
        <f t="shared" si="11"/>
        <v>37</v>
      </c>
      <c r="M38" s="43">
        <f t="shared" si="12"/>
        <v>38</v>
      </c>
      <c r="N38" s="43">
        <f t="shared" si="13"/>
        <v>41</v>
      </c>
      <c r="O38" s="43">
        <f t="shared" si="14"/>
        <v>39</v>
      </c>
      <c r="P38" s="43">
        <f t="shared" si="15"/>
        <v>43</v>
      </c>
      <c r="Q38" s="43">
        <f t="shared" si="16"/>
        <v>33</v>
      </c>
      <c r="R38" s="165">
        <v>26</v>
      </c>
      <c r="S38" s="183">
        <v>39</v>
      </c>
      <c r="T38" s="183">
        <v>37</v>
      </c>
      <c r="U38" s="183">
        <v>37</v>
      </c>
      <c r="V38" s="183">
        <v>37</v>
      </c>
      <c r="W38" s="183">
        <v>38</v>
      </c>
      <c r="X38" s="183">
        <v>44</v>
      </c>
      <c r="Y38" s="183">
        <v>38</v>
      </c>
      <c r="AA38" s="184">
        <f t="shared" si="17"/>
        <v>0.99970219015376938</v>
      </c>
      <c r="AB38" s="184">
        <f t="shared" si="18"/>
        <v>0.99979587862578567</v>
      </c>
      <c r="AC38" s="184">
        <f t="shared" si="19"/>
        <v>0.99949836154149629</v>
      </c>
      <c r="AD38" s="184">
        <f t="shared" si="20"/>
        <v>0.99868894464012614</v>
      </c>
      <c r="AE38" s="184">
        <f t="shared" si="21"/>
        <v>0.99978545252500972</v>
      </c>
      <c r="AF38" s="184">
        <f t="shared" si="22"/>
        <v>0.99998276856982893</v>
      </c>
      <c r="AG38" s="184">
        <f t="shared" si="23"/>
        <v>0.99999424009815763</v>
      </c>
      <c r="AI38" s="214">
        <f t="shared" si="24"/>
        <v>-1</v>
      </c>
      <c r="AJ38" s="214">
        <f t="shared" si="25"/>
        <v>0</v>
      </c>
      <c r="AK38" s="214">
        <f t="shared" si="26"/>
        <v>-1</v>
      </c>
      <c r="AL38" s="214">
        <f t="shared" si="27"/>
        <v>-4</v>
      </c>
      <c r="AM38" s="214">
        <f t="shared" si="28"/>
        <v>-1</v>
      </c>
      <c r="AN38" s="214">
        <f t="shared" si="29"/>
        <v>1</v>
      </c>
      <c r="AO38" s="214">
        <f t="shared" si="30"/>
        <v>5</v>
      </c>
      <c r="AP38" s="206">
        <f t="shared" si="31"/>
        <v>0.52083333333333315</v>
      </c>
      <c r="AQ38" s="213">
        <f t="shared" si="32"/>
        <v>-2.5000000000000022E-2</v>
      </c>
      <c r="AR38" s="213">
        <f t="shared" si="33"/>
        <v>0</v>
      </c>
      <c r="AS38" s="213">
        <f t="shared" si="34"/>
        <v>-2.6315789473684181E-2</v>
      </c>
      <c r="AT38" s="213">
        <f t="shared" si="35"/>
        <v>-9.7560975609756073E-2</v>
      </c>
      <c r="AU38" s="213">
        <f t="shared" si="36"/>
        <v>-2.5641025641025661E-2</v>
      </c>
      <c r="AV38" s="213">
        <f t="shared" si="37"/>
        <v>2.3255813953488413E-2</v>
      </c>
      <c r="AW38" s="213">
        <f t="shared" si="38"/>
        <v>0.1515151515151516</v>
      </c>
      <c r="AY38" s="186">
        <f t="shared" si="39"/>
        <v>226.43254606982876</v>
      </c>
      <c r="AZ38" s="186">
        <f t="shared" si="40"/>
        <v>212.3566446201169</v>
      </c>
      <c r="BA38" s="186">
        <f t="shared" si="41"/>
        <v>221.22230402118453</v>
      </c>
      <c r="BB38" s="186">
        <f t="shared" si="42"/>
        <v>237.18862435202996</v>
      </c>
      <c r="BC38" s="186">
        <f t="shared" si="43"/>
        <v>227.58449517644303</v>
      </c>
      <c r="BD38" s="186">
        <f t="shared" si="44"/>
        <v>255.32893357482968</v>
      </c>
      <c r="BE38" s="186">
        <f t="shared" si="45"/>
        <v>203.89882555601434</v>
      </c>
      <c r="BG38" s="219"/>
    </row>
    <row r="39" spans="1:59" ht="13.5" customHeight="1" x14ac:dyDescent="0.2">
      <c r="A39" s="181">
        <f t="shared" si="9"/>
        <v>222</v>
      </c>
      <c r="B39" s="187">
        <f t="shared" si="46"/>
        <v>0.54166666666666652</v>
      </c>
      <c r="C39" s="135">
        <v>221.70000000000002</v>
      </c>
      <c r="D39" s="135">
        <v>207.06666666666669</v>
      </c>
      <c r="E39" s="135">
        <v>228.73333333333332</v>
      </c>
      <c r="F39" s="135">
        <v>234.9</v>
      </c>
      <c r="G39" s="135">
        <v>221.9666666666667</v>
      </c>
      <c r="H39" s="135">
        <v>242.33333333333334</v>
      </c>
      <c r="I39" s="135">
        <v>197.29999999999998</v>
      </c>
      <c r="J39" s="165">
        <v>27</v>
      </c>
      <c r="K39" s="43">
        <f t="shared" si="10"/>
        <v>39</v>
      </c>
      <c r="L39" s="43">
        <f t="shared" si="11"/>
        <v>36</v>
      </c>
      <c r="M39" s="43">
        <f t="shared" si="12"/>
        <v>40</v>
      </c>
      <c r="N39" s="43">
        <f t="shared" si="13"/>
        <v>41</v>
      </c>
      <c r="O39" s="43">
        <f t="shared" si="14"/>
        <v>38</v>
      </c>
      <c r="P39" s="43">
        <f t="shared" si="15"/>
        <v>41</v>
      </c>
      <c r="Q39" s="43">
        <f t="shared" si="16"/>
        <v>32</v>
      </c>
      <c r="R39" s="165">
        <v>27</v>
      </c>
      <c r="S39" s="183">
        <v>36</v>
      </c>
      <c r="T39" s="183">
        <v>33</v>
      </c>
      <c r="U39" s="183">
        <v>42</v>
      </c>
      <c r="V39" s="183">
        <v>38</v>
      </c>
      <c r="W39" s="183">
        <v>38</v>
      </c>
      <c r="X39" s="183">
        <v>33</v>
      </c>
      <c r="Y39" s="183">
        <v>27</v>
      </c>
      <c r="AA39" s="184">
        <f t="shared" si="17"/>
        <v>0.99817802327535932</v>
      </c>
      <c r="AB39" s="184">
        <f t="shared" si="18"/>
        <v>0.99742294552159316</v>
      </c>
      <c r="AC39" s="184">
        <f t="shared" si="19"/>
        <v>0.99997786260348043</v>
      </c>
      <c r="AD39" s="184">
        <f t="shared" si="20"/>
        <v>0.99952135706446954</v>
      </c>
      <c r="AE39" s="184">
        <f t="shared" si="21"/>
        <v>0.99988257979670714</v>
      </c>
      <c r="AF39" s="184">
        <f t="shared" si="22"/>
        <v>0.98208328296060299</v>
      </c>
      <c r="AG39" s="184">
        <f t="shared" si="23"/>
        <v>0.97864509156384571</v>
      </c>
      <c r="AI39" s="214">
        <f t="shared" si="24"/>
        <v>-3</v>
      </c>
      <c r="AJ39" s="214">
        <f t="shared" si="25"/>
        <v>-3</v>
      </c>
      <c r="AK39" s="214">
        <f t="shared" si="26"/>
        <v>2</v>
      </c>
      <c r="AL39" s="214">
        <f t="shared" si="27"/>
        <v>-3</v>
      </c>
      <c r="AM39" s="214">
        <f t="shared" si="28"/>
        <v>0</v>
      </c>
      <c r="AN39" s="218">
        <f>X39-P39</f>
        <v>-8</v>
      </c>
      <c r="AO39" s="214">
        <f t="shared" si="30"/>
        <v>-5</v>
      </c>
      <c r="AP39" s="206">
        <f t="shared" si="31"/>
        <v>0.54166666666666652</v>
      </c>
      <c r="AQ39" s="213">
        <f t="shared" si="32"/>
        <v>-7.6923076923076872E-2</v>
      </c>
      <c r="AR39" s="213">
        <f t="shared" si="33"/>
        <v>-8.333333333333337E-2</v>
      </c>
      <c r="AS39" s="213">
        <f t="shared" si="34"/>
        <v>5.0000000000000044E-2</v>
      </c>
      <c r="AT39" s="213">
        <f t="shared" si="35"/>
        <v>-7.3170731707317027E-2</v>
      </c>
      <c r="AU39" s="213">
        <f t="shared" si="36"/>
        <v>0</v>
      </c>
      <c r="AV39" s="213">
        <f t="shared" si="37"/>
        <v>-0.19512195121951215</v>
      </c>
      <c r="AW39" s="213">
        <f t="shared" si="38"/>
        <v>-0.15625</v>
      </c>
      <c r="AY39" s="186">
        <f t="shared" si="39"/>
        <v>221.29606776014717</v>
      </c>
      <c r="AZ39" s="186">
        <f t="shared" si="40"/>
        <v>206.53304458600459</v>
      </c>
      <c r="BA39" s="186">
        <f t="shared" si="41"/>
        <v>228.72826977283609</v>
      </c>
      <c r="BB39" s="186">
        <f t="shared" si="42"/>
        <v>234.78756677444389</v>
      </c>
      <c r="BC39" s="186">
        <f t="shared" si="43"/>
        <v>221.94060329554245</v>
      </c>
      <c r="BD39" s="186">
        <f t="shared" si="44"/>
        <v>237.99151557078613</v>
      </c>
      <c r="BE39" s="186">
        <f t="shared" si="45"/>
        <v>193.08667656554675</v>
      </c>
    </row>
    <row r="40" spans="1:59" ht="13.5" customHeight="1" x14ac:dyDescent="0.2">
      <c r="A40" s="181">
        <f t="shared" si="9"/>
        <v>218.11904761904765</v>
      </c>
      <c r="B40" s="187">
        <f t="shared" si="46"/>
        <v>0.56249999999999989</v>
      </c>
      <c r="C40" s="135">
        <v>219.6</v>
      </c>
      <c r="D40" s="135">
        <v>205.13333333333333</v>
      </c>
      <c r="E40" s="135">
        <v>228.80000000000004</v>
      </c>
      <c r="F40" s="135">
        <v>228.73333333333335</v>
      </c>
      <c r="G40" s="135">
        <v>218.29999999999998</v>
      </c>
      <c r="H40" s="135">
        <v>231.63333333333333</v>
      </c>
      <c r="I40" s="135">
        <v>194.63333333333333</v>
      </c>
      <c r="J40" s="165">
        <v>28</v>
      </c>
      <c r="K40" s="43">
        <f t="shared" si="10"/>
        <v>39</v>
      </c>
      <c r="L40" s="43">
        <f t="shared" si="11"/>
        <v>36</v>
      </c>
      <c r="M40" s="43">
        <f t="shared" si="12"/>
        <v>40</v>
      </c>
      <c r="N40" s="43">
        <f t="shared" si="13"/>
        <v>40</v>
      </c>
      <c r="O40" s="43">
        <f t="shared" si="14"/>
        <v>38</v>
      </c>
      <c r="P40" s="43">
        <f t="shared" si="15"/>
        <v>38</v>
      </c>
      <c r="Q40" s="43">
        <f t="shared" si="16"/>
        <v>32</v>
      </c>
      <c r="R40" s="165">
        <v>28</v>
      </c>
      <c r="S40" s="183">
        <v>36</v>
      </c>
      <c r="T40" s="183">
        <v>33</v>
      </c>
      <c r="U40" s="183">
        <v>42</v>
      </c>
      <c r="V40" s="183">
        <v>39</v>
      </c>
      <c r="W40" s="183">
        <v>38</v>
      </c>
      <c r="X40" s="183">
        <v>35</v>
      </c>
      <c r="Y40" s="183">
        <v>32</v>
      </c>
      <c r="AA40" s="184">
        <f t="shared" si="17"/>
        <v>0.99848224329648161</v>
      </c>
      <c r="AB40" s="184">
        <f t="shared" si="18"/>
        <v>0.99785375481236405</v>
      </c>
      <c r="AC40" s="184">
        <f t="shared" si="19"/>
        <v>0.99997786260348043</v>
      </c>
      <c r="AD40" s="184">
        <f t="shared" si="20"/>
        <v>0.99987657131333785</v>
      </c>
      <c r="AE40" s="184">
        <f t="shared" si="21"/>
        <v>0.99992253618558213</v>
      </c>
      <c r="AF40" s="184">
        <f t="shared" si="22"/>
        <v>0.99796839695365003</v>
      </c>
      <c r="AG40" s="184">
        <f t="shared" si="23"/>
        <v>0.99959513199503403</v>
      </c>
      <c r="AI40" s="214">
        <f t="shared" si="24"/>
        <v>-3</v>
      </c>
      <c r="AJ40" s="214">
        <f t="shared" si="25"/>
        <v>-3</v>
      </c>
      <c r="AK40" s="214">
        <f t="shared" si="26"/>
        <v>2</v>
      </c>
      <c r="AL40" s="214">
        <f t="shared" si="27"/>
        <v>-1</v>
      </c>
      <c r="AM40" s="214">
        <f t="shared" si="28"/>
        <v>0</v>
      </c>
      <c r="AN40" s="214">
        <f t="shared" si="29"/>
        <v>-3</v>
      </c>
      <c r="AO40" s="214">
        <f t="shared" si="30"/>
        <v>0</v>
      </c>
      <c r="AP40" s="206">
        <f t="shared" si="31"/>
        <v>0.56249999999999989</v>
      </c>
      <c r="AQ40" s="213">
        <f t="shared" si="32"/>
        <v>-7.6923076923076872E-2</v>
      </c>
      <c r="AR40" s="213">
        <f t="shared" si="33"/>
        <v>-8.333333333333337E-2</v>
      </c>
      <c r="AS40" s="213">
        <f t="shared" si="34"/>
        <v>5.0000000000000044E-2</v>
      </c>
      <c r="AT40" s="213">
        <f t="shared" si="35"/>
        <v>-2.5000000000000022E-2</v>
      </c>
      <c r="AU40" s="213">
        <f t="shared" si="36"/>
        <v>0</v>
      </c>
      <c r="AV40" s="213">
        <f t="shared" si="37"/>
        <v>-7.8947368421052655E-2</v>
      </c>
      <c r="AW40" s="213">
        <f t="shared" si="38"/>
        <v>0</v>
      </c>
      <c r="AY40" s="186">
        <f t="shared" si="39"/>
        <v>219.26670062790737</v>
      </c>
      <c r="AZ40" s="186">
        <f t="shared" si="40"/>
        <v>204.69306690384295</v>
      </c>
      <c r="BA40" s="186">
        <f t="shared" si="41"/>
        <v>228.79493496367635</v>
      </c>
      <c r="BB40" s="186">
        <f t="shared" si="42"/>
        <v>228.70510107840417</v>
      </c>
      <c r="BC40" s="186">
        <f t="shared" si="43"/>
        <v>218.28308964931256</v>
      </c>
      <c r="BD40" s="186">
        <f t="shared" si="44"/>
        <v>231.16274634769712</v>
      </c>
      <c r="BE40" s="186">
        <f t="shared" si="45"/>
        <v>194.55453252396677</v>
      </c>
    </row>
    <row r="41" spans="1:59" ht="13.5" customHeight="1" x14ac:dyDescent="0.2">
      <c r="A41" s="181">
        <f t="shared" si="9"/>
        <v>217.26190476190476</v>
      </c>
      <c r="B41" s="187">
        <f t="shared" si="46"/>
        <v>0.58333333333333326</v>
      </c>
      <c r="C41" s="135">
        <v>219.13333333333333</v>
      </c>
      <c r="D41" s="135">
        <v>204.73333333333335</v>
      </c>
      <c r="E41" s="135">
        <v>230.5</v>
      </c>
      <c r="F41" s="135">
        <v>227.10000000000002</v>
      </c>
      <c r="G41" s="135">
        <v>218.73333333333335</v>
      </c>
      <c r="H41" s="135">
        <v>226.36666666666667</v>
      </c>
      <c r="I41" s="135">
        <v>194.26666666666665</v>
      </c>
      <c r="J41" s="165">
        <v>29</v>
      </c>
      <c r="K41" s="43">
        <f t="shared" si="10"/>
        <v>39</v>
      </c>
      <c r="L41" s="43">
        <f t="shared" si="11"/>
        <v>36</v>
      </c>
      <c r="M41" s="43">
        <f t="shared" si="12"/>
        <v>40</v>
      </c>
      <c r="N41" s="43">
        <f t="shared" si="13"/>
        <v>38</v>
      </c>
      <c r="O41" s="43">
        <f t="shared" si="14"/>
        <v>38</v>
      </c>
      <c r="P41" s="43">
        <f t="shared" si="15"/>
        <v>37</v>
      </c>
      <c r="Q41" s="43">
        <f t="shared" si="16"/>
        <v>32</v>
      </c>
      <c r="R41" s="165">
        <v>29</v>
      </c>
      <c r="S41" s="183">
        <v>36</v>
      </c>
      <c r="T41" s="183">
        <v>33</v>
      </c>
      <c r="U41" s="183">
        <v>36</v>
      </c>
      <c r="V41" s="183">
        <v>29</v>
      </c>
      <c r="W41" s="183">
        <v>31</v>
      </c>
      <c r="X41" s="183">
        <v>34</v>
      </c>
      <c r="Y41" s="183">
        <v>34</v>
      </c>
      <c r="AA41" s="184">
        <f t="shared" si="17"/>
        <v>0.99861608049466943</v>
      </c>
      <c r="AB41" s="184">
        <f t="shared" si="18"/>
        <v>0.99785375481236405</v>
      </c>
      <c r="AC41" s="184">
        <f t="shared" si="19"/>
        <v>0.99762691109344248</v>
      </c>
      <c r="AD41" s="184">
        <f t="shared" si="20"/>
        <v>0.89158077279130599</v>
      </c>
      <c r="AE41" s="184">
        <f t="shared" si="21"/>
        <v>0.98453480123992365</v>
      </c>
      <c r="AF41" s="184">
        <f t="shared" si="22"/>
        <v>0.99750813094324486</v>
      </c>
      <c r="AG41" s="184">
        <f t="shared" si="23"/>
        <v>0.99993325622238838</v>
      </c>
      <c r="AI41" s="214">
        <f t="shared" si="24"/>
        <v>-3</v>
      </c>
      <c r="AJ41" s="214">
        <f t="shared" si="25"/>
        <v>-3</v>
      </c>
      <c r="AK41" s="214">
        <f t="shared" si="26"/>
        <v>-4</v>
      </c>
      <c r="AL41" s="214">
        <f t="shared" si="27"/>
        <v>-9</v>
      </c>
      <c r="AM41" s="214">
        <f t="shared" si="28"/>
        <v>-7</v>
      </c>
      <c r="AN41" s="214">
        <f t="shared" si="29"/>
        <v>-3</v>
      </c>
      <c r="AO41" s="214">
        <f t="shared" si="30"/>
        <v>2</v>
      </c>
      <c r="AP41" s="206">
        <f t="shared" si="31"/>
        <v>0.58333333333333326</v>
      </c>
      <c r="AQ41" s="213">
        <f t="shared" si="32"/>
        <v>-7.6923076923076872E-2</v>
      </c>
      <c r="AR41" s="213">
        <f t="shared" si="33"/>
        <v>-8.333333333333337E-2</v>
      </c>
      <c r="AS41" s="213">
        <f t="shared" si="34"/>
        <v>-9.9999999999999978E-2</v>
      </c>
      <c r="AT41" s="213">
        <f t="shared" si="35"/>
        <v>-0.23684210526315785</v>
      </c>
      <c r="AU41" s="213">
        <f t="shared" si="36"/>
        <v>-0.18421052631578949</v>
      </c>
      <c r="AV41" s="213">
        <f t="shared" si="37"/>
        <v>-8.108108108108103E-2</v>
      </c>
      <c r="AW41" s="213">
        <f t="shared" si="38"/>
        <v>6.25E-2</v>
      </c>
      <c r="AY41" s="186">
        <f t="shared" si="39"/>
        <v>218.83007043906522</v>
      </c>
      <c r="AZ41" s="186">
        <f t="shared" si="40"/>
        <v>204.29392540191802</v>
      </c>
      <c r="BA41" s="186">
        <f t="shared" si="41"/>
        <v>229.95300300703849</v>
      </c>
      <c r="BB41" s="186">
        <f t="shared" si="42"/>
        <v>202.4779935009056</v>
      </c>
      <c r="BC41" s="186">
        <f t="shared" si="43"/>
        <v>215.35057885787933</v>
      </c>
      <c r="BD41" s="186">
        <f t="shared" si="44"/>
        <v>225.8025905745192</v>
      </c>
      <c r="BE41" s="186">
        <f t="shared" si="45"/>
        <v>194.25370057546931</v>
      </c>
    </row>
    <row r="42" spans="1:59" ht="13.5" customHeight="1" x14ac:dyDescent="0.2">
      <c r="A42" s="181">
        <f t="shared" si="9"/>
        <v>218.04285714285712</v>
      </c>
      <c r="B42" s="187">
        <f t="shared" si="46"/>
        <v>0.60416666666666663</v>
      </c>
      <c r="C42" s="135">
        <v>223.66666666666666</v>
      </c>
      <c r="D42" s="135">
        <v>205.76666666666665</v>
      </c>
      <c r="E42" s="135">
        <v>231.6</v>
      </c>
      <c r="F42" s="135">
        <v>225.79999999999998</v>
      </c>
      <c r="G42" s="135">
        <v>223.5333333333333</v>
      </c>
      <c r="H42" s="135">
        <v>220.36666666666667</v>
      </c>
      <c r="I42" s="135">
        <v>195.56666666666669</v>
      </c>
      <c r="J42" s="165">
        <v>30</v>
      </c>
      <c r="K42" s="43">
        <f t="shared" si="10"/>
        <v>39</v>
      </c>
      <c r="L42" s="43">
        <f t="shared" si="11"/>
        <v>36</v>
      </c>
      <c r="M42" s="43">
        <f t="shared" si="12"/>
        <v>40</v>
      </c>
      <c r="N42" s="43">
        <f t="shared" si="13"/>
        <v>38</v>
      </c>
      <c r="O42" s="43">
        <f t="shared" si="14"/>
        <v>39</v>
      </c>
      <c r="P42" s="43">
        <f t="shared" si="15"/>
        <v>37</v>
      </c>
      <c r="Q42" s="43">
        <f t="shared" si="16"/>
        <v>32</v>
      </c>
      <c r="R42" s="165">
        <v>30</v>
      </c>
      <c r="S42" s="183">
        <v>36</v>
      </c>
      <c r="T42" s="183">
        <v>33</v>
      </c>
      <c r="U42" s="183">
        <v>36</v>
      </c>
      <c r="V42" s="183">
        <v>29</v>
      </c>
      <c r="W42" s="183">
        <v>31</v>
      </c>
      <c r="X42" s="183">
        <v>34</v>
      </c>
      <c r="Y42" s="183">
        <v>34</v>
      </c>
      <c r="AA42" s="184">
        <f t="shared" si="17"/>
        <v>0.99781835912730066</v>
      </c>
      <c r="AB42" s="184">
        <f t="shared" si="18"/>
        <v>0.99764740284290332</v>
      </c>
      <c r="AC42" s="184">
        <f t="shared" si="19"/>
        <v>0.9971767413929451</v>
      </c>
      <c r="AD42" s="184">
        <f t="shared" si="20"/>
        <v>0.8988182726839361</v>
      </c>
      <c r="AE42" s="184">
        <f t="shared" si="21"/>
        <v>0.97720998988891927</v>
      </c>
      <c r="AF42" s="184">
        <f t="shared" si="22"/>
        <v>0.99853076351940184</v>
      </c>
      <c r="AG42" s="184">
        <f t="shared" si="23"/>
        <v>0.99991691238594915</v>
      </c>
      <c r="AI42" s="214">
        <f t="shared" si="24"/>
        <v>-3</v>
      </c>
      <c r="AJ42" s="214">
        <f t="shared" si="25"/>
        <v>-3</v>
      </c>
      <c r="AK42" s="214">
        <f t="shared" si="26"/>
        <v>-4</v>
      </c>
      <c r="AL42" s="214">
        <f t="shared" si="27"/>
        <v>-9</v>
      </c>
      <c r="AM42" s="214">
        <f t="shared" si="28"/>
        <v>-8</v>
      </c>
      <c r="AN42" s="214">
        <f t="shared" si="29"/>
        <v>-3</v>
      </c>
      <c r="AO42" s="214">
        <f t="shared" si="30"/>
        <v>2</v>
      </c>
      <c r="AP42" s="206">
        <f t="shared" si="31"/>
        <v>0.60416666666666663</v>
      </c>
      <c r="AQ42" s="213">
        <f t="shared" si="32"/>
        <v>-7.6923076923076872E-2</v>
      </c>
      <c r="AR42" s="213">
        <f t="shared" si="33"/>
        <v>-8.333333333333337E-2</v>
      </c>
      <c r="AS42" s="213">
        <f t="shared" si="34"/>
        <v>-9.9999999999999978E-2</v>
      </c>
      <c r="AT42" s="213">
        <f t="shared" si="35"/>
        <v>-0.23684210526315785</v>
      </c>
      <c r="AU42" s="213">
        <f t="shared" si="36"/>
        <v>-0.20512820512820518</v>
      </c>
      <c r="AV42" s="213">
        <f t="shared" si="37"/>
        <v>-8.108108108108103E-2</v>
      </c>
      <c r="AW42" s="213">
        <f t="shared" si="38"/>
        <v>6.25E-2</v>
      </c>
      <c r="AY42" s="186">
        <f t="shared" si="39"/>
        <v>223.17870632480623</v>
      </c>
      <c r="AZ42" s="186">
        <f t="shared" si="40"/>
        <v>205.28258059164139</v>
      </c>
      <c r="BA42" s="186">
        <f t="shared" si="41"/>
        <v>230.94613330660607</v>
      </c>
      <c r="BB42" s="186">
        <f t="shared" si="42"/>
        <v>202.95316597203276</v>
      </c>
      <c r="BC42" s="186">
        <f t="shared" si="43"/>
        <v>218.43900640650307</v>
      </c>
      <c r="BD42" s="186">
        <f t="shared" si="44"/>
        <v>220.04289592089219</v>
      </c>
      <c r="BE42" s="186">
        <f t="shared" si="45"/>
        <v>195.55041749894548</v>
      </c>
    </row>
    <row r="43" spans="1:59" ht="13.5" customHeight="1" x14ac:dyDescent="0.2">
      <c r="A43" s="181">
        <f t="shared" si="9"/>
        <v>218.56190476190477</v>
      </c>
      <c r="B43" s="187">
        <f t="shared" si="46"/>
        <v>0.625</v>
      </c>
      <c r="C43" s="135">
        <v>222.70000000000002</v>
      </c>
      <c r="D43" s="135">
        <v>210.03333333333333</v>
      </c>
      <c r="E43" s="135">
        <v>231.36666666666667</v>
      </c>
      <c r="F43" s="135">
        <v>227.6</v>
      </c>
      <c r="G43" s="135">
        <v>223.4</v>
      </c>
      <c r="H43" s="135">
        <v>217.76666666666668</v>
      </c>
      <c r="I43" s="135">
        <v>197.06666666666669</v>
      </c>
      <c r="J43" s="165">
        <v>31</v>
      </c>
      <c r="K43" s="43">
        <f t="shared" si="10"/>
        <v>39</v>
      </c>
      <c r="L43" s="43">
        <f t="shared" si="11"/>
        <v>37</v>
      </c>
      <c r="M43" s="43">
        <f t="shared" si="12"/>
        <v>40</v>
      </c>
      <c r="N43" s="43">
        <f t="shared" si="13"/>
        <v>40</v>
      </c>
      <c r="O43" s="43">
        <f t="shared" si="14"/>
        <v>39</v>
      </c>
      <c r="P43" s="43">
        <f t="shared" si="15"/>
        <v>36</v>
      </c>
      <c r="Q43" s="43">
        <f t="shared" si="16"/>
        <v>32</v>
      </c>
      <c r="R43" s="165">
        <v>31</v>
      </c>
      <c r="S43" s="183">
        <v>37</v>
      </c>
      <c r="T43" s="183">
        <v>36</v>
      </c>
      <c r="U43" s="183">
        <v>43</v>
      </c>
      <c r="V43" s="183">
        <v>34</v>
      </c>
      <c r="W43" s="183">
        <v>38</v>
      </c>
      <c r="X43" s="183">
        <v>40</v>
      </c>
      <c r="Y43" s="183">
        <v>36</v>
      </c>
      <c r="AA43" s="184">
        <f t="shared" si="17"/>
        <v>0.99902305020369664</v>
      </c>
      <c r="AB43" s="184">
        <f t="shared" si="18"/>
        <v>0.99963609144376808</v>
      </c>
      <c r="AC43" s="184">
        <f t="shared" si="19"/>
        <v>0.99998795441732602</v>
      </c>
      <c r="AD43" s="184">
        <f t="shared" si="20"/>
        <v>0.99537612881387494</v>
      </c>
      <c r="AE43" s="184">
        <f t="shared" si="21"/>
        <v>0.99986994574893762</v>
      </c>
      <c r="AF43" s="184">
        <f t="shared" si="22"/>
        <v>0.99999090427875081</v>
      </c>
      <c r="AG43" s="184">
        <f t="shared" si="23"/>
        <v>0.99998425827286774</v>
      </c>
      <c r="AI43" s="214">
        <f t="shared" si="24"/>
        <v>-2</v>
      </c>
      <c r="AJ43" s="214">
        <f t="shared" si="25"/>
        <v>-1</v>
      </c>
      <c r="AK43" s="214">
        <f t="shared" si="26"/>
        <v>3</v>
      </c>
      <c r="AL43" s="214">
        <f t="shared" si="27"/>
        <v>-6</v>
      </c>
      <c r="AM43" s="214">
        <f t="shared" si="28"/>
        <v>-1</v>
      </c>
      <c r="AN43" s="214">
        <f t="shared" si="29"/>
        <v>4</v>
      </c>
      <c r="AO43" s="214">
        <f t="shared" si="30"/>
        <v>4</v>
      </c>
      <c r="AP43" s="206">
        <f t="shared" si="31"/>
        <v>0.625</v>
      </c>
      <c r="AQ43" s="213">
        <f t="shared" si="32"/>
        <v>-5.1282051282051322E-2</v>
      </c>
      <c r="AR43" s="213">
        <f t="shared" si="33"/>
        <v>-2.7027027027026973E-2</v>
      </c>
      <c r="AS43" s="213">
        <f t="shared" si="34"/>
        <v>7.4999999999999956E-2</v>
      </c>
      <c r="AT43" s="213">
        <f t="shared" si="35"/>
        <v>-0.15000000000000002</v>
      </c>
      <c r="AU43" s="213">
        <f t="shared" si="36"/>
        <v>-2.5641025641025661E-2</v>
      </c>
      <c r="AV43" s="213">
        <f t="shared" si="37"/>
        <v>0.11111111111111116</v>
      </c>
      <c r="AW43" s="213">
        <f t="shared" si="38"/>
        <v>0.125</v>
      </c>
      <c r="AY43" s="186">
        <f t="shared" si="39"/>
        <v>222.48243328036327</v>
      </c>
      <c r="AZ43" s="186">
        <f t="shared" si="40"/>
        <v>209.95690040623941</v>
      </c>
      <c r="BA43" s="186">
        <f t="shared" si="41"/>
        <v>231.36387972035533</v>
      </c>
      <c r="BB43" s="186">
        <f t="shared" si="42"/>
        <v>226.54760691803793</v>
      </c>
      <c r="BC43" s="186">
        <f t="shared" si="43"/>
        <v>223.37094588031266</v>
      </c>
      <c r="BD43" s="186">
        <f t="shared" si="44"/>
        <v>217.76468592176931</v>
      </c>
      <c r="BE43" s="186">
        <f t="shared" si="45"/>
        <v>197.06356449697316</v>
      </c>
    </row>
    <row r="44" spans="1:59" ht="12.75" x14ac:dyDescent="0.2">
      <c r="A44" s="181">
        <f t="shared" si="9"/>
        <v>215.36190476190475</v>
      </c>
      <c r="B44" s="187">
        <f t="shared" si="46"/>
        <v>0.64583333333333337</v>
      </c>
      <c r="C44" s="135">
        <v>220.53333333333333</v>
      </c>
      <c r="D44" s="135">
        <v>208.56666666666669</v>
      </c>
      <c r="E44" s="135">
        <v>227.76666666666665</v>
      </c>
      <c r="F44" s="135">
        <v>224.80000000000004</v>
      </c>
      <c r="G44" s="135">
        <v>220.39999999999998</v>
      </c>
      <c r="H44" s="135">
        <v>214.79999999999998</v>
      </c>
      <c r="I44" s="135">
        <v>190.66666666666666</v>
      </c>
      <c r="J44" s="165">
        <v>32</v>
      </c>
      <c r="K44" s="43">
        <f t="shared" si="10"/>
        <v>39</v>
      </c>
      <c r="L44" s="43">
        <f t="shared" si="11"/>
        <v>36</v>
      </c>
      <c r="M44" s="43">
        <f t="shared" si="12"/>
        <v>39</v>
      </c>
      <c r="N44" s="43">
        <f t="shared" si="13"/>
        <v>38</v>
      </c>
      <c r="O44" s="43">
        <f t="shared" si="14"/>
        <v>38</v>
      </c>
      <c r="P44" s="43">
        <f t="shared" si="15"/>
        <v>36</v>
      </c>
      <c r="Q44" s="43">
        <f t="shared" si="16"/>
        <v>31</v>
      </c>
      <c r="R44" s="165">
        <v>32</v>
      </c>
      <c r="S44" s="183">
        <v>37</v>
      </c>
      <c r="T44" s="183">
        <v>36</v>
      </c>
      <c r="U44" s="183">
        <v>43</v>
      </c>
      <c r="V44" s="183">
        <v>35</v>
      </c>
      <c r="W44" s="183">
        <v>38</v>
      </c>
      <c r="X44" s="183">
        <v>40</v>
      </c>
      <c r="Y44" s="183">
        <v>36</v>
      </c>
      <c r="AA44" s="184">
        <f t="shared" si="17"/>
        <v>0.99919111754275436</v>
      </c>
      <c r="AB44" s="184">
        <f t="shared" si="18"/>
        <v>0.99967104020235409</v>
      </c>
      <c r="AC44" s="184">
        <f t="shared" si="19"/>
        <v>0.99999144414170171</v>
      </c>
      <c r="AD44" s="184">
        <f t="shared" si="20"/>
        <v>0.99824255053899025</v>
      </c>
      <c r="AE44" s="184">
        <f t="shared" si="21"/>
        <v>0.99990448951594457</v>
      </c>
      <c r="AF44" s="184">
        <f t="shared" si="22"/>
        <v>0.99999358329871479</v>
      </c>
      <c r="AG44" s="184">
        <f t="shared" si="23"/>
        <v>0.99999232291320295</v>
      </c>
      <c r="AI44" s="214">
        <f t="shared" si="24"/>
        <v>-2</v>
      </c>
      <c r="AJ44" s="214">
        <f t="shared" si="25"/>
        <v>0</v>
      </c>
      <c r="AK44" s="214">
        <f t="shared" si="26"/>
        <v>4</v>
      </c>
      <c r="AL44" s="214">
        <f t="shared" si="27"/>
        <v>-3</v>
      </c>
      <c r="AM44" s="214">
        <f t="shared" si="28"/>
        <v>0</v>
      </c>
      <c r="AN44" s="214">
        <f t="shared" si="29"/>
        <v>4</v>
      </c>
      <c r="AO44" s="214">
        <f t="shared" si="30"/>
        <v>5</v>
      </c>
      <c r="AP44" s="206">
        <f t="shared" si="31"/>
        <v>0.64583333333333337</v>
      </c>
      <c r="AQ44" s="213">
        <f t="shared" si="32"/>
        <v>-5.1282051282051322E-2</v>
      </c>
      <c r="AR44" s="213">
        <f t="shared" si="33"/>
        <v>0</v>
      </c>
      <c r="AS44" s="213">
        <f t="shared" si="34"/>
        <v>0.10256410256410264</v>
      </c>
      <c r="AT44" s="213">
        <f t="shared" si="35"/>
        <v>-7.8947368421052655E-2</v>
      </c>
      <c r="AU44" s="213">
        <f t="shared" si="36"/>
        <v>0</v>
      </c>
      <c r="AV44" s="213">
        <f t="shared" si="37"/>
        <v>0.11111111111111116</v>
      </c>
      <c r="AW44" s="213">
        <f t="shared" si="38"/>
        <v>0.16129032258064524</v>
      </c>
      <c r="AY44" s="186">
        <f t="shared" si="39"/>
        <v>220.3549477887621</v>
      </c>
      <c r="AZ44" s="186">
        <f t="shared" si="40"/>
        <v>208.49805661820434</v>
      </c>
      <c r="BA44" s="186">
        <f t="shared" si="41"/>
        <v>227.76471792734156</v>
      </c>
      <c r="BB44" s="186">
        <f t="shared" si="42"/>
        <v>224.40492536116506</v>
      </c>
      <c r="BC44" s="186">
        <f t="shared" si="43"/>
        <v>220.37894948931415</v>
      </c>
      <c r="BD44" s="186">
        <f t="shared" si="44"/>
        <v>214.79862169256393</v>
      </c>
      <c r="BE44" s="186">
        <f t="shared" si="45"/>
        <v>190.66520290211736</v>
      </c>
    </row>
    <row r="45" spans="1:59" ht="13.5" customHeight="1" x14ac:dyDescent="0.2">
      <c r="A45" s="181">
        <f t="shared" si="9"/>
        <v>213.34285714285716</v>
      </c>
      <c r="B45" s="187">
        <f t="shared" si="46"/>
        <v>0.66666666666666674</v>
      </c>
      <c r="C45" s="135">
        <v>220.96666666666667</v>
      </c>
      <c r="D45" s="135">
        <v>208.86666666666667</v>
      </c>
      <c r="E45" s="135">
        <v>224</v>
      </c>
      <c r="F45" s="135">
        <v>222.66666666666666</v>
      </c>
      <c r="G45" s="135">
        <v>218.36666666666667</v>
      </c>
      <c r="H45" s="135">
        <v>210.6</v>
      </c>
      <c r="I45" s="135">
        <v>187.93333333333331</v>
      </c>
      <c r="J45" s="165">
        <v>33</v>
      </c>
      <c r="K45" s="43">
        <f t="shared" si="10"/>
        <v>39</v>
      </c>
      <c r="L45" s="43">
        <f t="shared" si="11"/>
        <v>36</v>
      </c>
      <c r="M45" s="43">
        <f t="shared" si="12"/>
        <v>39</v>
      </c>
      <c r="N45" s="43">
        <f t="shared" si="13"/>
        <v>38</v>
      </c>
      <c r="O45" s="43">
        <f t="shared" si="14"/>
        <v>38</v>
      </c>
      <c r="P45" s="43">
        <f t="shared" si="15"/>
        <v>35</v>
      </c>
      <c r="Q45" s="43">
        <f t="shared" si="16"/>
        <v>31</v>
      </c>
      <c r="R45" s="165">
        <v>33</v>
      </c>
      <c r="S45" s="183">
        <v>48</v>
      </c>
      <c r="T45" s="183">
        <v>40</v>
      </c>
      <c r="U45" s="183">
        <v>42</v>
      </c>
      <c r="V45" s="183">
        <v>40</v>
      </c>
      <c r="W45" s="183">
        <v>40</v>
      </c>
      <c r="X45" s="183">
        <v>43</v>
      </c>
      <c r="Y45" s="183">
        <v>42</v>
      </c>
      <c r="AA45" s="184">
        <f t="shared" si="17"/>
        <v>0.99999992488160661</v>
      </c>
      <c r="AB45" s="184">
        <f t="shared" si="18"/>
        <v>0.9999877753901727</v>
      </c>
      <c r="AC45" s="184">
        <f t="shared" si="19"/>
        <v>0.9999873779501961</v>
      </c>
      <c r="AD45" s="184">
        <f t="shared" si="20"/>
        <v>0.99997094522978902</v>
      </c>
      <c r="AE45" s="184">
        <f t="shared" si="21"/>
        <v>0.99998564583399341</v>
      </c>
      <c r="AF45" s="184">
        <f t="shared" si="22"/>
        <v>0.99999976644996447</v>
      </c>
      <c r="AG45" s="184">
        <f t="shared" si="23"/>
        <v>0.99999998860658079</v>
      </c>
      <c r="AI45" s="214">
        <f t="shared" si="24"/>
        <v>9</v>
      </c>
      <c r="AJ45" s="214">
        <f t="shared" si="25"/>
        <v>4</v>
      </c>
      <c r="AK45" s="214">
        <f t="shared" si="26"/>
        <v>3</v>
      </c>
      <c r="AL45" s="214">
        <f t="shared" si="27"/>
        <v>2</v>
      </c>
      <c r="AM45" s="214">
        <f t="shared" si="28"/>
        <v>2</v>
      </c>
      <c r="AN45" s="214">
        <f t="shared" si="29"/>
        <v>8</v>
      </c>
      <c r="AO45" s="214">
        <f t="shared" si="30"/>
        <v>11</v>
      </c>
      <c r="AP45" s="206">
        <f t="shared" si="31"/>
        <v>0.66666666666666674</v>
      </c>
      <c r="AQ45" s="213">
        <f t="shared" si="32"/>
        <v>0.23076923076923084</v>
      </c>
      <c r="AR45" s="213">
        <f t="shared" si="33"/>
        <v>0.11111111111111116</v>
      </c>
      <c r="AS45" s="213">
        <f t="shared" si="34"/>
        <v>7.6923076923076872E-2</v>
      </c>
      <c r="AT45" s="213">
        <f t="shared" si="35"/>
        <v>5.2631578947368363E-2</v>
      </c>
      <c r="AU45" s="213">
        <f t="shared" si="36"/>
        <v>5.2631578947368363E-2</v>
      </c>
      <c r="AV45" s="213">
        <f t="shared" si="37"/>
        <v>0.22857142857142865</v>
      </c>
      <c r="AW45" s="213">
        <f t="shared" si="38"/>
        <v>0.35483870967741926</v>
      </c>
      <c r="AY45" s="186">
        <f t="shared" si="39"/>
        <v>220.96665006800566</v>
      </c>
      <c r="AZ45" s="186">
        <f t="shared" si="40"/>
        <v>208.86411335316075</v>
      </c>
      <c r="BA45" s="186">
        <f t="shared" si="41"/>
        <v>223.99717266084392</v>
      </c>
      <c r="BB45" s="186">
        <f t="shared" si="42"/>
        <v>222.66019713783302</v>
      </c>
      <c r="BC45" s="186">
        <f t="shared" si="43"/>
        <v>218.36353219528303</v>
      </c>
      <c r="BD45" s="186">
        <f t="shared" si="44"/>
        <v>210.5999508143625</v>
      </c>
      <c r="BE45" s="186">
        <f t="shared" si="45"/>
        <v>187.93333119213005</v>
      </c>
    </row>
    <row r="46" spans="1:59" ht="13.5" customHeight="1" x14ac:dyDescent="0.2">
      <c r="A46" s="181">
        <f t="shared" si="9"/>
        <v>210.44761904761904</v>
      </c>
      <c r="B46" s="187">
        <f t="shared" si="46"/>
        <v>0.68750000000000011</v>
      </c>
      <c r="C46" s="135">
        <v>222.5333333333333</v>
      </c>
      <c r="D46" s="135">
        <v>206.03333333333333</v>
      </c>
      <c r="E46" s="135">
        <v>218.46666666666667</v>
      </c>
      <c r="F46" s="135">
        <v>220.70000000000002</v>
      </c>
      <c r="G46" s="135">
        <v>218.03333333333333</v>
      </c>
      <c r="H46" s="135">
        <v>205.79999999999998</v>
      </c>
      <c r="I46" s="135">
        <v>181.56666666666669</v>
      </c>
      <c r="J46" s="165">
        <v>34</v>
      </c>
      <c r="K46" s="43">
        <f t="shared" si="10"/>
        <v>39</v>
      </c>
      <c r="L46" s="43">
        <f t="shared" si="11"/>
        <v>36</v>
      </c>
      <c r="M46" s="43">
        <f t="shared" si="12"/>
        <v>38</v>
      </c>
      <c r="N46" s="43">
        <f t="shared" si="13"/>
        <v>37</v>
      </c>
      <c r="O46" s="43">
        <f t="shared" si="14"/>
        <v>38</v>
      </c>
      <c r="P46" s="43">
        <f t="shared" si="15"/>
        <v>34</v>
      </c>
      <c r="Q46" s="43">
        <f t="shared" si="16"/>
        <v>30</v>
      </c>
      <c r="R46" s="165">
        <v>34</v>
      </c>
      <c r="S46" s="183">
        <v>38</v>
      </c>
      <c r="T46" s="183">
        <v>32</v>
      </c>
      <c r="U46" s="183">
        <v>32</v>
      </c>
      <c r="V46" s="183">
        <v>33</v>
      </c>
      <c r="W46" s="183">
        <v>34</v>
      </c>
      <c r="X46" s="183">
        <v>37</v>
      </c>
      <c r="Y46" s="183">
        <v>37</v>
      </c>
      <c r="AA46" s="184">
        <f t="shared" si="17"/>
        <v>0.99953111868016575</v>
      </c>
      <c r="AB46" s="184">
        <f t="shared" si="18"/>
        <v>0.99519508655533317</v>
      </c>
      <c r="AC46" s="184">
        <f t="shared" si="19"/>
        <v>0.98683198937181171</v>
      </c>
      <c r="AD46" s="184">
        <f t="shared" si="20"/>
        <v>0.99484962685420375</v>
      </c>
      <c r="AE46" s="184">
        <f t="shared" si="21"/>
        <v>0.99826235276217634</v>
      </c>
      <c r="AF46" s="184">
        <f t="shared" si="22"/>
        <v>0.99996781156878256</v>
      </c>
      <c r="AG46" s="184">
        <f t="shared" si="23"/>
        <v>0.99999909366803674</v>
      </c>
      <c r="AI46" s="214">
        <f t="shared" si="24"/>
        <v>-1</v>
      </c>
      <c r="AJ46" s="214">
        <f t="shared" si="25"/>
        <v>-4</v>
      </c>
      <c r="AK46" s="214">
        <f t="shared" si="26"/>
        <v>-6</v>
      </c>
      <c r="AL46" s="214">
        <f t="shared" si="27"/>
        <v>-4</v>
      </c>
      <c r="AM46" s="214">
        <f t="shared" si="28"/>
        <v>-4</v>
      </c>
      <c r="AN46" s="214">
        <f t="shared" si="29"/>
        <v>3</v>
      </c>
      <c r="AO46" s="214">
        <f t="shared" si="30"/>
        <v>7</v>
      </c>
      <c r="AP46" s="206">
        <f t="shared" si="31"/>
        <v>0.68750000000000011</v>
      </c>
      <c r="AQ46" s="213">
        <f t="shared" si="32"/>
        <v>-2.5641025641025661E-2</v>
      </c>
      <c r="AR46" s="213">
        <f t="shared" si="33"/>
        <v>-0.11111111111111116</v>
      </c>
      <c r="AS46" s="213">
        <f t="shared" si="34"/>
        <v>-0.15789473684210531</v>
      </c>
      <c r="AT46" s="213">
        <f t="shared" si="35"/>
        <v>-0.10810810810810811</v>
      </c>
      <c r="AU46" s="213">
        <f t="shared" si="36"/>
        <v>-0.10526315789473684</v>
      </c>
      <c r="AV46" s="213">
        <f t="shared" si="37"/>
        <v>8.8235294117646967E-2</v>
      </c>
      <c r="AW46" s="213">
        <f t="shared" si="38"/>
        <v>0.23333333333333339</v>
      </c>
      <c r="AY46" s="186">
        <f t="shared" si="39"/>
        <v>222.42899161029285</v>
      </c>
      <c r="AZ46" s="186">
        <f t="shared" si="40"/>
        <v>205.04336099995047</v>
      </c>
      <c r="BA46" s="186">
        <f t="shared" si="41"/>
        <v>215.58989527809513</v>
      </c>
      <c r="BB46" s="186">
        <f t="shared" si="42"/>
        <v>219.56331264672278</v>
      </c>
      <c r="BC46" s="186">
        <f t="shared" si="43"/>
        <v>217.65446831391318</v>
      </c>
      <c r="BD46" s="186">
        <f t="shared" si="44"/>
        <v>205.79337562085544</v>
      </c>
      <c r="BE46" s="186">
        <f t="shared" si="45"/>
        <v>181.56650210699323</v>
      </c>
    </row>
    <row r="47" spans="1:59" ht="12.75" x14ac:dyDescent="0.2">
      <c r="A47" s="181">
        <f t="shared" si="9"/>
        <v>208.3857142857143</v>
      </c>
      <c r="B47" s="187">
        <f t="shared" si="46"/>
        <v>0.70833333333333348</v>
      </c>
      <c r="C47" s="135">
        <v>222.76666666666665</v>
      </c>
      <c r="D47" s="135">
        <v>205.06666666666669</v>
      </c>
      <c r="E47" s="135">
        <v>216.16666666666666</v>
      </c>
      <c r="F47" s="135">
        <v>217.13333333333333</v>
      </c>
      <c r="G47" s="135">
        <v>215.16666666666666</v>
      </c>
      <c r="H47" s="135">
        <v>200.13333333333333</v>
      </c>
      <c r="I47" s="135">
        <v>182.26666666666665</v>
      </c>
      <c r="J47" s="165">
        <v>35</v>
      </c>
      <c r="K47" s="43">
        <f t="shared" si="10"/>
        <v>39</v>
      </c>
      <c r="L47" s="43">
        <f t="shared" si="11"/>
        <v>36</v>
      </c>
      <c r="M47" s="43">
        <f t="shared" si="12"/>
        <v>37</v>
      </c>
      <c r="N47" s="43">
        <f t="shared" si="13"/>
        <v>37</v>
      </c>
      <c r="O47" s="43">
        <f t="shared" si="14"/>
        <v>36</v>
      </c>
      <c r="P47" s="43">
        <f t="shared" si="15"/>
        <v>33</v>
      </c>
      <c r="Q47" s="43">
        <f t="shared" si="16"/>
        <v>30</v>
      </c>
      <c r="R47" s="165">
        <v>35</v>
      </c>
      <c r="S47" s="183">
        <v>40</v>
      </c>
      <c r="T47" s="183">
        <v>38</v>
      </c>
      <c r="U47" s="183">
        <v>41</v>
      </c>
      <c r="V47" s="183">
        <v>38</v>
      </c>
      <c r="W47" s="183">
        <v>40</v>
      </c>
      <c r="X47" s="183">
        <v>36</v>
      </c>
      <c r="Y47" s="183">
        <v>32</v>
      </c>
      <c r="AA47" s="184">
        <f t="shared" si="17"/>
        <v>0.99989846016561901</v>
      </c>
      <c r="AB47" s="184">
        <f t="shared" si="18"/>
        <v>0.99995755797944219</v>
      </c>
      <c r="AC47" s="184">
        <f t="shared" si="19"/>
        <v>0.99998825432824934</v>
      </c>
      <c r="AD47" s="184">
        <f t="shared" si="20"/>
        <v>0.99992006135439904</v>
      </c>
      <c r="AE47" s="184">
        <f t="shared" si="21"/>
        <v>0.99998983040666778</v>
      </c>
      <c r="AF47" s="184">
        <f t="shared" si="22"/>
        <v>0.99996084735214519</v>
      </c>
      <c r="AG47" s="184">
        <f t="shared" si="23"/>
        <v>0.99989770345946416</v>
      </c>
      <c r="AI47" s="214">
        <f t="shared" si="24"/>
        <v>1</v>
      </c>
      <c r="AJ47" s="214">
        <f t="shared" si="25"/>
        <v>2</v>
      </c>
      <c r="AK47" s="214">
        <f t="shared" si="26"/>
        <v>4</v>
      </c>
      <c r="AL47" s="214">
        <f t="shared" si="27"/>
        <v>1</v>
      </c>
      <c r="AM47" s="214">
        <f t="shared" si="28"/>
        <v>4</v>
      </c>
      <c r="AN47" s="214">
        <f t="shared" si="29"/>
        <v>3</v>
      </c>
      <c r="AO47" s="214">
        <f t="shared" si="30"/>
        <v>2</v>
      </c>
      <c r="AP47" s="206">
        <f t="shared" si="31"/>
        <v>0.70833333333333348</v>
      </c>
      <c r="AQ47" s="213">
        <f t="shared" si="32"/>
        <v>2.564102564102555E-2</v>
      </c>
      <c r="AR47" s="213">
        <f t="shared" si="33"/>
        <v>5.555555555555558E-2</v>
      </c>
      <c r="AS47" s="213">
        <f t="shared" si="34"/>
        <v>0.10810810810810811</v>
      </c>
      <c r="AT47" s="213">
        <f t="shared" si="35"/>
        <v>2.7027027027026973E-2</v>
      </c>
      <c r="AU47" s="213">
        <f t="shared" si="36"/>
        <v>0.11111111111111116</v>
      </c>
      <c r="AV47" s="213">
        <f t="shared" si="37"/>
        <v>9.0909090909090828E-2</v>
      </c>
      <c r="AW47" s="213">
        <f t="shared" si="38"/>
        <v>6.6666666666666652E-2</v>
      </c>
      <c r="AY47" s="186">
        <f t="shared" si="39"/>
        <v>222.74404697622771</v>
      </c>
      <c r="AZ47" s="186">
        <f t="shared" si="40"/>
        <v>205.05796322298431</v>
      </c>
      <c r="BA47" s="186">
        <f t="shared" si="41"/>
        <v>216.16412764395656</v>
      </c>
      <c r="BB47" s="186">
        <f t="shared" si="42"/>
        <v>217.11597598875184</v>
      </c>
      <c r="BC47" s="186">
        <f t="shared" si="43"/>
        <v>215.16447850916802</v>
      </c>
      <c r="BD47" s="186">
        <f t="shared" si="44"/>
        <v>200.12549758340933</v>
      </c>
      <c r="BE47" s="186">
        <f t="shared" si="45"/>
        <v>182.24802141721165</v>
      </c>
    </row>
    <row r="48" spans="1:59" ht="13.5" customHeight="1" x14ac:dyDescent="0.2">
      <c r="A48" s="181">
        <f t="shared" si="9"/>
        <v>204.77619047619046</v>
      </c>
      <c r="B48" s="187">
        <f t="shared" si="46"/>
        <v>0.72916666666666685</v>
      </c>
      <c r="C48" s="135">
        <v>212.1</v>
      </c>
      <c r="D48" s="135">
        <v>202.16666666666666</v>
      </c>
      <c r="E48" s="135">
        <v>213.03333333333333</v>
      </c>
      <c r="F48" s="135">
        <v>215.76666666666665</v>
      </c>
      <c r="G48" s="135">
        <v>213</v>
      </c>
      <c r="H48" s="135">
        <v>199.26666666666665</v>
      </c>
      <c r="I48" s="135">
        <v>178.1</v>
      </c>
      <c r="J48" s="165">
        <v>36</v>
      </c>
      <c r="K48" s="43">
        <f t="shared" si="10"/>
        <v>37</v>
      </c>
      <c r="L48" s="43">
        <f t="shared" si="11"/>
        <v>35</v>
      </c>
      <c r="M48" s="43">
        <f t="shared" si="12"/>
        <v>37</v>
      </c>
      <c r="N48" s="43">
        <f t="shared" si="13"/>
        <v>37</v>
      </c>
      <c r="O48" s="43">
        <f t="shared" si="14"/>
        <v>36</v>
      </c>
      <c r="P48" s="43">
        <f t="shared" si="15"/>
        <v>33</v>
      </c>
      <c r="Q48" s="43">
        <f>AgentsRequired(I48,$B$10,Q$10,$C$4,$C$6,$C$2,$I$8)</f>
        <v>29</v>
      </c>
      <c r="R48" s="165">
        <v>36</v>
      </c>
      <c r="S48" s="183">
        <v>39</v>
      </c>
      <c r="T48" s="183">
        <v>36</v>
      </c>
      <c r="U48" s="183">
        <v>38</v>
      </c>
      <c r="V48" s="183">
        <v>37</v>
      </c>
      <c r="W48" s="183">
        <v>39</v>
      </c>
      <c r="X48" s="183">
        <v>34</v>
      </c>
      <c r="Y48" s="183">
        <v>27</v>
      </c>
      <c r="AA48" s="184">
        <f t="shared" si="17"/>
        <v>0.99993085379915436</v>
      </c>
      <c r="AB48" s="184">
        <f t="shared" si="18"/>
        <v>0.99984118966708235</v>
      </c>
      <c r="AC48" s="184">
        <f t="shared" si="19"/>
        <v>0.99989790130258949</v>
      </c>
      <c r="AD48" s="184">
        <f t="shared" si="20"/>
        <v>0.99983800032987014</v>
      </c>
      <c r="AE48" s="184">
        <f t="shared" si="21"/>
        <v>0.99998069629470643</v>
      </c>
      <c r="AF48" s="184">
        <f t="shared" si="22"/>
        <v>0.99980780572833794</v>
      </c>
      <c r="AG48" s="184">
        <f t="shared" si="23"/>
        <v>0.99574751642475534</v>
      </c>
      <c r="AI48" s="214">
        <f t="shared" si="24"/>
        <v>2</v>
      </c>
      <c r="AJ48" s="214">
        <f t="shared" si="25"/>
        <v>1</v>
      </c>
      <c r="AK48" s="214">
        <f t="shared" si="26"/>
        <v>1</v>
      </c>
      <c r="AL48" s="214">
        <f t="shared" si="27"/>
        <v>0</v>
      </c>
      <c r="AM48" s="214">
        <f t="shared" si="28"/>
        <v>3</v>
      </c>
      <c r="AN48" s="214">
        <f t="shared" si="29"/>
        <v>1</v>
      </c>
      <c r="AO48" s="214">
        <f t="shared" si="30"/>
        <v>-2</v>
      </c>
      <c r="AP48" s="206">
        <f t="shared" si="31"/>
        <v>0.72916666666666685</v>
      </c>
      <c r="AQ48" s="213">
        <f t="shared" si="32"/>
        <v>5.4054054054053946E-2</v>
      </c>
      <c r="AR48" s="213">
        <f t="shared" si="33"/>
        <v>2.857142857142847E-2</v>
      </c>
      <c r="AS48" s="213">
        <f t="shared" si="34"/>
        <v>2.7027027027026973E-2</v>
      </c>
      <c r="AT48" s="213">
        <f t="shared" si="35"/>
        <v>0</v>
      </c>
      <c r="AU48" s="213">
        <f t="shared" si="36"/>
        <v>8.3333333333333259E-2</v>
      </c>
      <c r="AV48" s="213">
        <f t="shared" si="37"/>
        <v>3.0303030303030276E-2</v>
      </c>
      <c r="AW48" s="213">
        <f t="shared" si="38"/>
        <v>-6.8965517241379337E-2</v>
      </c>
      <c r="AY48" s="186">
        <f t="shared" si="39"/>
        <v>212.08533409080064</v>
      </c>
      <c r="AZ48" s="186">
        <f t="shared" si="40"/>
        <v>202.13456051102847</v>
      </c>
      <c r="BA48" s="186">
        <f t="shared" si="41"/>
        <v>213.01158290749498</v>
      </c>
      <c r="BB48" s="186">
        <f t="shared" si="42"/>
        <v>215.73171253784164</v>
      </c>
      <c r="BC48" s="186">
        <f t="shared" si="43"/>
        <v>212.99588831077247</v>
      </c>
      <c r="BD48" s="186">
        <f t="shared" si="44"/>
        <v>199.22836875480013</v>
      </c>
      <c r="BE48" s="186">
        <f t="shared" si="45"/>
        <v>177.34263267524892</v>
      </c>
    </row>
    <row r="49" spans="1:57" ht="12.75" x14ac:dyDescent="0.2">
      <c r="A49" s="181">
        <f t="shared" si="9"/>
        <v>201.61428571428573</v>
      </c>
      <c r="B49" s="187">
        <f t="shared" si="46"/>
        <v>0.75000000000000022</v>
      </c>
      <c r="C49" s="135">
        <v>203.53333333333333</v>
      </c>
      <c r="D49" s="135">
        <v>200.53333333333333</v>
      </c>
      <c r="E49" s="135">
        <v>211.13333333333335</v>
      </c>
      <c r="F49" s="135">
        <v>211.06666666666669</v>
      </c>
      <c r="G49" s="135">
        <v>208.6</v>
      </c>
      <c r="H49" s="135">
        <v>197.03333333333333</v>
      </c>
      <c r="I49" s="135">
        <v>179.4</v>
      </c>
      <c r="J49" s="165">
        <v>37</v>
      </c>
      <c r="K49" s="43">
        <f t="shared" si="10"/>
        <v>36</v>
      </c>
      <c r="L49" s="43">
        <f t="shared" si="11"/>
        <v>35</v>
      </c>
      <c r="M49" s="43">
        <f t="shared" si="12"/>
        <v>37</v>
      </c>
      <c r="N49" s="43">
        <f t="shared" si="13"/>
        <v>36</v>
      </c>
      <c r="O49" s="43">
        <f t="shared" si="14"/>
        <v>35</v>
      </c>
      <c r="P49" s="43">
        <f t="shared" si="15"/>
        <v>33</v>
      </c>
      <c r="Q49" s="43">
        <f t="shared" si="16"/>
        <v>30</v>
      </c>
      <c r="R49" s="165">
        <v>37</v>
      </c>
      <c r="S49" s="183">
        <v>37</v>
      </c>
      <c r="T49" s="183">
        <v>39</v>
      </c>
      <c r="U49" s="183">
        <v>38</v>
      </c>
      <c r="V49" s="183">
        <v>36</v>
      </c>
      <c r="W49" s="183">
        <v>33</v>
      </c>
      <c r="X49" s="183">
        <v>32</v>
      </c>
      <c r="Y49" s="183">
        <v>29</v>
      </c>
      <c r="AA49" s="184">
        <f t="shared" si="17"/>
        <v>0.99985513462014874</v>
      </c>
      <c r="AB49" s="184">
        <f t="shared" si="18"/>
        <v>0.9999887561161086</v>
      </c>
      <c r="AC49" s="184">
        <f t="shared" si="19"/>
        <v>0.99991762221598879</v>
      </c>
      <c r="AD49" s="184">
        <f t="shared" si="20"/>
        <v>0.99978361290710849</v>
      </c>
      <c r="AE49" s="184">
        <f t="shared" si="21"/>
        <v>0.9983918412079924</v>
      </c>
      <c r="AF49" s="184">
        <f t="shared" si="22"/>
        <v>0.99920815486375381</v>
      </c>
      <c r="AG49" s="184">
        <f t="shared" si="23"/>
        <v>0.99904466115555712</v>
      </c>
      <c r="AI49" s="214">
        <f t="shared" si="24"/>
        <v>1</v>
      </c>
      <c r="AJ49" s="214">
        <f t="shared" si="25"/>
        <v>4</v>
      </c>
      <c r="AK49" s="214">
        <f t="shared" si="26"/>
        <v>1</v>
      </c>
      <c r="AL49" s="214">
        <f t="shared" si="27"/>
        <v>0</v>
      </c>
      <c r="AM49" s="214">
        <f t="shared" si="28"/>
        <v>-2</v>
      </c>
      <c r="AN49" s="214">
        <f t="shared" si="29"/>
        <v>-1</v>
      </c>
      <c r="AO49" s="214">
        <f t="shared" si="30"/>
        <v>-1</v>
      </c>
      <c r="AP49" s="206">
        <f t="shared" si="31"/>
        <v>0.75000000000000022</v>
      </c>
      <c r="AQ49" s="213">
        <f t="shared" si="32"/>
        <v>2.7777777777777679E-2</v>
      </c>
      <c r="AR49" s="213">
        <f t="shared" si="33"/>
        <v>0.11428571428571432</v>
      </c>
      <c r="AS49" s="213">
        <f t="shared" si="34"/>
        <v>2.7027027027026973E-2</v>
      </c>
      <c r="AT49" s="213">
        <f t="shared" si="35"/>
        <v>0</v>
      </c>
      <c r="AU49" s="213">
        <f t="shared" si="36"/>
        <v>-5.7142857142857162E-2</v>
      </c>
      <c r="AV49" s="213">
        <f t="shared" si="37"/>
        <v>-3.0303030303030276E-2</v>
      </c>
      <c r="AW49" s="213">
        <f t="shared" si="38"/>
        <v>-3.3333333333333326E-2</v>
      </c>
      <c r="AY49" s="186">
        <f t="shared" si="39"/>
        <v>203.5038483996876</v>
      </c>
      <c r="AZ49" s="186">
        <f t="shared" si="40"/>
        <v>200.53107855981699</v>
      </c>
      <c r="BA49" s="186">
        <f t="shared" si="41"/>
        <v>211.11594063720244</v>
      </c>
      <c r="BB49" s="186">
        <f t="shared" si="42"/>
        <v>211.02099456426038</v>
      </c>
      <c r="BC49" s="186">
        <f t="shared" si="43"/>
        <v>208.26453807598722</v>
      </c>
      <c r="BD49" s="186">
        <f t="shared" si="44"/>
        <v>196.87731344665497</v>
      </c>
      <c r="BE49" s="186">
        <f t="shared" si="45"/>
        <v>179.22861221130697</v>
      </c>
    </row>
    <row r="50" spans="1:57" ht="12.75" x14ac:dyDescent="0.2">
      <c r="A50" s="181">
        <f t="shared" si="9"/>
        <v>201.51428571428573</v>
      </c>
      <c r="B50" s="187">
        <f t="shared" si="46"/>
        <v>0.77083333333333359</v>
      </c>
      <c r="C50" s="135">
        <v>199.9</v>
      </c>
      <c r="D50" s="135">
        <v>198.9</v>
      </c>
      <c r="E50" s="135">
        <v>212.16666666666666</v>
      </c>
      <c r="F50" s="135">
        <v>212.4666666666667</v>
      </c>
      <c r="G50" s="135">
        <v>207.4</v>
      </c>
      <c r="H50" s="135">
        <v>198.83333333333334</v>
      </c>
      <c r="I50" s="135">
        <v>180.93333333333331</v>
      </c>
      <c r="J50" s="165">
        <v>38</v>
      </c>
      <c r="K50" s="43">
        <f t="shared" si="10"/>
        <v>36</v>
      </c>
      <c r="L50" s="43">
        <f t="shared" si="11"/>
        <v>35</v>
      </c>
      <c r="M50" s="43">
        <f t="shared" si="12"/>
        <v>37</v>
      </c>
      <c r="N50" s="43">
        <f t="shared" si="13"/>
        <v>36</v>
      </c>
      <c r="O50" s="43">
        <f t="shared" si="14"/>
        <v>35</v>
      </c>
      <c r="P50" s="43">
        <f t="shared" si="15"/>
        <v>33</v>
      </c>
      <c r="Q50" s="43">
        <f t="shared" si="16"/>
        <v>30</v>
      </c>
      <c r="R50" s="165">
        <v>38</v>
      </c>
      <c r="S50" s="183">
        <v>37</v>
      </c>
      <c r="T50" s="183">
        <v>36</v>
      </c>
      <c r="U50" s="183">
        <v>38</v>
      </c>
      <c r="V50" s="183">
        <v>36</v>
      </c>
      <c r="W50" s="183">
        <v>33</v>
      </c>
      <c r="X50" s="183">
        <v>32</v>
      </c>
      <c r="Y50" s="183">
        <v>29</v>
      </c>
      <c r="AA50" s="184">
        <f t="shared" si="17"/>
        <v>0.99990646329651622</v>
      </c>
      <c r="AB50" s="184">
        <f t="shared" si="18"/>
        <v>0.99988515203399719</v>
      </c>
      <c r="AC50" s="184">
        <f t="shared" si="19"/>
        <v>0.99990825439350572</v>
      </c>
      <c r="AD50" s="184">
        <f t="shared" si="20"/>
        <v>0.99976045714991801</v>
      </c>
      <c r="AE50" s="184">
        <f t="shared" si="21"/>
        <v>0.99866349483122197</v>
      </c>
      <c r="AF50" s="184">
        <f t="shared" si="22"/>
        <v>0.9990392847841596</v>
      </c>
      <c r="AG50" s="184">
        <f t="shared" si="23"/>
        <v>0.99883594366702966</v>
      </c>
      <c r="AI50" s="214">
        <f t="shared" si="24"/>
        <v>1</v>
      </c>
      <c r="AJ50" s="214">
        <f t="shared" si="25"/>
        <v>1</v>
      </c>
      <c r="AK50" s="214">
        <f t="shared" si="26"/>
        <v>1</v>
      </c>
      <c r="AL50" s="214">
        <f t="shared" si="27"/>
        <v>0</v>
      </c>
      <c r="AM50" s="214">
        <f t="shared" si="28"/>
        <v>-2</v>
      </c>
      <c r="AN50" s="214">
        <f t="shared" si="29"/>
        <v>-1</v>
      </c>
      <c r="AO50" s="214">
        <f t="shared" si="30"/>
        <v>-1</v>
      </c>
      <c r="AP50" s="206">
        <f t="shared" si="31"/>
        <v>0.77083333333333359</v>
      </c>
      <c r="AQ50" s="213">
        <f t="shared" si="32"/>
        <v>2.7777777777777679E-2</v>
      </c>
      <c r="AR50" s="213">
        <f t="shared" si="33"/>
        <v>2.857142857142847E-2</v>
      </c>
      <c r="AS50" s="213">
        <f t="shared" si="34"/>
        <v>2.7027027027026973E-2</v>
      </c>
      <c r="AT50" s="213">
        <f t="shared" si="35"/>
        <v>0</v>
      </c>
      <c r="AU50" s="213">
        <f t="shared" si="36"/>
        <v>-5.7142857142857162E-2</v>
      </c>
      <c r="AV50" s="213">
        <f t="shared" si="37"/>
        <v>-3.0303030303030276E-2</v>
      </c>
      <c r="AW50" s="213">
        <f t="shared" si="38"/>
        <v>-3.3333333333333326E-2</v>
      </c>
      <c r="AY50" s="186">
        <f t="shared" si="39"/>
        <v>199.88130201297361</v>
      </c>
      <c r="AZ50" s="186">
        <f t="shared" si="40"/>
        <v>198.87715673956205</v>
      </c>
      <c r="BA50" s="186">
        <f t="shared" si="41"/>
        <v>212.14720130715546</v>
      </c>
      <c r="BB50" s="186">
        <f t="shared" si="42"/>
        <v>212.41577179578596</v>
      </c>
      <c r="BC50" s="186">
        <f t="shared" si="43"/>
        <v>207.12280882799544</v>
      </c>
      <c r="BD50" s="186">
        <f t="shared" si="44"/>
        <v>198.64231112458376</v>
      </c>
      <c r="BE50" s="186">
        <f t="shared" si="45"/>
        <v>180.7227167408212</v>
      </c>
    </row>
    <row r="51" spans="1:57" ht="12.75" x14ac:dyDescent="0.2">
      <c r="A51" s="181">
        <f t="shared" si="9"/>
        <v>203.78095238095236</v>
      </c>
      <c r="B51" s="187">
        <f t="shared" si="46"/>
        <v>0.79166666666666696</v>
      </c>
      <c r="C51" s="135">
        <v>204.03333333333333</v>
      </c>
      <c r="D51" s="135">
        <v>200.76666666666665</v>
      </c>
      <c r="E51" s="135">
        <v>214.33333333333334</v>
      </c>
      <c r="F51" s="135">
        <v>217.16666666666666</v>
      </c>
      <c r="G51" s="135">
        <v>207.30000000000004</v>
      </c>
      <c r="H51" s="135">
        <v>197.86666666666665</v>
      </c>
      <c r="I51" s="135">
        <v>185</v>
      </c>
      <c r="J51" s="165">
        <v>39</v>
      </c>
      <c r="K51" s="43">
        <f t="shared" si="10"/>
        <v>36</v>
      </c>
      <c r="L51" s="43">
        <f t="shared" si="11"/>
        <v>35</v>
      </c>
      <c r="M51" s="43">
        <f t="shared" si="12"/>
        <v>37</v>
      </c>
      <c r="N51" s="43">
        <f t="shared" si="13"/>
        <v>37</v>
      </c>
      <c r="O51" s="43">
        <f t="shared" si="14"/>
        <v>35</v>
      </c>
      <c r="P51" s="43">
        <f t="shared" si="15"/>
        <v>33</v>
      </c>
      <c r="Q51" s="43">
        <f t="shared" si="16"/>
        <v>31</v>
      </c>
      <c r="R51" s="165">
        <v>39</v>
      </c>
      <c r="S51" s="183">
        <v>38</v>
      </c>
      <c r="T51" s="183">
        <v>35</v>
      </c>
      <c r="U51" s="183">
        <v>37</v>
      </c>
      <c r="V51" s="183">
        <v>36</v>
      </c>
      <c r="W51" s="183">
        <v>35</v>
      </c>
      <c r="X51" s="183">
        <v>33</v>
      </c>
      <c r="Y51" s="183">
        <v>30</v>
      </c>
      <c r="AA51" s="184">
        <f t="shared" si="17"/>
        <v>0.99993560643424151</v>
      </c>
      <c r="AB51" s="184">
        <f t="shared" si="18"/>
        <v>0.99968196151417033</v>
      </c>
      <c r="AC51" s="184">
        <f t="shared" si="19"/>
        <v>0.99974946814664645</v>
      </c>
      <c r="AD51" s="184">
        <f t="shared" si="20"/>
        <v>0.99960603774699397</v>
      </c>
      <c r="AE51" s="184">
        <f t="shared" si="21"/>
        <v>0.99971739415491445</v>
      </c>
      <c r="AF51" s="184">
        <f t="shared" si="22"/>
        <v>0.99960675829404633</v>
      </c>
      <c r="AG51" s="184">
        <f t="shared" si="23"/>
        <v>0.99923348128560951</v>
      </c>
      <c r="AI51" s="214">
        <f t="shared" si="24"/>
        <v>2</v>
      </c>
      <c r="AJ51" s="214">
        <f t="shared" si="25"/>
        <v>0</v>
      </c>
      <c r="AK51" s="214">
        <f t="shared" si="26"/>
        <v>0</v>
      </c>
      <c r="AL51" s="214">
        <f t="shared" si="27"/>
        <v>-1</v>
      </c>
      <c r="AM51" s="214">
        <f t="shared" si="28"/>
        <v>0</v>
      </c>
      <c r="AN51" s="214">
        <f t="shared" si="29"/>
        <v>0</v>
      </c>
      <c r="AO51" s="214">
        <f t="shared" si="30"/>
        <v>-1</v>
      </c>
      <c r="AP51" s="206">
        <f t="shared" si="31"/>
        <v>0.79166666666666696</v>
      </c>
      <c r="AQ51" s="213">
        <f t="shared" si="32"/>
        <v>5.555555555555558E-2</v>
      </c>
      <c r="AR51" s="213">
        <f t="shared" si="33"/>
        <v>0</v>
      </c>
      <c r="AS51" s="213">
        <f t="shared" si="34"/>
        <v>0</v>
      </c>
      <c r="AT51" s="213">
        <f t="shared" si="35"/>
        <v>-2.7027027027026973E-2</v>
      </c>
      <c r="AU51" s="213">
        <f t="shared" si="36"/>
        <v>0</v>
      </c>
      <c r="AV51" s="213">
        <f t="shared" si="37"/>
        <v>0</v>
      </c>
      <c r="AW51" s="213">
        <f t="shared" si="38"/>
        <v>-3.2258064516129004E-2</v>
      </c>
      <c r="AY51" s="186">
        <f t="shared" si="39"/>
        <v>204.02019489946642</v>
      </c>
      <c r="AZ51" s="186">
        <f t="shared" si="40"/>
        <v>200.70281513999493</v>
      </c>
      <c r="BA51" s="186">
        <f t="shared" si="41"/>
        <v>214.27963600609789</v>
      </c>
      <c r="BB51" s="186">
        <f t="shared" si="42"/>
        <v>217.08111119738885</v>
      </c>
      <c r="BC51" s="186">
        <f t="shared" si="43"/>
        <v>207.2414158083138</v>
      </c>
      <c r="BD51" s="186">
        <f t="shared" si="44"/>
        <v>197.78885724111527</v>
      </c>
      <c r="BE51" s="186">
        <f t="shared" si="45"/>
        <v>184.85819403783776</v>
      </c>
    </row>
    <row r="52" spans="1:57" ht="12.75" x14ac:dyDescent="0.2">
      <c r="A52" s="181">
        <f t="shared" si="9"/>
        <v>207.88571428571433</v>
      </c>
      <c r="B52" s="187">
        <f t="shared" si="46"/>
        <v>0.81250000000000033</v>
      </c>
      <c r="C52" s="135">
        <v>208.30000000000004</v>
      </c>
      <c r="D52" s="135">
        <v>203</v>
      </c>
      <c r="E52" s="135">
        <v>218.56666666666669</v>
      </c>
      <c r="F52" s="135">
        <v>222.33333333333334</v>
      </c>
      <c r="G52" s="135">
        <v>210.16666666666666</v>
      </c>
      <c r="H52" s="135">
        <v>201.4</v>
      </c>
      <c r="I52" s="135">
        <v>191.43333333333331</v>
      </c>
      <c r="J52" s="165">
        <v>40</v>
      </c>
      <c r="K52" s="43">
        <f t="shared" si="10"/>
        <v>37</v>
      </c>
      <c r="L52" s="43">
        <f t="shared" si="11"/>
        <v>35</v>
      </c>
      <c r="M52" s="43">
        <f t="shared" si="12"/>
        <v>38</v>
      </c>
      <c r="N52" s="43">
        <f t="shared" si="13"/>
        <v>38</v>
      </c>
      <c r="O52" s="43">
        <f t="shared" si="14"/>
        <v>36</v>
      </c>
      <c r="P52" s="43">
        <f t="shared" si="15"/>
        <v>34</v>
      </c>
      <c r="Q52" s="43">
        <f t="shared" si="16"/>
        <v>31</v>
      </c>
      <c r="R52" s="165">
        <v>40</v>
      </c>
      <c r="S52" s="183">
        <v>38</v>
      </c>
      <c r="T52" s="183">
        <v>35</v>
      </c>
      <c r="U52" s="183">
        <v>36</v>
      </c>
      <c r="V52" s="183">
        <v>36</v>
      </c>
      <c r="W52" s="183">
        <v>35</v>
      </c>
      <c r="X52" s="183">
        <v>33</v>
      </c>
      <c r="Y52" s="183">
        <v>29</v>
      </c>
      <c r="AA52" s="184">
        <f t="shared" si="17"/>
        <v>0.99989987512816958</v>
      </c>
      <c r="AB52" s="184">
        <f t="shared" si="18"/>
        <v>0.99960958884286766</v>
      </c>
      <c r="AC52" s="184">
        <f t="shared" si="19"/>
        <v>0.9991257599622112</v>
      </c>
      <c r="AD52" s="184">
        <f t="shared" si="20"/>
        <v>0.99936315293336775</v>
      </c>
      <c r="AE52" s="184">
        <f t="shared" si="21"/>
        <v>0.99961828898349925</v>
      </c>
      <c r="AF52" s="184">
        <f t="shared" si="22"/>
        <v>0.99946952020084667</v>
      </c>
      <c r="AG52" s="184">
        <f t="shared" si="23"/>
        <v>0.9970129389281539</v>
      </c>
      <c r="AI52" s="214">
        <f t="shared" si="24"/>
        <v>1</v>
      </c>
      <c r="AJ52" s="214">
        <f t="shared" si="25"/>
        <v>0</v>
      </c>
      <c r="AK52" s="214">
        <f t="shared" si="26"/>
        <v>-2</v>
      </c>
      <c r="AL52" s="214">
        <f t="shared" si="27"/>
        <v>-2</v>
      </c>
      <c r="AM52" s="214">
        <f t="shared" si="28"/>
        <v>-1</v>
      </c>
      <c r="AN52" s="214">
        <f t="shared" si="29"/>
        <v>-1</v>
      </c>
      <c r="AO52" s="214">
        <f t="shared" si="30"/>
        <v>-2</v>
      </c>
      <c r="AP52" s="206">
        <f t="shared" si="31"/>
        <v>0.81250000000000033</v>
      </c>
      <c r="AQ52" s="213">
        <f t="shared" si="32"/>
        <v>2.7027027027026973E-2</v>
      </c>
      <c r="AR52" s="213">
        <f t="shared" si="33"/>
        <v>0</v>
      </c>
      <c r="AS52" s="213">
        <f t="shared" si="34"/>
        <v>-5.2631578947368474E-2</v>
      </c>
      <c r="AT52" s="213">
        <f t="shared" si="35"/>
        <v>-5.2631578947368474E-2</v>
      </c>
      <c r="AU52" s="213">
        <f t="shared" si="36"/>
        <v>-2.777777777777779E-2</v>
      </c>
      <c r="AV52" s="213">
        <f t="shared" si="37"/>
        <v>-2.9411764705882359E-2</v>
      </c>
      <c r="AW52" s="213">
        <f t="shared" si="38"/>
        <v>-6.4516129032258118E-2</v>
      </c>
      <c r="AY52" s="186">
        <f t="shared" si="39"/>
        <v>208.27914398919776</v>
      </c>
      <c r="AZ52" s="186">
        <f t="shared" si="40"/>
        <v>202.92074653510213</v>
      </c>
      <c r="BA52" s="186">
        <f t="shared" si="41"/>
        <v>218.37558693574064</v>
      </c>
      <c r="BB52" s="186">
        <f t="shared" si="42"/>
        <v>222.19174100218544</v>
      </c>
      <c r="BC52" s="186">
        <f t="shared" si="43"/>
        <v>210.08644373469875</v>
      </c>
      <c r="BD52" s="186">
        <f t="shared" si="44"/>
        <v>201.29316136845051</v>
      </c>
      <c r="BE52" s="186">
        <f t="shared" si="45"/>
        <v>190.86151027547956</v>
      </c>
    </row>
    <row r="53" spans="1:57" ht="12.75" x14ac:dyDescent="0.2">
      <c r="A53" s="181">
        <f t="shared" si="9"/>
        <v>208.22380952380951</v>
      </c>
      <c r="B53" s="187">
        <f t="shared" si="46"/>
        <v>0.8333333333333337</v>
      </c>
      <c r="C53" s="135">
        <v>209.26666666666665</v>
      </c>
      <c r="D53" s="135">
        <v>203.23333333333335</v>
      </c>
      <c r="E53" s="135">
        <v>219.1</v>
      </c>
      <c r="F53" s="135">
        <v>224.29999999999998</v>
      </c>
      <c r="G53" s="135">
        <v>210.6</v>
      </c>
      <c r="H53" s="135">
        <v>197.33333333333334</v>
      </c>
      <c r="I53" s="135">
        <v>193.73333333333335</v>
      </c>
      <c r="J53" s="165">
        <v>41</v>
      </c>
      <c r="K53" s="43">
        <f t="shared" si="10"/>
        <v>37</v>
      </c>
      <c r="L53" s="43">
        <f t="shared" si="11"/>
        <v>35</v>
      </c>
      <c r="M53" s="43">
        <f t="shared" si="12"/>
        <v>38</v>
      </c>
      <c r="N53" s="43">
        <f t="shared" si="13"/>
        <v>38</v>
      </c>
      <c r="O53" s="43">
        <f t="shared" si="14"/>
        <v>36</v>
      </c>
      <c r="P53" s="43">
        <f t="shared" si="15"/>
        <v>33</v>
      </c>
      <c r="Q53" s="43">
        <f t="shared" si="16"/>
        <v>32</v>
      </c>
      <c r="R53" s="165">
        <v>41</v>
      </c>
      <c r="S53" s="183">
        <v>44</v>
      </c>
      <c r="T53" s="183">
        <v>35</v>
      </c>
      <c r="U53" s="183">
        <v>41</v>
      </c>
      <c r="V53" s="183">
        <v>38</v>
      </c>
      <c r="W53" s="183">
        <v>38</v>
      </c>
      <c r="X53" s="183">
        <v>35</v>
      </c>
      <c r="Y53" s="183">
        <v>35</v>
      </c>
      <c r="AA53" s="184">
        <f t="shared" si="17"/>
        <v>0.99999937621139845</v>
      </c>
      <c r="AB53" s="184">
        <f t="shared" si="18"/>
        <v>0.99960958884286766</v>
      </c>
      <c r="AC53" s="184">
        <f t="shared" si="19"/>
        <v>0.99998339388262492</v>
      </c>
      <c r="AD53" s="184">
        <f t="shared" si="20"/>
        <v>0.99983539033156055</v>
      </c>
      <c r="AE53" s="184">
        <f t="shared" si="21"/>
        <v>0.99996365579314905</v>
      </c>
      <c r="AF53" s="184">
        <f t="shared" si="22"/>
        <v>0.99993338877644522</v>
      </c>
      <c r="AG53" s="184">
        <f t="shared" si="23"/>
        <v>0.99997252586693486</v>
      </c>
      <c r="AI53" s="214">
        <f t="shared" si="24"/>
        <v>7</v>
      </c>
      <c r="AJ53" s="214">
        <f t="shared" si="25"/>
        <v>0</v>
      </c>
      <c r="AK53" s="214">
        <f t="shared" si="26"/>
        <v>3</v>
      </c>
      <c r="AL53" s="214">
        <f t="shared" si="27"/>
        <v>0</v>
      </c>
      <c r="AM53" s="214">
        <f t="shared" si="28"/>
        <v>2</v>
      </c>
      <c r="AN53" s="214">
        <f t="shared" si="29"/>
        <v>2</v>
      </c>
      <c r="AO53" s="214">
        <f t="shared" si="30"/>
        <v>3</v>
      </c>
      <c r="AP53" s="206">
        <f t="shared" si="31"/>
        <v>0.8333333333333337</v>
      </c>
      <c r="AQ53" s="213">
        <f t="shared" si="32"/>
        <v>0.18918918918918926</v>
      </c>
      <c r="AR53" s="213">
        <f t="shared" si="33"/>
        <v>0</v>
      </c>
      <c r="AS53" s="213">
        <f t="shared" si="34"/>
        <v>7.8947368421052655E-2</v>
      </c>
      <c r="AT53" s="213">
        <f t="shared" si="35"/>
        <v>0</v>
      </c>
      <c r="AU53" s="213">
        <f t="shared" si="36"/>
        <v>5.555555555555558E-2</v>
      </c>
      <c r="AV53" s="213">
        <f t="shared" si="37"/>
        <v>6.0606060606060552E-2</v>
      </c>
      <c r="AW53" s="213">
        <f t="shared" si="38"/>
        <v>9.375E-2</v>
      </c>
      <c r="AY53" s="186">
        <f t="shared" si="39"/>
        <v>209.26653612850529</v>
      </c>
      <c r="AZ53" s="186">
        <f t="shared" si="40"/>
        <v>203.15398877249882</v>
      </c>
      <c r="BA53" s="186">
        <f t="shared" si="41"/>
        <v>219.09636159968312</v>
      </c>
      <c r="BB53" s="186">
        <f t="shared" si="42"/>
        <v>224.26307805136901</v>
      </c>
      <c r="BC53" s="186">
        <f t="shared" si="43"/>
        <v>210.59234591003718</v>
      </c>
      <c r="BD53" s="186">
        <f t="shared" si="44"/>
        <v>197.32018871855186</v>
      </c>
      <c r="BE53" s="186">
        <f t="shared" si="45"/>
        <v>193.72801067795419</v>
      </c>
    </row>
    <row r="54" spans="1:57" ht="12.75" x14ac:dyDescent="0.2">
      <c r="A54" s="181">
        <f t="shared" si="9"/>
        <v>201.59047619047618</v>
      </c>
      <c r="B54" s="187">
        <f t="shared" si="46"/>
        <v>0.85416666666666707</v>
      </c>
      <c r="C54" s="135">
        <v>203.46666666666667</v>
      </c>
      <c r="D54" s="135">
        <v>196.6</v>
      </c>
      <c r="E54" s="135">
        <v>212.03333333333333</v>
      </c>
      <c r="F54" s="135">
        <v>217.26666666666665</v>
      </c>
      <c r="G54" s="135">
        <v>201.70000000000002</v>
      </c>
      <c r="H54" s="135">
        <v>190.83333333333334</v>
      </c>
      <c r="I54" s="135">
        <v>189.23333333333335</v>
      </c>
      <c r="J54" s="165">
        <v>42</v>
      </c>
      <c r="K54" s="43">
        <f t="shared" si="10"/>
        <v>36</v>
      </c>
      <c r="L54" s="43">
        <f t="shared" si="11"/>
        <v>34</v>
      </c>
      <c r="M54" s="43">
        <f t="shared" si="12"/>
        <v>37</v>
      </c>
      <c r="N54" s="43">
        <f t="shared" si="13"/>
        <v>37</v>
      </c>
      <c r="O54" s="43">
        <f t="shared" si="14"/>
        <v>34</v>
      </c>
      <c r="P54" s="43">
        <f t="shared" si="15"/>
        <v>32</v>
      </c>
      <c r="Q54" s="43">
        <f t="shared" si="16"/>
        <v>31</v>
      </c>
      <c r="R54" s="165">
        <v>42</v>
      </c>
      <c r="S54" s="183">
        <v>43</v>
      </c>
      <c r="T54" s="183">
        <v>34</v>
      </c>
      <c r="U54" s="183">
        <v>41</v>
      </c>
      <c r="V54" s="183">
        <v>38</v>
      </c>
      <c r="W54" s="183">
        <v>37</v>
      </c>
      <c r="X54" s="183">
        <v>34</v>
      </c>
      <c r="Y54" s="183">
        <v>32</v>
      </c>
      <c r="AA54" s="184">
        <f t="shared" si="17"/>
        <v>0.99999929547013711</v>
      </c>
      <c r="AB54" s="184">
        <f t="shared" si="18"/>
        <v>0.99953654121643221</v>
      </c>
      <c r="AC54" s="184">
        <f t="shared" si="19"/>
        <v>0.99999268395088414</v>
      </c>
      <c r="AD54" s="184">
        <f t="shared" si="20"/>
        <v>0.99992006135439904</v>
      </c>
      <c r="AE54" s="184">
        <f t="shared" si="21"/>
        <v>0.99996880448036352</v>
      </c>
      <c r="AF54" s="184">
        <f t="shared" si="22"/>
        <v>0.99991882950953215</v>
      </c>
      <c r="AG54" s="184">
        <f t="shared" si="23"/>
        <v>0.9997816697520111</v>
      </c>
      <c r="AI54" s="214">
        <f t="shared" si="24"/>
        <v>7</v>
      </c>
      <c r="AJ54" s="214">
        <f t="shared" si="25"/>
        <v>0</v>
      </c>
      <c r="AK54" s="214">
        <f t="shared" si="26"/>
        <v>4</v>
      </c>
      <c r="AL54" s="214">
        <f t="shared" si="27"/>
        <v>1</v>
      </c>
      <c r="AM54" s="214">
        <f t="shared" si="28"/>
        <v>3</v>
      </c>
      <c r="AN54" s="214">
        <f t="shared" si="29"/>
        <v>2</v>
      </c>
      <c r="AO54" s="214">
        <f t="shared" si="30"/>
        <v>1</v>
      </c>
      <c r="AP54" s="206">
        <f t="shared" si="31"/>
        <v>0.85416666666666707</v>
      </c>
      <c r="AQ54" s="213">
        <f t="shared" si="32"/>
        <v>0.19444444444444442</v>
      </c>
      <c r="AR54" s="213">
        <f t="shared" si="33"/>
        <v>0</v>
      </c>
      <c r="AS54" s="213">
        <f t="shared" si="34"/>
        <v>0.10810810810810811</v>
      </c>
      <c r="AT54" s="213">
        <f t="shared" si="35"/>
        <v>2.7027027027026973E-2</v>
      </c>
      <c r="AU54" s="213">
        <f t="shared" si="36"/>
        <v>8.8235294117646967E-2</v>
      </c>
      <c r="AV54" s="213">
        <f t="shared" si="37"/>
        <v>6.25E-2</v>
      </c>
      <c r="AW54" s="213">
        <f t="shared" si="38"/>
        <v>3.2258064516129004E-2</v>
      </c>
      <c r="AY54" s="186">
        <f t="shared" si="39"/>
        <v>203.46652331832391</v>
      </c>
      <c r="AZ54" s="186">
        <f t="shared" si="40"/>
        <v>196.50888400315057</v>
      </c>
      <c r="BA54" s="186">
        <f t="shared" si="41"/>
        <v>212.03178208705248</v>
      </c>
      <c r="BB54" s="186">
        <f t="shared" si="42"/>
        <v>217.24929866359909</v>
      </c>
      <c r="BC54" s="186">
        <f t="shared" si="43"/>
        <v>201.69370786368933</v>
      </c>
      <c r="BD54" s="186">
        <f t="shared" si="44"/>
        <v>190.81784329806905</v>
      </c>
      <c r="BE54" s="186">
        <f t="shared" si="45"/>
        <v>189.19201797273891</v>
      </c>
    </row>
    <row r="55" spans="1:57" ht="13.5" customHeight="1" x14ac:dyDescent="0.2">
      <c r="A55" s="181">
        <f t="shared" si="9"/>
        <v>184.89523809523808</v>
      </c>
      <c r="B55" s="187">
        <f t="shared" si="46"/>
        <v>0.87500000000000044</v>
      </c>
      <c r="C55" s="135">
        <v>184.4666666666667</v>
      </c>
      <c r="D55" s="135">
        <v>181</v>
      </c>
      <c r="E55" s="135">
        <v>194.06666666666669</v>
      </c>
      <c r="F55" s="135">
        <v>201.9</v>
      </c>
      <c r="G55" s="135">
        <v>183.66666666666666</v>
      </c>
      <c r="H55" s="135">
        <v>175.69999999999996</v>
      </c>
      <c r="I55" s="135">
        <v>173.46666666666667</v>
      </c>
      <c r="J55" s="165">
        <v>43</v>
      </c>
      <c r="K55" s="43">
        <f t="shared" si="10"/>
        <v>33</v>
      </c>
      <c r="L55" s="43">
        <f t="shared" si="11"/>
        <v>32</v>
      </c>
      <c r="M55" s="43">
        <f t="shared" si="12"/>
        <v>34</v>
      </c>
      <c r="N55" s="43">
        <f t="shared" si="13"/>
        <v>34</v>
      </c>
      <c r="O55" s="43">
        <f t="shared" si="14"/>
        <v>31</v>
      </c>
      <c r="P55" s="43">
        <f t="shared" si="15"/>
        <v>30</v>
      </c>
      <c r="Q55" s="43">
        <f t="shared" si="16"/>
        <v>29</v>
      </c>
      <c r="R55" s="165">
        <v>43</v>
      </c>
      <c r="S55" s="183">
        <v>40</v>
      </c>
      <c r="T55" s="183">
        <v>32</v>
      </c>
      <c r="U55" s="183">
        <v>35</v>
      </c>
      <c r="V55" s="183">
        <v>34</v>
      </c>
      <c r="W55" s="183">
        <v>34</v>
      </c>
      <c r="X55" s="183">
        <v>28</v>
      </c>
      <c r="Y55" s="183">
        <v>29</v>
      </c>
      <c r="AA55" s="184">
        <f t="shared" si="17"/>
        <v>0.99999912792145396</v>
      </c>
      <c r="AB55" s="184">
        <f t="shared" si="18"/>
        <v>0.99957016978807112</v>
      </c>
      <c r="AC55" s="184">
        <f t="shared" si="19"/>
        <v>0.99984870836264972</v>
      </c>
      <c r="AD55" s="184">
        <f t="shared" si="20"/>
        <v>0.99957269388370118</v>
      </c>
      <c r="AE55" s="184">
        <f t="shared" si="21"/>
        <v>0.99994595755346838</v>
      </c>
      <c r="AF55" s="184">
        <f t="shared" si="22"/>
        <v>0.99758447902982295</v>
      </c>
      <c r="AG55" s="184">
        <f t="shared" si="23"/>
        <v>0.99948227740017614</v>
      </c>
      <c r="AI55" s="214">
        <f t="shared" si="24"/>
        <v>7</v>
      </c>
      <c r="AJ55" s="214">
        <f t="shared" si="25"/>
        <v>0</v>
      </c>
      <c r="AK55" s="214">
        <f t="shared" si="26"/>
        <v>1</v>
      </c>
      <c r="AL55" s="214">
        <f t="shared" si="27"/>
        <v>0</v>
      </c>
      <c r="AM55" s="214">
        <f t="shared" si="28"/>
        <v>3</v>
      </c>
      <c r="AN55" s="214">
        <f t="shared" si="29"/>
        <v>-2</v>
      </c>
      <c r="AO55" s="214">
        <f t="shared" si="30"/>
        <v>0</v>
      </c>
      <c r="AP55" s="206">
        <f t="shared" si="31"/>
        <v>0.87500000000000044</v>
      </c>
      <c r="AQ55" s="213">
        <f t="shared" si="32"/>
        <v>0.21212121212121215</v>
      </c>
      <c r="AR55" s="213">
        <f t="shared" si="33"/>
        <v>0</v>
      </c>
      <c r="AS55" s="213">
        <f t="shared" si="34"/>
        <v>2.9411764705882248E-2</v>
      </c>
      <c r="AT55" s="213">
        <f t="shared" si="35"/>
        <v>0</v>
      </c>
      <c r="AU55" s="213">
        <f t="shared" si="36"/>
        <v>9.6774193548387011E-2</v>
      </c>
      <c r="AV55" s="213">
        <f t="shared" si="37"/>
        <v>-6.6666666666666652E-2</v>
      </c>
      <c r="AW55" s="213">
        <f t="shared" si="38"/>
        <v>0</v>
      </c>
      <c r="AY55" s="186">
        <f t="shared" si="39"/>
        <v>184.46650579724422</v>
      </c>
      <c r="AZ55" s="186">
        <f t="shared" si="40"/>
        <v>180.92220073164088</v>
      </c>
      <c r="BA55" s="186">
        <f t="shared" si="41"/>
        <v>194.03730600291158</v>
      </c>
      <c r="BB55" s="186">
        <f t="shared" si="42"/>
        <v>201.81372689511929</v>
      </c>
      <c r="BC55" s="186">
        <f t="shared" si="43"/>
        <v>183.65674087065369</v>
      </c>
      <c r="BD55" s="186">
        <f t="shared" si="44"/>
        <v>175.27559296553986</v>
      </c>
      <c r="BE55" s="186">
        <f t="shared" si="45"/>
        <v>173.37685905301723</v>
      </c>
    </row>
    <row r="56" spans="1:57" ht="12.75" x14ac:dyDescent="0.2">
      <c r="A56" s="181">
        <f t="shared" si="9"/>
        <v>158.17142857142858</v>
      </c>
      <c r="B56" s="187">
        <f t="shared" si="46"/>
        <v>0.89583333333333381</v>
      </c>
      <c r="C56" s="135">
        <v>153.60000000000002</v>
      </c>
      <c r="D56" s="135">
        <v>156.43333333333337</v>
      </c>
      <c r="E56" s="135">
        <v>166.76666666666665</v>
      </c>
      <c r="F56" s="135">
        <v>172.20000000000002</v>
      </c>
      <c r="G56" s="135">
        <v>155.5</v>
      </c>
      <c r="H56" s="135">
        <v>154.6</v>
      </c>
      <c r="I56" s="135">
        <v>148.1</v>
      </c>
      <c r="J56" s="165">
        <v>44</v>
      </c>
      <c r="K56" s="43">
        <f t="shared" si="10"/>
        <v>28</v>
      </c>
      <c r="L56" s="43">
        <f t="shared" si="11"/>
        <v>28</v>
      </c>
      <c r="M56" s="43">
        <f t="shared" si="12"/>
        <v>30</v>
      </c>
      <c r="N56" s="43">
        <f t="shared" si="13"/>
        <v>30</v>
      </c>
      <c r="O56" s="43">
        <f t="shared" si="14"/>
        <v>27</v>
      </c>
      <c r="P56" s="43">
        <f t="shared" si="15"/>
        <v>26</v>
      </c>
      <c r="Q56" s="43">
        <f t="shared" si="16"/>
        <v>25</v>
      </c>
      <c r="R56" s="165">
        <v>44</v>
      </c>
      <c r="S56" s="183">
        <v>35</v>
      </c>
      <c r="T56" s="183">
        <v>32</v>
      </c>
      <c r="U56" s="183">
        <v>32</v>
      </c>
      <c r="V56" s="183">
        <v>33</v>
      </c>
      <c r="W56" s="183">
        <v>32</v>
      </c>
      <c r="X56" s="183">
        <v>27</v>
      </c>
      <c r="Y56" s="183">
        <v>24</v>
      </c>
      <c r="AA56" s="184">
        <f t="shared" si="17"/>
        <v>0.99999851660328554</v>
      </c>
      <c r="AB56" s="184">
        <f t="shared" si="18"/>
        <v>0.99997807437973885</v>
      </c>
      <c r="AC56" s="184">
        <f t="shared" si="19"/>
        <v>0.99991186155544787</v>
      </c>
      <c r="AD56" s="184">
        <f t="shared" si="20"/>
        <v>0.99996409246581408</v>
      </c>
      <c r="AE56" s="184">
        <f t="shared" si="21"/>
        <v>0.99998970632962203</v>
      </c>
      <c r="AF56" s="184">
        <f t="shared" si="22"/>
        <v>0.99936085562468502</v>
      </c>
      <c r="AG56" s="184">
        <f t="shared" si="23"/>
        <v>0.99737613948957793</v>
      </c>
      <c r="AI56" s="214">
        <f t="shared" si="24"/>
        <v>7</v>
      </c>
      <c r="AJ56" s="214">
        <f t="shared" si="25"/>
        <v>4</v>
      </c>
      <c r="AK56" s="214">
        <f t="shared" si="26"/>
        <v>2</v>
      </c>
      <c r="AL56" s="214">
        <f t="shared" si="27"/>
        <v>3</v>
      </c>
      <c r="AM56" s="214">
        <f t="shared" si="28"/>
        <v>5</v>
      </c>
      <c r="AN56" s="214">
        <f t="shared" si="29"/>
        <v>1</v>
      </c>
      <c r="AO56" s="214">
        <f t="shared" si="30"/>
        <v>-1</v>
      </c>
      <c r="AP56" s="206">
        <f t="shared" si="31"/>
        <v>0.89583333333333381</v>
      </c>
      <c r="AQ56" s="213">
        <f t="shared" si="32"/>
        <v>0.25</v>
      </c>
      <c r="AR56" s="213">
        <f t="shared" si="33"/>
        <v>0.14285714285714279</v>
      </c>
      <c r="AS56" s="213">
        <f t="shared" si="34"/>
        <v>6.6666666666666652E-2</v>
      </c>
      <c r="AT56" s="213">
        <f t="shared" si="35"/>
        <v>0.10000000000000009</v>
      </c>
      <c r="AU56" s="213">
        <f t="shared" si="36"/>
        <v>0.18518518518518512</v>
      </c>
      <c r="AV56" s="213">
        <f t="shared" si="37"/>
        <v>3.8461538461538547E-2</v>
      </c>
      <c r="AW56" s="213">
        <f t="shared" si="38"/>
        <v>-4.0000000000000036E-2</v>
      </c>
      <c r="AY56" s="186">
        <f t="shared" si="39"/>
        <v>153.59977215026467</v>
      </c>
      <c r="AZ56" s="186">
        <f t="shared" si="40"/>
        <v>156.42990343547052</v>
      </c>
      <c r="BA56" s="186">
        <f t="shared" si="41"/>
        <v>166.75196811206351</v>
      </c>
      <c r="BB56" s="186">
        <f t="shared" si="42"/>
        <v>172.19381672261321</v>
      </c>
      <c r="BC56" s="186">
        <f t="shared" si="43"/>
        <v>155.49839933425622</v>
      </c>
      <c r="BD56" s="186">
        <f t="shared" si="44"/>
        <v>154.5011882795763</v>
      </c>
      <c r="BE56" s="186">
        <f t="shared" si="45"/>
        <v>147.7114062584065</v>
      </c>
    </row>
    <row r="57" spans="1:57" ht="12.75" x14ac:dyDescent="0.2">
      <c r="A57" s="181">
        <f t="shared" si="9"/>
        <v>126.22857142857143</v>
      </c>
      <c r="B57" s="187">
        <f t="shared" si="46"/>
        <v>0.91666666666666718</v>
      </c>
      <c r="C57" s="135">
        <v>115.43333333333332</v>
      </c>
      <c r="D57" s="135">
        <v>124.13333333333333</v>
      </c>
      <c r="E57" s="135">
        <v>136.03333333333333</v>
      </c>
      <c r="F57" s="135">
        <v>135.53333333333333</v>
      </c>
      <c r="G57" s="135">
        <v>124.39999999999999</v>
      </c>
      <c r="H57" s="135">
        <v>127.46666666666668</v>
      </c>
      <c r="I57" s="135">
        <v>120.59999999999998</v>
      </c>
      <c r="J57" s="165">
        <v>45</v>
      </c>
      <c r="K57" s="43">
        <f t="shared" si="10"/>
        <v>20</v>
      </c>
      <c r="L57" s="43">
        <f t="shared" si="11"/>
        <v>22</v>
      </c>
      <c r="M57" s="43">
        <f t="shared" si="12"/>
        <v>24</v>
      </c>
      <c r="N57" s="43">
        <f t="shared" si="13"/>
        <v>24</v>
      </c>
      <c r="O57" s="43">
        <f t="shared" si="14"/>
        <v>21</v>
      </c>
      <c r="P57" s="43">
        <f t="shared" si="15"/>
        <v>21</v>
      </c>
      <c r="Q57" s="43">
        <f t="shared" si="16"/>
        <v>20</v>
      </c>
      <c r="R57" s="165">
        <v>45</v>
      </c>
      <c r="S57" s="183">
        <v>18</v>
      </c>
      <c r="T57" s="183">
        <v>21</v>
      </c>
      <c r="U57" s="183">
        <v>21</v>
      </c>
      <c r="V57" s="183">
        <v>22</v>
      </c>
      <c r="W57" s="183">
        <v>19</v>
      </c>
      <c r="X57" s="183">
        <v>24</v>
      </c>
      <c r="Y57" s="183">
        <v>24</v>
      </c>
      <c r="AA57" s="184">
        <f t="shared" si="17"/>
        <v>0.95841120086973375</v>
      </c>
      <c r="AB57" s="184">
        <f t="shared" si="18"/>
        <v>0.99240283156837505</v>
      </c>
      <c r="AC57" s="184">
        <f t="shared" si="19"/>
        <v>0.97532822364017713</v>
      </c>
      <c r="AD57" s="184">
        <f t="shared" si="20"/>
        <v>0.99207957064282015</v>
      </c>
      <c r="AE57" s="184">
        <f t="shared" si="21"/>
        <v>0.97574759678808143</v>
      </c>
      <c r="AF57" s="184">
        <f t="shared" si="22"/>
        <v>0.99963807338950228</v>
      </c>
      <c r="AG57" s="184">
        <f t="shared" si="23"/>
        <v>0.99988880168579064</v>
      </c>
      <c r="AI57" s="214">
        <f t="shared" si="24"/>
        <v>-2</v>
      </c>
      <c r="AJ57" s="214">
        <f t="shared" si="25"/>
        <v>-1</v>
      </c>
      <c r="AK57" s="214">
        <f t="shared" si="26"/>
        <v>-3</v>
      </c>
      <c r="AL57" s="214">
        <f t="shared" si="27"/>
        <v>-2</v>
      </c>
      <c r="AM57" s="214">
        <f t="shared" si="28"/>
        <v>-2</v>
      </c>
      <c r="AN57" s="214">
        <f t="shared" si="29"/>
        <v>3</v>
      </c>
      <c r="AO57" s="214">
        <f t="shared" si="30"/>
        <v>4</v>
      </c>
      <c r="AP57" s="206">
        <f t="shared" si="31"/>
        <v>0.91666666666666718</v>
      </c>
      <c r="AQ57" s="213">
        <f t="shared" si="32"/>
        <v>-9.9999999999999978E-2</v>
      </c>
      <c r="AR57" s="213">
        <f t="shared" si="33"/>
        <v>-4.5454545454545414E-2</v>
      </c>
      <c r="AS57" s="213">
        <f t="shared" si="34"/>
        <v>-0.125</v>
      </c>
      <c r="AT57" s="213">
        <f t="shared" si="35"/>
        <v>-8.333333333333337E-2</v>
      </c>
      <c r="AU57" s="213">
        <f t="shared" si="36"/>
        <v>-9.5238095238095233E-2</v>
      </c>
      <c r="AV57" s="213">
        <f t="shared" si="37"/>
        <v>0.14285714285714279</v>
      </c>
      <c r="AW57" s="213">
        <f t="shared" si="38"/>
        <v>0.19999999999999996</v>
      </c>
      <c r="AY57" s="186">
        <f t="shared" si="39"/>
        <v>110.63259962039625</v>
      </c>
      <c r="AZ57" s="186">
        <f t="shared" si="40"/>
        <v>123.19027149202095</v>
      </c>
      <c r="BA57" s="186">
        <f t="shared" si="41"/>
        <v>132.67714935585209</v>
      </c>
      <c r="BB57" s="186">
        <f t="shared" si="42"/>
        <v>134.45985114112355</v>
      </c>
      <c r="BC57" s="186">
        <f t="shared" si="43"/>
        <v>121.38300104043732</v>
      </c>
      <c r="BD57" s="186">
        <f t="shared" si="44"/>
        <v>127.42053308804857</v>
      </c>
      <c r="BE57" s="186">
        <f t="shared" si="45"/>
        <v>120.58658948330633</v>
      </c>
    </row>
    <row r="58" spans="1:57" ht="12.75" x14ac:dyDescent="0.2">
      <c r="A58" s="181">
        <f t="shared" si="9"/>
        <v>94.438095238095229</v>
      </c>
      <c r="B58" s="187">
        <f t="shared" si="46"/>
        <v>0.93750000000000056</v>
      </c>
      <c r="C58" s="135">
        <v>83.233333333333334</v>
      </c>
      <c r="D58" s="135">
        <v>91.399999999999991</v>
      </c>
      <c r="E58" s="135">
        <v>103</v>
      </c>
      <c r="F58" s="135">
        <v>99.066666666666663</v>
      </c>
      <c r="G58" s="135">
        <v>95.166666666666671</v>
      </c>
      <c r="H58" s="135">
        <v>97.399999999999991</v>
      </c>
      <c r="I58" s="135">
        <v>91.8</v>
      </c>
      <c r="J58" s="165">
        <v>46</v>
      </c>
      <c r="K58" s="43">
        <f t="shared" si="10"/>
        <v>15</v>
      </c>
      <c r="L58" s="43">
        <f t="shared" si="11"/>
        <v>16</v>
      </c>
      <c r="M58" s="43">
        <f t="shared" si="12"/>
        <v>18</v>
      </c>
      <c r="N58" s="43">
        <f t="shared" si="13"/>
        <v>17</v>
      </c>
      <c r="O58" s="43">
        <f t="shared" si="14"/>
        <v>16</v>
      </c>
      <c r="P58" s="43">
        <f t="shared" si="15"/>
        <v>17</v>
      </c>
      <c r="Q58" s="43">
        <f t="shared" si="16"/>
        <v>15</v>
      </c>
      <c r="R58" s="165">
        <v>46</v>
      </c>
      <c r="S58" s="183">
        <v>6</v>
      </c>
      <c r="T58" s="183">
        <v>6</v>
      </c>
      <c r="U58" s="183">
        <v>8</v>
      </c>
      <c r="V58" s="183">
        <v>7</v>
      </c>
      <c r="W58" s="183">
        <v>8</v>
      </c>
      <c r="X58" s="183">
        <v>8</v>
      </c>
      <c r="Y58" s="183">
        <v>7</v>
      </c>
      <c r="AA58" s="184">
        <f t="shared" si="17"/>
        <v>0</v>
      </c>
      <c r="AB58" s="184">
        <f t="shared" si="18"/>
        <v>0</v>
      </c>
      <c r="AC58" s="184">
        <f t="shared" si="19"/>
        <v>0</v>
      </c>
      <c r="AD58" s="184">
        <f t="shared" si="20"/>
        <v>0</v>
      </c>
      <c r="AE58" s="184">
        <f t="shared" si="21"/>
        <v>0</v>
      </c>
      <c r="AF58" s="184">
        <f t="shared" si="22"/>
        <v>0</v>
      </c>
      <c r="AG58" s="184">
        <f t="shared" si="23"/>
        <v>0</v>
      </c>
      <c r="AI58" s="214">
        <f t="shared" si="24"/>
        <v>-9</v>
      </c>
      <c r="AJ58" s="214">
        <f t="shared" si="25"/>
        <v>-10</v>
      </c>
      <c r="AK58" s="214">
        <f t="shared" si="26"/>
        <v>-10</v>
      </c>
      <c r="AL58" s="214">
        <f t="shared" si="27"/>
        <v>-10</v>
      </c>
      <c r="AM58" s="214">
        <f t="shared" si="28"/>
        <v>-8</v>
      </c>
      <c r="AN58" s="214">
        <f t="shared" si="29"/>
        <v>-9</v>
      </c>
      <c r="AO58" s="214">
        <f t="shared" si="30"/>
        <v>-8</v>
      </c>
      <c r="AP58" s="206">
        <f t="shared" si="31"/>
        <v>0.93750000000000056</v>
      </c>
      <c r="AQ58" s="213">
        <f t="shared" si="32"/>
        <v>-0.6</v>
      </c>
      <c r="AR58" s="213">
        <f t="shared" si="33"/>
        <v>-0.625</v>
      </c>
      <c r="AS58" s="213">
        <f t="shared" si="34"/>
        <v>-0.55555555555555558</v>
      </c>
      <c r="AT58" s="213">
        <f t="shared" si="35"/>
        <v>-0.58823529411764708</v>
      </c>
      <c r="AU58" s="213">
        <f t="shared" si="36"/>
        <v>-0.5</v>
      </c>
      <c r="AV58" s="213">
        <f t="shared" si="37"/>
        <v>-0.52941176470588236</v>
      </c>
      <c r="AW58" s="213">
        <f t="shared" si="38"/>
        <v>-0.53333333333333333</v>
      </c>
      <c r="AY58" s="186">
        <f t="shared" si="39"/>
        <v>0</v>
      </c>
      <c r="AZ58" s="186">
        <f t="shared" si="40"/>
        <v>0</v>
      </c>
      <c r="BA58" s="186">
        <f t="shared" si="41"/>
        <v>0</v>
      </c>
      <c r="BB58" s="186">
        <f t="shared" si="42"/>
        <v>0</v>
      </c>
      <c r="BC58" s="186">
        <f t="shared" si="43"/>
        <v>0</v>
      </c>
      <c r="BD58" s="186">
        <f t="shared" si="44"/>
        <v>0</v>
      </c>
      <c r="BE58" s="186">
        <f t="shared" si="45"/>
        <v>0</v>
      </c>
    </row>
    <row r="59" spans="1:57" ht="12.75" x14ac:dyDescent="0.2">
      <c r="A59" s="181">
        <f t="shared" si="9"/>
        <v>54.899999999999991</v>
      </c>
      <c r="B59" s="187">
        <f t="shared" si="46"/>
        <v>0.95833333333333393</v>
      </c>
      <c r="C59" s="135">
        <v>45.75</v>
      </c>
      <c r="D59" s="135">
        <v>49.900000000000006</v>
      </c>
      <c r="E59" s="135">
        <v>57.9</v>
      </c>
      <c r="F59" s="135">
        <v>56.2</v>
      </c>
      <c r="G59" s="135">
        <v>60.2</v>
      </c>
      <c r="H59" s="135">
        <v>59.4</v>
      </c>
      <c r="I59" s="135">
        <v>54.95</v>
      </c>
      <c r="J59" s="165">
        <v>47</v>
      </c>
      <c r="K59" s="43">
        <f t="shared" si="10"/>
        <v>9</v>
      </c>
      <c r="L59" s="43">
        <f t="shared" si="11"/>
        <v>10</v>
      </c>
      <c r="M59" s="43">
        <f t="shared" si="12"/>
        <v>11</v>
      </c>
      <c r="N59" s="43">
        <f t="shared" si="13"/>
        <v>10</v>
      </c>
      <c r="O59" s="43">
        <f t="shared" si="14"/>
        <v>11</v>
      </c>
      <c r="P59" s="43">
        <f t="shared" si="15"/>
        <v>11</v>
      </c>
      <c r="Q59" s="43">
        <f t="shared" si="16"/>
        <v>10</v>
      </c>
      <c r="R59" s="165">
        <v>47</v>
      </c>
      <c r="S59" s="183">
        <v>6</v>
      </c>
      <c r="T59" s="183">
        <v>6</v>
      </c>
      <c r="U59" s="183">
        <v>8</v>
      </c>
      <c r="V59" s="183">
        <v>7</v>
      </c>
      <c r="W59" s="183">
        <v>8</v>
      </c>
      <c r="X59" s="183">
        <v>8</v>
      </c>
      <c r="Y59" s="183">
        <v>7</v>
      </c>
      <c r="AA59" s="184">
        <f t="shared" si="17"/>
        <v>0.42009408121831532</v>
      </c>
      <c r="AB59" s="184">
        <f t="shared" si="18"/>
        <v>0.22829220167349176</v>
      </c>
      <c r="AC59" s="184">
        <f t="shared" si="19"/>
        <v>0.66759881138941213</v>
      </c>
      <c r="AD59" s="184">
        <f t="shared" si="20"/>
        <v>0.46681994655244397</v>
      </c>
      <c r="AE59" s="184">
        <f t="shared" si="21"/>
        <v>0.66414329074284983</v>
      </c>
      <c r="AF59" s="184">
        <f t="shared" si="22"/>
        <v>0.72236468482345972</v>
      </c>
      <c r="AG59" s="184">
        <f t="shared" si="23"/>
        <v>0.61182113045553554</v>
      </c>
      <c r="AI59" s="214">
        <f t="shared" si="24"/>
        <v>-3</v>
      </c>
      <c r="AJ59" s="214">
        <f t="shared" si="25"/>
        <v>-4</v>
      </c>
      <c r="AK59" s="214">
        <f t="shared" si="26"/>
        <v>-3</v>
      </c>
      <c r="AL59" s="214">
        <f t="shared" si="27"/>
        <v>-3</v>
      </c>
      <c r="AM59" s="214">
        <f t="shared" si="28"/>
        <v>-3</v>
      </c>
      <c r="AN59" s="214">
        <f t="shared" si="29"/>
        <v>-3</v>
      </c>
      <c r="AO59" s="214">
        <f t="shared" si="30"/>
        <v>-3</v>
      </c>
      <c r="AP59" s="206">
        <f t="shared" si="31"/>
        <v>0.95833333333333393</v>
      </c>
      <c r="AQ59" s="213">
        <f t="shared" si="32"/>
        <v>-0.33333333333333337</v>
      </c>
      <c r="AR59" s="213">
        <f t="shared" si="33"/>
        <v>-0.4</v>
      </c>
      <c r="AS59" s="213">
        <f t="shared" si="34"/>
        <v>-0.27272727272727271</v>
      </c>
      <c r="AT59" s="213">
        <f t="shared" si="35"/>
        <v>-0.30000000000000004</v>
      </c>
      <c r="AU59" s="213">
        <f t="shared" si="36"/>
        <v>-0.27272727272727271</v>
      </c>
      <c r="AV59" s="213">
        <f t="shared" si="37"/>
        <v>-0.27272727272727271</v>
      </c>
      <c r="AW59" s="213">
        <f t="shared" si="38"/>
        <v>-0.30000000000000004</v>
      </c>
      <c r="AY59" s="186">
        <f t="shared" si="39"/>
        <v>19.219304215737925</v>
      </c>
      <c r="AZ59" s="186">
        <f t="shared" si="40"/>
        <v>11.39178086350724</v>
      </c>
      <c r="BA59" s="186">
        <f t="shared" si="41"/>
        <v>38.653971179446962</v>
      </c>
      <c r="BB59" s="186">
        <f t="shared" si="42"/>
        <v>26.235280996247351</v>
      </c>
      <c r="BC59" s="186">
        <f t="shared" si="43"/>
        <v>39.98142610271956</v>
      </c>
      <c r="BD59" s="186">
        <f t="shared" si="44"/>
        <v>42.908462278513504</v>
      </c>
      <c r="BE59" s="186">
        <f t="shared" si="45"/>
        <v>33.619571118531681</v>
      </c>
    </row>
    <row r="60" spans="1:57" ht="13.5" thickBot="1" x14ac:dyDescent="0.25">
      <c r="A60" s="181">
        <f t="shared" si="9"/>
        <v>38.68571428571429</v>
      </c>
      <c r="B60" s="187">
        <f t="shared" si="46"/>
        <v>0.9791666666666673</v>
      </c>
      <c r="C60" s="135">
        <v>31.75</v>
      </c>
      <c r="D60" s="135">
        <v>35.900000000000006</v>
      </c>
      <c r="E60" s="135">
        <v>38.950000000000003</v>
      </c>
      <c r="F60" s="135">
        <v>40</v>
      </c>
      <c r="G60" s="135">
        <v>43.45</v>
      </c>
      <c r="H60" s="135">
        <v>42.7</v>
      </c>
      <c r="I60" s="135">
        <v>38.049999999999997</v>
      </c>
      <c r="J60" s="165">
        <v>48</v>
      </c>
      <c r="K60" s="43">
        <f t="shared" si="10"/>
        <v>6</v>
      </c>
      <c r="L60" s="43">
        <f t="shared" si="11"/>
        <v>6</v>
      </c>
      <c r="M60" s="43">
        <f t="shared" si="12"/>
        <v>7</v>
      </c>
      <c r="N60" s="43">
        <f t="shared" si="13"/>
        <v>7</v>
      </c>
      <c r="O60" s="43">
        <f t="shared" si="14"/>
        <v>8</v>
      </c>
      <c r="P60" s="43">
        <f t="shared" si="15"/>
        <v>7</v>
      </c>
      <c r="Q60" s="43">
        <f t="shared" si="16"/>
        <v>6</v>
      </c>
      <c r="R60" s="165">
        <v>48</v>
      </c>
      <c r="S60" s="183">
        <v>6</v>
      </c>
      <c r="T60" s="183">
        <v>6</v>
      </c>
      <c r="U60" s="183">
        <v>8</v>
      </c>
      <c r="V60" s="183">
        <v>7</v>
      </c>
      <c r="W60" s="183">
        <v>8</v>
      </c>
      <c r="X60" s="183">
        <v>8</v>
      </c>
      <c r="Y60" s="183">
        <v>7</v>
      </c>
      <c r="AA60" s="184">
        <f t="shared" si="17"/>
        <v>0.88862359896633236</v>
      </c>
      <c r="AB60" s="184">
        <f t="shared" si="18"/>
        <v>0.82678209904749189</v>
      </c>
      <c r="AC60" s="184">
        <f t="shared" si="19"/>
        <v>0.96666740531132822</v>
      </c>
      <c r="AD60" s="184">
        <f t="shared" si="20"/>
        <v>0.90675548200617317</v>
      </c>
      <c r="AE60" s="184">
        <f t="shared" si="21"/>
        <v>0.95151691282424</v>
      </c>
      <c r="AF60" s="184">
        <f t="shared" si="22"/>
        <v>0.95642419000670331</v>
      </c>
      <c r="AG60" s="184">
        <f t="shared" si="23"/>
        <v>0.94501500855392073</v>
      </c>
      <c r="AI60" s="214">
        <f t="shared" si="24"/>
        <v>0</v>
      </c>
      <c r="AJ60" s="214">
        <f t="shared" si="25"/>
        <v>0</v>
      </c>
      <c r="AK60" s="214">
        <f t="shared" si="26"/>
        <v>1</v>
      </c>
      <c r="AL60" s="214">
        <f t="shared" si="27"/>
        <v>0</v>
      </c>
      <c r="AM60" s="214">
        <f t="shared" si="28"/>
        <v>0</v>
      </c>
      <c r="AN60" s="214">
        <f t="shared" si="29"/>
        <v>1</v>
      </c>
      <c r="AO60" s="214">
        <f t="shared" si="30"/>
        <v>1</v>
      </c>
      <c r="AP60" s="206">
        <f t="shared" si="31"/>
        <v>0.9791666666666673</v>
      </c>
      <c r="AQ60" s="213">
        <f t="shared" si="32"/>
        <v>0</v>
      </c>
      <c r="AR60" s="213">
        <f t="shared" si="33"/>
        <v>0</v>
      </c>
      <c r="AS60" s="213">
        <f t="shared" si="34"/>
        <v>0.14285714285714279</v>
      </c>
      <c r="AT60" s="213">
        <f t="shared" si="35"/>
        <v>0</v>
      </c>
      <c r="AU60" s="213">
        <f t="shared" si="36"/>
        <v>0</v>
      </c>
      <c r="AV60" s="213">
        <f t="shared" si="37"/>
        <v>0.14285714285714279</v>
      </c>
      <c r="AW60" s="213">
        <f t="shared" si="38"/>
        <v>0.16666666666666674</v>
      </c>
      <c r="AY60" s="186">
        <f t="shared" si="39"/>
        <v>28.213799267181052</v>
      </c>
      <c r="AZ60" s="186">
        <f t="shared" si="40"/>
        <v>29.681477355804965</v>
      </c>
      <c r="BA60" s="186">
        <f t="shared" si="41"/>
        <v>37.651695436876238</v>
      </c>
      <c r="BB60" s="186">
        <f t="shared" si="42"/>
        <v>36.270219280246927</v>
      </c>
      <c r="BC60" s="186">
        <f t="shared" si="43"/>
        <v>41.343409862213228</v>
      </c>
      <c r="BD60" s="186">
        <f t="shared" si="44"/>
        <v>40.839312913286236</v>
      </c>
      <c r="BE60" s="186">
        <f t="shared" si="45"/>
        <v>35.95782107547668</v>
      </c>
    </row>
    <row r="61" spans="1:57" s="21" customFormat="1" ht="15.75" thickBot="1" x14ac:dyDescent="0.3">
      <c r="A61" s="152">
        <f>SUM(K61:Q61)</f>
        <v>3910</v>
      </c>
      <c r="B61" s="153">
        <f>SUM(C61:I61)</f>
        <v>45009.516666666663</v>
      </c>
      <c r="C61" s="257">
        <f t="shared" ref="C61:I61" si="47">SUM(C13:C60)</f>
        <v>6400.95</v>
      </c>
      <c r="D61" s="257">
        <f t="shared" si="47"/>
        <v>6147.2499999999991</v>
      </c>
      <c r="E61" s="257">
        <f t="shared" si="47"/>
        <v>6595.9666666666672</v>
      </c>
      <c r="F61" s="257">
        <f t="shared" si="47"/>
        <v>6662.7499999999991</v>
      </c>
      <c r="G61" s="257">
        <f t="shared" si="47"/>
        <v>6590.0666666666675</v>
      </c>
      <c r="H61" s="257">
        <f t="shared" si="47"/>
        <v>6715.6999999999989</v>
      </c>
      <c r="I61" s="257">
        <f t="shared" si="47"/>
        <v>5896.8333333333348</v>
      </c>
      <c r="J61" s="165"/>
      <c r="K61" s="149">
        <f>SUM(K13:K60)/2</f>
        <v>574.5</v>
      </c>
      <c r="L61" s="149">
        <f t="shared" ref="L61:Q61" si="48">SUM(L13:L60)/2</f>
        <v>544.5</v>
      </c>
      <c r="M61" s="149">
        <f t="shared" si="48"/>
        <v>581.5</v>
      </c>
      <c r="N61" s="149">
        <f t="shared" si="48"/>
        <v>578</v>
      </c>
      <c r="O61" s="149">
        <f t="shared" si="48"/>
        <v>571</v>
      </c>
      <c r="P61" s="149">
        <f t="shared" si="48"/>
        <v>568</v>
      </c>
      <c r="Q61" s="150">
        <f t="shared" si="48"/>
        <v>492.5</v>
      </c>
      <c r="S61" s="148">
        <f>SUM(S13:S60)/2</f>
        <v>590.5</v>
      </c>
      <c r="T61" s="148">
        <f t="shared" ref="T61:Y61" si="49">SUM(T13:T60)/2</f>
        <v>560</v>
      </c>
      <c r="U61" s="148">
        <f t="shared" si="49"/>
        <v>594.5</v>
      </c>
      <c r="V61" s="148">
        <f t="shared" si="49"/>
        <v>589</v>
      </c>
      <c r="W61" s="148">
        <f t="shared" si="49"/>
        <v>588.5</v>
      </c>
      <c r="X61" s="148">
        <f t="shared" si="49"/>
        <v>577</v>
      </c>
      <c r="Y61" s="148">
        <f t="shared" si="49"/>
        <v>506</v>
      </c>
      <c r="AP61" s="21" t="s">
        <v>161</v>
      </c>
      <c r="AQ61" s="215">
        <f>COUNTIF(AQ13:AQ60,$AP$61)/48</f>
        <v>8.3333333333333329E-2</v>
      </c>
      <c r="AR61" s="216">
        <f t="shared" ref="AR61:AW61" si="50">COUNTIF(AR13:AR60,$AP$61)/48</f>
        <v>6.25E-2</v>
      </c>
      <c r="AS61" s="216">
        <f t="shared" si="50"/>
        <v>0.10416666666666667</v>
      </c>
      <c r="AT61" s="216">
        <f t="shared" si="50"/>
        <v>0.125</v>
      </c>
      <c r="AU61" s="216">
        <f t="shared" si="50"/>
        <v>0.10416666666666667</v>
      </c>
      <c r="AV61" s="216">
        <f t="shared" si="50"/>
        <v>6.25E-2</v>
      </c>
      <c r="AW61" s="217">
        <f t="shared" si="50"/>
        <v>0.10416666666666667</v>
      </c>
    </row>
    <row r="62" spans="1:57" ht="15.75" thickBot="1" x14ac:dyDescent="0.3">
      <c r="A62" s="188">
        <f>SUM(S61:Y61)</f>
        <v>4005.5</v>
      </c>
      <c r="C62" s="258">
        <v>208</v>
      </c>
      <c r="D62" s="258">
        <v>204</v>
      </c>
      <c r="E62" s="258">
        <v>204</v>
      </c>
      <c r="F62" s="258">
        <v>199</v>
      </c>
      <c r="G62" s="258">
        <v>198</v>
      </c>
      <c r="H62" s="258">
        <v>195</v>
      </c>
      <c r="I62" s="258">
        <v>191</v>
      </c>
      <c r="AP62" s="21" t="s">
        <v>164</v>
      </c>
      <c r="AQ62" s="215">
        <f>COUNTIF(AQ13:AQ60,$AP$62)/48</f>
        <v>0.29166666666666669</v>
      </c>
      <c r="AR62" s="215">
        <f t="shared" ref="AR62:AV62" si="51">COUNTIF(AR13:AR60,$AP$62)/48</f>
        <v>0.39583333333333331</v>
      </c>
      <c r="AS62" s="215">
        <f t="shared" si="51"/>
        <v>0.39583333333333331</v>
      </c>
      <c r="AT62" s="215">
        <f t="shared" si="51"/>
        <v>0.41666666666666669</v>
      </c>
      <c r="AU62" s="215">
        <f t="shared" si="51"/>
        <v>0.39583333333333331</v>
      </c>
      <c r="AV62" s="215">
        <f t="shared" si="51"/>
        <v>0.33333333333333331</v>
      </c>
      <c r="AW62" s="215">
        <f>COUNTIF(AW13:AW60,$AP$62)/48</f>
        <v>0.3125</v>
      </c>
    </row>
    <row r="63" spans="1:57" x14ac:dyDescent="0.2">
      <c r="C63" s="195">
        <f>C61/$B$61</f>
        <v>0.1422132578628742</v>
      </c>
      <c r="D63" s="195">
        <f t="shared" ref="D63:I63" si="52">D61/$B$61</f>
        <v>0.13657667211860008</v>
      </c>
      <c r="E63" s="195">
        <f t="shared" si="52"/>
        <v>0.14654604526227974</v>
      </c>
      <c r="F63" s="195">
        <f t="shared" si="52"/>
        <v>0.14802980554853029</v>
      </c>
      <c r="G63" s="195">
        <f t="shared" si="52"/>
        <v>0.14641496187287803</v>
      </c>
      <c r="H63" s="195">
        <f t="shared" si="52"/>
        <v>0.14920622342460169</v>
      </c>
      <c r="I63" s="195">
        <f t="shared" si="52"/>
        <v>0.13101303391023605</v>
      </c>
      <c r="K63" s="195">
        <f>K61/$A$61</f>
        <v>0.14693094629156012</v>
      </c>
      <c r="L63" s="195">
        <f t="shared" ref="L63:Q63" si="53">L61/$A$61</f>
        <v>0.13925831202046035</v>
      </c>
      <c r="M63" s="195">
        <f t="shared" si="53"/>
        <v>0.14872122762148338</v>
      </c>
      <c r="N63" s="195">
        <f t="shared" si="53"/>
        <v>0.14782608695652175</v>
      </c>
      <c r="O63" s="195">
        <f t="shared" si="53"/>
        <v>0.14603580562659846</v>
      </c>
      <c r="P63" s="195">
        <f t="shared" si="53"/>
        <v>0.14526854219948848</v>
      </c>
      <c r="Q63" s="195">
        <f t="shared" si="53"/>
        <v>0.12595907928388747</v>
      </c>
      <c r="S63" s="195">
        <f>S61/$A$62</f>
        <v>0.14742229434527523</v>
      </c>
      <c r="T63" s="195">
        <f t="shared" ref="T63:Y63" si="54">T61/$A$62</f>
        <v>0.13980776432405442</v>
      </c>
      <c r="U63" s="195">
        <f t="shared" si="54"/>
        <v>0.14842092123330422</v>
      </c>
      <c r="V63" s="195">
        <f t="shared" si="54"/>
        <v>0.14704780926226438</v>
      </c>
      <c r="W63" s="195">
        <f t="shared" si="54"/>
        <v>0.14692298090126077</v>
      </c>
      <c r="X63" s="195">
        <f t="shared" si="54"/>
        <v>0.1440519285981775</v>
      </c>
      <c r="Y63" s="195">
        <f t="shared" si="54"/>
        <v>0.12632630133566347</v>
      </c>
    </row>
    <row r="65" spans="11:45" x14ac:dyDescent="0.2">
      <c r="K65" s="306" t="str">
        <f>"ETP HEBDO =  "&amp;A61/40</f>
        <v>ETP HEBDO =  97,75</v>
      </c>
      <c r="L65" s="306"/>
      <c r="M65" s="306"/>
      <c r="N65" s="306"/>
      <c r="O65" s="306"/>
      <c r="P65" s="306"/>
      <c r="Q65" s="306"/>
      <c r="S65" s="307" t="str">
        <f>"ETP HEBDO =  "&amp;A62/40</f>
        <v>ETP HEBDO =  100,1375</v>
      </c>
      <c r="T65" s="307"/>
      <c r="U65" s="307"/>
      <c r="V65" s="307"/>
      <c r="W65" s="307"/>
      <c r="X65" s="307"/>
      <c r="Y65" s="307"/>
      <c r="AP65" s="165" t="s">
        <v>162</v>
      </c>
      <c r="AQ65" s="309" t="s">
        <v>149</v>
      </c>
      <c r="AR65" s="309"/>
      <c r="AS65" s="196">
        <f>COUNTIF(AI13:AO60, AP65)</f>
        <v>1</v>
      </c>
    </row>
    <row r="68" spans="11:45" x14ac:dyDescent="0.2">
      <c r="AP68" s="165" t="s">
        <v>163</v>
      </c>
      <c r="AQ68" s="305" t="s">
        <v>152</v>
      </c>
      <c r="AR68" s="305"/>
      <c r="AS68" s="196">
        <f>COUNTIF(AI13:AO60, AP68)</f>
        <v>0</v>
      </c>
    </row>
    <row r="70" spans="11:45" ht="12.75" x14ac:dyDescent="0.2">
      <c r="AP70" s="165" t="s">
        <v>161</v>
      </c>
      <c r="AQ70" s="221">
        <f>COUNTIF(AQ13:AW60,AP70)/336</f>
        <v>9.2261904761904767E-2</v>
      </c>
      <c r="AR70" s="203" t="s">
        <v>169</v>
      </c>
    </row>
    <row r="71" spans="11:45" ht="12.75" x14ac:dyDescent="0.2">
      <c r="AP71" s="21" t="s">
        <v>164</v>
      </c>
      <c r="AQ71" s="221">
        <f>COUNTIF(AQ13:AW60,AP71)/336</f>
        <v>0.36309523809523808</v>
      </c>
      <c r="AR71" s="203" t="s">
        <v>168</v>
      </c>
    </row>
  </sheetData>
  <mergeCells count="15">
    <mergeCell ref="S7:Y7"/>
    <mergeCell ref="A4:B4"/>
    <mergeCell ref="A6:B6"/>
    <mergeCell ref="A8:B8"/>
    <mergeCell ref="C11:I11"/>
    <mergeCell ref="K11:Q11"/>
    <mergeCell ref="AQ10:AW10"/>
    <mergeCell ref="AQ68:AR68"/>
    <mergeCell ref="K65:Q65"/>
    <mergeCell ref="S65:Y65"/>
    <mergeCell ref="AA11:AG11"/>
    <mergeCell ref="AI11:AO11"/>
    <mergeCell ref="AQ11:AW11"/>
    <mergeCell ref="AQ65:AR65"/>
    <mergeCell ref="S11:Y11"/>
  </mergeCells>
  <conditionalFormatting sqref="AA13:AG60">
    <cfRule type="cellIs" dxfId="1743" priority="63" operator="lessThan">
      <formula>0.8</formula>
    </cfRule>
    <cfRule type="cellIs" dxfId="1742" priority="64" operator="greaterThan">
      <formula>0.9</formula>
    </cfRule>
    <cfRule type="cellIs" dxfId="1741" priority="65" operator="between">
      <formula>0.8</formula>
      <formula>0.9</formula>
    </cfRule>
  </conditionalFormatting>
  <conditionalFormatting sqref="AQ10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60 AQ13:AW61">
    <cfRule type="cellIs" dxfId="1740" priority="45" operator="between">
      <formula>-9</formula>
      <formula>-1</formula>
    </cfRule>
    <cfRule type="cellIs" dxfId="1739" priority="46" operator="between">
      <formula>1</formula>
      <formula>9</formula>
    </cfRule>
    <cfRule type="cellIs" dxfId="1738" priority="47" operator="lessThan">
      <formula>-9</formula>
    </cfRule>
    <cfRule type="cellIs" dxfId="1737" priority="48" operator="greaterThan">
      <formula>9</formula>
    </cfRule>
  </conditionalFormatting>
  <conditionalFormatting sqref="AS68">
    <cfRule type="cellIs" dxfId="1736" priority="42" operator="greaterThan">
      <formula>0</formula>
    </cfRule>
  </conditionalFormatting>
  <conditionalFormatting sqref="AQ70">
    <cfRule type="cellIs" dxfId="1735" priority="41" operator="greaterThan">
      <formula>0.1</formula>
    </cfRule>
  </conditionalFormatting>
  <conditionalFormatting sqref="AS65">
    <cfRule type="cellIs" dxfId="1734" priority="40" operator="greaterThan">
      <formula>0</formula>
    </cfRule>
  </conditionalFormatting>
  <conditionalFormatting sqref="AA10:AG10">
    <cfRule type="cellIs" dxfId="1733" priority="38" operator="lessThan">
      <formula>0.8</formula>
    </cfRule>
  </conditionalFormatting>
  <conditionalFormatting sqref="K10:Q1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3:AW61">
    <cfRule type="cellIs" dxfId="1732" priority="19" operator="lessThan">
      <formula>-0.1</formula>
    </cfRule>
  </conditionalFormatting>
  <conditionalFormatting sqref="AI13:AO60">
    <cfRule type="cellIs" dxfId="1731" priority="13" operator="greaterThan">
      <formula>10</formula>
    </cfRule>
    <cfRule type="cellIs" dxfId="1730" priority="14" operator="lessThan">
      <formula>-10</formula>
    </cfRule>
    <cfRule type="cellIs" dxfId="1729" priority="15" operator="lessThan">
      <formula>0</formula>
    </cfRule>
  </conditionalFormatting>
  <conditionalFormatting sqref="AQ61:AW61">
    <cfRule type="cellIs" dxfId="1728" priority="12" operator="greaterThan">
      <formula>0.1499</formula>
    </cfRule>
  </conditionalFormatting>
  <conditionalFormatting sqref="AQ62:AW62">
    <cfRule type="cellIs" dxfId="1727" priority="6" operator="greaterThan">
      <formula>0.2</formula>
    </cfRule>
  </conditionalFormatting>
  <conditionalFormatting sqref="AQ71">
    <cfRule type="cellIs" dxfId="1726" priority="2" operator="greaterThan">
      <formula>0.15</formula>
    </cfRule>
    <cfRule type="cellIs" dxfId="1725" priority="5" operator="greaterThan">
      <formula>0.15</formula>
    </cfRule>
  </conditionalFormatting>
  <conditionalFormatting sqref="AQ62">
    <cfRule type="cellIs" dxfId="1724" priority="4" operator="greaterThan">
      <formula>0.2</formula>
    </cfRule>
  </conditionalFormatting>
  <conditionalFormatting sqref="AR62:AW62">
    <cfRule type="cellIs" dxfId="1723" priority="3" operator="greaterThan">
      <formula>0.2</formula>
    </cfRule>
  </conditionalFormatting>
  <conditionalFormatting sqref="C13:I6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2060"/>
  </sheetPr>
  <dimension ref="A1:BE71"/>
  <sheetViews>
    <sheetView zoomScale="80" zoomScaleNormal="80" workbookViewId="0">
      <selection activeCell="K10" sqref="K10:Q10"/>
    </sheetView>
  </sheetViews>
  <sheetFormatPr baseColWidth="10" defaultRowHeight="11.25" x14ac:dyDescent="0.2"/>
  <cols>
    <col min="1" max="2" width="11.5703125" style="165" bestFit="1" customWidth="1"/>
    <col min="3" max="3" width="8" style="165" bestFit="1" customWidth="1"/>
    <col min="4" max="4" width="6" style="165" bestFit="1" customWidth="1"/>
    <col min="5" max="5" width="8.85546875" style="165" bestFit="1" customWidth="1"/>
    <col min="6" max="6" width="5.85546875" style="165" bestFit="1" customWidth="1"/>
    <col min="7" max="7" width="9.28515625" style="165" bestFit="1" customWidth="1"/>
    <col min="8" max="8" width="7.5703125" style="165" bestFit="1" customWidth="1"/>
    <col min="9" max="9" width="9.7109375" style="165" bestFit="1" customWidth="1"/>
    <col min="10" max="10" width="12.140625" style="165" bestFit="1" customWidth="1"/>
    <col min="11" max="11" width="6.28515625" style="165" bestFit="1" customWidth="1"/>
    <col min="12" max="12" width="6" style="165" bestFit="1" customWidth="1"/>
    <col min="13" max="13" width="8.85546875" style="165" bestFit="1" customWidth="1"/>
    <col min="14" max="14" width="6" style="165" bestFit="1" customWidth="1"/>
    <col min="15" max="15" width="9.28515625" style="165" bestFit="1" customWidth="1"/>
    <col min="16" max="16" width="7.5703125" style="165" bestFit="1" customWidth="1"/>
    <col min="17" max="17" width="9.7109375" style="165" bestFit="1" customWidth="1"/>
    <col min="18" max="18" width="11.42578125" style="165"/>
    <col min="19" max="20" width="6" style="165" bestFit="1" customWidth="1"/>
    <col min="21" max="21" width="8.85546875" style="165" bestFit="1" customWidth="1"/>
    <col min="22" max="22" width="5.85546875" style="165" bestFit="1" customWidth="1"/>
    <col min="23" max="23" width="9.28515625" style="165" bestFit="1" customWidth="1"/>
    <col min="24" max="24" width="7.5703125" style="165" bestFit="1" customWidth="1"/>
    <col min="25" max="25" width="9.7109375" style="165" bestFit="1" customWidth="1"/>
    <col min="26" max="26" width="11.42578125" style="165"/>
    <col min="27" max="28" width="6.140625" style="165" bestFit="1" customWidth="1"/>
    <col min="29" max="29" width="8.85546875" style="165" bestFit="1" customWidth="1"/>
    <col min="30" max="30" width="6.140625" style="165" bestFit="1" customWidth="1"/>
    <col min="31" max="31" width="9.28515625" style="165" bestFit="1" customWidth="1"/>
    <col min="32" max="32" width="7.5703125" style="165" bestFit="1" customWidth="1"/>
    <col min="33" max="33" width="9.7109375" style="165" bestFit="1" customWidth="1"/>
    <col min="34" max="34" width="11.42578125" style="165"/>
    <col min="35" max="36" width="6.7109375" style="165" bestFit="1" customWidth="1"/>
    <col min="37" max="37" width="8.85546875" style="165" bestFit="1" customWidth="1"/>
    <col min="38" max="38" width="6.7109375" style="165" bestFit="1" customWidth="1"/>
    <col min="39" max="39" width="9.28515625" style="165" bestFit="1" customWidth="1"/>
    <col min="40" max="40" width="7.5703125" style="165" bestFit="1" customWidth="1"/>
    <col min="41" max="41" width="9.7109375" style="165" bestFit="1" customWidth="1"/>
    <col min="42" max="42" width="11.42578125" style="165"/>
    <col min="43" max="44" width="6" style="165" bestFit="1" customWidth="1"/>
    <col min="45" max="45" width="8.85546875" style="165" bestFit="1" customWidth="1"/>
    <col min="46" max="46" width="6" style="165" bestFit="1" customWidth="1"/>
    <col min="47" max="47" width="9.28515625" style="165" bestFit="1" customWidth="1"/>
    <col min="48" max="48" width="7.5703125" style="165" bestFit="1" customWidth="1"/>
    <col min="49" max="49" width="9.5703125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C2" s="167">
        <v>0.7</v>
      </c>
      <c r="K2" s="168">
        <f>K10*C61</f>
        <v>14748.166666666664</v>
      </c>
      <c r="L2" s="168">
        <f t="shared" ref="L2:Q2" si="0">L10*D61</f>
        <v>13103.616666666669</v>
      </c>
      <c r="M2" s="168">
        <f t="shared" si="0"/>
        <v>12908.333333333332</v>
      </c>
      <c r="N2" s="168">
        <f t="shared" si="0"/>
        <v>12707.583333333334</v>
      </c>
      <c r="O2" s="168">
        <f t="shared" si="0"/>
        <v>12713.033333333335</v>
      </c>
      <c r="P2" s="168">
        <f t="shared" si="0"/>
        <v>13816.8</v>
      </c>
      <c r="Q2" s="168">
        <f t="shared" si="0"/>
        <v>10841.083333333332</v>
      </c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35">
        <v>3.2631162976630254E-2</v>
      </c>
      <c r="D8" s="35">
        <v>2.6248042974200105E-2</v>
      </c>
      <c r="E8" s="35">
        <v>1.7253561281182953E-2</v>
      </c>
      <c r="F8" s="35">
        <v>3.5416383600561416E-2</v>
      </c>
      <c r="G8" s="35">
        <v>2.0181329239738793E-2</v>
      </c>
      <c r="H8" s="35">
        <v>1.3571501429999633E-2</v>
      </c>
      <c r="I8" s="35">
        <v>1.9741035862935862E-2</v>
      </c>
      <c r="K8" s="173"/>
      <c r="L8" s="173"/>
      <c r="M8" s="173"/>
      <c r="N8" s="173"/>
      <c r="O8" s="173"/>
      <c r="P8" s="173"/>
      <c r="Q8" s="173"/>
      <c r="S8" s="204">
        <v>18</v>
      </c>
      <c r="T8" s="204">
        <v>16</v>
      </c>
      <c r="U8" s="204">
        <v>19</v>
      </c>
      <c r="V8" s="204">
        <v>19</v>
      </c>
      <c r="W8" s="204">
        <v>17</v>
      </c>
      <c r="X8" s="204">
        <v>19</v>
      </c>
      <c r="Y8" s="204">
        <v>21</v>
      </c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 s="135">
        <f>C62</f>
        <v>107</v>
      </c>
      <c r="L10" s="135">
        <f t="shared" ref="L10:Q10" si="1">D62</f>
        <v>109</v>
      </c>
      <c r="M10" s="135">
        <f t="shared" si="1"/>
        <v>100</v>
      </c>
      <c r="N10" s="135">
        <f t="shared" si="1"/>
        <v>109</v>
      </c>
      <c r="O10" s="135">
        <f t="shared" si="1"/>
        <v>109</v>
      </c>
      <c r="P10" s="135">
        <f t="shared" si="1"/>
        <v>114</v>
      </c>
      <c r="Q10" s="135">
        <f t="shared" si="1"/>
        <v>95</v>
      </c>
      <c r="S10" s="173">
        <f>MAX(K13:K60)</f>
        <v>2</v>
      </c>
      <c r="T10" s="173">
        <f t="shared" ref="T10:Y10" si="2">MAX(L13:L60)</f>
        <v>2</v>
      </c>
      <c r="U10" s="173">
        <f t="shared" si="2"/>
        <v>2</v>
      </c>
      <c r="V10" s="173">
        <f t="shared" si="2"/>
        <v>2</v>
      </c>
      <c r="W10" s="173">
        <f t="shared" si="2"/>
        <v>2</v>
      </c>
      <c r="X10" s="173">
        <f t="shared" si="2"/>
        <v>1</v>
      </c>
      <c r="Y10" s="173">
        <f t="shared" si="2"/>
        <v>1</v>
      </c>
      <c r="AA10" s="175">
        <f>AY10/C61</f>
        <v>0.99008972124627292</v>
      </c>
      <c r="AB10" s="175">
        <f t="shared" ref="AB10:AG10" si="3">AZ10/D61</f>
        <v>0.99430029196811098</v>
      </c>
      <c r="AC10" s="175">
        <f t="shared" si="3"/>
        <v>0.98509588462903153</v>
      </c>
      <c r="AD10" s="175">
        <f t="shared" si="3"/>
        <v>0.97753000789370648</v>
      </c>
      <c r="AE10" s="175">
        <f t="shared" si="3"/>
        <v>0.98292690998224741</v>
      </c>
      <c r="AF10" s="175">
        <f t="shared" si="3"/>
        <v>0.98306340973126127</v>
      </c>
      <c r="AG10" s="175">
        <f t="shared" si="3"/>
        <v>0.98887433756203025</v>
      </c>
      <c r="AI10" s="175"/>
      <c r="AJ10" s="175"/>
      <c r="AK10" s="175"/>
      <c r="AL10" s="175"/>
      <c r="AM10" s="175"/>
      <c r="AN10" s="175"/>
      <c r="AO10" s="175"/>
      <c r="AQ10" s="176"/>
      <c r="AR10" s="176"/>
      <c r="AS10" s="176"/>
      <c r="AT10" s="176"/>
      <c r="AU10" s="176"/>
      <c r="AV10" s="176"/>
      <c r="AW10" s="176"/>
      <c r="AY10" s="177">
        <f>SUM(AY13:AY60)</f>
        <v>136.4673665784446</v>
      </c>
      <c r="AZ10" s="177">
        <f t="shared" ref="AZ10:BE10" si="4">SUM(AZ13:AZ60)</f>
        <v>119.53146676609975</v>
      </c>
      <c r="BA10" s="177">
        <f t="shared" si="4"/>
        <v>127.15946044086414</v>
      </c>
      <c r="BB10" s="177">
        <f t="shared" si="4"/>
        <v>113.96370675360795</v>
      </c>
      <c r="BC10" s="177">
        <f t="shared" si="4"/>
        <v>114.64204193426279</v>
      </c>
      <c r="BD10" s="177">
        <f t="shared" si="4"/>
        <v>119.14728525942886</v>
      </c>
      <c r="BE10" s="177">
        <f t="shared" si="4"/>
        <v>112.84704315478702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45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0.25714285714285717</v>
      </c>
      <c r="B13" s="182">
        <v>0</v>
      </c>
      <c r="C13" s="135">
        <v>0.4</v>
      </c>
      <c r="D13" s="135">
        <v>0</v>
      </c>
      <c r="E13" s="135">
        <v>0.2</v>
      </c>
      <c r="F13" s="135">
        <v>0.1</v>
      </c>
      <c r="G13" s="135">
        <v>0.4</v>
      </c>
      <c r="H13" s="135">
        <v>0.7</v>
      </c>
      <c r="I13" s="135">
        <v>0</v>
      </c>
      <c r="J13" s="165">
        <v>1</v>
      </c>
      <c r="K13" s="43">
        <f>AgentsRequired(C13,$B$10,K$10,$C$4,$C$6,$C$2,$C$8)</f>
        <v>0</v>
      </c>
      <c r="L13" s="43">
        <f>AgentsRequired(D13,$B$10,L$10,$C$4,$C$6,$C$2,$D$8)</f>
        <v>0</v>
      </c>
      <c r="M13" s="43">
        <f>AgentsRequired(E13,$B$10,M$10,$C$4,$C$6,$C$2,$E$8)</f>
        <v>0</v>
      </c>
      <c r="N13" s="43">
        <f>AgentsRequired(F13,$B$10,N$10,$C$4,$C$6,$C$2,$F$8)</f>
        <v>0</v>
      </c>
      <c r="O13" s="43">
        <f>AgentsRequired(G13,$B$10,O$10,$C$4,$C$6,$C$2,$G$8)</f>
        <v>0</v>
      </c>
      <c r="P13" s="43">
        <f>AgentsRequired(H13,$B$10,P$10,$C$4,$C$6,$C$2,$H$8)</f>
        <v>1</v>
      </c>
      <c r="Q13" s="43">
        <f>AgentsRequired(I13,$B$10,Q$10,$C$4,$C$6,$C$2,$I$8)</f>
        <v>0</v>
      </c>
      <c r="R13" s="165">
        <v>1</v>
      </c>
      <c r="S13" s="146">
        <v>1</v>
      </c>
      <c r="T13" s="146">
        <v>1</v>
      </c>
      <c r="U13" s="146">
        <v>1</v>
      </c>
      <c r="V13" s="146">
        <v>1</v>
      </c>
      <c r="W13" s="146">
        <v>1</v>
      </c>
      <c r="X13" s="146">
        <v>1</v>
      </c>
      <c r="Y13" s="146">
        <v>1</v>
      </c>
      <c r="AA13" s="184">
        <f>ServiceLevel(C13,$B$10,K$10,$C$6,S13)</f>
        <v>0.42921784873507884</v>
      </c>
      <c r="AB13" s="184">
        <f>ServiceLevel(D13,$B$10,L$10,$C$6,T13)</f>
        <v>0.42331478480422602</v>
      </c>
      <c r="AC13" s="184">
        <f t="shared" ref="AC13:AG28" si="5">ServiceLevel(E13,$B$10,M$10,$C$6,U13)</f>
        <v>0.4511883639059735</v>
      </c>
      <c r="AD13" s="184">
        <f t="shared" si="5"/>
        <v>0.42331478480422602</v>
      </c>
      <c r="AE13" s="184">
        <f t="shared" si="5"/>
        <v>0.42331478480422602</v>
      </c>
      <c r="AF13" s="184">
        <f t="shared" si="5"/>
        <v>0.96131587429624188</v>
      </c>
      <c r="AG13" s="184">
        <f t="shared" si="5"/>
        <v>0.46824846986942925</v>
      </c>
      <c r="AI13" s="214">
        <f>S13-K13</f>
        <v>1</v>
      </c>
      <c r="AJ13" s="214">
        <f t="shared" ref="AJ13:AO28" si="6">T13-L13</f>
        <v>1</v>
      </c>
      <c r="AK13" s="214">
        <f t="shared" si="6"/>
        <v>1</v>
      </c>
      <c r="AL13" s="214">
        <f t="shared" si="6"/>
        <v>1</v>
      </c>
      <c r="AM13" s="214">
        <f t="shared" si="6"/>
        <v>1</v>
      </c>
      <c r="AN13" s="214">
        <f t="shared" si="6"/>
        <v>0</v>
      </c>
      <c r="AO13" s="214">
        <f t="shared" si="6"/>
        <v>1</v>
      </c>
      <c r="AP13" s="206">
        <f>B13</f>
        <v>0</v>
      </c>
      <c r="AQ13" s="213" t="e">
        <f>S13/K13-1</f>
        <v>#DIV/0!</v>
      </c>
      <c r="AR13" s="213" t="e">
        <f t="shared" ref="AR13:AW28" si="7">T13/L13-1</f>
        <v>#DIV/0!</v>
      </c>
      <c r="AS13" s="213" t="e">
        <f t="shared" si="7"/>
        <v>#DIV/0!</v>
      </c>
      <c r="AT13" s="213" t="e">
        <f t="shared" si="7"/>
        <v>#DIV/0!</v>
      </c>
      <c r="AU13" s="213" t="e">
        <f t="shared" si="7"/>
        <v>#DIV/0!</v>
      </c>
      <c r="AV13" s="213">
        <f t="shared" si="7"/>
        <v>0</v>
      </c>
      <c r="AW13" s="213" t="e">
        <f t="shared" si="7"/>
        <v>#DIV/0!</v>
      </c>
      <c r="AY13" s="186">
        <f>AA13*C13</f>
        <v>0.17168713949403155</v>
      </c>
      <c r="AZ13" s="186">
        <f t="shared" ref="AZ13:BE28" si="8">AB13*D13</f>
        <v>0</v>
      </c>
      <c r="BA13" s="186">
        <f t="shared" si="8"/>
        <v>9.0237672781194711E-2</v>
      </c>
      <c r="BB13" s="186">
        <f t="shared" si="8"/>
        <v>4.2331478480422603E-2</v>
      </c>
      <c r="BC13" s="186">
        <f t="shared" si="8"/>
        <v>0.16932591392169041</v>
      </c>
      <c r="BD13" s="186">
        <f t="shared" si="8"/>
        <v>0.67292111200736926</v>
      </c>
      <c r="BE13" s="186">
        <f t="shared" si="8"/>
        <v>0</v>
      </c>
    </row>
    <row r="14" spans="1:57" ht="12.75" x14ac:dyDescent="0.2">
      <c r="A14" s="181">
        <f t="shared" ref="A14:A60" si="9">AVERAGE(C14:I14)</f>
        <v>0.29285714285714282</v>
      </c>
      <c r="B14" s="187">
        <f>B13+TIME(0,$B$10,0)</f>
        <v>2.0833333333333332E-2</v>
      </c>
      <c r="C14" s="135">
        <v>0.30000000000000004</v>
      </c>
      <c r="D14" s="135">
        <v>0.1</v>
      </c>
      <c r="E14" s="135">
        <v>0.44999999999999996</v>
      </c>
      <c r="F14" s="135">
        <v>0.3</v>
      </c>
      <c r="G14" s="135">
        <v>0.30000000000000004</v>
      </c>
      <c r="H14" s="135">
        <v>0.55000000000000004</v>
      </c>
      <c r="I14" s="135">
        <v>0.05</v>
      </c>
      <c r="J14" s="165">
        <v>2</v>
      </c>
      <c r="K14" s="43">
        <f t="shared" ref="K14:K60" si="10">AgentsRequired(C14,$B$10,K$10,$C$4,$C$6,$C$2,$C$8)</f>
        <v>0</v>
      </c>
      <c r="L14" s="43">
        <f t="shared" ref="L14:L60" si="11">AgentsRequired(D14,$B$10,L$10,$C$4,$C$6,$C$2,$D$8)</f>
        <v>0</v>
      </c>
      <c r="M14" s="43">
        <f t="shared" ref="M14:M60" si="12">AgentsRequired(E14,$B$10,M$10,$C$4,$C$6,$C$2,$E$8)</f>
        <v>0</v>
      </c>
      <c r="N14" s="43">
        <f t="shared" ref="N14:N60" si="13">AgentsRequired(F14,$B$10,N$10,$C$4,$C$6,$C$2,$F$8)</f>
        <v>0</v>
      </c>
      <c r="O14" s="43">
        <f t="shared" ref="O14:O60" si="14">AgentsRequired(G14,$B$10,O$10,$C$4,$C$6,$C$2,$G$8)</f>
        <v>0</v>
      </c>
      <c r="P14" s="43">
        <f t="shared" ref="P14:P60" si="15">AgentsRequired(H14,$B$10,P$10,$C$4,$C$6,$C$2,$H$8)</f>
        <v>1</v>
      </c>
      <c r="Q14" s="43">
        <f t="shared" ref="Q14:Q60" si="16">AgentsRequired(I14,$B$10,Q$10,$C$4,$C$6,$C$2,$I$8)</f>
        <v>0</v>
      </c>
      <c r="R14" s="165">
        <v>2</v>
      </c>
      <c r="S14" s="146">
        <v>1</v>
      </c>
      <c r="T14" s="146">
        <v>1</v>
      </c>
      <c r="U14" s="146">
        <v>1</v>
      </c>
      <c r="V14" s="146">
        <v>1</v>
      </c>
      <c r="W14" s="146">
        <v>1</v>
      </c>
      <c r="X14" s="146">
        <v>1</v>
      </c>
      <c r="Y14" s="146">
        <v>1</v>
      </c>
      <c r="AA14" s="184">
        <f t="shared" ref="AA14:AG60" si="17">ServiceLevel(C14,$B$10,K$10,$C$6,S14)</f>
        <v>0.42921784873507884</v>
      </c>
      <c r="AB14" s="184">
        <f t="shared" si="17"/>
        <v>0.42331478480422602</v>
      </c>
      <c r="AC14" s="184">
        <f t="shared" si="5"/>
        <v>0.4511883639059735</v>
      </c>
      <c r="AD14" s="184">
        <f t="shared" si="5"/>
        <v>0.42331478480422602</v>
      </c>
      <c r="AE14" s="184">
        <f t="shared" si="5"/>
        <v>0.42331478480422602</v>
      </c>
      <c r="AF14" s="184">
        <f t="shared" si="5"/>
        <v>0.96131587429624188</v>
      </c>
      <c r="AG14" s="184">
        <f t="shared" si="5"/>
        <v>0.46824846986942925</v>
      </c>
      <c r="AI14" s="214">
        <f t="shared" ref="AI14:AO60" si="18">S14-K14</f>
        <v>1</v>
      </c>
      <c r="AJ14" s="214">
        <f t="shared" si="6"/>
        <v>1</v>
      </c>
      <c r="AK14" s="214">
        <f t="shared" si="6"/>
        <v>1</v>
      </c>
      <c r="AL14" s="214">
        <f t="shared" si="6"/>
        <v>1</v>
      </c>
      <c r="AM14" s="214">
        <f t="shared" si="6"/>
        <v>1</v>
      </c>
      <c r="AN14" s="214">
        <f t="shared" si="6"/>
        <v>0</v>
      </c>
      <c r="AO14" s="214">
        <f t="shared" si="6"/>
        <v>1</v>
      </c>
      <c r="AP14" s="206">
        <f t="shared" ref="AP14:AP60" si="19">B14</f>
        <v>2.0833333333333332E-2</v>
      </c>
      <c r="AQ14" s="213" t="e">
        <f t="shared" ref="AQ14:AW60" si="20">S14/K14-1</f>
        <v>#DIV/0!</v>
      </c>
      <c r="AR14" s="213" t="e">
        <f t="shared" si="7"/>
        <v>#DIV/0!</v>
      </c>
      <c r="AS14" s="213" t="e">
        <f t="shared" si="7"/>
        <v>#DIV/0!</v>
      </c>
      <c r="AT14" s="213" t="e">
        <f t="shared" si="7"/>
        <v>#DIV/0!</v>
      </c>
      <c r="AU14" s="213" t="e">
        <f t="shared" si="7"/>
        <v>#DIV/0!</v>
      </c>
      <c r="AV14" s="213">
        <f t="shared" si="7"/>
        <v>0</v>
      </c>
      <c r="AW14" s="213" t="e">
        <f t="shared" si="7"/>
        <v>#DIV/0!</v>
      </c>
      <c r="AY14" s="186">
        <f t="shared" ref="AY14:BE60" si="21">AA14*C14</f>
        <v>0.12876535462052366</v>
      </c>
      <c r="AZ14" s="186">
        <f t="shared" si="8"/>
        <v>4.2331478480422603E-2</v>
      </c>
      <c r="BA14" s="186">
        <f t="shared" si="8"/>
        <v>0.20303476375768806</v>
      </c>
      <c r="BB14" s="186">
        <f t="shared" si="8"/>
        <v>0.12699443544126779</v>
      </c>
      <c r="BC14" s="186">
        <f t="shared" si="8"/>
        <v>0.12699443544126782</v>
      </c>
      <c r="BD14" s="186">
        <f t="shared" si="8"/>
        <v>0.52872373086293312</v>
      </c>
      <c r="BE14" s="186">
        <f t="shared" si="8"/>
        <v>2.3412423493471463E-2</v>
      </c>
    </row>
    <row r="15" spans="1:57" ht="12.75" x14ac:dyDescent="0.2">
      <c r="A15" s="181">
        <f t="shared" si="9"/>
        <v>0.22380952380952385</v>
      </c>
      <c r="B15" s="187">
        <f t="shared" ref="B15:B60" si="22">B14+TIME(0,$B$10,0)</f>
        <v>4.1666666666666664E-2</v>
      </c>
      <c r="C15" s="135">
        <v>0.20000000000000004</v>
      </c>
      <c r="D15" s="135">
        <v>6.6666666666666666E-2</v>
      </c>
      <c r="E15" s="135">
        <v>0.33333333333333331</v>
      </c>
      <c r="F15" s="135">
        <v>0.26666666666666666</v>
      </c>
      <c r="G15" s="135">
        <v>0.20000000000000004</v>
      </c>
      <c r="H15" s="135">
        <v>0.46666666666666673</v>
      </c>
      <c r="I15" s="135">
        <v>3.3333333333333333E-2</v>
      </c>
      <c r="J15" s="165">
        <v>3</v>
      </c>
      <c r="K15" s="43">
        <f t="shared" si="10"/>
        <v>0</v>
      </c>
      <c r="L15" s="43">
        <f t="shared" si="11"/>
        <v>0</v>
      </c>
      <c r="M15" s="43">
        <f t="shared" si="12"/>
        <v>0</v>
      </c>
      <c r="N15" s="43">
        <f t="shared" si="13"/>
        <v>0</v>
      </c>
      <c r="O15" s="43">
        <f t="shared" si="14"/>
        <v>0</v>
      </c>
      <c r="P15" s="43">
        <f t="shared" si="15"/>
        <v>0</v>
      </c>
      <c r="Q15" s="43">
        <f t="shared" si="16"/>
        <v>0</v>
      </c>
      <c r="R15" s="165">
        <v>3</v>
      </c>
      <c r="S15" s="146">
        <v>1</v>
      </c>
      <c r="T15" s="146">
        <v>1</v>
      </c>
      <c r="U15" s="146">
        <v>1</v>
      </c>
      <c r="V15" s="146">
        <v>1</v>
      </c>
      <c r="W15" s="146">
        <v>1</v>
      </c>
      <c r="X15" s="146">
        <v>1</v>
      </c>
      <c r="Y15" s="146">
        <v>1</v>
      </c>
      <c r="AA15" s="184">
        <f t="shared" si="17"/>
        <v>0.42921784873507884</v>
      </c>
      <c r="AB15" s="184">
        <f>ServiceLevel(D15,$B$10,L$10,$C$6,T15)</f>
        <v>0.42331478480422602</v>
      </c>
      <c r="AC15" s="184">
        <f t="shared" si="5"/>
        <v>0.4511883639059735</v>
      </c>
      <c r="AD15" s="184">
        <f t="shared" si="5"/>
        <v>0.42331478480422602</v>
      </c>
      <c r="AE15" s="184">
        <f t="shared" si="5"/>
        <v>0.42331478480422602</v>
      </c>
      <c r="AF15" s="184">
        <f t="shared" si="5"/>
        <v>0.40922248609876832</v>
      </c>
      <c r="AG15" s="184">
        <f t="shared" si="5"/>
        <v>0.46824846986942925</v>
      </c>
      <c r="AI15" s="214">
        <f t="shared" si="18"/>
        <v>1</v>
      </c>
      <c r="AJ15" s="214">
        <f t="shared" si="6"/>
        <v>1</v>
      </c>
      <c r="AK15" s="214">
        <f t="shared" si="6"/>
        <v>1</v>
      </c>
      <c r="AL15" s="214">
        <f t="shared" si="6"/>
        <v>1</v>
      </c>
      <c r="AM15" s="214">
        <f t="shared" si="6"/>
        <v>1</v>
      </c>
      <c r="AN15" s="214">
        <f t="shared" si="6"/>
        <v>1</v>
      </c>
      <c r="AO15" s="214">
        <f t="shared" si="6"/>
        <v>1</v>
      </c>
      <c r="AP15" s="206">
        <f t="shared" si="19"/>
        <v>4.1666666666666664E-2</v>
      </c>
      <c r="AQ15" s="213" t="e">
        <f t="shared" si="20"/>
        <v>#DIV/0!</v>
      </c>
      <c r="AR15" s="213" t="e">
        <f t="shared" si="7"/>
        <v>#DIV/0!</v>
      </c>
      <c r="AS15" s="213" t="e">
        <f t="shared" si="7"/>
        <v>#DIV/0!</v>
      </c>
      <c r="AT15" s="213" t="e">
        <f t="shared" si="7"/>
        <v>#DIV/0!</v>
      </c>
      <c r="AU15" s="213" t="e">
        <f t="shared" si="7"/>
        <v>#DIV/0!</v>
      </c>
      <c r="AV15" s="213" t="e">
        <f t="shared" si="7"/>
        <v>#DIV/0!</v>
      </c>
      <c r="AW15" s="213" t="e">
        <f t="shared" si="7"/>
        <v>#DIV/0!</v>
      </c>
      <c r="AY15" s="186">
        <f t="shared" si="21"/>
        <v>8.5843569747015791E-2</v>
      </c>
      <c r="AZ15" s="186">
        <f t="shared" si="8"/>
        <v>2.8220985653615069E-2</v>
      </c>
      <c r="BA15" s="186">
        <f t="shared" si="8"/>
        <v>0.15039612130199115</v>
      </c>
      <c r="BB15" s="186">
        <f t="shared" si="8"/>
        <v>0.11288394261446028</v>
      </c>
      <c r="BC15" s="186">
        <f t="shared" si="8"/>
        <v>8.466295696084522E-2</v>
      </c>
      <c r="BD15" s="186">
        <f t="shared" si="8"/>
        <v>0.19097049351275858</v>
      </c>
      <c r="BE15" s="186">
        <f t="shared" si="8"/>
        <v>1.5608282328980976E-2</v>
      </c>
    </row>
    <row r="16" spans="1:57" ht="12.75" x14ac:dyDescent="0.2">
      <c r="A16" s="181">
        <f t="shared" si="9"/>
        <v>0.15714285714285717</v>
      </c>
      <c r="B16" s="187">
        <f t="shared" si="22"/>
        <v>6.25E-2</v>
      </c>
      <c r="C16" s="135">
        <v>6.6666666666666666E-2</v>
      </c>
      <c r="D16" s="135">
        <v>6.6666666666666666E-2</v>
      </c>
      <c r="E16" s="135">
        <v>0.3</v>
      </c>
      <c r="F16" s="135">
        <v>0.33333333333333331</v>
      </c>
      <c r="G16" s="135">
        <v>6.6666666666666666E-2</v>
      </c>
      <c r="H16" s="135">
        <v>0.23333333333333331</v>
      </c>
      <c r="I16" s="135">
        <v>3.3333333333333333E-2</v>
      </c>
      <c r="J16" s="165">
        <v>4</v>
      </c>
      <c r="K16" s="43">
        <f t="shared" si="10"/>
        <v>0</v>
      </c>
      <c r="L16" s="43">
        <f t="shared" si="11"/>
        <v>0</v>
      </c>
      <c r="M16" s="43">
        <f t="shared" si="12"/>
        <v>0</v>
      </c>
      <c r="N16" s="43">
        <f t="shared" si="13"/>
        <v>0</v>
      </c>
      <c r="O16" s="43">
        <f t="shared" si="14"/>
        <v>0</v>
      </c>
      <c r="P16" s="43">
        <f t="shared" si="15"/>
        <v>0</v>
      </c>
      <c r="Q16" s="43">
        <f t="shared" si="16"/>
        <v>0</v>
      </c>
      <c r="R16" s="165">
        <v>4</v>
      </c>
      <c r="S16" s="146">
        <v>1</v>
      </c>
      <c r="T16" s="146">
        <v>1</v>
      </c>
      <c r="U16" s="146">
        <v>1</v>
      </c>
      <c r="V16" s="146">
        <v>1</v>
      </c>
      <c r="W16" s="146">
        <v>1</v>
      </c>
      <c r="X16" s="146">
        <v>1</v>
      </c>
      <c r="Y16" s="146">
        <v>1</v>
      </c>
      <c r="AA16" s="184">
        <f t="shared" si="17"/>
        <v>0.42921784873507884</v>
      </c>
      <c r="AB16" s="184">
        <f t="shared" si="17"/>
        <v>0.42331478480422602</v>
      </c>
      <c r="AC16" s="184">
        <f t="shared" si="5"/>
        <v>0.4511883639059735</v>
      </c>
      <c r="AD16" s="184">
        <f t="shared" si="5"/>
        <v>0.42331478480422602</v>
      </c>
      <c r="AE16" s="184">
        <f t="shared" si="5"/>
        <v>0.42331478480422602</v>
      </c>
      <c r="AF16" s="184">
        <f t="shared" si="5"/>
        <v>0.40922248609876832</v>
      </c>
      <c r="AG16" s="184">
        <f t="shared" si="5"/>
        <v>0.46824846986942925</v>
      </c>
      <c r="AI16" s="214">
        <f t="shared" si="18"/>
        <v>1</v>
      </c>
      <c r="AJ16" s="214">
        <f t="shared" si="6"/>
        <v>1</v>
      </c>
      <c r="AK16" s="214">
        <f t="shared" si="6"/>
        <v>1</v>
      </c>
      <c r="AL16" s="214">
        <f t="shared" si="6"/>
        <v>1</v>
      </c>
      <c r="AM16" s="214">
        <f t="shared" si="6"/>
        <v>1</v>
      </c>
      <c r="AN16" s="214">
        <f t="shared" si="6"/>
        <v>1</v>
      </c>
      <c r="AO16" s="214">
        <f t="shared" si="6"/>
        <v>1</v>
      </c>
      <c r="AP16" s="206">
        <f t="shared" si="19"/>
        <v>6.25E-2</v>
      </c>
      <c r="AQ16" s="213" t="e">
        <f t="shared" si="20"/>
        <v>#DIV/0!</v>
      </c>
      <c r="AR16" s="213" t="e">
        <f t="shared" si="7"/>
        <v>#DIV/0!</v>
      </c>
      <c r="AS16" s="213" t="e">
        <f t="shared" si="7"/>
        <v>#DIV/0!</v>
      </c>
      <c r="AT16" s="213" t="e">
        <f t="shared" si="7"/>
        <v>#DIV/0!</v>
      </c>
      <c r="AU16" s="213" t="e">
        <f t="shared" si="7"/>
        <v>#DIV/0!</v>
      </c>
      <c r="AV16" s="213" t="e">
        <f t="shared" si="7"/>
        <v>#DIV/0!</v>
      </c>
      <c r="AW16" s="213" t="e">
        <f t="shared" si="7"/>
        <v>#DIV/0!</v>
      </c>
      <c r="AY16" s="186">
        <f t="shared" si="21"/>
        <v>2.8614523249005257E-2</v>
      </c>
      <c r="AZ16" s="186">
        <f t="shared" si="8"/>
        <v>2.8220985653615069E-2</v>
      </c>
      <c r="BA16" s="186">
        <f t="shared" si="8"/>
        <v>0.13535650917179204</v>
      </c>
      <c r="BB16" s="186">
        <f t="shared" si="8"/>
        <v>0.14110492826807533</v>
      </c>
      <c r="BC16" s="186">
        <f t="shared" si="8"/>
        <v>2.8220985653615069E-2</v>
      </c>
      <c r="BD16" s="186">
        <f t="shared" si="8"/>
        <v>9.5485246756379261E-2</v>
      </c>
      <c r="BE16" s="186">
        <f t="shared" si="8"/>
        <v>1.5608282328980976E-2</v>
      </c>
    </row>
    <row r="17" spans="1:57" ht="12.75" x14ac:dyDescent="0.2">
      <c r="A17" s="181">
        <f t="shared" si="9"/>
        <v>6.1904761904761907E-2</v>
      </c>
      <c r="B17" s="187">
        <f t="shared" si="22"/>
        <v>8.3333333333333329E-2</v>
      </c>
      <c r="C17" s="135">
        <v>0</v>
      </c>
      <c r="D17" s="135">
        <v>0</v>
      </c>
      <c r="E17" s="135">
        <v>6.6666666666666666E-2</v>
      </c>
      <c r="F17" s="135">
        <v>0.16666666666666666</v>
      </c>
      <c r="G17" s="135">
        <v>0</v>
      </c>
      <c r="H17" s="135">
        <v>0.13333333333333333</v>
      </c>
      <c r="I17" s="135">
        <v>6.6666666666666666E-2</v>
      </c>
      <c r="J17" s="165">
        <v>5</v>
      </c>
      <c r="K17" s="43">
        <f t="shared" si="10"/>
        <v>0</v>
      </c>
      <c r="L17" s="43">
        <f t="shared" si="11"/>
        <v>0</v>
      </c>
      <c r="M17" s="43">
        <f t="shared" si="12"/>
        <v>0</v>
      </c>
      <c r="N17" s="43">
        <f t="shared" si="13"/>
        <v>0</v>
      </c>
      <c r="O17" s="43">
        <f t="shared" si="14"/>
        <v>0</v>
      </c>
      <c r="P17" s="43">
        <f t="shared" si="15"/>
        <v>0</v>
      </c>
      <c r="Q17" s="43">
        <f t="shared" si="16"/>
        <v>0</v>
      </c>
      <c r="R17" s="165">
        <v>5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AA17" s="184">
        <f t="shared" si="17"/>
        <v>0</v>
      </c>
      <c r="AB17" s="184">
        <f t="shared" si="17"/>
        <v>0</v>
      </c>
      <c r="AC17" s="184">
        <f t="shared" si="5"/>
        <v>0</v>
      </c>
      <c r="AD17" s="184">
        <f t="shared" si="5"/>
        <v>0</v>
      </c>
      <c r="AE17" s="184">
        <f t="shared" si="5"/>
        <v>0</v>
      </c>
      <c r="AF17" s="184">
        <f t="shared" si="5"/>
        <v>0</v>
      </c>
      <c r="AG17" s="184">
        <f t="shared" si="5"/>
        <v>0</v>
      </c>
      <c r="AI17" s="214">
        <f t="shared" si="18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06">
        <f t="shared" si="19"/>
        <v>8.3333333333333329E-2</v>
      </c>
      <c r="AQ17" s="213" t="e">
        <f t="shared" si="20"/>
        <v>#DIV/0!</v>
      </c>
      <c r="AR17" s="213" t="e">
        <f t="shared" si="7"/>
        <v>#DIV/0!</v>
      </c>
      <c r="AS17" s="213" t="e">
        <f t="shared" si="7"/>
        <v>#DIV/0!</v>
      </c>
      <c r="AT17" s="213" t="e">
        <f t="shared" si="7"/>
        <v>#DIV/0!</v>
      </c>
      <c r="AU17" s="213" t="e">
        <f t="shared" si="7"/>
        <v>#DIV/0!</v>
      </c>
      <c r="AV17" s="213" t="e">
        <f t="shared" si="7"/>
        <v>#DIV/0!</v>
      </c>
      <c r="AW17" s="213" t="e">
        <f t="shared" si="7"/>
        <v>#DIV/0!</v>
      </c>
      <c r="AY17" s="186">
        <f t="shared" si="21"/>
        <v>0</v>
      </c>
      <c r="AZ17" s="186">
        <f t="shared" si="8"/>
        <v>0</v>
      </c>
      <c r="BA17" s="186">
        <f t="shared" si="8"/>
        <v>0</v>
      </c>
      <c r="BB17" s="186">
        <f t="shared" si="8"/>
        <v>0</v>
      </c>
      <c r="BC17" s="186">
        <f t="shared" si="8"/>
        <v>0</v>
      </c>
      <c r="BD17" s="186">
        <f t="shared" si="8"/>
        <v>0</v>
      </c>
      <c r="BE17" s="186">
        <f t="shared" si="8"/>
        <v>0</v>
      </c>
    </row>
    <row r="18" spans="1:57" ht="12.75" x14ac:dyDescent="0.2">
      <c r="A18" s="181">
        <f t="shared" si="9"/>
        <v>5.7142857142857148E-2</v>
      </c>
      <c r="B18" s="187">
        <f t="shared" si="22"/>
        <v>0.10416666666666666</v>
      </c>
      <c r="C18" s="135">
        <v>0</v>
      </c>
      <c r="D18" s="135">
        <v>0</v>
      </c>
      <c r="E18" s="135">
        <v>6.6666666666666666E-2</v>
      </c>
      <c r="F18" s="135">
        <v>0.13333333333333333</v>
      </c>
      <c r="G18" s="135">
        <v>6.6666666666666666E-2</v>
      </c>
      <c r="H18" s="135">
        <v>3.3333333333333333E-2</v>
      </c>
      <c r="I18" s="135">
        <v>0.10000000000000002</v>
      </c>
      <c r="J18" s="165">
        <v>6</v>
      </c>
      <c r="K18" s="43">
        <f t="shared" si="10"/>
        <v>0</v>
      </c>
      <c r="L18" s="43">
        <f t="shared" si="11"/>
        <v>0</v>
      </c>
      <c r="M18" s="43">
        <f t="shared" si="12"/>
        <v>0</v>
      </c>
      <c r="N18" s="43">
        <f t="shared" si="13"/>
        <v>0</v>
      </c>
      <c r="O18" s="43">
        <f t="shared" si="14"/>
        <v>0</v>
      </c>
      <c r="P18" s="43">
        <f t="shared" si="15"/>
        <v>0</v>
      </c>
      <c r="Q18" s="43">
        <f t="shared" si="16"/>
        <v>0</v>
      </c>
      <c r="R18" s="165">
        <v>6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AA18" s="184">
        <f t="shared" si="17"/>
        <v>0</v>
      </c>
      <c r="AB18" s="184">
        <f t="shared" si="17"/>
        <v>0</v>
      </c>
      <c r="AC18" s="184">
        <f t="shared" si="5"/>
        <v>0</v>
      </c>
      <c r="AD18" s="184">
        <f t="shared" si="5"/>
        <v>0</v>
      </c>
      <c r="AE18" s="184">
        <f t="shared" si="5"/>
        <v>0</v>
      </c>
      <c r="AF18" s="184">
        <f t="shared" si="5"/>
        <v>0</v>
      </c>
      <c r="AG18" s="184">
        <f t="shared" si="5"/>
        <v>0</v>
      </c>
      <c r="AI18" s="214">
        <f t="shared" si="18"/>
        <v>0</v>
      </c>
      <c r="AJ18" s="214">
        <f t="shared" si="6"/>
        <v>0</v>
      </c>
      <c r="AK18" s="214">
        <f t="shared" si="6"/>
        <v>0</v>
      </c>
      <c r="AL18" s="214">
        <f t="shared" si="6"/>
        <v>0</v>
      </c>
      <c r="AM18" s="214">
        <f t="shared" si="6"/>
        <v>0</v>
      </c>
      <c r="AN18" s="214">
        <f t="shared" si="6"/>
        <v>0</v>
      </c>
      <c r="AO18" s="214">
        <f t="shared" si="6"/>
        <v>0</v>
      </c>
      <c r="AP18" s="206">
        <f t="shared" si="19"/>
        <v>0.10416666666666666</v>
      </c>
      <c r="AQ18" s="213" t="e">
        <f t="shared" si="20"/>
        <v>#DIV/0!</v>
      </c>
      <c r="AR18" s="213" t="e">
        <f t="shared" si="7"/>
        <v>#DIV/0!</v>
      </c>
      <c r="AS18" s="213" t="e">
        <f t="shared" si="7"/>
        <v>#DIV/0!</v>
      </c>
      <c r="AT18" s="213" t="e">
        <f t="shared" si="7"/>
        <v>#DIV/0!</v>
      </c>
      <c r="AU18" s="213" t="e">
        <f t="shared" si="7"/>
        <v>#DIV/0!</v>
      </c>
      <c r="AV18" s="213" t="e">
        <f t="shared" si="7"/>
        <v>#DIV/0!</v>
      </c>
      <c r="AW18" s="213" t="e">
        <f t="shared" si="7"/>
        <v>#DIV/0!</v>
      </c>
      <c r="AY18" s="186">
        <f t="shared" si="21"/>
        <v>0</v>
      </c>
      <c r="AZ18" s="186">
        <f t="shared" si="8"/>
        <v>0</v>
      </c>
      <c r="BA18" s="186">
        <f t="shared" si="8"/>
        <v>0</v>
      </c>
      <c r="BB18" s="186">
        <f t="shared" si="8"/>
        <v>0</v>
      </c>
      <c r="BC18" s="186">
        <f t="shared" si="8"/>
        <v>0</v>
      </c>
      <c r="BD18" s="186">
        <f t="shared" si="8"/>
        <v>0</v>
      </c>
      <c r="BE18" s="186">
        <f t="shared" si="8"/>
        <v>0</v>
      </c>
    </row>
    <row r="19" spans="1:57" ht="12.75" x14ac:dyDescent="0.2">
      <c r="A19" s="181">
        <f t="shared" si="9"/>
        <v>5.7142857142857148E-2</v>
      </c>
      <c r="B19" s="187">
        <f t="shared" si="22"/>
        <v>0.12499999999999999</v>
      </c>
      <c r="C19" s="135">
        <v>0</v>
      </c>
      <c r="D19" s="135">
        <v>0</v>
      </c>
      <c r="E19" s="135">
        <v>0.13333333333333333</v>
      </c>
      <c r="F19" s="135">
        <v>3.3333333333333333E-2</v>
      </c>
      <c r="G19" s="135">
        <v>0.10000000000000002</v>
      </c>
      <c r="H19" s="135">
        <v>3.3333333333333333E-2</v>
      </c>
      <c r="I19" s="135">
        <v>0.10000000000000002</v>
      </c>
      <c r="J19" s="165">
        <v>7</v>
      </c>
      <c r="K19" s="43">
        <f t="shared" si="10"/>
        <v>0</v>
      </c>
      <c r="L19" s="43">
        <f t="shared" si="11"/>
        <v>0</v>
      </c>
      <c r="M19" s="43">
        <f t="shared" si="12"/>
        <v>0</v>
      </c>
      <c r="N19" s="43">
        <f t="shared" si="13"/>
        <v>0</v>
      </c>
      <c r="O19" s="43">
        <f t="shared" si="14"/>
        <v>0</v>
      </c>
      <c r="P19" s="43">
        <f t="shared" si="15"/>
        <v>0</v>
      </c>
      <c r="Q19" s="43">
        <f t="shared" si="16"/>
        <v>0</v>
      </c>
      <c r="R19" s="165">
        <v>7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AA19" s="184">
        <f t="shared" si="17"/>
        <v>0</v>
      </c>
      <c r="AB19" s="184">
        <f t="shared" si="17"/>
        <v>0</v>
      </c>
      <c r="AC19" s="184">
        <f t="shared" si="5"/>
        <v>0</v>
      </c>
      <c r="AD19" s="184">
        <f t="shared" si="5"/>
        <v>0</v>
      </c>
      <c r="AE19" s="184">
        <f t="shared" si="5"/>
        <v>0</v>
      </c>
      <c r="AF19" s="184">
        <f t="shared" si="5"/>
        <v>0</v>
      </c>
      <c r="AG19" s="184">
        <f t="shared" si="5"/>
        <v>0</v>
      </c>
      <c r="AI19" s="214">
        <f t="shared" si="18"/>
        <v>0</v>
      </c>
      <c r="AJ19" s="214">
        <f t="shared" si="6"/>
        <v>0</v>
      </c>
      <c r="AK19" s="214">
        <f t="shared" si="6"/>
        <v>0</v>
      </c>
      <c r="AL19" s="214">
        <f t="shared" si="6"/>
        <v>0</v>
      </c>
      <c r="AM19" s="214">
        <f t="shared" si="6"/>
        <v>0</v>
      </c>
      <c r="AN19" s="214">
        <f t="shared" si="6"/>
        <v>0</v>
      </c>
      <c r="AO19" s="214">
        <f t="shared" si="6"/>
        <v>0</v>
      </c>
      <c r="AP19" s="206">
        <f t="shared" si="19"/>
        <v>0.12499999999999999</v>
      </c>
      <c r="AQ19" s="213" t="e">
        <f t="shared" si="20"/>
        <v>#DIV/0!</v>
      </c>
      <c r="AR19" s="213" t="e">
        <f t="shared" si="7"/>
        <v>#DIV/0!</v>
      </c>
      <c r="AS19" s="213" t="e">
        <f t="shared" si="7"/>
        <v>#DIV/0!</v>
      </c>
      <c r="AT19" s="213" t="e">
        <f t="shared" si="7"/>
        <v>#DIV/0!</v>
      </c>
      <c r="AU19" s="213" t="e">
        <f t="shared" si="7"/>
        <v>#DIV/0!</v>
      </c>
      <c r="AV19" s="213" t="e">
        <f t="shared" si="7"/>
        <v>#DIV/0!</v>
      </c>
      <c r="AW19" s="213" t="e">
        <f t="shared" si="7"/>
        <v>#DIV/0!</v>
      </c>
      <c r="AY19" s="186">
        <f t="shared" si="21"/>
        <v>0</v>
      </c>
      <c r="AZ19" s="186">
        <f t="shared" si="8"/>
        <v>0</v>
      </c>
      <c r="BA19" s="186">
        <f t="shared" si="8"/>
        <v>0</v>
      </c>
      <c r="BB19" s="186">
        <f t="shared" si="8"/>
        <v>0</v>
      </c>
      <c r="BC19" s="186">
        <f t="shared" si="8"/>
        <v>0</v>
      </c>
      <c r="BD19" s="186">
        <f t="shared" si="8"/>
        <v>0</v>
      </c>
      <c r="BE19" s="186">
        <f t="shared" si="8"/>
        <v>0</v>
      </c>
    </row>
    <row r="20" spans="1:57" ht="12.75" x14ac:dyDescent="0.2">
      <c r="A20" s="181">
        <f t="shared" si="9"/>
        <v>5.2380952380952382E-2</v>
      </c>
      <c r="B20" s="187">
        <f t="shared" si="22"/>
        <v>0.14583333333333331</v>
      </c>
      <c r="C20" s="135">
        <v>0</v>
      </c>
      <c r="D20" s="135">
        <v>0</v>
      </c>
      <c r="E20" s="135">
        <v>0.20000000000000004</v>
      </c>
      <c r="F20" s="135">
        <v>3.3333333333333333E-2</v>
      </c>
      <c r="G20" s="135">
        <v>0.10000000000000002</v>
      </c>
      <c r="H20" s="135">
        <v>0</v>
      </c>
      <c r="I20" s="135">
        <v>3.3333333333333333E-2</v>
      </c>
      <c r="J20" s="165">
        <v>8</v>
      </c>
      <c r="K20" s="43">
        <f t="shared" si="10"/>
        <v>0</v>
      </c>
      <c r="L20" s="43">
        <f t="shared" si="11"/>
        <v>0</v>
      </c>
      <c r="M20" s="43">
        <f t="shared" si="12"/>
        <v>0</v>
      </c>
      <c r="N20" s="43">
        <f t="shared" si="13"/>
        <v>0</v>
      </c>
      <c r="O20" s="43">
        <f t="shared" si="14"/>
        <v>0</v>
      </c>
      <c r="P20" s="43">
        <f t="shared" si="15"/>
        <v>0</v>
      </c>
      <c r="Q20" s="43">
        <f t="shared" si="16"/>
        <v>0</v>
      </c>
      <c r="R20" s="165">
        <v>8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AA20" s="184">
        <f t="shared" si="17"/>
        <v>0</v>
      </c>
      <c r="AB20" s="184">
        <f t="shared" si="17"/>
        <v>0</v>
      </c>
      <c r="AC20" s="184">
        <f t="shared" si="5"/>
        <v>0</v>
      </c>
      <c r="AD20" s="184">
        <f t="shared" si="5"/>
        <v>0</v>
      </c>
      <c r="AE20" s="184">
        <f t="shared" si="5"/>
        <v>0</v>
      </c>
      <c r="AF20" s="184">
        <f t="shared" si="5"/>
        <v>0</v>
      </c>
      <c r="AG20" s="184">
        <f t="shared" si="5"/>
        <v>0</v>
      </c>
      <c r="AI20" s="214">
        <f t="shared" si="18"/>
        <v>0</v>
      </c>
      <c r="AJ20" s="214">
        <f t="shared" si="6"/>
        <v>0</v>
      </c>
      <c r="AK20" s="214">
        <f t="shared" si="6"/>
        <v>0</v>
      </c>
      <c r="AL20" s="214">
        <f t="shared" si="6"/>
        <v>0</v>
      </c>
      <c r="AM20" s="214">
        <f t="shared" si="6"/>
        <v>0</v>
      </c>
      <c r="AN20" s="214">
        <f t="shared" si="6"/>
        <v>0</v>
      </c>
      <c r="AO20" s="214">
        <f t="shared" si="6"/>
        <v>0</v>
      </c>
      <c r="AP20" s="206">
        <f t="shared" si="19"/>
        <v>0.14583333333333331</v>
      </c>
      <c r="AQ20" s="213" t="e">
        <f t="shared" si="20"/>
        <v>#DIV/0!</v>
      </c>
      <c r="AR20" s="213" t="e">
        <f t="shared" si="7"/>
        <v>#DIV/0!</v>
      </c>
      <c r="AS20" s="213" t="e">
        <f t="shared" si="7"/>
        <v>#DIV/0!</v>
      </c>
      <c r="AT20" s="213" t="e">
        <f t="shared" si="7"/>
        <v>#DIV/0!</v>
      </c>
      <c r="AU20" s="213" t="e">
        <f t="shared" si="7"/>
        <v>#DIV/0!</v>
      </c>
      <c r="AV20" s="213" t="e">
        <f t="shared" si="7"/>
        <v>#DIV/0!</v>
      </c>
      <c r="AW20" s="213" t="e">
        <f t="shared" si="7"/>
        <v>#DIV/0!</v>
      </c>
      <c r="AY20" s="186">
        <f t="shared" si="21"/>
        <v>0</v>
      </c>
      <c r="AZ20" s="186">
        <f t="shared" si="8"/>
        <v>0</v>
      </c>
      <c r="BA20" s="186">
        <f t="shared" si="8"/>
        <v>0</v>
      </c>
      <c r="BB20" s="186">
        <f t="shared" si="8"/>
        <v>0</v>
      </c>
      <c r="BC20" s="186">
        <f t="shared" si="8"/>
        <v>0</v>
      </c>
      <c r="BD20" s="186">
        <f t="shared" si="8"/>
        <v>0</v>
      </c>
      <c r="BE20" s="186">
        <f t="shared" si="8"/>
        <v>0</v>
      </c>
    </row>
    <row r="21" spans="1:57" ht="12.75" x14ac:dyDescent="0.2">
      <c r="A21" s="181">
        <f t="shared" si="9"/>
        <v>3.3333333333333333E-2</v>
      </c>
      <c r="B21" s="187">
        <f t="shared" si="22"/>
        <v>0.16666666666666666</v>
      </c>
      <c r="C21" s="135">
        <v>0</v>
      </c>
      <c r="D21" s="135">
        <v>0</v>
      </c>
      <c r="E21" s="135">
        <v>0.19999999999999998</v>
      </c>
      <c r="F21" s="135">
        <v>0</v>
      </c>
      <c r="G21" s="135">
        <v>3.3333333333333333E-2</v>
      </c>
      <c r="H21" s="135">
        <v>0</v>
      </c>
      <c r="I21" s="135">
        <v>0</v>
      </c>
      <c r="J21" s="165">
        <v>9</v>
      </c>
      <c r="K21" s="43">
        <f t="shared" si="10"/>
        <v>0</v>
      </c>
      <c r="L21" s="43">
        <f t="shared" si="11"/>
        <v>0</v>
      </c>
      <c r="M21" s="43">
        <f t="shared" si="12"/>
        <v>0</v>
      </c>
      <c r="N21" s="43">
        <f t="shared" si="13"/>
        <v>0</v>
      </c>
      <c r="O21" s="43">
        <f t="shared" si="14"/>
        <v>0</v>
      </c>
      <c r="P21" s="43">
        <f t="shared" si="15"/>
        <v>0</v>
      </c>
      <c r="Q21" s="43">
        <f t="shared" si="16"/>
        <v>0</v>
      </c>
      <c r="R21" s="165">
        <v>9</v>
      </c>
      <c r="S21" s="146">
        <v>1</v>
      </c>
      <c r="T21" s="146">
        <v>1</v>
      </c>
      <c r="U21" s="146">
        <v>1</v>
      </c>
      <c r="V21" s="146">
        <v>1</v>
      </c>
      <c r="W21" s="146">
        <v>1</v>
      </c>
      <c r="X21" s="146">
        <v>1</v>
      </c>
      <c r="Y21" s="146">
        <v>1</v>
      </c>
      <c r="AA21" s="184">
        <f t="shared" si="17"/>
        <v>0.42921784873507884</v>
      </c>
      <c r="AB21" s="184">
        <f t="shared" si="17"/>
        <v>0.42331478480422602</v>
      </c>
      <c r="AC21" s="184">
        <f t="shared" si="5"/>
        <v>0.4511883639059735</v>
      </c>
      <c r="AD21" s="184">
        <f t="shared" si="5"/>
        <v>0.42331478480422602</v>
      </c>
      <c r="AE21" s="184">
        <f t="shared" si="5"/>
        <v>0.42331478480422602</v>
      </c>
      <c r="AF21" s="184">
        <f t="shared" si="5"/>
        <v>0.40922248609876832</v>
      </c>
      <c r="AG21" s="184">
        <f t="shared" si="5"/>
        <v>0.46824846986942925</v>
      </c>
      <c r="AI21" s="214">
        <f t="shared" si="18"/>
        <v>1</v>
      </c>
      <c r="AJ21" s="214">
        <f t="shared" si="6"/>
        <v>1</v>
      </c>
      <c r="AK21" s="214">
        <f t="shared" si="6"/>
        <v>1</v>
      </c>
      <c r="AL21" s="214">
        <f t="shared" si="6"/>
        <v>1</v>
      </c>
      <c r="AM21" s="214">
        <f t="shared" si="6"/>
        <v>1</v>
      </c>
      <c r="AN21" s="214">
        <f t="shared" si="6"/>
        <v>1</v>
      </c>
      <c r="AO21" s="214">
        <f t="shared" si="6"/>
        <v>1</v>
      </c>
      <c r="AP21" s="206">
        <f t="shared" si="19"/>
        <v>0.16666666666666666</v>
      </c>
      <c r="AQ21" s="213" t="e">
        <f t="shared" si="20"/>
        <v>#DIV/0!</v>
      </c>
      <c r="AR21" s="213" t="e">
        <f t="shared" si="7"/>
        <v>#DIV/0!</v>
      </c>
      <c r="AS21" s="213" t="e">
        <f t="shared" si="7"/>
        <v>#DIV/0!</v>
      </c>
      <c r="AT21" s="213" t="e">
        <f t="shared" si="7"/>
        <v>#DIV/0!</v>
      </c>
      <c r="AU21" s="213" t="e">
        <f t="shared" si="7"/>
        <v>#DIV/0!</v>
      </c>
      <c r="AV21" s="213" t="e">
        <f t="shared" si="7"/>
        <v>#DIV/0!</v>
      </c>
      <c r="AW21" s="213" t="e">
        <f t="shared" si="7"/>
        <v>#DIV/0!</v>
      </c>
      <c r="AY21" s="186">
        <f t="shared" si="21"/>
        <v>0</v>
      </c>
      <c r="AZ21" s="186">
        <f t="shared" si="8"/>
        <v>0</v>
      </c>
      <c r="BA21" s="186">
        <f t="shared" si="8"/>
        <v>9.0237672781194697E-2</v>
      </c>
      <c r="BB21" s="186">
        <f t="shared" si="8"/>
        <v>0</v>
      </c>
      <c r="BC21" s="186">
        <f t="shared" si="8"/>
        <v>1.4110492826807534E-2</v>
      </c>
      <c r="BD21" s="186">
        <f t="shared" si="8"/>
        <v>0</v>
      </c>
      <c r="BE21" s="186">
        <f t="shared" si="8"/>
        <v>0</v>
      </c>
    </row>
    <row r="22" spans="1:57" ht="12.75" x14ac:dyDescent="0.2">
      <c r="A22" s="181">
        <f t="shared" si="9"/>
        <v>2.8571428571428574E-2</v>
      </c>
      <c r="B22" s="187">
        <f t="shared" si="22"/>
        <v>0.1875</v>
      </c>
      <c r="C22" s="135">
        <v>0</v>
      </c>
      <c r="D22" s="135">
        <v>0</v>
      </c>
      <c r="E22" s="135">
        <v>0.10000000000000002</v>
      </c>
      <c r="F22" s="135">
        <v>0</v>
      </c>
      <c r="G22" s="135">
        <v>0</v>
      </c>
      <c r="H22" s="135">
        <v>0</v>
      </c>
      <c r="I22" s="135">
        <v>9.9999999999999992E-2</v>
      </c>
      <c r="J22" s="165">
        <v>10</v>
      </c>
      <c r="K22" s="43">
        <f t="shared" si="10"/>
        <v>0</v>
      </c>
      <c r="L22" s="43">
        <f t="shared" si="11"/>
        <v>0</v>
      </c>
      <c r="M22" s="43">
        <f t="shared" si="12"/>
        <v>0</v>
      </c>
      <c r="N22" s="43">
        <f t="shared" si="13"/>
        <v>0</v>
      </c>
      <c r="O22" s="43">
        <f t="shared" si="14"/>
        <v>0</v>
      </c>
      <c r="P22" s="43">
        <f t="shared" si="15"/>
        <v>0</v>
      </c>
      <c r="Q22" s="43">
        <f t="shared" si="16"/>
        <v>0</v>
      </c>
      <c r="R22" s="165">
        <v>10</v>
      </c>
      <c r="S22" s="146">
        <v>1</v>
      </c>
      <c r="T22" s="146">
        <v>1</v>
      </c>
      <c r="U22" s="146">
        <v>1</v>
      </c>
      <c r="V22" s="146">
        <v>1</v>
      </c>
      <c r="W22" s="146">
        <v>1</v>
      </c>
      <c r="X22" s="146">
        <v>1</v>
      </c>
      <c r="Y22" s="146">
        <v>1</v>
      </c>
      <c r="AA22" s="184">
        <f t="shared" si="17"/>
        <v>0.42921784873507884</v>
      </c>
      <c r="AB22" s="184">
        <f t="shared" si="17"/>
        <v>0.42331478480422602</v>
      </c>
      <c r="AC22" s="184">
        <f t="shared" si="5"/>
        <v>0.4511883639059735</v>
      </c>
      <c r="AD22" s="184">
        <f t="shared" si="5"/>
        <v>0.42331478480422602</v>
      </c>
      <c r="AE22" s="184">
        <f t="shared" si="5"/>
        <v>0.42331478480422602</v>
      </c>
      <c r="AF22" s="184">
        <f t="shared" si="5"/>
        <v>0.40922248609876832</v>
      </c>
      <c r="AG22" s="184">
        <f t="shared" si="5"/>
        <v>0.46824846986942925</v>
      </c>
      <c r="AI22" s="214">
        <f t="shared" si="18"/>
        <v>1</v>
      </c>
      <c r="AJ22" s="214">
        <f t="shared" si="6"/>
        <v>1</v>
      </c>
      <c r="AK22" s="214">
        <f t="shared" si="6"/>
        <v>1</v>
      </c>
      <c r="AL22" s="214">
        <f t="shared" si="6"/>
        <v>1</v>
      </c>
      <c r="AM22" s="214">
        <f t="shared" si="6"/>
        <v>1</v>
      </c>
      <c r="AN22" s="214">
        <f t="shared" si="6"/>
        <v>1</v>
      </c>
      <c r="AO22" s="214">
        <f t="shared" si="6"/>
        <v>1</v>
      </c>
      <c r="AP22" s="206">
        <f t="shared" si="19"/>
        <v>0.1875</v>
      </c>
      <c r="AQ22" s="213" t="e">
        <f t="shared" si="20"/>
        <v>#DIV/0!</v>
      </c>
      <c r="AR22" s="213" t="e">
        <f t="shared" si="7"/>
        <v>#DIV/0!</v>
      </c>
      <c r="AS22" s="213" t="e">
        <f t="shared" si="7"/>
        <v>#DIV/0!</v>
      </c>
      <c r="AT22" s="213" t="e">
        <f t="shared" si="7"/>
        <v>#DIV/0!</v>
      </c>
      <c r="AU22" s="213" t="e">
        <f t="shared" si="7"/>
        <v>#DIV/0!</v>
      </c>
      <c r="AV22" s="213" t="e">
        <f t="shared" si="7"/>
        <v>#DIV/0!</v>
      </c>
      <c r="AW22" s="213" t="e">
        <f t="shared" si="7"/>
        <v>#DIV/0!</v>
      </c>
      <c r="AY22" s="186">
        <f t="shared" si="21"/>
        <v>0</v>
      </c>
      <c r="AZ22" s="186">
        <f t="shared" si="8"/>
        <v>0</v>
      </c>
      <c r="BA22" s="186">
        <f t="shared" si="8"/>
        <v>4.5118836390597356E-2</v>
      </c>
      <c r="BB22" s="186">
        <f t="shared" si="8"/>
        <v>0</v>
      </c>
      <c r="BC22" s="186">
        <f t="shared" si="8"/>
        <v>0</v>
      </c>
      <c r="BD22" s="186">
        <f t="shared" si="8"/>
        <v>0</v>
      </c>
      <c r="BE22" s="186">
        <f t="shared" si="8"/>
        <v>4.682484698694292E-2</v>
      </c>
    </row>
    <row r="23" spans="1:57" ht="12.75" x14ac:dyDescent="0.2">
      <c r="A23" s="181">
        <f t="shared" si="9"/>
        <v>7.6190476190476183E-2</v>
      </c>
      <c r="B23" s="187">
        <f t="shared" si="22"/>
        <v>0.20833333333333334</v>
      </c>
      <c r="C23" s="135">
        <v>0</v>
      </c>
      <c r="D23" s="135">
        <v>6.6666666666666666E-2</v>
      </c>
      <c r="E23" s="135">
        <v>0.10000000000000002</v>
      </c>
      <c r="F23" s="135">
        <v>0.13333333333333333</v>
      </c>
      <c r="G23" s="135">
        <v>6.6666666666666666E-2</v>
      </c>
      <c r="H23" s="135">
        <v>0</v>
      </c>
      <c r="I23" s="135">
        <v>0.16666666666666666</v>
      </c>
      <c r="J23" s="165">
        <v>11</v>
      </c>
      <c r="K23" s="43">
        <f>AgentsRequired(C23,$B$10,K$10,$C$4,$C$6,$C$2,$C$8)</f>
        <v>0</v>
      </c>
      <c r="L23" s="43">
        <f t="shared" si="11"/>
        <v>0</v>
      </c>
      <c r="M23" s="43">
        <f t="shared" si="12"/>
        <v>0</v>
      </c>
      <c r="N23" s="43">
        <f t="shared" si="13"/>
        <v>0</v>
      </c>
      <c r="O23" s="43">
        <f t="shared" si="14"/>
        <v>0</v>
      </c>
      <c r="P23" s="43">
        <f t="shared" si="15"/>
        <v>0</v>
      </c>
      <c r="Q23" s="43">
        <f t="shared" si="16"/>
        <v>0</v>
      </c>
      <c r="R23" s="165">
        <v>11</v>
      </c>
      <c r="S23" s="146">
        <v>1</v>
      </c>
      <c r="T23" s="146">
        <v>1</v>
      </c>
      <c r="U23" s="146">
        <v>1</v>
      </c>
      <c r="V23" s="146">
        <v>1</v>
      </c>
      <c r="W23" s="146">
        <v>1</v>
      </c>
      <c r="X23" s="146">
        <v>1</v>
      </c>
      <c r="Y23" s="146">
        <v>1</v>
      </c>
      <c r="AA23" s="184">
        <f t="shared" si="17"/>
        <v>0.42921784873507884</v>
      </c>
      <c r="AB23" s="184">
        <f t="shared" si="17"/>
        <v>0.42331478480422602</v>
      </c>
      <c r="AC23" s="184">
        <f t="shared" si="5"/>
        <v>0.4511883639059735</v>
      </c>
      <c r="AD23" s="184">
        <f t="shared" si="5"/>
        <v>0.42331478480422602</v>
      </c>
      <c r="AE23" s="184">
        <f t="shared" si="5"/>
        <v>0.42331478480422602</v>
      </c>
      <c r="AF23" s="184">
        <f t="shared" si="5"/>
        <v>0.40922248609876832</v>
      </c>
      <c r="AG23" s="184">
        <f t="shared" si="5"/>
        <v>0.46824846986942925</v>
      </c>
      <c r="AI23" s="214">
        <f t="shared" si="18"/>
        <v>1</v>
      </c>
      <c r="AJ23" s="214">
        <f t="shared" si="6"/>
        <v>1</v>
      </c>
      <c r="AK23" s="214">
        <f t="shared" si="6"/>
        <v>1</v>
      </c>
      <c r="AL23" s="214">
        <f t="shared" si="6"/>
        <v>1</v>
      </c>
      <c r="AM23" s="214">
        <f t="shared" si="6"/>
        <v>1</v>
      </c>
      <c r="AN23" s="214">
        <f t="shared" si="6"/>
        <v>1</v>
      </c>
      <c r="AO23" s="214">
        <f t="shared" si="6"/>
        <v>1</v>
      </c>
      <c r="AP23" s="206">
        <f t="shared" si="19"/>
        <v>0.20833333333333334</v>
      </c>
      <c r="AQ23" s="213" t="e">
        <f t="shared" si="20"/>
        <v>#DIV/0!</v>
      </c>
      <c r="AR23" s="213" t="e">
        <f t="shared" si="7"/>
        <v>#DIV/0!</v>
      </c>
      <c r="AS23" s="213" t="e">
        <f t="shared" si="7"/>
        <v>#DIV/0!</v>
      </c>
      <c r="AT23" s="213" t="e">
        <f t="shared" si="7"/>
        <v>#DIV/0!</v>
      </c>
      <c r="AU23" s="213" t="e">
        <f t="shared" si="7"/>
        <v>#DIV/0!</v>
      </c>
      <c r="AV23" s="213" t="e">
        <f t="shared" si="7"/>
        <v>#DIV/0!</v>
      </c>
      <c r="AW23" s="213" t="e">
        <f t="shared" si="7"/>
        <v>#DIV/0!</v>
      </c>
      <c r="AY23" s="186">
        <f t="shared" si="21"/>
        <v>0</v>
      </c>
      <c r="AZ23" s="186">
        <f t="shared" si="8"/>
        <v>2.8220985653615069E-2</v>
      </c>
      <c r="BA23" s="186">
        <f t="shared" si="8"/>
        <v>4.5118836390597356E-2</v>
      </c>
      <c r="BB23" s="186">
        <f t="shared" si="8"/>
        <v>5.6441971307230138E-2</v>
      </c>
      <c r="BC23" s="186">
        <f t="shared" si="8"/>
        <v>2.8220985653615069E-2</v>
      </c>
      <c r="BD23" s="186">
        <f t="shared" si="8"/>
        <v>0</v>
      </c>
      <c r="BE23" s="186">
        <f t="shared" si="8"/>
        <v>7.8041411644904871E-2</v>
      </c>
    </row>
    <row r="24" spans="1:57" ht="12.75" x14ac:dyDescent="0.2">
      <c r="A24" s="181">
        <f t="shared" si="9"/>
        <v>0.18095238095238095</v>
      </c>
      <c r="B24" s="187">
        <f t="shared" si="22"/>
        <v>0.22916666666666669</v>
      </c>
      <c r="C24" s="135">
        <v>6.6666666666666666E-2</v>
      </c>
      <c r="D24" s="135">
        <v>0.3</v>
      </c>
      <c r="E24" s="135">
        <v>0.13333333333333333</v>
      </c>
      <c r="F24" s="135">
        <v>0.3666666666666667</v>
      </c>
      <c r="G24" s="135">
        <v>0.13333333333333333</v>
      </c>
      <c r="H24" s="135">
        <v>0</v>
      </c>
      <c r="I24" s="135">
        <v>0.26666666666666666</v>
      </c>
      <c r="J24" s="165">
        <v>12</v>
      </c>
      <c r="K24" s="43">
        <f t="shared" si="10"/>
        <v>0</v>
      </c>
      <c r="L24" s="43">
        <f t="shared" si="11"/>
        <v>0</v>
      </c>
      <c r="M24" s="43">
        <f t="shared" si="12"/>
        <v>0</v>
      </c>
      <c r="N24" s="43">
        <f t="shared" si="13"/>
        <v>0</v>
      </c>
      <c r="O24" s="43">
        <f t="shared" si="14"/>
        <v>0</v>
      </c>
      <c r="P24" s="43">
        <f t="shared" si="15"/>
        <v>0</v>
      </c>
      <c r="Q24" s="43">
        <f t="shared" si="16"/>
        <v>0</v>
      </c>
      <c r="R24" s="165">
        <v>12</v>
      </c>
      <c r="S24" s="146">
        <v>1</v>
      </c>
      <c r="T24" s="146">
        <v>1</v>
      </c>
      <c r="U24" s="146">
        <v>1</v>
      </c>
      <c r="V24" s="146">
        <v>1</v>
      </c>
      <c r="W24" s="146">
        <v>1</v>
      </c>
      <c r="X24" s="146">
        <v>1</v>
      </c>
      <c r="Y24" s="146">
        <v>1</v>
      </c>
      <c r="AA24" s="184">
        <f t="shared" si="17"/>
        <v>0.42921784873507884</v>
      </c>
      <c r="AB24" s="184">
        <f t="shared" si="17"/>
        <v>0.42331478480422602</v>
      </c>
      <c r="AC24" s="184">
        <f t="shared" si="5"/>
        <v>0.4511883639059735</v>
      </c>
      <c r="AD24" s="184">
        <f t="shared" si="5"/>
        <v>0.42331478480422602</v>
      </c>
      <c r="AE24" s="184">
        <f t="shared" si="5"/>
        <v>0.42331478480422602</v>
      </c>
      <c r="AF24" s="184">
        <f t="shared" si="5"/>
        <v>0.40922248609876832</v>
      </c>
      <c r="AG24" s="184">
        <f t="shared" si="5"/>
        <v>0.46824846986942925</v>
      </c>
      <c r="AI24" s="214">
        <f t="shared" si="18"/>
        <v>1</v>
      </c>
      <c r="AJ24" s="214">
        <f t="shared" si="6"/>
        <v>1</v>
      </c>
      <c r="AK24" s="214">
        <f t="shared" si="6"/>
        <v>1</v>
      </c>
      <c r="AL24" s="214">
        <f t="shared" si="6"/>
        <v>1</v>
      </c>
      <c r="AM24" s="214">
        <f t="shared" si="6"/>
        <v>1</v>
      </c>
      <c r="AN24" s="214">
        <f t="shared" si="6"/>
        <v>1</v>
      </c>
      <c r="AO24" s="214">
        <f t="shared" si="6"/>
        <v>1</v>
      </c>
      <c r="AP24" s="206">
        <f t="shared" si="19"/>
        <v>0.22916666666666669</v>
      </c>
      <c r="AQ24" s="213" t="e">
        <f t="shared" si="20"/>
        <v>#DIV/0!</v>
      </c>
      <c r="AR24" s="213" t="e">
        <f t="shared" si="7"/>
        <v>#DIV/0!</v>
      </c>
      <c r="AS24" s="213" t="e">
        <f t="shared" si="7"/>
        <v>#DIV/0!</v>
      </c>
      <c r="AT24" s="213" t="e">
        <f t="shared" si="7"/>
        <v>#DIV/0!</v>
      </c>
      <c r="AU24" s="213" t="e">
        <f t="shared" si="7"/>
        <v>#DIV/0!</v>
      </c>
      <c r="AV24" s="213" t="e">
        <f t="shared" si="7"/>
        <v>#DIV/0!</v>
      </c>
      <c r="AW24" s="213" t="e">
        <f t="shared" si="7"/>
        <v>#DIV/0!</v>
      </c>
      <c r="AY24" s="186">
        <f t="shared" si="21"/>
        <v>2.8614523249005257E-2</v>
      </c>
      <c r="AZ24" s="186">
        <f t="shared" si="8"/>
        <v>0.12699443544126779</v>
      </c>
      <c r="BA24" s="186">
        <f t="shared" si="8"/>
        <v>6.0158448520796465E-2</v>
      </c>
      <c r="BB24" s="186">
        <f t="shared" si="8"/>
        <v>0.1552154210948829</v>
      </c>
      <c r="BC24" s="186">
        <f t="shared" si="8"/>
        <v>5.6441971307230138E-2</v>
      </c>
      <c r="BD24" s="186">
        <f t="shared" si="8"/>
        <v>0</v>
      </c>
      <c r="BE24" s="186">
        <f t="shared" si="8"/>
        <v>0.1248662586318478</v>
      </c>
    </row>
    <row r="25" spans="1:57" ht="12.75" x14ac:dyDescent="0.2">
      <c r="A25" s="181">
        <f t="shared" si="9"/>
        <v>0.48571428571428577</v>
      </c>
      <c r="B25" s="187">
        <f t="shared" si="22"/>
        <v>0.25</v>
      </c>
      <c r="C25" s="135">
        <v>0.20000000000000004</v>
      </c>
      <c r="D25" s="135">
        <v>0.53333333333333333</v>
      </c>
      <c r="E25" s="135">
        <v>0.43333333333333335</v>
      </c>
      <c r="F25" s="135">
        <v>0.9</v>
      </c>
      <c r="G25" s="135">
        <v>0.6</v>
      </c>
      <c r="H25" s="135">
        <v>0.46666666666666662</v>
      </c>
      <c r="I25" s="135">
        <v>0.26666666666666666</v>
      </c>
      <c r="J25" s="165">
        <v>13</v>
      </c>
      <c r="K25" s="43">
        <f t="shared" si="10"/>
        <v>0</v>
      </c>
      <c r="L25" s="43">
        <f t="shared" si="11"/>
        <v>1</v>
      </c>
      <c r="M25" s="43">
        <f t="shared" si="12"/>
        <v>0</v>
      </c>
      <c r="N25" s="43">
        <f t="shared" si="13"/>
        <v>1</v>
      </c>
      <c r="O25" s="43">
        <f t="shared" si="14"/>
        <v>1</v>
      </c>
      <c r="P25" s="43">
        <f t="shared" si="15"/>
        <v>0</v>
      </c>
      <c r="Q25" s="43">
        <f t="shared" si="16"/>
        <v>0</v>
      </c>
      <c r="R25" s="165">
        <v>13</v>
      </c>
      <c r="S25" s="146">
        <v>1</v>
      </c>
      <c r="T25" s="146">
        <v>1</v>
      </c>
      <c r="U25" s="146">
        <v>1</v>
      </c>
      <c r="V25" s="146">
        <v>1</v>
      </c>
      <c r="W25" s="146">
        <v>1</v>
      </c>
      <c r="X25" s="146">
        <v>1</v>
      </c>
      <c r="Y25" s="146">
        <v>1</v>
      </c>
      <c r="AA25" s="184">
        <f t="shared" si="17"/>
        <v>0.42921784873507884</v>
      </c>
      <c r="AB25" s="184">
        <f t="shared" si="17"/>
        <v>0.96389483842395474</v>
      </c>
      <c r="AC25" s="184">
        <f t="shared" si="5"/>
        <v>0.4511883639059735</v>
      </c>
      <c r="AD25" s="184">
        <f t="shared" si="5"/>
        <v>0.96389483842395474</v>
      </c>
      <c r="AE25" s="184">
        <f t="shared" si="5"/>
        <v>0.96389483842395474</v>
      </c>
      <c r="AF25" s="184">
        <f t="shared" si="5"/>
        <v>0.40922248609876832</v>
      </c>
      <c r="AG25" s="184">
        <f t="shared" si="5"/>
        <v>0.46824846986942925</v>
      </c>
      <c r="AI25" s="214">
        <f t="shared" si="18"/>
        <v>1</v>
      </c>
      <c r="AJ25" s="214">
        <f t="shared" si="6"/>
        <v>0</v>
      </c>
      <c r="AK25" s="214">
        <f t="shared" si="6"/>
        <v>1</v>
      </c>
      <c r="AL25" s="214">
        <f t="shared" si="6"/>
        <v>0</v>
      </c>
      <c r="AM25" s="214">
        <f t="shared" si="6"/>
        <v>0</v>
      </c>
      <c r="AN25" s="214">
        <f t="shared" si="6"/>
        <v>1</v>
      </c>
      <c r="AO25" s="214">
        <f t="shared" si="6"/>
        <v>1</v>
      </c>
      <c r="AP25" s="206">
        <f t="shared" si="19"/>
        <v>0.25</v>
      </c>
      <c r="AQ25" s="213" t="e">
        <f t="shared" si="20"/>
        <v>#DIV/0!</v>
      </c>
      <c r="AR25" s="213">
        <f t="shared" si="7"/>
        <v>0</v>
      </c>
      <c r="AS25" s="213" t="e">
        <f t="shared" si="7"/>
        <v>#DIV/0!</v>
      </c>
      <c r="AT25" s="213">
        <f t="shared" si="7"/>
        <v>0</v>
      </c>
      <c r="AU25" s="213">
        <f t="shared" si="7"/>
        <v>0</v>
      </c>
      <c r="AV25" s="213" t="e">
        <f t="shared" si="7"/>
        <v>#DIV/0!</v>
      </c>
      <c r="AW25" s="213" t="e">
        <f t="shared" si="7"/>
        <v>#DIV/0!</v>
      </c>
      <c r="AY25" s="186">
        <f t="shared" si="21"/>
        <v>8.5843569747015791E-2</v>
      </c>
      <c r="AZ25" s="186">
        <f t="shared" si="8"/>
        <v>0.51407724715944247</v>
      </c>
      <c r="BA25" s="186">
        <f t="shared" si="8"/>
        <v>0.19551495769258853</v>
      </c>
      <c r="BB25" s="186">
        <f t="shared" si="8"/>
        <v>0.86750535458155931</v>
      </c>
      <c r="BC25" s="186">
        <f t="shared" si="8"/>
        <v>0.5783369030543728</v>
      </c>
      <c r="BD25" s="186">
        <f t="shared" si="8"/>
        <v>0.19097049351275852</v>
      </c>
      <c r="BE25" s="186">
        <f t="shared" si="8"/>
        <v>0.1248662586318478</v>
      </c>
    </row>
    <row r="26" spans="1:57" ht="12.75" x14ac:dyDescent="0.2">
      <c r="A26" s="181">
        <f t="shared" si="9"/>
        <v>0.84761904761904761</v>
      </c>
      <c r="B26" s="187">
        <f t="shared" si="22"/>
        <v>0.27083333333333331</v>
      </c>
      <c r="C26" s="135">
        <v>0.66666666666666663</v>
      </c>
      <c r="D26" s="135">
        <v>0.9</v>
      </c>
      <c r="E26" s="135">
        <v>0.56666666666666676</v>
      </c>
      <c r="F26" s="135">
        <v>1.2</v>
      </c>
      <c r="G26" s="135">
        <v>0.93333333333333324</v>
      </c>
      <c r="H26" s="135">
        <v>1</v>
      </c>
      <c r="I26" s="135">
        <v>0.66666666666666663</v>
      </c>
      <c r="J26" s="165">
        <v>14</v>
      </c>
      <c r="K26" s="43">
        <f t="shared" si="10"/>
        <v>1</v>
      </c>
      <c r="L26" s="43">
        <f t="shared" si="11"/>
        <v>1</v>
      </c>
      <c r="M26" s="43">
        <f t="shared" si="12"/>
        <v>1</v>
      </c>
      <c r="N26" s="43">
        <f t="shared" si="13"/>
        <v>1</v>
      </c>
      <c r="O26" s="43">
        <f t="shared" si="14"/>
        <v>1</v>
      </c>
      <c r="P26" s="43">
        <f t="shared" si="15"/>
        <v>1</v>
      </c>
      <c r="Q26" s="43">
        <f t="shared" si="16"/>
        <v>1</v>
      </c>
      <c r="R26" s="165">
        <v>14</v>
      </c>
      <c r="S26" s="146">
        <v>1</v>
      </c>
      <c r="T26" s="146">
        <v>1</v>
      </c>
      <c r="U26" s="146">
        <v>1</v>
      </c>
      <c r="V26" s="146">
        <v>1</v>
      </c>
      <c r="W26" s="146">
        <v>1</v>
      </c>
      <c r="X26" s="146">
        <v>1</v>
      </c>
      <c r="Y26" s="146">
        <v>1</v>
      </c>
      <c r="AA26" s="184">
        <f t="shared" si="17"/>
        <v>0.96492011675173794</v>
      </c>
      <c r="AB26" s="184">
        <f t="shared" si="17"/>
        <v>0.96389483842395474</v>
      </c>
      <c r="AC26" s="184">
        <f t="shared" si="5"/>
        <v>0.96847701840016642</v>
      </c>
      <c r="AD26" s="184">
        <f t="shared" si="5"/>
        <v>0.96389483842395474</v>
      </c>
      <c r="AE26" s="184">
        <f t="shared" si="5"/>
        <v>0.96389483842395474</v>
      </c>
      <c r="AF26" s="184">
        <f t="shared" si="5"/>
        <v>0.96131587429624188</v>
      </c>
      <c r="AG26" s="184">
        <f t="shared" si="5"/>
        <v>0.97098408093471689</v>
      </c>
      <c r="AI26" s="214">
        <f t="shared" si="18"/>
        <v>0</v>
      </c>
      <c r="AJ26" s="214">
        <f t="shared" si="6"/>
        <v>0</v>
      </c>
      <c r="AK26" s="214">
        <f t="shared" si="6"/>
        <v>0</v>
      </c>
      <c r="AL26" s="214">
        <f t="shared" si="6"/>
        <v>0</v>
      </c>
      <c r="AM26" s="214">
        <f t="shared" si="6"/>
        <v>0</v>
      </c>
      <c r="AN26" s="214">
        <f t="shared" si="6"/>
        <v>0</v>
      </c>
      <c r="AO26" s="214">
        <f t="shared" si="6"/>
        <v>0</v>
      </c>
      <c r="AP26" s="206">
        <f t="shared" si="19"/>
        <v>0.27083333333333331</v>
      </c>
      <c r="AQ26" s="213">
        <f t="shared" si="20"/>
        <v>0</v>
      </c>
      <c r="AR26" s="213">
        <f t="shared" si="7"/>
        <v>0</v>
      </c>
      <c r="AS26" s="213">
        <f t="shared" si="7"/>
        <v>0</v>
      </c>
      <c r="AT26" s="213">
        <f t="shared" si="7"/>
        <v>0</v>
      </c>
      <c r="AU26" s="213">
        <f t="shared" si="7"/>
        <v>0</v>
      </c>
      <c r="AV26" s="213">
        <f t="shared" si="7"/>
        <v>0</v>
      </c>
      <c r="AW26" s="213">
        <f t="shared" si="7"/>
        <v>0</v>
      </c>
      <c r="AY26" s="186">
        <f t="shared" si="21"/>
        <v>0.64328007783449193</v>
      </c>
      <c r="AZ26" s="186">
        <f t="shared" si="8"/>
        <v>0.86750535458155931</v>
      </c>
      <c r="BA26" s="186">
        <f t="shared" si="8"/>
        <v>0.54880364376009438</v>
      </c>
      <c r="BB26" s="186">
        <f t="shared" si="8"/>
        <v>1.1566738061087456</v>
      </c>
      <c r="BC26" s="186">
        <f t="shared" si="8"/>
        <v>0.8996351825290243</v>
      </c>
      <c r="BD26" s="186">
        <f t="shared" si="8"/>
        <v>0.96131587429624188</v>
      </c>
      <c r="BE26" s="186">
        <f t="shared" si="8"/>
        <v>0.64732272062314455</v>
      </c>
    </row>
    <row r="27" spans="1:57" ht="12.75" x14ac:dyDescent="0.2">
      <c r="A27" s="181">
        <f t="shared" si="9"/>
        <v>1.3476190476190477</v>
      </c>
      <c r="B27" s="187">
        <f t="shared" si="22"/>
        <v>0.29166666666666663</v>
      </c>
      <c r="C27" s="135">
        <v>1.1333333333333333</v>
      </c>
      <c r="D27" s="135">
        <v>1.3</v>
      </c>
      <c r="E27" s="135">
        <v>1.1333333333333333</v>
      </c>
      <c r="F27" s="135">
        <v>1.4333333333333336</v>
      </c>
      <c r="G27" s="135">
        <v>1.4333333333333333</v>
      </c>
      <c r="H27" s="135">
        <v>1.7666666666666666</v>
      </c>
      <c r="I27" s="135">
        <v>1.2333333333333334</v>
      </c>
      <c r="J27" s="165">
        <v>15</v>
      </c>
      <c r="K27" s="43">
        <f t="shared" si="10"/>
        <v>1</v>
      </c>
      <c r="L27" s="43">
        <f t="shared" si="11"/>
        <v>1</v>
      </c>
      <c r="M27" s="43">
        <f t="shared" si="12"/>
        <v>1</v>
      </c>
      <c r="N27" s="43">
        <f t="shared" si="13"/>
        <v>1</v>
      </c>
      <c r="O27" s="43">
        <f t="shared" si="14"/>
        <v>1</v>
      </c>
      <c r="P27" s="43">
        <f t="shared" si="15"/>
        <v>1</v>
      </c>
      <c r="Q27" s="43">
        <f t="shared" si="16"/>
        <v>1</v>
      </c>
      <c r="R27" s="165">
        <v>15</v>
      </c>
      <c r="S27" s="146">
        <v>3</v>
      </c>
      <c r="T27" s="146">
        <v>2</v>
      </c>
      <c r="U27" s="146">
        <v>2</v>
      </c>
      <c r="V27" s="146">
        <v>2</v>
      </c>
      <c r="W27" s="146">
        <v>3</v>
      </c>
      <c r="X27" s="146">
        <v>4</v>
      </c>
      <c r="Y27" s="146">
        <v>2</v>
      </c>
      <c r="AA27" s="184">
        <f t="shared" si="17"/>
        <v>0.99999352938441399</v>
      </c>
      <c r="AB27" s="184">
        <f t="shared" si="17"/>
        <v>0.99938810377374643</v>
      </c>
      <c r="AC27" s="184">
        <f t="shared" si="5"/>
        <v>0.99953242759171979</v>
      </c>
      <c r="AD27" s="184">
        <f t="shared" si="5"/>
        <v>0.99938810377374643</v>
      </c>
      <c r="AE27" s="184">
        <f t="shared" si="5"/>
        <v>0.9999929504622973</v>
      </c>
      <c r="AF27" s="184">
        <f t="shared" si="5"/>
        <v>0.99999872927558431</v>
      </c>
      <c r="AG27" s="184">
        <f t="shared" si="5"/>
        <v>0.99960330726947078</v>
      </c>
      <c r="AI27" s="214">
        <f t="shared" si="18"/>
        <v>2</v>
      </c>
      <c r="AJ27" s="214">
        <f t="shared" si="6"/>
        <v>1</v>
      </c>
      <c r="AK27" s="214">
        <f t="shared" si="6"/>
        <v>1</v>
      </c>
      <c r="AL27" s="214">
        <f t="shared" si="6"/>
        <v>1</v>
      </c>
      <c r="AM27" s="214">
        <f t="shared" si="6"/>
        <v>2</v>
      </c>
      <c r="AN27" s="214">
        <f t="shared" si="6"/>
        <v>3</v>
      </c>
      <c r="AO27" s="214">
        <f t="shared" si="6"/>
        <v>1</v>
      </c>
      <c r="AP27" s="206">
        <f t="shared" si="19"/>
        <v>0.29166666666666663</v>
      </c>
      <c r="AQ27" s="213">
        <f t="shared" si="20"/>
        <v>2</v>
      </c>
      <c r="AR27" s="213">
        <f t="shared" si="7"/>
        <v>1</v>
      </c>
      <c r="AS27" s="213">
        <f t="shared" si="7"/>
        <v>1</v>
      </c>
      <c r="AT27" s="213">
        <f t="shared" si="7"/>
        <v>1</v>
      </c>
      <c r="AU27" s="213">
        <f t="shared" si="7"/>
        <v>2</v>
      </c>
      <c r="AV27" s="213">
        <f t="shared" si="7"/>
        <v>3</v>
      </c>
      <c r="AW27" s="213">
        <f t="shared" si="7"/>
        <v>1</v>
      </c>
      <c r="AY27" s="186">
        <f t="shared" si="21"/>
        <v>1.1333259999690024</v>
      </c>
      <c r="AZ27" s="186">
        <f t="shared" si="8"/>
        <v>1.2992045349058703</v>
      </c>
      <c r="BA27" s="186">
        <f t="shared" si="8"/>
        <v>1.1328034179372823</v>
      </c>
      <c r="BB27" s="186">
        <f t="shared" si="8"/>
        <v>1.4324562820757034</v>
      </c>
      <c r="BC27" s="186">
        <f t="shared" si="8"/>
        <v>1.4333232289959594</v>
      </c>
      <c r="BD27" s="186">
        <f t="shared" si="8"/>
        <v>1.7666644217201988</v>
      </c>
      <c r="BE27" s="186">
        <f t="shared" si="8"/>
        <v>1.2328440789656807</v>
      </c>
    </row>
    <row r="28" spans="1:57" ht="12.75" x14ac:dyDescent="0.2">
      <c r="A28" s="181">
        <f t="shared" si="9"/>
        <v>1.6857142857142862</v>
      </c>
      <c r="B28" s="187">
        <f t="shared" si="22"/>
        <v>0.31249999999999994</v>
      </c>
      <c r="C28" s="135">
        <v>1.5333333333333332</v>
      </c>
      <c r="D28" s="135">
        <v>1.6000000000000003</v>
      </c>
      <c r="E28" s="135">
        <v>1.4000000000000001</v>
      </c>
      <c r="F28" s="135">
        <v>1.6000000000000003</v>
      </c>
      <c r="G28" s="135">
        <v>1.6666666666666667</v>
      </c>
      <c r="H28" s="135">
        <v>1.9666666666666668</v>
      </c>
      <c r="I28" s="135">
        <v>2.0333333333333332</v>
      </c>
      <c r="J28" s="165">
        <v>16</v>
      </c>
      <c r="K28" s="43">
        <f t="shared" si="10"/>
        <v>1</v>
      </c>
      <c r="L28" s="43">
        <f t="shared" si="11"/>
        <v>1</v>
      </c>
      <c r="M28" s="43">
        <f t="shared" si="12"/>
        <v>1</v>
      </c>
      <c r="N28" s="43">
        <f t="shared" si="13"/>
        <v>1</v>
      </c>
      <c r="O28" s="43">
        <f t="shared" si="14"/>
        <v>1</v>
      </c>
      <c r="P28" s="43">
        <f t="shared" si="15"/>
        <v>1</v>
      </c>
      <c r="Q28" s="43">
        <f t="shared" si="16"/>
        <v>1</v>
      </c>
      <c r="R28" s="165">
        <v>16</v>
      </c>
      <c r="S28" s="146">
        <v>3</v>
      </c>
      <c r="T28" s="146">
        <v>2</v>
      </c>
      <c r="U28" s="146">
        <v>3</v>
      </c>
      <c r="V28" s="146">
        <v>2</v>
      </c>
      <c r="W28" s="146">
        <v>3</v>
      </c>
      <c r="X28" s="146">
        <v>4</v>
      </c>
      <c r="Y28" s="146">
        <v>2</v>
      </c>
      <c r="AA28" s="184">
        <f t="shared" si="17"/>
        <v>0.99994852883929108</v>
      </c>
      <c r="AB28" s="184">
        <f t="shared" si="17"/>
        <v>0.99754169843229101</v>
      </c>
      <c r="AC28" s="184">
        <f t="shared" si="5"/>
        <v>0.99999529274189392</v>
      </c>
      <c r="AD28" s="184">
        <f t="shared" si="5"/>
        <v>0.99754169843229101</v>
      </c>
      <c r="AE28" s="184">
        <f t="shared" si="5"/>
        <v>0.99994396397266283</v>
      </c>
      <c r="AF28" s="184">
        <f t="shared" si="5"/>
        <v>0.99999872927558431</v>
      </c>
      <c r="AG28" s="184">
        <f t="shared" si="5"/>
        <v>0.99840056738093352</v>
      </c>
      <c r="AI28" s="214">
        <f t="shared" si="18"/>
        <v>2</v>
      </c>
      <c r="AJ28" s="214">
        <f t="shared" si="6"/>
        <v>1</v>
      </c>
      <c r="AK28" s="214">
        <f t="shared" si="6"/>
        <v>2</v>
      </c>
      <c r="AL28" s="214">
        <f t="shared" si="6"/>
        <v>1</v>
      </c>
      <c r="AM28" s="214">
        <f t="shared" si="6"/>
        <v>2</v>
      </c>
      <c r="AN28" s="214">
        <f t="shared" si="6"/>
        <v>3</v>
      </c>
      <c r="AO28" s="214">
        <f t="shared" si="6"/>
        <v>1</v>
      </c>
      <c r="AP28" s="206">
        <f t="shared" si="19"/>
        <v>0.31249999999999994</v>
      </c>
      <c r="AQ28" s="213">
        <f t="shared" si="20"/>
        <v>2</v>
      </c>
      <c r="AR28" s="213">
        <f t="shared" si="7"/>
        <v>1</v>
      </c>
      <c r="AS28" s="213">
        <f t="shared" si="7"/>
        <v>2</v>
      </c>
      <c r="AT28" s="213">
        <f t="shared" si="7"/>
        <v>1</v>
      </c>
      <c r="AU28" s="213">
        <f t="shared" si="7"/>
        <v>2</v>
      </c>
      <c r="AV28" s="213">
        <f t="shared" si="7"/>
        <v>3</v>
      </c>
      <c r="AW28" s="213">
        <f t="shared" si="7"/>
        <v>1</v>
      </c>
      <c r="AY28" s="186">
        <f t="shared" si="21"/>
        <v>1.5332544108869128</v>
      </c>
      <c r="AZ28" s="186">
        <f t="shared" si="8"/>
        <v>1.5960667174916658</v>
      </c>
      <c r="BA28" s="186">
        <f t="shared" si="8"/>
        <v>1.3999934098386517</v>
      </c>
      <c r="BB28" s="186">
        <f t="shared" si="8"/>
        <v>1.5960667174916658</v>
      </c>
      <c r="BC28" s="186">
        <f t="shared" si="8"/>
        <v>1.6665732732877714</v>
      </c>
      <c r="BD28" s="186">
        <f t="shared" si="8"/>
        <v>1.966664167575316</v>
      </c>
      <c r="BE28" s="186">
        <f t="shared" si="8"/>
        <v>2.0300811536745647</v>
      </c>
    </row>
    <row r="29" spans="1:57" ht="12.75" x14ac:dyDescent="0.2">
      <c r="A29" s="181">
        <f t="shared" si="9"/>
        <v>2.1142857142857143</v>
      </c>
      <c r="B29" s="187">
        <f t="shared" si="22"/>
        <v>0.33333333333333326</v>
      </c>
      <c r="C29" s="135">
        <v>1.7666666666666668</v>
      </c>
      <c r="D29" s="135">
        <v>2</v>
      </c>
      <c r="E29" s="135">
        <v>2.2333333333333329</v>
      </c>
      <c r="F29" s="135">
        <v>2</v>
      </c>
      <c r="G29" s="135">
        <v>1.9333333333333333</v>
      </c>
      <c r="H29" s="135">
        <v>2.4666666666666668</v>
      </c>
      <c r="I29" s="135">
        <v>2.4</v>
      </c>
      <c r="J29" s="165">
        <v>17</v>
      </c>
      <c r="K29" s="43">
        <f t="shared" si="10"/>
        <v>1</v>
      </c>
      <c r="L29" s="43">
        <f t="shared" si="11"/>
        <v>1</v>
      </c>
      <c r="M29" s="43">
        <f t="shared" si="12"/>
        <v>1</v>
      </c>
      <c r="N29" s="43">
        <f t="shared" si="13"/>
        <v>1</v>
      </c>
      <c r="O29" s="43">
        <f t="shared" si="14"/>
        <v>1</v>
      </c>
      <c r="P29" s="43">
        <f t="shared" si="15"/>
        <v>1</v>
      </c>
      <c r="Q29" s="43">
        <f t="shared" si="16"/>
        <v>1</v>
      </c>
      <c r="R29" s="165">
        <v>17</v>
      </c>
      <c r="S29" s="146">
        <v>3</v>
      </c>
      <c r="T29" s="146">
        <v>3</v>
      </c>
      <c r="U29" s="146">
        <v>3</v>
      </c>
      <c r="V29" s="146">
        <v>3</v>
      </c>
      <c r="W29" s="146">
        <v>3</v>
      </c>
      <c r="X29" s="146">
        <v>5</v>
      </c>
      <c r="Y29" s="146">
        <v>3</v>
      </c>
      <c r="AA29" s="184">
        <f t="shared" si="17"/>
        <v>0.99994852883929108</v>
      </c>
      <c r="AB29" s="184">
        <f t="shared" si="17"/>
        <v>0.99994396397266283</v>
      </c>
      <c r="AC29" s="184">
        <f t="shared" si="17"/>
        <v>0.9999624613457071</v>
      </c>
      <c r="AD29" s="184">
        <f t="shared" si="17"/>
        <v>0.99994396397266283</v>
      </c>
      <c r="AE29" s="184">
        <f t="shared" si="17"/>
        <v>0.99994396397266283</v>
      </c>
      <c r="AF29" s="184">
        <f t="shared" si="17"/>
        <v>0.99999998110545385</v>
      </c>
      <c r="AG29" s="184">
        <f t="shared" si="17"/>
        <v>0.9999706177966573</v>
      </c>
      <c r="AI29" s="214">
        <f t="shared" si="18"/>
        <v>2</v>
      </c>
      <c r="AJ29" s="214">
        <f t="shared" si="18"/>
        <v>2</v>
      </c>
      <c r="AK29" s="214">
        <f t="shared" si="18"/>
        <v>2</v>
      </c>
      <c r="AL29" s="214">
        <f t="shared" si="18"/>
        <v>2</v>
      </c>
      <c r="AM29" s="214">
        <f t="shared" si="18"/>
        <v>2</v>
      </c>
      <c r="AN29" s="214">
        <f t="shared" si="18"/>
        <v>4</v>
      </c>
      <c r="AO29" s="214">
        <f t="shared" si="18"/>
        <v>2</v>
      </c>
      <c r="AP29" s="206">
        <f t="shared" si="19"/>
        <v>0.33333333333333326</v>
      </c>
      <c r="AQ29" s="213">
        <f t="shared" si="20"/>
        <v>2</v>
      </c>
      <c r="AR29" s="213">
        <f t="shared" si="20"/>
        <v>2</v>
      </c>
      <c r="AS29" s="213">
        <f t="shared" si="20"/>
        <v>2</v>
      </c>
      <c r="AT29" s="213">
        <f t="shared" si="20"/>
        <v>2</v>
      </c>
      <c r="AU29" s="213">
        <f t="shared" si="20"/>
        <v>2</v>
      </c>
      <c r="AV29" s="213">
        <f t="shared" si="20"/>
        <v>4</v>
      </c>
      <c r="AW29" s="213">
        <f t="shared" si="20"/>
        <v>2</v>
      </c>
      <c r="AY29" s="186">
        <f t="shared" si="21"/>
        <v>1.7665757342827477</v>
      </c>
      <c r="AZ29" s="186">
        <f t="shared" si="21"/>
        <v>1.9998879279453257</v>
      </c>
      <c r="BA29" s="186">
        <f t="shared" si="21"/>
        <v>2.2332494970054122</v>
      </c>
      <c r="BB29" s="186">
        <f t="shared" si="21"/>
        <v>1.9998879279453257</v>
      </c>
      <c r="BC29" s="186">
        <f t="shared" si="21"/>
        <v>1.9332249970138149</v>
      </c>
      <c r="BD29" s="186">
        <f t="shared" si="21"/>
        <v>2.4666666200601197</v>
      </c>
      <c r="BE29" s="186">
        <f t="shared" si="21"/>
        <v>2.3999294827119773</v>
      </c>
    </row>
    <row r="30" spans="1:57" ht="12.75" x14ac:dyDescent="0.2">
      <c r="A30" s="181">
        <f t="shared" si="9"/>
        <v>2.461904761904762</v>
      </c>
      <c r="B30" s="187">
        <f t="shared" si="22"/>
        <v>0.35416666666666657</v>
      </c>
      <c r="C30" s="135">
        <v>2.1666666666666665</v>
      </c>
      <c r="D30" s="135">
        <v>2.4666666666666663</v>
      </c>
      <c r="E30" s="135">
        <v>2.5333333333333332</v>
      </c>
      <c r="F30" s="135">
        <v>2.3333333333333335</v>
      </c>
      <c r="G30" s="135">
        <v>2.5</v>
      </c>
      <c r="H30" s="135">
        <v>2.5333333333333332</v>
      </c>
      <c r="I30" s="135">
        <v>2.6999999999999997</v>
      </c>
      <c r="J30" s="165">
        <v>18</v>
      </c>
      <c r="K30" s="43">
        <f t="shared" si="10"/>
        <v>1</v>
      </c>
      <c r="L30" s="43">
        <f t="shared" si="11"/>
        <v>1</v>
      </c>
      <c r="M30" s="43">
        <f t="shared" si="12"/>
        <v>1</v>
      </c>
      <c r="N30" s="43">
        <f t="shared" si="13"/>
        <v>1</v>
      </c>
      <c r="O30" s="43">
        <f t="shared" si="14"/>
        <v>1</v>
      </c>
      <c r="P30" s="43">
        <f t="shared" si="15"/>
        <v>1</v>
      </c>
      <c r="Q30" s="43">
        <f t="shared" si="16"/>
        <v>1</v>
      </c>
      <c r="R30" s="165">
        <v>18</v>
      </c>
      <c r="S30" s="146">
        <v>3</v>
      </c>
      <c r="T30" s="146">
        <v>3</v>
      </c>
      <c r="U30" s="146">
        <v>3</v>
      </c>
      <c r="V30" s="146">
        <v>3</v>
      </c>
      <c r="W30" s="146">
        <v>3</v>
      </c>
      <c r="X30" s="146">
        <v>5</v>
      </c>
      <c r="Y30" s="146">
        <v>3</v>
      </c>
      <c r="AA30" s="184">
        <f t="shared" si="17"/>
        <v>0.99994852883929108</v>
      </c>
      <c r="AB30" s="184">
        <f t="shared" si="17"/>
        <v>0.99994396397266283</v>
      </c>
      <c r="AC30" s="184">
        <f t="shared" si="17"/>
        <v>0.99987366284643653</v>
      </c>
      <c r="AD30" s="184">
        <f t="shared" si="17"/>
        <v>0.99994396397266283</v>
      </c>
      <c r="AE30" s="184">
        <f t="shared" si="17"/>
        <v>0.99994396397266283</v>
      </c>
      <c r="AF30" s="184">
        <f t="shared" si="17"/>
        <v>0.99999985892665544</v>
      </c>
      <c r="AG30" s="184">
        <f t="shared" si="17"/>
        <v>0.99990093900293442</v>
      </c>
      <c r="AI30" s="214">
        <f t="shared" si="18"/>
        <v>2</v>
      </c>
      <c r="AJ30" s="214">
        <f t="shared" si="18"/>
        <v>2</v>
      </c>
      <c r="AK30" s="214">
        <f t="shared" si="18"/>
        <v>2</v>
      </c>
      <c r="AL30" s="214">
        <f t="shared" si="18"/>
        <v>2</v>
      </c>
      <c r="AM30" s="214">
        <f t="shared" si="18"/>
        <v>2</v>
      </c>
      <c r="AN30" s="214">
        <f t="shared" si="18"/>
        <v>4</v>
      </c>
      <c r="AO30" s="214">
        <f t="shared" si="18"/>
        <v>2</v>
      </c>
      <c r="AP30" s="206">
        <f t="shared" si="19"/>
        <v>0.35416666666666657</v>
      </c>
      <c r="AQ30" s="213">
        <f t="shared" si="20"/>
        <v>2</v>
      </c>
      <c r="AR30" s="213">
        <f t="shared" si="20"/>
        <v>2</v>
      </c>
      <c r="AS30" s="213">
        <f t="shared" si="20"/>
        <v>2</v>
      </c>
      <c r="AT30" s="213">
        <f t="shared" si="20"/>
        <v>2</v>
      </c>
      <c r="AU30" s="213">
        <f t="shared" si="20"/>
        <v>2</v>
      </c>
      <c r="AV30" s="213">
        <f t="shared" si="20"/>
        <v>4</v>
      </c>
      <c r="AW30" s="213">
        <f t="shared" si="20"/>
        <v>2</v>
      </c>
      <c r="AY30" s="186">
        <f t="shared" si="21"/>
        <v>2.1665551458184638</v>
      </c>
      <c r="AZ30" s="186">
        <f t="shared" si="21"/>
        <v>2.4665284444659012</v>
      </c>
      <c r="BA30" s="186">
        <f t="shared" si="21"/>
        <v>2.5330132792109725</v>
      </c>
      <c r="BB30" s="186">
        <f t="shared" si="21"/>
        <v>2.3332025826028802</v>
      </c>
      <c r="BC30" s="186">
        <f t="shared" si="21"/>
        <v>2.499859909931657</v>
      </c>
      <c r="BD30" s="186">
        <f t="shared" si="21"/>
        <v>2.5333329759475269</v>
      </c>
      <c r="BE30" s="186">
        <f t="shared" si="21"/>
        <v>2.6997325353079225</v>
      </c>
    </row>
    <row r="31" spans="1:57" ht="12.75" x14ac:dyDescent="0.2">
      <c r="A31" s="181">
        <f t="shared" si="9"/>
        <v>2.9142857142857146</v>
      </c>
      <c r="B31" s="187">
        <f t="shared" si="22"/>
        <v>0.37499999999999989</v>
      </c>
      <c r="C31" s="135">
        <v>2.7666666666666671</v>
      </c>
      <c r="D31" s="135">
        <v>2.8333333333333335</v>
      </c>
      <c r="E31" s="135">
        <v>3.6</v>
      </c>
      <c r="F31" s="135">
        <v>2.8333333333333335</v>
      </c>
      <c r="G31" s="135">
        <v>2.9</v>
      </c>
      <c r="H31" s="135">
        <v>3.1333333333333329</v>
      </c>
      <c r="I31" s="135">
        <v>2.3333333333333335</v>
      </c>
      <c r="J31" s="165">
        <v>19</v>
      </c>
      <c r="K31" s="43">
        <f t="shared" si="10"/>
        <v>1</v>
      </c>
      <c r="L31" s="43">
        <f t="shared" si="11"/>
        <v>1</v>
      </c>
      <c r="M31" s="43">
        <f t="shared" si="12"/>
        <v>1</v>
      </c>
      <c r="N31" s="43">
        <f t="shared" si="13"/>
        <v>1</v>
      </c>
      <c r="O31" s="43">
        <f t="shared" si="14"/>
        <v>1</v>
      </c>
      <c r="P31" s="43">
        <f t="shared" si="15"/>
        <v>1</v>
      </c>
      <c r="Q31" s="43">
        <f t="shared" si="16"/>
        <v>1</v>
      </c>
      <c r="R31" s="165">
        <v>19</v>
      </c>
      <c r="S31" s="146">
        <v>4</v>
      </c>
      <c r="T31" s="146">
        <v>3</v>
      </c>
      <c r="U31" s="146">
        <v>4</v>
      </c>
      <c r="V31" s="146">
        <v>3</v>
      </c>
      <c r="W31" s="146">
        <v>4</v>
      </c>
      <c r="X31" s="146">
        <v>5</v>
      </c>
      <c r="Y31" s="146">
        <v>4</v>
      </c>
      <c r="AA31" s="184">
        <f t="shared" si="17"/>
        <v>0.99999567099881959</v>
      </c>
      <c r="AB31" s="184">
        <f t="shared" si="17"/>
        <v>0.99981200504974832</v>
      </c>
      <c r="AC31" s="184">
        <f t="shared" si="17"/>
        <v>0.99999107000679621</v>
      </c>
      <c r="AD31" s="184">
        <f t="shared" si="17"/>
        <v>0.99981200504974832</v>
      </c>
      <c r="AE31" s="184">
        <f t="shared" si="17"/>
        <v>0.99999515422080143</v>
      </c>
      <c r="AF31" s="184">
        <f t="shared" si="17"/>
        <v>0.99999985892665544</v>
      </c>
      <c r="AG31" s="184">
        <f t="shared" si="17"/>
        <v>0.99999959142351103</v>
      </c>
      <c r="AI31" s="214">
        <f t="shared" si="18"/>
        <v>3</v>
      </c>
      <c r="AJ31" s="214">
        <f t="shared" si="18"/>
        <v>2</v>
      </c>
      <c r="AK31" s="214">
        <f t="shared" si="18"/>
        <v>3</v>
      </c>
      <c r="AL31" s="214">
        <f t="shared" si="18"/>
        <v>2</v>
      </c>
      <c r="AM31" s="214">
        <f t="shared" si="18"/>
        <v>3</v>
      </c>
      <c r="AN31" s="214">
        <f t="shared" si="18"/>
        <v>4</v>
      </c>
      <c r="AO31" s="214">
        <f t="shared" si="18"/>
        <v>3</v>
      </c>
      <c r="AP31" s="206">
        <f t="shared" si="19"/>
        <v>0.37499999999999989</v>
      </c>
      <c r="AQ31" s="213">
        <f t="shared" si="20"/>
        <v>3</v>
      </c>
      <c r="AR31" s="213">
        <f t="shared" si="20"/>
        <v>2</v>
      </c>
      <c r="AS31" s="213">
        <f t="shared" si="20"/>
        <v>3</v>
      </c>
      <c r="AT31" s="213">
        <f t="shared" si="20"/>
        <v>2</v>
      </c>
      <c r="AU31" s="213">
        <f t="shared" si="20"/>
        <v>3</v>
      </c>
      <c r="AV31" s="213">
        <f t="shared" si="20"/>
        <v>4</v>
      </c>
      <c r="AW31" s="213">
        <f t="shared" si="20"/>
        <v>3</v>
      </c>
      <c r="AY31" s="186">
        <f t="shared" si="21"/>
        <v>2.7666546897634015</v>
      </c>
      <c r="AZ31" s="186">
        <f t="shared" si="21"/>
        <v>2.8328006809742869</v>
      </c>
      <c r="BA31" s="186">
        <f t="shared" si="21"/>
        <v>3.5999678520244665</v>
      </c>
      <c r="BB31" s="186">
        <f t="shared" si="21"/>
        <v>2.8328006809742869</v>
      </c>
      <c r="BC31" s="186">
        <f t="shared" si="21"/>
        <v>2.899985947240324</v>
      </c>
      <c r="BD31" s="186">
        <f t="shared" si="21"/>
        <v>3.1333328913035201</v>
      </c>
      <c r="BE31" s="186">
        <f t="shared" si="21"/>
        <v>2.3333323799881924</v>
      </c>
    </row>
    <row r="32" spans="1:57" ht="12.75" x14ac:dyDescent="0.2">
      <c r="A32" s="181">
        <f t="shared" si="9"/>
        <v>3.1380952380952385</v>
      </c>
      <c r="B32" s="187">
        <f t="shared" si="22"/>
        <v>0.3958333333333332</v>
      </c>
      <c r="C32" s="135">
        <v>3.4</v>
      </c>
      <c r="D32" s="135">
        <v>3.0333333333333332</v>
      </c>
      <c r="E32" s="135">
        <v>3.2666666666666671</v>
      </c>
      <c r="F32" s="135">
        <v>2.9666666666666668</v>
      </c>
      <c r="G32" s="135">
        <v>3.3333333333333335</v>
      </c>
      <c r="H32" s="135">
        <v>3.6</v>
      </c>
      <c r="I32" s="135">
        <v>2.3666666666666667</v>
      </c>
      <c r="J32" s="165">
        <v>20</v>
      </c>
      <c r="K32" s="43">
        <f t="shared" si="10"/>
        <v>1</v>
      </c>
      <c r="L32" s="43">
        <f t="shared" si="11"/>
        <v>1</v>
      </c>
      <c r="M32" s="43">
        <f t="shared" si="12"/>
        <v>1</v>
      </c>
      <c r="N32" s="43">
        <f t="shared" si="13"/>
        <v>1</v>
      </c>
      <c r="O32" s="43">
        <f t="shared" si="14"/>
        <v>1</v>
      </c>
      <c r="P32" s="43">
        <f t="shared" si="15"/>
        <v>1</v>
      </c>
      <c r="Q32" s="43">
        <f t="shared" si="16"/>
        <v>1</v>
      </c>
      <c r="R32" s="165">
        <v>20</v>
      </c>
      <c r="S32" s="146">
        <v>4</v>
      </c>
      <c r="T32" s="146">
        <v>3</v>
      </c>
      <c r="U32" s="146">
        <v>4</v>
      </c>
      <c r="V32" s="146">
        <v>3</v>
      </c>
      <c r="W32" s="146">
        <v>4</v>
      </c>
      <c r="X32" s="146">
        <v>5</v>
      </c>
      <c r="Y32" s="146">
        <v>4</v>
      </c>
      <c r="AA32" s="184">
        <f t="shared" si="17"/>
        <v>0.99999567099881959</v>
      </c>
      <c r="AB32" s="184">
        <f t="shared" si="17"/>
        <v>0.99981200504974832</v>
      </c>
      <c r="AC32" s="184">
        <f t="shared" si="17"/>
        <v>0.99999715286977553</v>
      </c>
      <c r="AD32" s="184">
        <f t="shared" si="17"/>
        <v>0.99981200504974832</v>
      </c>
      <c r="AE32" s="184">
        <f t="shared" si="17"/>
        <v>0.99999515422080143</v>
      </c>
      <c r="AF32" s="184">
        <f t="shared" si="17"/>
        <v>0.99999941539014781</v>
      </c>
      <c r="AG32" s="184">
        <f t="shared" si="17"/>
        <v>0.99999959142351103</v>
      </c>
      <c r="AI32" s="214">
        <f t="shared" si="18"/>
        <v>3</v>
      </c>
      <c r="AJ32" s="214">
        <f t="shared" si="18"/>
        <v>2</v>
      </c>
      <c r="AK32" s="214">
        <f t="shared" si="18"/>
        <v>3</v>
      </c>
      <c r="AL32" s="214">
        <f t="shared" si="18"/>
        <v>2</v>
      </c>
      <c r="AM32" s="214">
        <f t="shared" si="18"/>
        <v>3</v>
      </c>
      <c r="AN32" s="214">
        <f t="shared" si="18"/>
        <v>4</v>
      </c>
      <c r="AO32" s="214">
        <f t="shared" si="18"/>
        <v>3</v>
      </c>
      <c r="AP32" s="206">
        <f t="shared" si="19"/>
        <v>0.3958333333333332</v>
      </c>
      <c r="AQ32" s="213">
        <f t="shared" si="20"/>
        <v>3</v>
      </c>
      <c r="AR32" s="213">
        <f t="shared" si="20"/>
        <v>2</v>
      </c>
      <c r="AS32" s="213">
        <f t="shared" si="20"/>
        <v>3</v>
      </c>
      <c r="AT32" s="213">
        <f t="shared" si="20"/>
        <v>2</v>
      </c>
      <c r="AU32" s="213">
        <f t="shared" si="20"/>
        <v>3</v>
      </c>
      <c r="AV32" s="213">
        <f t="shared" si="20"/>
        <v>4</v>
      </c>
      <c r="AW32" s="213">
        <f t="shared" si="20"/>
        <v>3</v>
      </c>
      <c r="AY32" s="186">
        <f t="shared" si="21"/>
        <v>3.3999852813959865</v>
      </c>
      <c r="AZ32" s="186">
        <f t="shared" si="21"/>
        <v>3.0327630819842364</v>
      </c>
      <c r="BA32" s="186">
        <f t="shared" si="21"/>
        <v>3.266657366041267</v>
      </c>
      <c r="BB32" s="186">
        <f t="shared" si="21"/>
        <v>2.9661089483142535</v>
      </c>
      <c r="BC32" s="186">
        <f t="shared" si="21"/>
        <v>3.3333171807360049</v>
      </c>
      <c r="BD32" s="186">
        <f t="shared" si="21"/>
        <v>3.599997895404532</v>
      </c>
      <c r="BE32" s="186">
        <f t="shared" si="21"/>
        <v>2.3666656997023097</v>
      </c>
    </row>
    <row r="33" spans="1:57" ht="12.75" x14ac:dyDescent="0.2">
      <c r="A33" s="181">
        <f t="shared" si="9"/>
        <v>3.2571428571428571</v>
      </c>
      <c r="B33" s="187">
        <f t="shared" si="22"/>
        <v>0.41666666666666652</v>
      </c>
      <c r="C33" s="135">
        <v>3.8000000000000003</v>
      </c>
      <c r="D33" s="135">
        <v>2.8000000000000003</v>
      </c>
      <c r="E33" s="135">
        <v>3.8333333333333335</v>
      </c>
      <c r="F33" s="135">
        <v>3.0666666666666664</v>
      </c>
      <c r="G33" s="135">
        <v>3.1333333333333329</v>
      </c>
      <c r="H33" s="135">
        <v>4.0666666666666673</v>
      </c>
      <c r="I33" s="135">
        <v>2.1</v>
      </c>
      <c r="J33" s="165">
        <v>21</v>
      </c>
      <c r="K33" s="43">
        <f t="shared" si="10"/>
        <v>1</v>
      </c>
      <c r="L33" s="43">
        <f t="shared" si="11"/>
        <v>1</v>
      </c>
      <c r="M33" s="43">
        <f t="shared" si="12"/>
        <v>1</v>
      </c>
      <c r="N33" s="43">
        <f t="shared" si="13"/>
        <v>1</v>
      </c>
      <c r="O33" s="43">
        <f t="shared" si="14"/>
        <v>1</v>
      </c>
      <c r="P33" s="43">
        <f t="shared" si="15"/>
        <v>1</v>
      </c>
      <c r="Q33" s="43">
        <f t="shared" si="16"/>
        <v>1</v>
      </c>
      <c r="R33" s="165">
        <v>21</v>
      </c>
      <c r="S33" s="146">
        <v>4</v>
      </c>
      <c r="T33" s="146">
        <v>3</v>
      </c>
      <c r="U33" s="146">
        <v>4</v>
      </c>
      <c r="V33" s="146">
        <v>3</v>
      </c>
      <c r="W33" s="146">
        <v>4</v>
      </c>
      <c r="X33" s="146">
        <v>5</v>
      </c>
      <c r="Y33" s="146">
        <v>4</v>
      </c>
      <c r="AA33" s="184">
        <f t="shared" si="17"/>
        <v>0.99998646025059656</v>
      </c>
      <c r="AB33" s="184">
        <f t="shared" si="17"/>
        <v>0.99981200504974832</v>
      </c>
      <c r="AC33" s="184">
        <f t="shared" si="17"/>
        <v>0.99999107000679621</v>
      </c>
      <c r="AD33" s="184">
        <f t="shared" si="17"/>
        <v>0.99981200504974832</v>
      </c>
      <c r="AE33" s="184">
        <f t="shared" si="17"/>
        <v>0.99999515422080143</v>
      </c>
      <c r="AF33" s="184">
        <f t="shared" si="17"/>
        <v>0.99999941539014781</v>
      </c>
      <c r="AG33" s="184">
        <f t="shared" si="17"/>
        <v>0.99999959142351103</v>
      </c>
      <c r="AI33" s="214">
        <f t="shared" si="18"/>
        <v>3</v>
      </c>
      <c r="AJ33" s="214">
        <f t="shared" si="18"/>
        <v>2</v>
      </c>
      <c r="AK33" s="214">
        <f t="shared" si="18"/>
        <v>3</v>
      </c>
      <c r="AL33" s="214">
        <f t="shared" si="18"/>
        <v>2</v>
      </c>
      <c r="AM33" s="214">
        <f t="shared" si="18"/>
        <v>3</v>
      </c>
      <c r="AN33" s="214">
        <f t="shared" si="18"/>
        <v>4</v>
      </c>
      <c r="AO33" s="214">
        <f t="shared" si="18"/>
        <v>3</v>
      </c>
      <c r="AP33" s="206">
        <f t="shared" si="19"/>
        <v>0.41666666666666652</v>
      </c>
      <c r="AQ33" s="213">
        <f t="shared" si="20"/>
        <v>3</v>
      </c>
      <c r="AR33" s="213">
        <f t="shared" si="20"/>
        <v>2</v>
      </c>
      <c r="AS33" s="213">
        <f t="shared" si="20"/>
        <v>3</v>
      </c>
      <c r="AT33" s="213">
        <f t="shared" si="20"/>
        <v>2</v>
      </c>
      <c r="AU33" s="213">
        <f t="shared" si="20"/>
        <v>3</v>
      </c>
      <c r="AV33" s="213">
        <f t="shared" si="20"/>
        <v>4</v>
      </c>
      <c r="AW33" s="213">
        <f t="shared" si="20"/>
        <v>3</v>
      </c>
      <c r="AY33" s="186">
        <f t="shared" si="21"/>
        <v>3.7999485489522673</v>
      </c>
      <c r="AZ33" s="186">
        <f t="shared" si="21"/>
        <v>2.7994736141392957</v>
      </c>
      <c r="BA33" s="186">
        <f t="shared" si="21"/>
        <v>3.8332991016927189</v>
      </c>
      <c r="BB33" s="186">
        <f t="shared" si="21"/>
        <v>3.066090148819228</v>
      </c>
      <c r="BC33" s="186">
        <f t="shared" si="21"/>
        <v>3.1333181498918439</v>
      </c>
      <c r="BD33" s="186">
        <f t="shared" si="21"/>
        <v>4.0666642892532687</v>
      </c>
      <c r="BE33" s="186">
        <f t="shared" si="21"/>
        <v>2.0999991419893731</v>
      </c>
    </row>
    <row r="34" spans="1:57" ht="12.75" x14ac:dyDescent="0.2">
      <c r="A34" s="181">
        <f t="shared" si="9"/>
        <v>3.3619047619047611</v>
      </c>
      <c r="B34" s="187">
        <f t="shared" si="22"/>
        <v>0.43749999999999983</v>
      </c>
      <c r="C34" s="135">
        <v>4.333333333333333</v>
      </c>
      <c r="D34" s="135">
        <v>3.0333333333333332</v>
      </c>
      <c r="E34" s="135">
        <v>3.2333333333333329</v>
      </c>
      <c r="F34" s="135">
        <v>2.7333333333333329</v>
      </c>
      <c r="G34" s="135">
        <v>3.4</v>
      </c>
      <c r="H34" s="135">
        <v>3.9</v>
      </c>
      <c r="I34" s="135">
        <v>2.9</v>
      </c>
      <c r="J34" s="165">
        <v>22</v>
      </c>
      <c r="K34" s="43">
        <f t="shared" si="10"/>
        <v>1</v>
      </c>
      <c r="L34" s="43">
        <f t="shared" si="11"/>
        <v>1</v>
      </c>
      <c r="M34" s="43">
        <f t="shared" si="12"/>
        <v>1</v>
      </c>
      <c r="N34" s="43">
        <f t="shared" si="13"/>
        <v>1</v>
      </c>
      <c r="O34" s="43">
        <f t="shared" si="14"/>
        <v>1</v>
      </c>
      <c r="P34" s="43">
        <f t="shared" si="15"/>
        <v>1</v>
      </c>
      <c r="Q34" s="43">
        <f t="shared" si="16"/>
        <v>1</v>
      </c>
      <c r="R34" s="165">
        <v>22</v>
      </c>
      <c r="S34" s="146">
        <v>4</v>
      </c>
      <c r="T34" s="146">
        <v>3</v>
      </c>
      <c r="U34" s="146">
        <v>4</v>
      </c>
      <c r="V34" s="146">
        <v>3</v>
      </c>
      <c r="W34" s="146">
        <v>4</v>
      </c>
      <c r="X34" s="146">
        <v>5</v>
      </c>
      <c r="Y34" s="146">
        <v>4</v>
      </c>
      <c r="AA34" s="184">
        <f t="shared" si="17"/>
        <v>0.99998646025059656</v>
      </c>
      <c r="AB34" s="184">
        <f t="shared" si="17"/>
        <v>0.99981200504974832</v>
      </c>
      <c r="AC34" s="184">
        <f t="shared" si="17"/>
        <v>0.99999715286977553</v>
      </c>
      <c r="AD34" s="184">
        <f t="shared" si="17"/>
        <v>0.99981200504974832</v>
      </c>
      <c r="AE34" s="184">
        <f t="shared" si="17"/>
        <v>0.99999515422080143</v>
      </c>
      <c r="AF34" s="184">
        <f t="shared" si="17"/>
        <v>0.99999941539014781</v>
      </c>
      <c r="AG34" s="184">
        <f t="shared" si="17"/>
        <v>0.99999794354337468</v>
      </c>
      <c r="AI34" s="214">
        <f t="shared" si="18"/>
        <v>3</v>
      </c>
      <c r="AJ34" s="214">
        <f t="shared" si="18"/>
        <v>2</v>
      </c>
      <c r="AK34" s="214">
        <f t="shared" si="18"/>
        <v>3</v>
      </c>
      <c r="AL34" s="214">
        <f t="shared" si="18"/>
        <v>2</v>
      </c>
      <c r="AM34" s="214">
        <f t="shared" si="18"/>
        <v>3</v>
      </c>
      <c r="AN34" s="214">
        <f t="shared" si="18"/>
        <v>4</v>
      </c>
      <c r="AO34" s="214">
        <f t="shared" si="18"/>
        <v>3</v>
      </c>
      <c r="AP34" s="206">
        <f t="shared" si="19"/>
        <v>0.43749999999999983</v>
      </c>
      <c r="AQ34" s="213">
        <f t="shared" si="20"/>
        <v>3</v>
      </c>
      <c r="AR34" s="213">
        <f t="shared" si="20"/>
        <v>2</v>
      </c>
      <c r="AS34" s="213">
        <f t="shared" si="20"/>
        <v>3</v>
      </c>
      <c r="AT34" s="213">
        <f t="shared" si="20"/>
        <v>2</v>
      </c>
      <c r="AU34" s="213">
        <f t="shared" si="20"/>
        <v>3</v>
      </c>
      <c r="AV34" s="213">
        <f t="shared" si="20"/>
        <v>4</v>
      </c>
      <c r="AW34" s="213">
        <f t="shared" si="20"/>
        <v>3</v>
      </c>
      <c r="AY34" s="186">
        <f t="shared" si="21"/>
        <v>4.3332746610859179</v>
      </c>
      <c r="AZ34" s="186">
        <f t="shared" si="21"/>
        <v>3.0327630819842364</v>
      </c>
      <c r="BA34" s="186">
        <f t="shared" si="21"/>
        <v>3.2333241276122737</v>
      </c>
      <c r="BB34" s="186">
        <f t="shared" si="21"/>
        <v>2.7328194804693116</v>
      </c>
      <c r="BC34" s="186">
        <f t="shared" si="21"/>
        <v>3.3999835243507248</v>
      </c>
      <c r="BD34" s="186">
        <f t="shared" si="21"/>
        <v>3.8999977200215765</v>
      </c>
      <c r="BE34" s="186">
        <f t="shared" si="21"/>
        <v>2.8999940362757863</v>
      </c>
    </row>
    <row r="35" spans="1:57" ht="12.75" x14ac:dyDescent="0.2">
      <c r="A35" s="181">
        <f t="shared" si="9"/>
        <v>3.6476190476190475</v>
      </c>
      <c r="B35" s="187">
        <f t="shared" si="22"/>
        <v>0.45833333333333315</v>
      </c>
      <c r="C35" s="135">
        <v>4.2</v>
      </c>
      <c r="D35" s="135">
        <v>3.5</v>
      </c>
      <c r="E35" s="135">
        <v>4</v>
      </c>
      <c r="F35" s="135">
        <v>3.2000000000000006</v>
      </c>
      <c r="G35" s="135">
        <v>3.6333333333333329</v>
      </c>
      <c r="H35" s="135">
        <v>3.6333333333333329</v>
      </c>
      <c r="I35" s="135">
        <v>3.3666666666666667</v>
      </c>
      <c r="J35" s="165">
        <v>23</v>
      </c>
      <c r="K35" s="43">
        <f t="shared" si="10"/>
        <v>1</v>
      </c>
      <c r="L35" s="43">
        <f t="shared" si="11"/>
        <v>1</v>
      </c>
      <c r="M35" s="43">
        <f t="shared" si="12"/>
        <v>1</v>
      </c>
      <c r="N35" s="43">
        <f t="shared" si="13"/>
        <v>1</v>
      </c>
      <c r="O35" s="43">
        <f t="shared" si="14"/>
        <v>1</v>
      </c>
      <c r="P35" s="43">
        <f t="shared" si="15"/>
        <v>1</v>
      </c>
      <c r="Q35" s="43">
        <f t="shared" si="16"/>
        <v>1</v>
      </c>
      <c r="R35" s="165">
        <v>23</v>
      </c>
      <c r="S35" s="146">
        <v>4</v>
      </c>
      <c r="T35" s="146">
        <v>3</v>
      </c>
      <c r="U35" s="146">
        <v>4</v>
      </c>
      <c r="V35" s="146">
        <v>3</v>
      </c>
      <c r="W35" s="146">
        <v>4</v>
      </c>
      <c r="X35" s="146">
        <v>5</v>
      </c>
      <c r="Y35" s="146">
        <v>4</v>
      </c>
      <c r="AA35" s="184">
        <f t="shared" si="17"/>
        <v>0.99998646025059656</v>
      </c>
      <c r="AB35" s="184">
        <f t="shared" si="17"/>
        <v>0.99955684082767526</v>
      </c>
      <c r="AC35" s="184">
        <f t="shared" si="17"/>
        <v>0.99999107000679621</v>
      </c>
      <c r="AD35" s="184">
        <f t="shared" si="17"/>
        <v>0.99981200504974832</v>
      </c>
      <c r="AE35" s="184">
        <f t="shared" si="17"/>
        <v>0.99998485607904464</v>
      </c>
      <c r="AF35" s="184">
        <f t="shared" si="17"/>
        <v>0.99999941539014781</v>
      </c>
      <c r="AG35" s="184">
        <f t="shared" si="17"/>
        <v>0.99999794354337468</v>
      </c>
      <c r="AI35" s="214">
        <f t="shared" si="18"/>
        <v>3</v>
      </c>
      <c r="AJ35" s="214">
        <f t="shared" si="18"/>
        <v>2</v>
      </c>
      <c r="AK35" s="214">
        <f t="shared" si="18"/>
        <v>3</v>
      </c>
      <c r="AL35" s="214">
        <f t="shared" si="18"/>
        <v>2</v>
      </c>
      <c r="AM35" s="214">
        <f t="shared" si="18"/>
        <v>3</v>
      </c>
      <c r="AN35" s="214">
        <f t="shared" si="18"/>
        <v>4</v>
      </c>
      <c r="AO35" s="214">
        <f t="shared" si="18"/>
        <v>3</v>
      </c>
      <c r="AP35" s="206">
        <f t="shared" si="19"/>
        <v>0.45833333333333315</v>
      </c>
      <c r="AQ35" s="213">
        <f t="shared" si="20"/>
        <v>3</v>
      </c>
      <c r="AR35" s="213">
        <f t="shared" si="20"/>
        <v>2</v>
      </c>
      <c r="AS35" s="213">
        <f t="shared" si="20"/>
        <v>3</v>
      </c>
      <c r="AT35" s="213">
        <f t="shared" si="20"/>
        <v>2</v>
      </c>
      <c r="AU35" s="213">
        <f t="shared" si="20"/>
        <v>3</v>
      </c>
      <c r="AV35" s="213">
        <f t="shared" si="20"/>
        <v>4</v>
      </c>
      <c r="AW35" s="213">
        <f t="shared" si="20"/>
        <v>3</v>
      </c>
      <c r="AY35" s="186">
        <f t="shared" si="21"/>
        <v>4.1999431330525061</v>
      </c>
      <c r="AZ35" s="186">
        <f t="shared" si="21"/>
        <v>3.4984489428968635</v>
      </c>
      <c r="BA35" s="186">
        <f t="shared" si="21"/>
        <v>3.9999642800271848</v>
      </c>
      <c r="BB35" s="186">
        <f t="shared" si="21"/>
        <v>3.1993984161591951</v>
      </c>
      <c r="BC35" s="186">
        <f t="shared" si="21"/>
        <v>3.6332783104205282</v>
      </c>
      <c r="BD35" s="186">
        <f t="shared" si="21"/>
        <v>3.6333312092508701</v>
      </c>
      <c r="BE35" s="186">
        <f t="shared" si="21"/>
        <v>3.3666597432626948</v>
      </c>
    </row>
    <row r="36" spans="1:57" ht="12.75" x14ac:dyDescent="0.2">
      <c r="A36" s="181">
        <f t="shared" si="9"/>
        <v>3.9047619047619051</v>
      </c>
      <c r="B36" s="187">
        <f t="shared" si="22"/>
        <v>0.47916666666666646</v>
      </c>
      <c r="C36" s="135">
        <v>4.3</v>
      </c>
      <c r="D36" s="135">
        <v>4.1333333333333337</v>
      </c>
      <c r="E36" s="135">
        <v>4.1000000000000005</v>
      </c>
      <c r="F36" s="135">
        <v>3.2666666666666671</v>
      </c>
      <c r="G36" s="135">
        <v>3.6333333333333329</v>
      </c>
      <c r="H36" s="135">
        <v>3.8333333333333335</v>
      </c>
      <c r="I36" s="135">
        <v>4.0666666666666664</v>
      </c>
      <c r="J36" s="165">
        <v>24</v>
      </c>
      <c r="K36" s="43">
        <f t="shared" si="10"/>
        <v>1</v>
      </c>
      <c r="L36" s="43">
        <f t="shared" si="11"/>
        <v>1</v>
      </c>
      <c r="M36" s="43">
        <f t="shared" si="12"/>
        <v>1</v>
      </c>
      <c r="N36" s="43">
        <f t="shared" si="13"/>
        <v>1</v>
      </c>
      <c r="O36" s="43">
        <f t="shared" si="14"/>
        <v>1</v>
      </c>
      <c r="P36" s="43">
        <f t="shared" si="15"/>
        <v>1</v>
      </c>
      <c r="Q36" s="43">
        <f t="shared" si="16"/>
        <v>1</v>
      </c>
      <c r="R36" s="165">
        <v>24</v>
      </c>
      <c r="S36" s="146">
        <v>4</v>
      </c>
      <c r="T36" s="146">
        <v>3</v>
      </c>
      <c r="U36" s="146">
        <v>4</v>
      </c>
      <c r="V36" s="146">
        <v>3</v>
      </c>
      <c r="W36" s="146">
        <v>4</v>
      </c>
      <c r="X36" s="146">
        <v>5</v>
      </c>
      <c r="Y36" s="146">
        <v>4</v>
      </c>
      <c r="AA36" s="184">
        <f t="shared" si="17"/>
        <v>0.99998646025059656</v>
      </c>
      <c r="AB36" s="184">
        <f t="shared" si="17"/>
        <v>0.99955684082767526</v>
      </c>
      <c r="AC36" s="184">
        <f t="shared" si="17"/>
        <v>0.99999107000679621</v>
      </c>
      <c r="AD36" s="184">
        <f t="shared" si="17"/>
        <v>0.99981200504974832</v>
      </c>
      <c r="AE36" s="184">
        <f t="shared" si="17"/>
        <v>0.99998485607904464</v>
      </c>
      <c r="AF36" s="184">
        <f t="shared" si="17"/>
        <v>0.99999941539014781</v>
      </c>
      <c r="AG36" s="184">
        <f t="shared" si="17"/>
        <v>0.99999353695125703</v>
      </c>
      <c r="AI36" s="214">
        <f t="shared" si="18"/>
        <v>3</v>
      </c>
      <c r="AJ36" s="214">
        <f t="shared" si="18"/>
        <v>2</v>
      </c>
      <c r="AK36" s="214">
        <f t="shared" si="18"/>
        <v>3</v>
      </c>
      <c r="AL36" s="214">
        <f t="shared" si="18"/>
        <v>2</v>
      </c>
      <c r="AM36" s="214">
        <f t="shared" si="18"/>
        <v>3</v>
      </c>
      <c r="AN36" s="214">
        <f t="shared" si="18"/>
        <v>4</v>
      </c>
      <c r="AO36" s="214">
        <f t="shared" si="18"/>
        <v>3</v>
      </c>
      <c r="AP36" s="206">
        <f t="shared" si="19"/>
        <v>0.47916666666666646</v>
      </c>
      <c r="AQ36" s="213">
        <f t="shared" si="20"/>
        <v>3</v>
      </c>
      <c r="AR36" s="213">
        <f t="shared" si="20"/>
        <v>2</v>
      </c>
      <c r="AS36" s="213">
        <f t="shared" si="20"/>
        <v>3</v>
      </c>
      <c r="AT36" s="213">
        <f t="shared" si="20"/>
        <v>2</v>
      </c>
      <c r="AU36" s="213">
        <f t="shared" si="20"/>
        <v>3</v>
      </c>
      <c r="AV36" s="213">
        <f t="shared" si="20"/>
        <v>4</v>
      </c>
      <c r="AW36" s="213">
        <f t="shared" si="20"/>
        <v>3</v>
      </c>
      <c r="AY36" s="186">
        <f t="shared" si="21"/>
        <v>4.2999417790775647</v>
      </c>
      <c r="AZ36" s="186">
        <f t="shared" si="21"/>
        <v>4.1315016087543919</v>
      </c>
      <c r="BA36" s="186">
        <f t="shared" si="21"/>
        <v>4.0999633870278647</v>
      </c>
      <c r="BB36" s="186">
        <f t="shared" si="21"/>
        <v>3.2660525498291784</v>
      </c>
      <c r="BC36" s="186">
        <f t="shared" si="21"/>
        <v>3.6332783104205282</v>
      </c>
      <c r="BD36" s="186">
        <f t="shared" si="21"/>
        <v>3.8333310923288999</v>
      </c>
      <c r="BE36" s="186">
        <f t="shared" si="21"/>
        <v>4.0666403836017784</v>
      </c>
    </row>
    <row r="37" spans="1:57" ht="12.75" x14ac:dyDescent="0.2">
      <c r="A37" s="181">
        <f t="shared" si="9"/>
        <v>3.9571428571428569</v>
      </c>
      <c r="B37" s="187">
        <f t="shared" si="22"/>
        <v>0.49999999999999978</v>
      </c>
      <c r="C37" s="135">
        <v>4.1333333333333337</v>
      </c>
      <c r="D37" s="135">
        <v>4.333333333333333</v>
      </c>
      <c r="E37" s="135">
        <v>4.2333333333333334</v>
      </c>
      <c r="F37" s="135">
        <v>3.5</v>
      </c>
      <c r="G37" s="135">
        <v>3.3666666666666667</v>
      </c>
      <c r="H37" s="135">
        <v>4.333333333333333</v>
      </c>
      <c r="I37" s="135">
        <v>3.7999999999999994</v>
      </c>
      <c r="J37" s="165">
        <v>25</v>
      </c>
      <c r="K37" s="43">
        <f t="shared" si="10"/>
        <v>1</v>
      </c>
      <c r="L37" s="43">
        <f t="shared" si="11"/>
        <v>1</v>
      </c>
      <c r="M37" s="43">
        <f t="shared" si="12"/>
        <v>1</v>
      </c>
      <c r="N37" s="43">
        <f t="shared" si="13"/>
        <v>1</v>
      </c>
      <c r="O37" s="43">
        <f t="shared" si="14"/>
        <v>1</v>
      </c>
      <c r="P37" s="43">
        <f t="shared" si="15"/>
        <v>1</v>
      </c>
      <c r="Q37" s="43">
        <f t="shared" si="16"/>
        <v>1</v>
      </c>
      <c r="R37" s="165">
        <v>25</v>
      </c>
      <c r="S37" s="146">
        <v>4</v>
      </c>
      <c r="T37" s="146">
        <v>3</v>
      </c>
      <c r="U37" s="146">
        <v>5</v>
      </c>
      <c r="V37" s="146">
        <v>4</v>
      </c>
      <c r="W37" s="146">
        <v>3</v>
      </c>
      <c r="X37" s="146">
        <v>5</v>
      </c>
      <c r="Y37" s="146">
        <v>4</v>
      </c>
      <c r="AA37" s="184">
        <f t="shared" si="17"/>
        <v>0.99998646025059656</v>
      </c>
      <c r="AB37" s="184">
        <f t="shared" si="17"/>
        <v>0.99955684082767526</v>
      </c>
      <c r="AC37" s="184">
        <f t="shared" si="17"/>
        <v>0.99999978471546636</v>
      </c>
      <c r="AD37" s="184">
        <f t="shared" si="17"/>
        <v>0.99998485607904464</v>
      </c>
      <c r="AE37" s="184">
        <f t="shared" si="17"/>
        <v>0.99981200504974832</v>
      </c>
      <c r="AF37" s="184">
        <f t="shared" si="17"/>
        <v>0.99999941539014781</v>
      </c>
      <c r="AG37" s="184">
        <f t="shared" si="17"/>
        <v>0.99999353695125703</v>
      </c>
      <c r="AI37" s="214">
        <f t="shared" si="18"/>
        <v>3</v>
      </c>
      <c r="AJ37" s="214">
        <f t="shared" si="18"/>
        <v>2</v>
      </c>
      <c r="AK37" s="214">
        <f t="shared" si="18"/>
        <v>4</v>
      </c>
      <c r="AL37" s="214">
        <f t="shared" si="18"/>
        <v>3</v>
      </c>
      <c r="AM37" s="214">
        <f t="shared" si="18"/>
        <v>2</v>
      </c>
      <c r="AN37" s="214">
        <f t="shared" si="18"/>
        <v>4</v>
      </c>
      <c r="AO37" s="214">
        <f t="shared" si="18"/>
        <v>3</v>
      </c>
      <c r="AP37" s="206">
        <f t="shared" si="19"/>
        <v>0.49999999999999978</v>
      </c>
      <c r="AQ37" s="213">
        <f t="shared" si="20"/>
        <v>3</v>
      </c>
      <c r="AR37" s="213">
        <f t="shared" si="20"/>
        <v>2</v>
      </c>
      <c r="AS37" s="213">
        <f t="shared" si="20"/>
        <v>4</v>
      </c>
      <c r="AT37" s="213">
        <f t="shared" si="20"/>
        <v>3</v>
      </c>
      <c r="AU37" s="213">
        <f t="shared" si="20"/>
        <v>2</v>
      </c>
      <c r="AV37" s="213">
        <f t="shared" si="20"/>
        <v>4</v>
      </c>
      <c r="AW37" s="213">
        <f t="shared" si="20"/>
        <v>3</v>
      </c>
      <c r="AY37" s="186">
        <f t="shared" si="21"/>
        <v>4.1332773690357998</v>
      </c>
      <c r="AZ37" s="186">
        <f t="shared" si="21"/>
        <v>4.3314129769199257</v>
      </c>
      <c r="BA37" s="186">
        <f t="shared" si="21"/>
        <v>4.2333324219621407</v>
      </c>
      <c r="BB37" s="186">
        <f t="shared" si="21"/>
        <v>3.4999469962766563</v>
      </c>
      <c r="BC37" s="186">
        <f t="shared" si="21"/>
        <v>3.3660337503341529</v>
      </c>
      <c r="BD37" s="186">
        <f t="shared" si="21"/>
        <v>4.3333308000239734</v>
      </c>
      <c r="BE37" s="186">
        <f t="shared" si="21"/>
        <v>3.7999754404147761</v>
      </c>
    </row>
    <row r="38" spans="1:57" ht="12.75" x14ac:dyDescent="0.2">
      <c r="A38" s="181">
        <f t="shared" si="9"/>
        <v>3.9476190476190474</v>
      </c>
      <c r="B38" s="187">
        <f t="shared" si="22"/>
        <v>0.52083333333333315</v>
      </c>
      <c r="C38" s="135">
        <v>5.166666666666667</v>
      </c>
      <c r="D38" s="135">
        <v>3.7666666666666671</v>
      </c>
      <c r="E38" s="135">
        <v>3.8000000000000003</v>
      </c>
      <c r="F38" s="135">
        <v>3.1999999999999997</v>
      </c>
      <c r="G38" s="135">
        <v>3.3666666666666667</v>
      </c>
      <c r="H38" s="135">
        <v>4.4333333333333336</v>
      </c>
      <c r="I38" s="135">
        <v>3.9</v>
      </c>
      <c r="J38" s="165">
        <v>26</v>
      </c>
      <c r="K38" s="43">
        <f t="shared" si="10"/>
        <v>2</v>
      </c>
      <c r="L38" s="43">
        <f t="shared" si="11"/>
        <v>1</v>
      </c>
      <c r="M38" s="43">
        <f t="shared" si="12"/>
        <v>1</v>
      </c>
      <c r="N38" s="43">
        <f t="shared" si="13"/>
        <v>1</v>
      </c>
      <c r="O38" s="43">
        <f t="shared" si="14"/>
        <v>1</v>
      </c>
      <c r="P38" s="43">
        <f t="shared" si="15"/>
        <v>1</v>
      </c>
      <c r="Q38" s="43">
        <f t="shared" si="16"/>
        <v>1</v>
      </c>
      <c r="R38" s="165">
        <v>26</v>
      </c>
      <c r="S38" s="146">
        <v>4</v>
      </c>
      <c r="T38" s="146">
        <v>4</v>
      </c>
      <c r="U38" s="146">
        <v>5</v>
      </c>
      <c r="V38" s="146">
        <v>4</v>
      </c>
      <c r="W38" s="146">
        <v>3</v>
      </c>
      <c r="X38" s="146">
        <v>5</v>
      </c>
      <c r="Y38" s="146">
        <v>4</v>
      </c>
      <c r="AA38" s="184">
        <f t="shared" si="17"/>
        <v>0.99996727901830185</v>
      </c>
      <c r="AB38" s="184">
        <f t="shared" si="17"/>
        <v>0.99998485607904464</v>
      </c>
      <c r="AC38" s="184">
        <f t="shared" si="17"/>
        <v>0.99999978471546636</v>
      </c>
      <c r="AD38" s="184">
        <f t="shared" si="17"/>
        <v>0.99999515422080143</v>
      </c>
      <c r="AE38" s="184">
        <f t="shared" si="17"/>
        <v>0.99981200504974832</v>
      </c>
      <c r="AF38" s="184">
        <f t="shared" si="17"/>
        <v>0.99999941539014781</v>
      </c>
      <c r="AG38" s="184">
        <f t="shared" si="17"/>
        <v>0.99999353695125703</v>
      </c>
      <c r="AI38" s="214">
        <f t="shared" si="18"/>
        <v>2</v>
      </c>
      <c r="AJ38" s="214">
        <f t="shared" si="18"/>
        <v>3</v>
      </c>
      <c r="AK38" s="214">
        <f t="shared" si="18"/>
        <v>4</v>
      </c>
      <c r="AL38" s="214">
        <f t="shared" si="18"/>
        <v>3</v>
      </c>
      <c r="AM38" s="214">
        <f t="shared" si="18"/>
        <v>2</v>
      </c>
      <c r="AN38" s="214">
        <f t="shared" si="18"/>
        <v>4</v>
      </c>
      <c r="AO38" s="214">
        <f t="shared" si="18"/>
        <v>3</v>
      </c>
      <c r="AP38" s="206">
        <f t="shared" si="19"/>
        <v>0.52083333333333315</v>
      </c>
      <c r="AQ38" s="213">
        <f t="shared" si="20"/>
        <v>1</v>
      </c>
      <c r="AR38" s="213">
        <f t="shared" si="20"/>
        <v>3</v>
      </c>
      <c r="AS38" s="213">
        <f t="shared" si="20"/>
        <v>4</v>
      </c>
      <c r="AT38" s="213">
        <f t="shared" si="20"/>
        <v>3</v>
      </c>
      <c r="AU38" s="213">
        <f t="shared" si="20"/>
        <v>2</v>
      </c>
      <c r="AV38" s="213">
        <f t="shared" si="20"/>
        <v>4</v>
      </c>
      <c r="AW38" s="213">
        <f t="shared" si="20"/>
        <v>3</v>
      </c>
      <c r="AY38" s="186">
        <f t="shared" si="21"/>
        <v>5.1664976082612268</v>
      </c>
      <c r="AZ38" s="186">
        <f t="shared" si="21"/>
        <v>3.7666096245644018</v>
      </c>
      <c r="BA38" s="186">
        <f t="shared" si="21"/>
        <v>3.7999991819187726</v>
      </c>
      <c r="BB38" s="186">
        <f t="shared" si="21"/>
        <v>3.1999844935065642</v>
      </c>
      <c r="BC38" s="186">
        <f t="shared" si="21"/>
        <v>3.3660337503341529</v>
      </c>
      <c r="BD38" s="186">
        <f t="shared" si="21"/>
        <v>4.4333307415629886</v>
      </c>
      <c r="BE38" s="186">
        <f t="shared" si="21"/>
        <v>3.8999747941099026</v>
      </c>
    </row>
    <row r="39" spans="1:57" ht="13.5" customHeight="1" x14ac:dyDescent="0.2">
      <c r="A39" s="181">
        <f t="shared" si="9"/>
        <v>4.0857142857142854</v>
      </c>
      <c r="B39" s="187">
        <f t="shared" si="22"/>
        <v>0.54166666666666652</v>
      </c>
      <c r="C39" s="135">
        <v>5.8999999999999995</v>
      </c>
      <c r="D39" s="135">
        <v>3.9333333333333336</v>
      </c>
      <c r="E39" s="135">
        <v>3.2999999999999994</v>
      </c>
      <c r="F39" s="135">
        <v>3.4</v>
      </c>
      <c r="G39" s="135">
        <v>3.6999999999999997</v>
      </c>
      <c r="H39" s="135">
        <v>4.1000000000000005</v>
      </c>
      <c r="I39" s="135">
        <v>4.2666666666666666</v>
      </c>
      <c r="J39" s="165">
        <v>27</v>
      </c>
      <c r="K39" s="43">
        <f t="shared" si="10"/>
        <v>2</v>
      </c>
      <c r="L39" s="43">
        <f t="shared" si="11"/>
        <v>1</v>
      </c>
      <c r="M39" s="43">
        <f t="shared" si="12"/>
        <v>1</v>
      </c>
      <c r="N39" s="43">
        <f t="shared" si="13"/>
        <v>1</v>
      </c>
      <c r="O39" s="43">
        <f t="shared" si="14"/>
        <v>1</v>
      </c>
      <c r="P39" s="43">
        <f t="shared" si="15"/>
        <v>1</v>
      </c>
      <c r="Q39" s="43">
        <f t="shared" si="16"/>
        <v>1</v>
      </c>
      <c r="R39" s="165">
        <v>27</v>
      </c>
      <c r="S39" s="146">
        <v>3</v>
      </c>
      <c r="T39" s="146">
        <v>3</v>
      </c>
      <c r="U39" s="146">
        <v>3</v>
      </c>
      <c r="V39" s="146">
        <v>4</v>
      </c>
      <c r="W39" s="146">
        <v>5</v>
      </c>
      <c r="X39" s="146">
        <v>4</v>
      </c>
      <c r="Y39" s="146">
        <v>4</v>
      </c>
      <c r="AA39" s="184">
        <f t="shared" si="17"/>
        <v>0.99863576978652491</v>
      </c>
      <c r="AB39" s="184">
        <f t="shared" si="17"/>
        <v>0.99955684082767526</v>
      </c>
      <c r="AC39" s="184">
        <f t="shared" si="17"/>
        <v>0.99987366284643653</v>
      </c>
      <c r="AD39" s="184">
        <f t="shared" si="17"/>
        <v>0.99999515422080143</v>
      </c>
      <c r="AE39" s="184">
        <f t="shared" si="17"/>
        <v>0.99999958230550934</v>
      </c>
      <c r="AF39" s="184">
        <f t="shared" si="17"/>
        <v>0.99998020512876895</v>
      </c>
      <c r="AG39" s="184">
        <f t="shared" si="17"/>
        <v>0.99999353695125703</v>
      </c>
      <c r="AI39" s="214">
        <f t="shared" si="18"/>
        <v>1</v>
      </c>
      <c r="AJ39" s="214">
        <f t="shared" si="18"/>
        <v>2</v>
      </c>
      <c r="AK39" s="214">
        <f t="shared" si="18"/>
        <v>2</v>
      </c>
      <c r="AL39" s="214">
        <f t="shared" si="18"/>
        <v>3</v>
      </c>
      <c r="AM39" s="214">
        <f t="shared" si="18"/>
        <v>4</v>
      </c>
      <c r="AN39" s="218">
        <f>X39-P39</f>
        <v>3</v>
      </c>
      <c r="AO39" s="214">
        <f t="shared" si="18"/>
        <v>3</v>
      </c>
      <c r="AP39" s="206">
        <f t="shared" si="19"/>
        <v>0.54166666666666652</v>
      </c>
      <c r="AQ39" s="213">
        <f t="shared" si="20"/>
        <v>0.5</v>
      </c>
      <c r="AR39" s="213">
        <f t="shared" si="20"/>
        <v>2</v>
      </c>
      <c r="AS39" s="213">
        <f t="shared" si="20"/>
        <v>2</v>
      </c>
      <c r="AT39" s="213">
        <f t="shared" si="20"/>
        <v>3</v>
      </c>
      <c r="AU39" s="213">
        <f t="shared" si="20"/>
        <v>4</v>
      </c>
      <c r="AV39" s="213">
        <f t="shared" si="20"/>
        <v>3</v>
      </c>
      <c r="AW39" s="213">
        <f t="shared" si="20"/>
        <v>3</v>
      </c>
      <c r="AY39" s="186">
        <f t="shared" si="21"/>
        <v>5.8919510417404961</v>
      </c>
      <c r="AZ39" s="186">
        <f t="shared" si="21"/>
        <v>3.9315902405888563</v>
      </c>
      <c r="BA39" s="186">
        <f t="shared" si="21"/>
        <v>3.2995830873932399</v>
      </c>
      <c r="BB39" s="186">
        <f t="shared" si="21"/>
        <v>3.3999835243507248</v>
      </c>
      <c r="BC39" s="186">
        <f t="shared" si="21"/>
        <v>3.6999984545303843</v>
      </c>
      <c r="BD39" s="186">
        <f t="shared" si="21"/>
        <v>4.0999188410279537</v>
      </c>
      <c r="BE39" s="186">
        <f t="shared" si="21"/>
        <v>4.2666390909920295</v>
      </c>
    </row>
    <row r="40" spans="1:57" ht="13.5" customHeight="1" x14ac:dyDescent="0.2">
      <c r="A40" s="181">
        <f t="shared" si="9"/>
        <v>4.2619047619047619</v>
      </c>
      <c r="B40" s="187">
        <f t="shared" si="22"/>
        <v>0.56249999999999989</v>
      </c>
      <c r="C40" s="135">
        <v>6.0666666666666664</v>
      </c>
      <c r="D40" s="135">
        <v>4.5</v>
      </c>
      <c r="E40" s="135">
        <v>3.7666666666666671</v>
      </c>
      <c r="F40" s="135">
        <v>3.5</v>
      </c>
      <c r="G40" s="135">
        <v>3.8666666666666667</v>
      </c>
      <c r="H40" s="135">
        <v>3.9</v>
      </c>
      <c r="I40" s="135">
        <v>4.2333333333333334</v>
      </c>
      <c r="J40" s="165">
        <v>28</v>
      </c>
      <c r="K40" s="43">
        <f t="shared" si="10"/>
        <v>2</v>
      </c>
      <c r="L40" s="43">
        <f t="shared" si="11"/>
        <v>1</v>
      </c>
      <c r="M40" s="43">
        <f t="shared" si="12"/>
        <v>1</v>
      </c>
      <c r="N40" s="43">
        <f t="shared" si="13"/>
        <v>1</v>
      </c>
      <c r="O40" s="43">
        <f t="shared" si="14"/>
        <v>1</v>
      </c>
      <c r="P40" s="43">
        <f t="shared" si="15"/>
        <v>1</v>
      </c>
      <c r="Q40" s="43">
        <f t="shared" si="16"/>
        <v>1</v>
      </c>
      <c r="R40" s="165">
        <v>28</v>
      </c>
      <c r="S40" s="146">
        <v>4</v>
      </c>
      <c r="T40" s="146">
        <v>3</v>
      </c>
      <c r="U40" s="146">
        <v>4</v>
      </c>
      <c r="V40" s="146">
        <v>4</v>
      </c>
      <c r="W40" s="146">
        <v>5</v>
      </c>
      <c r="X40" s="146">
        <v>4</v>
      </c>
      <c r="Y40" s="146">
        <v>4</v>
      </c>
      <c r="AA40" s="184">
        <f t="shared" si="17"/>
        <v>0.99993282039097287</v>
      </c>
      <c r="AB40" s="184">
        <f t="shared" si="17"/>
        <v>0.99955684082767526</v>
      </c>
      <c r="AC40" s="184">
        <f t="shared" si="17"/>
        <v>0.99999107000679621</v>
      </c>
      <c r="AD40" s="184">
        <f t="shared" si="17"/>
        <v>0.99998485607904464</v>
      </c>
      <c r="AE40" s="184">
        <f t="shared" si="17"/>
        <v>0.99999958230550934</v>
      </c>
      <c r="AF40" s="184">
        <f t="shared" si="17"/>
        <v>0.99998020512876895</v>
      </c>
      <c r="AG40" s="184">
        <f t="shared" si="17"/>
        <v>0.99999353695125703</v>
      </c>
      <c r="AI40" s="214">
        <f t="shared" si="18"/>
        <v>2</v>
      </c>
      <c r="AJ40" s="214">
        <f t="shared" si="18"/>
        <v>2</v>
      </c>
      <c r="AK40" s="214">
        <f t="shared" si="18"/>
        <v>3</v>
      </c>
      <c r="AL40" s="214">
        <f t="shared" si="18"/>
        <v>3</v>
      </c>
      <c r="AM40" s="214">
        <f t="shared" si="18"/>
        <v>4</v>
      </c>
      <c r="AN40" s="214">
        <f t="shared" si="18"/>
        <v>3</v>
      </c>
      <c r="AO40" s="214">
        <f t="shared" si="18"/>
        <v>3</v>
      </c>
      <c r="AP40" s="206">
        <f t="shared" si="19"/>
        <v>0.56249999999999989</v>
      </c>
      <c r="AQ40" s="213">
        <f t="shared" si="20"/>
        <v>1</v>
      </c>
      <c r="AR40" s="213">
        <f t="shared" si="20"/>
        <v>2</v>
      </c>
      <c r="AS40" s="213">
        <f t="shared" si="20"/>
        <v>3</v>
      </c>
      <c r="AT40" s="213">
        <f t="shared" si="20"/>
        <v>3</v>
      </c>
      <c r="AU40" s="213">
        <f t="shared" si="20"/>
        <v>4</v>
      </c>
      <c r="AV40" s="213">
        <f t="shared" si="20"/>
        <v>3</v>
      </c>
      <c r="AW40" s="213">
        <f t="shared" si="20"/>
        <v>3</v>
      </c>
      <c r="AY40" s="186">
        <f t="shared" si="21"/>
        <v>6.0662591103719015</v>
      </c>
      <c r="AZ40" s="186">
        <f t="shared" si="21"/>
        <v>4.4980057837245386</v>
      </c>
      <c r="BA40" s="186">
        <f t="shared" si="21"/>
        <v>3.7666330303589328</v>
      </c>
      <c r="BB40" s="186">
        <f t="shared" si="21"/>
        <v>3.4999469962766563</v>
      </c>
      <c r="BC40" s="186">
        <f t="shared" si="21"/>
        <v>3.866665051581303</v>
      </c>
      <c r="BD40" s="186">
        <f t="shared" si="21"/>
        <v>3.8999228000021988</v>
      </c>
      <c r="BE40" s="186">
        <f t="shared" si="21"/>
        <v>4.2333059730936551</v>
      </c>
    </row>
    <row r="41" spans="1:57" ht="13.5" customHeight="1" x14ac:dyDescent="0.2">
      <c r="A41" s="181">
        <f t="shared" si="9"/>
        <v>4.2190476190476183</v>
      </c>
      <c r="B41" s="187">
        <f t="shared" si="22"/>
        <v>0.58333333333333326</v>
      </c>
      <c r="C41" s="135">
        <v>5.4333333333333336</v>
      </c>
      <c r="D41" s="135">
        <v>4.7666666666666666</v>
      </c>
      <c r="E41" s="135">
        <v>4.333333333333333</v>
      </c>
      <c r="F41" s="135">
        <v>3.6999999999999997</v>
      </c>
      <c r="G41" s="135">
        <v>3.6333333333333329</v>
      </c>
      <c r="H41" s="135">
        <v>3.7666666666666671</v>
      </c>
      <c r="I41" s="135">
        <v>3.9</v>
      </c>
      <c r="J41" s="165">
        <v>29</v>
      </c>
      <c r="K41" s="43">
        <f t="shared" si="10"/>
        <v>2</v>
      </c>
      <c r="L41" s="43">
        <f t="shared" si="11"/>
        <v>2</v>
      </c>
      <c r="M41" s="43">
        <f t="shared" si="12"/>
        <v>1</v>
      </c>
      <c r="N41" s="43">
        <f t="shared" si="13"/>
        <v>1</v>
      </c>
      <c r="O41" s="43">
        <f t="shared" si="14"/>
        <v>1</v>
      </c>
      <c r="P41" s="43">
        <f t="shared" si="15"/>
        <v>1</v>
      </c>
      <c r="Q41" s="43">
        <f t="shared" si="16"/>
        <v>1</v>
      </c>
      <c r="R41" s="165">
        <v>29</v>
      </c>
      <c r="S41" s="146">
        <v>5</v>
      </c>
      <c r="T41" s="146">
        <v>4</v>
      </c>
      <c r="U41" s="146">
        <v>3</v>
      </c>
      <c r="V41" s="146">
        <v>4</v>
      </c>
      <c r="W41" s="146">
        <v>5</v>
      </c>
      <c r="X41" s="146">
        <v>4</v>
      </c>
      <c r="Y41" s="146">
        <v>5</v>
      </c>
      <c r="AA41" s="184">
        <f t="shared" si="17"/>
        <v>0.99999890732004404</v>
      </c>
      <c r="AB41" s="184">
        <f t="shared" si="17"/>
        <v>0.99996343125047793</v>
      </c>
      <c r="AC41" s="184">
        <f t="shared" si="17"/>
        <v>0.99970126436878204</v>
      </c>
      <c r="AD41" s="184">
        <f t="shared" si="17"/>
        <v>0.99998485607904464</v>
      </c>
      <c r="AE41" s="184">
        <f t="shared" si="17"/>
        <v>0.99999958230550934</v>
      </c>
      <c r="AF41" s="184">
        <f t="shared" si="17"/>
        <v>0.99998020512876895</v>
      </c>
      <c r="AG41" s="184">
        <f t="shared" si="17"/>
        <v>0.9999998564924576</v>
      </c>
      <c r="AI41" s="214">
        <f t="shared" si="18"/>
        <v>3</v>
      </c>
      <c r="AJ41" s="214">
        <f t="shared" si="18"/>
        <v>2</v>
      </c>
      <c r="AK41" s="214">
        <f t="shared" si="18"/>
        <v>2</v>
      </c>
      <c r="AL41" s="214">
        <f t="shared" si="18"/>
        <v>3</v>
      </c>
      <c r="AM41" s="214">
        <f t="shared" si="18"/>
        <v>4</v>
      </c>
      <c r="AN41" s="214">
        <f t="shared" si="18"/>
        <v>3</v>
      </c>
      <c r="AO41" s="214">
        <f t="shared" si="18"/>
        <v>4</v>
      </c>
      <c r="AP41" s="206">
        <f t="shared" si="19"/>
        <v>0.58333333333333326</v>
      </c>
      <c r="AQ41" s="213">
        <f t="shared" si="20"/>
        <v>1.5</v>
      </c>
      <c r="AR41" s="213">
        <f t="shared" si="20"/>
        <v>1</v>
      </c>
      <c r="AS41" s="213">
        <f t="shared" si="20"/>
        <v>2</v>
      </c>
      <c r="AT41" s="213">
        <f t="shared" si="20"/>
        <v>3</v>
      </c>
      <c r="AU41" s="213">
        <f t="shared" si="20"/>
        <v>4</v>
      </c>
      <c r="AV41" s="213">
        <f t="shared" si="20"/>
        <v>3</v>
      </c>
      <c r="AW41" s="213">
        <f t="shared" si="20"/>
        <v>4</v>
      </c>
      <c r="AY41" s="186">
        <f t="shared" si="21"/>
        <v>5.4333273964389059</v>
      </c>
      <c r="AZ41" s="186">
        <f t="shared" si="21"/>
        <v>4.7664923556272782</v>
      </c>
      <c r="BA41" s="186">
        <f t="shared" si="21"/>
        <v>4.332038812264722</v>
      </c>
      <c r="BB41" s="186">
        <f t="shared" si="21"/>
        <v>3.699943967492465</v>
      </c>
      <c r="BC41" s="186">
        <f t="shared" si="21"/>
        <v>3.633331815710017</v>
      </c>
      <c r="BD41" s="186">
        <f t="shared" si="21"/>
        <v>3.7665921059850302</v>
      </c>
      <c r="BE41" s="186">
        <f t="shared" si="21"/>
        <v>3.8999994403205847</v>
      </c>
    </row>
    <row r="42" spans="1:57" ht="13.5" customHeight="1" x14ac:dyDescent="0.2">
      <c r="A42" s="181">
        <f t="shared" si="9"/>
        <v>4.1666666666666661</v>
      </c>
      <c r="B42" s="187">
        <f t="shared" si="22"/>
        <v>0.60416666666666663</v>
      </c>
      <c r="C42" s="135">
        <v>5</v>
      </c>
      <c r="D42" s="135">
        <v>4.3666666666666671</v>
      </c>
      <c r="E42" s="135">
        <v>4.8999999999999995</v>
      </c>
      <c r="F42" s="135">
        <v>4.0333333333333332</v>
      </c>
      <c r="G42" s="135">
        <v>3.5666666666666664</v>
      </c>
      <c r="H42" s="135">
        <v>3.6666666666666665</v>
      </c>
      <c r="I42" s="135">
        <v>3.6333333333333333</v>
      </c>
      <c r="J42" s="165">
        <v>30</v>
      </c>
      <c r="K42" s="43">
        <f t="shared" si="10"/>
        <v>2</v>
      </c>
      <c r="L42" s="43">
        <f t="shared" si="11"/>
        <v>1</v>
      </c>
      <c r="M42" s="43">
        <f t="shared" si="12"/>
        <v>1</v>
      </c>
      <c r="N42" s="43">
        <f t="shared" si="13"/>
        <v>1</v>
      </c>
      <c r="O42" s="43">
        <f t="shared" si="14"/>
        <v>1</v>
      </c>
      <c r="P42" s="43">
        <f t="shared" si="15"/>
        <v>1</v>
      </c>
      <c r="Q42" s="43">
        <f t="shared" si="16"/>
        <v>1</v>
      </c>
      <c r="R42" s="165">
        <v>30</v>
      </c>
      <c r="S42" s="146">
        <v>5</v>
      </c>
      <c r="T42" s="146">
        <v>4</v>
      </c>
      <c r="U42" s="146">
        <v>3</v>
      </c>
      <c r="V42" s="146">
        <v>4</v>
      </c>
      <c r="W42" s="146">
        <v>5</v>
      </c>
      <c r="X42" s="146">
        <v>4</v>
      </c>
      <c r="Y42" s="146">
        <v>5</v>
      </c>
      <c r="AA42" s="184">
        <f t="shared" si="17"/>
        <v>0.99999890732004404</v>
      </c>
      <c r="AB42" s="184">
        <f t="shared" si="17"/>
        <v>0.99998485607904464</v>
      </c>
      <c r="AC42" s="184">
        <f t="shared" si="17"/>
        <v>0.99941773542878531</v>
      </c>
      <c r="AD42" s="184">
        <f t="shared" si="17"/>
        <v>0.99998485607904464</v>
      </c>
      <c r="AE42" s="184">
        <f t="shared" si="17"/>
        <v>0.99999958230550934</v>
      </c>
      <c r="AF42" s="184">
        <f t="shared" si="17"/>
        <v>0.99998020512876895</v>
      </c>
      <c r="AG42" s="184">
        <f t="shared" si="17"/>
        <v>0.9999998564924576</v>
      </c>
      <c r="AI42" s="214">
        <f t="shared" si="18"/>
        <v>3</v>
      </c>
      <c r="AJ42" s="214">
        <f t="shared" si="18"/>
        <v>3</v>
      </c>
      <c r="AK42" s="214">
        <f t="shared" si="18"/>
        <v>2</v>
      </c>
      <c r="AL42" s="214">
        <f t="shared" si="18"/>
        <v>3</v>
      </c>
      <c r="AM42" s="214">
        <f t="shared" si="18"/>
        <v>4</v>
      </c>
      <c r="AN42" s="214">
        <f t="shared" si="18"/>
        <v>3</v>
      </c>
      <c r="AO42" s="214">
        <f t="shared" si="18"/>
        <v>4</v>
      </c>
      <c r="AP42" s="206">
        <f t="shared" si="19"/>
        <v>0.60416666666666663</v>
      </c>
      <c r="AQ42" s="213">
        <f t="shared" si="20"/>
        <v>1.5</v>
      </c>
      <c r="AR42" s="213">
        <f t="shared" si="20"/>
        <v>3</v>
      </c>
      <c r="AS42" s="213">
        <f t="shared" si="20"/>
        <v>2</v>
      </c>
      <c r="AT42" s="213">
        <f t="shared" si="20"/>
        <v>3</v>
      </c>
      <c r="AU42" s="213">
        <f t="shared" si="20"/>
        <v>4</v>
      </c>
      <c r="AV42" s="213">
        <f t="shared" si="20"/>
        <v>3</v>
      </c>
      <c r="AW42" s="213">
        <f t="shared" si="20"/>
        <v>4</v>
      </c>
      <c r="AY42" s="186">
        <f t="shared" si="21"/>
        <v>4.9999945366002203</v>
      </c>
      <c r="AZ42" s="186">
        <f t="shared" si="21"/>
        <v>4.3666005382118289</v>
      </c>
      <c r="BA42" s="186">
        <f t="shared" si="21"/>
        <v>4.8971469036010475</v>
      </c>
      <c r="BB42" s="186">
        <f t="shared" si="21"/>
        <v>4.0332722528521465</v>
      </c>
      <c r="BC42" s="186">
        <f t="shared" si="21"/>
        <v>3.5666651768896496</v>
      </c>
      <c r="BD42" s="186">
        <f t="shared" si="21"/>
        <v>3.6665940854721528</v>
      </c>
      <c r="BE42" s="186">
        <f t="shared" si="21"/>
        <v>3.6333328119225961</v>
      </c>
    </row>
    <row r="43" spans="1:57" ht="13.5" customHeight="1" x14ac:dyDescent="0.2">
      <c r="A43" s="181">
        <f t="shared" si="9"/>
        <v>4.0714285714285712</v>
      </c>
      <c r="B43" s="187">
        <f t="shared" si="22"/>
        <v>0.625</v>
      </c>
      <c r="C43" s="135">
        <v>4.8999999999999995</v>
      </c>
      <c r="D43" s="135">
        <v>3.5</v>
      </c>
      <c r="E43" s="135">
        <v>4.8</v>
      </c>
      <c r="F43" s="135">
        <v>4.0666666666666664</v>
      </c>
      <c r="G43" s="135">
        <v>3.3000000000000003</v>
      </c>
      <c r="H43" s="135">
        <v>3.7666666666666671</v>
      </c>
      <c r="I43" s="135">
        <v>4.166666666666667</v>
      </c>
      <c r="J43" s="165">
        <v>31</v>
      </c>
      <c r="K43" s="43">
        <f t="shared" si="10"/>
        <v>2</v>
      </c>
      <c r="L43" s="43">
        <f t="shared" si="11"/>
        <v>1</v>
      </c>
      <c r="M43" s="43">
        <f t="shared" si="12"/>
        <v>1</v>
      </c>
      <c r="N43" s="43">
        <f t="shared" si="13"/>
        <v>1</v>
      </c>
      <c r="O43" s="43">
        <f t="shared" si="14"/>
        <v>1</v>
      </c>
      <c r="P43" s="43">
        <f t="shared" si="15"/>
        <v>1</v>
      </c>
      <c r="Q43" s="43">
        <f t="shared" si="16"/>
        <v>1</v>
      </c>
      <c r="R43" s="165">
        <v>31</v>
      </c>
      <c r="S43" s="146">
        <v>5</v>
      </c>
      <c r="T43" s="146">
        <v>4</v>
      </c>
      <c r="U43" s="146">
        <v>6</v>
      </c>
      <c r="V43" s="146">
        <v>5</v>
      </c>
      <c r="W43" s="146">
        <v>5</v>
      </c>
      <c r="X43" s="146">
        <v>6</v>
      </c>
      <c r="Y43" s="146">
        <v>5</v>
      </c>
      <c r="AA43" s="184">
        <f t="shared" si="17"/>
        <v>0.99999890732004404</v>
      </c>
      <c r="AB43" s="184">
        <f t="shared" si="17"/>
        <v>0.99998485607904464</v>
      </c>
      <c r="AC43" s="184">
        <f t="shared" si="17"/>
        <v>0.99999998364223552</v>
      </c>
      <c r="AD43" s="184">
        <f t="shared" si="17"/>
        <v>0.99999958230550934</v>
      </c>
      <c r="AE43" s="184">
        <f t="shared" si="17"/>
        <v>0.99999989942388534</v>
      </c>
      <c r="AF43" s="184">
        <f t="shared" si="17"/>
        <v>0.9999999855460957</v>
      </c>
      <c r="AG43" s="184">
        <f t="shared" si="17"/>
        <v>0.9999998564924576</v>
      </c>
      <c r="AI43" s="214">
        <f t="shared" si="18"/>
        <v>3</v>
      </c>
      <c r="AJ43" s="214">
        <f t="shared" si="18"/>
        <v>3</v>
      </c>
      <c r="AK43" s="214">
        <f t="shared" si="18"/>
        <v>5</v>
      </c>
      <c r="AL43" s="214">
        <f t="shared" si="18"/>
        <v>4</v>
      </c>
      <c r="AM43" s="214">
        <f t="shared" si="18"/>
        <v>4</v>
      </c>
      <c r="AN43" s="214">
        <f t="shared" si="18"/>
        <v>5</v>
      </c>
      <c r="AO43" s="214">
        <f t="shared" si="18"/>
        <v>4</v>
      </c>
      <c r="AP43" s="206">
        <f t="shared" si="19"/>
        <v>0.625</v>
      </c>
      <c r="AQ43" s="213">
        <f t="shared" si="20"/>
        <v>1.5</v>
      </c>
      <c r="AR43" s="213">
        <f t="shared" si="20"/>
        <v>3</v>
      </c>
      <c r="AS43" s="213">
        <f t="shared" si="20"/>
        <v>5</v>
      </c>
      <c r="AT43" s="213">
        <f t="shared" si="20"/>
        <v>4</v>
      </c>
      <c r="AU43" s="213">
        <f t="shared" si="20"/>
        <v>4</v>
      </c>
      <c r="AV43" s="213">
        <f t="shared" si="20"/>
        <v>5</v>
      </c>
      <c r="AW43" s="213">
        <f t="shared" si="20"/>
        <v>4</v>
      </c>
      <c r="AY43" s="186">
        <f t="shared" si="21"/>
        <v>4.8999946458682153</v>
      </c>
      <c r="AZ43" s="186">
        <f t="shared" si="21"/>
        <v>3.4999469962766563</v>
      </c>
      <c r="BA43" s="186">
        <f t="shared" si="21"/>
        <v>4.7999999214827307</v>
      </c>
      <c r="BB43" s="186">
        <f t="shared" si="21"/>
        <v>4.0666649680424047</v>
      </c>
      <c r="BC43" s="186">
        <f t="shared" si="21"/>
        <v>3.2999996680988217</v>
      </c>
      <c r="BD43" s="186">
        <f t="shared" si="21"/>
        <v>3.7666666122236276</v>
      </c>
      <c r="BE43" s="186">
        <f t="shared" si="21"/>
        <v>4.1666660687185733</v>
      </c>
    </row>
    <row r="44" spans="1:57" ht="12.75" x14ac:dyDescent="0.2">
      <c r="A44" s="181">
        <f t="shared" si="9"/>
        <v>4.0857142857142854</v>
      </c>
      <c r="B44" s="187">
        <f t="shared" si="22"/>
        <v>0.64583333333333337</v>
      </c>
      <c r="C44" s="135">
        <v>4.5</v>
      </c>
      <c r="D44" s="135">
        <v>3.2333333333333329</v>
      </c>
      <c r="E44" s="135">
        <v>5.2666666666666666</v>
      </c>
      <c r="F44" s="135">
        <v>4.0999999999999996</v>
      </c>
      <c r="G44" s="135">
        <v>3.3333333333333335</v>
      </c>
      <c r="H44" s="135">
        <v>3.9</v>
      </c>
      <c r="I44" s="135">
        <v>4.2666666666666666</v>
      </c>
      <c r="J44" s="165">
        <v>32</v>
      </c>
      <c r="K44" s="43">
        <f t="shared" si="10"/>
        <v>1</v>
      </c>
      <c r="L44" s="43">
        <f t="shared" si="11"/>
        <v>1</v>
      </c>
      <c r="M44" s="43">
        <f t="shared" si="12"/>
        <v>1</v>
      </c>
      <c r="N44" s="43">
        <f t="shared" si="13"/>
        <v>1</v>
      </c>
      <c r="O44" s="43">
        <f t="shared" si="14"/>
        <v>1</v>
      </c>
      <c r="P44" s="43">
        <f t="shared" si="15"/>
        <v>1</v>
      </c>
      <c r="Q44" s="43">
        <f t="shared" si="16"/>
        <v>1</v>
      </c>
      <c r="R44" s="165">
        <v>32</v>
      </c>
      <c r="S44" s="146">
        <v>5</v>
      </c>
      <c r="T44" s="146">
        <v>4</v>
      </c>
      <c r="U44" s="146">
        <v>6</v>
      </c>
      <c r="V44" s="146">
        <v>4</v>
      </c>
      <c r="W44" s="146">
        <v>4</v>
      </c>
      <c r="X44" s="146">
        <v>6</v>
      </c>
      <c r="Y44" s="146">
        <v>5</v>
      </c>
      <c r="AA44" s="184">
        <f t="shared" si="17"/>
        <v>0.99999963706598327</v>
      </c>
      <c r="AB44" s="184">
        <f t="shared" si="17"/>
        <v>0.99999515422080143</v>
      </c>
      <c r="AC44" s="184">
        <f t="shared" si="17"/>
        <v>0.99999998364223552</v>
      </c>
      <c r="AD44" s="184">
        <f t="shared" si="17"/>
        <v>0.99998485607904464</v>
      </c>
      <c r="AE44" s="184">
        <f t="shared" si="17"/>
        <v>0.99999515422080143</v>
      </c>
      <c r="AF44" s="184">
        <f t="shared" si="17"/>
        <v>0.9999999855460957</v>
      </c>
      <c r="AG44" s="184">
        <f t="shared" si="17"/>
        <v>0.9999998564924576</v>
      </c>
      <c r="AI44" s="214">
        <f t="shared" si="18"/>
        <v>4</v>
      </c>
      <c r="AJ44" s="214">
        <f t="shared" si="18"/>
        <v>3</v>
      </c>
      <c r="AK44" s="214">
        <f t="shared" si="18"/>
        <v>5</v>
      </c>
      <c r="AL44" s="214">
        <f t="shared" si="18"/>
        <v>3</v>
      </c>
      <c r="AM44" s="214">
        <f t="shared" si="18"/>
        <v>3</v>
      </c>
      <c r="AN44" s="214">
        <f t="shared" si="18"/>
        <v>5</v>
      </c>
      <c r="AO44" s="214">
        <f t="shared" si="18"/>
        <v>4</v>
      </c>
      <c r="AP44" s="206">
        <f t="shared" si="19"/>
        <v>0.64583333333333337</v>
      </c>
      <c r="AQ44" s="213">
        <f t="shared" si="20"/>
        <v>4</v>
      </c>
      <c r="AR44" s="213">
        <f t="shared" si="20"/>
        <v>3</v>
      </c>
      <c r="AS44" s="213">
        <f t="shared" si="20"/>
        <v>5</v>
      </c>
      <c r="AT44" s="213">
        <f t="shared" si="20"/>
        <v>3</v>
      </c>
      <c r="AU44" s="213">
        <f t="shared" si="20"/>
        <v>3</v>
      </c>
      <c r="AV44" s="213">
        <f t="shared" si="20"/>
        <v>5</v>
      </c>
      <c r="AW44" s="213">
        <f t="shared" si="20"/>
        <v>4</v>
      </c>
      <c r="AY44" s="186">
        <f t="shared" si="21"/>
        <v>4.499998366796925</v>
      </c>
      <c r="AZ44" s="186">
        <f t="shared" si="21"/>
        <v>3.2333176653139244</v>
      </c>
      <c r="BA44" s="186">
        <f t="shared" si="21"/>
        <v>5.266666580515774</v>
      </c>
      <c r="BB44" s="186">
        <f t="shared" si="21"/>
        <v>4.0999379099240825</v>
      </c>
      <c r="BC44" s="186">
        <f t="shared" si="21"/>
        <v>3.3333171807360049</v>
      </c>
      <c r="BD44" s="186">
        <f t="shared" si="21"/>
        <v>3.8999999436297732</v>
      </c>
      <c r="BE44" s="186">
        <f t="shared" si="21"/>
        <v>4.2666660543678194</v>
      </c>
    </row>
    <row r="45" spans="1:57" ht="12.75" x14ac:dyDescent="0.2">
      <c r="A45" s="181">
        <f t="shared" si="9"/>
        <v>4.0000000000000009</v>
      </c>
      <c r="B45" s="187">
        <f t="shared" si="22"/>
        <v>0.66666666666666674</v>
      </c>
      <c r="C45" s="135">
        <v>4</v>
      </c>
      <c r="D45" s="135">
        <v>3.1333333333333333</v>
      </c>
      <c r="E45" s="135">
        <v>5.0333333333333341</v>
      </c>
      <c r="F45" s="135">
        <v>4.2</v>
      </c>
      <c r="G45" s="135">
        <v>4.0333333333333341</v>
      </c>
      <c r="H45" s="135">
        <v>3.7333333333333329</v>
      </c>
      <c r="I45" s="135">
        <v>3.8666666666666671</v>
      </c>
      <c r="J45" s="165">
        <v>33</v>
      </c>
      <c r="K45" s="43">
        <f t="shared" si="10"/>
        <v>1</v>
      </c>
      <c r="L45" s="43">
        <f t="shared" si="11"/>
        <v>1</v>
      </c>
      <c r="M45" s="43">
        <f t="shared" si="12"/>
        <v>1</v>
      </c>
      <c r="N45" s="43">
        <f t="shared" si="13"/>
        <v>1</v>
      </c>
      <c r="O45" s="43">
        <f t="shared" si="14"/>
        <v>1</v>
      </c>
      <c r="P45" s="43">
        <f t="shared" si="15"/>
        <v>1</v>
      </c>
      <c r="Q45" s="43">
        <f t="shared" si="16"/>
        <v>1</v>
      </c>
      <c r="R45" s="165">
        <v>33</v>
      </c>
      <c r="S45" s="146">
        <v>4</v>
      </c>
      <c r="T45" s="146">
        <v>4</v>
      </c>
      <c r="U45" s="146">
        <v>5</v>
      </c>
      <c r="V45" s="146">
        <v>3</v>
      </c>
      <c r="W45" s="146">
        <v>5</v>
      </c>
      <c r="X45" s="146">
        <v>5</v>
      </c>
      <c r="Y45" s="146">
        <v>4</v>
      </c>
      <c r="AA45" s="184">
        <f t="shared" si="17"/>
        <v>0.99998646025059656</v>
      </c>
      <c r="AB45" s="184">
        <f t="shared" si="17"/>
        <v>0.99999515422080143</v>
      </c>
      <c r="AC45" s="184">
        <f t="shared" si="17"/>
        <v>0.99999934988318728</v>
      </c>
      <c r="AD45" s="184">
        <f t="shared" si="17"/>
        <v>0.99955684082767526</v>
      </c>
      <c r="AE45" s="184">
        <f t="shared" si="17"/>
        <v>0.99999958230550934</v>
      </c>
      <c r="AF45" s="184">
        <f t="shared" si="17"/>
        <v>0.99999941539014781</v>
      </c>
      <c r="AG45" s="184">
        <f t="shared" si="17"/>
        <v>0.99999353695125703</v>
      </c>
      <c r="AI45" s="214">
        <f t="shared" si="18"/>
        <v>3</v>
      </c>
      <c r="AJ45" s="214">
        <f t="shared" si="18"/>
        <v>3</v>
      </c>
      <c r="AK45" s="214">
        <f t="shared" si="18"/>
        <v>4</v>
      </c>
      <c r="AL45" s="214">
        <f t="shared" si="18"/>
        <v>2</v>
      </c>
      <c r="AM45" s="214">
        <f t="shared" si="18"/>
        <v>4</v>
      </c>
      <c r="AN45" s="214">
        <f t="shared" si="18"/>
        <v>4</v>
      </c>
      <c r="AO45" s="214">
        <f t="shared" si="18"/>
        <v>3</v>
      </c>
      <c r="AP45" s="206">
        <f t="shared" si="19"/>
        <v>0.66666666666666674</v>
      </c>
      <c r="AQ45" s="213">
        <f t="shared" si="20"/>
        <v>3</v>
      </c>
      <c r="AR45" s="213">
        <f t="shared" si="20"/>
        <v>3</v>
      </c>
      <c r="AS45" s="213">
        <f t="shared" si="20"/>
        <v>4</v>
      </c>
      <c r="AT45" s="213">
        <f t="shared" si="20"/>
        <v>2</v>
      </c>
      <c r="AU45" s="213">
        <f t="shared" si="20"/>
        <v>4</v>
      </c>
      <c r="AV45" s="213">
        <f t="shared" si="20"/>
        <v>4</v>
      </c>
      <c r="AW45" s="213">
        <f t="shared" si="20"/>
        <v>3</v>
      </c>
      <c r="AY45" s="186">
        <f t="shared" si="21"/>
        <v>3.9999458410023863</v>
      </c>
      <c r="AZ45" s="186">
        <f t="shared" si="21"/>
        <v>3.1333181498918443</v>
      </c>
      <c r="BA45" s="186">
        <f t="shared" si="21"/>
        <v>5.0333300610787104</v>
      </c>
      <c r="BB45" s="186">
        <f t="shared" si="21"/>
        <v>4.1981387314762362</v>
      </c>
      <c r="BC45" s="186">
        <f t="shared" si="21"/>
        <v>4.0333316486322222</v>
      </c>
      <c r="BD45" s="186">
        <f t="shared" si="21"/>
        <v>3.7333311507898848</v>
      </c>
      <c r="BE45" s="186">
        <f t="shared" si="21"/>
        <v>3.8666416762115277</v>
      </c>
    </row>
    <row r="46" spans="1:57" ht="13.5" customHeight="1" x14ac:dyDescent="0.2">
      <c r="A46" s="181">
        <f t="shared" si="9"/>
        <v>4.0666666666666664</v>
      </c>
      <c r="B46" s="187">
        <f t="shared" si="22"/>
        <v>0.68750000000000011</v>
      </c>
      <c r="C46" s="135">
        <v>4.1000000000000005</v>
      </c>
      <c r="D46" s="135">
        <v>3.5666666666666664</v>
      </c>
      <c r="E46" s="135">
        <v>4.7666666666666666</v>
      </c>
      <c r="F46" s="135">
        <v>4.2333333333333334</v>
      </c>
      <c r="G46" s="135">
        <v>4.9333333333333336</v>
      </c>
      <c r="H46" s="135">
        <v>3.5333333333333332</v>
      </c>
      <c r="I46" s="135">
        <v>3.3333333333333335</v>
      </c>
      <c r="J46" s="165">
        <v>34</v>
      </c>
      <c r="K46" s="43">
        <f t="shared" si="10"/>
        <v>1</v>
      </c>
      <c r="L46" s="43">
        <f t="shared" si="11"/>
        <v>1</v>
      </c>
      <c r="M46" s="43">
        <f t="shared" si="12"/>
        <v>1</v>
      </c>
      <c r="N46" s="43">
        <f t="shared" si="13"/>
        <v>1</v>
      </c>
      <c r="O46" s="43">
        <f t="shared" si="14"/>
        <v>2</v>
      </c>
      <c r="P46" s="43">
        <f t="shared" si="15"/>
        <v>1</v>
      </c>
      <c r="Q46" s="43">
        <f t="shared" si="16"/>
        <v>1</v>
      </c>
      <c r="R46" s="165">
        <v>34</v>
      </c>
      <c r="S46" s="146">
        <v>4</v>
      </c>
      <c r="T46" s="146">
        <v>4</v>
      </c>
      <c r="U46" s="146">
        <v>5</v>
      </c>
      <c r="V46" s="146">
        <v>3</v>
      </c>
      <c r="W46" s="146">
        <v>4</v>
      </c>
      <c r="X46" s="146">
        <v>5</v>
      </c>
      <c r="Y46" s="146">
        <v>4</v>
      </c>
      <c r="AA46" s="184">
        <f t="shared" si="17"/>
        <v>0.99998646025059656</v>
      </c>
      <c r="AB46" s="184">
        <f t="shared" si="17"/>
        <v>0.99998485607904464</v>
      </c>
      <c r="AC46" s="184">
        <f t="shared" si="17"/>
        <v>0.99999934988318728</v>
      </c>
      <c r="AD46" s="184">
        <f t="shared" si="17"/>
        <v>0.99955684082767526</v>
      </c>
      <c r="AE46" s="184">
        <f t="shared" si="17"/>
        <v>0.99996343125047793</v>
      </c>
      <c r="AF46" s="184">
        <f t="shared" si="17"/>
        <v>0.99999941539014781</v>
      </c>
      <c r="AG46" s="184">
        <f t="shared" si="17"/>
        <v>0.99999794354337468</v>
      </c>
      <c r="AI46" s="214">
        <f t="shared" si="18"/>
        <v>3</v>
      </c>
      <c r="AJ46" s="214">
        <f t="shared" si="18"/>
        <v>3</v>
      </c>
      <c r="AK46" s="214">
        <f t="shared" si="18"/>
        <v>4</v>
      </c>
      <c r="AL46" s="214">
        <f t="shared" si="18"/>
        <v>2</v>
      </c>
      <c r="AM46" s="214">
        <f t="shared" si="18"/>
        <v>2</v>
      </c>
      <c r="AN46" s="214">
        <f t="shared" si="18"/>
        <v>4</v>
      </c>
      <c r="AO46" s="214">
        <f t="shared" si="18"/>
        <v>3</v>
      </c>
      <c r="AP46" s="206">
        <f t="shared" si="19"/>
        <v>0.68750000000000011</v>
      </c>
      <c r="AQ46" s="213">
        <f t="shared" si="20"/>
        <v>3</v>
      </c>
      <c r="AR46" s="213">
        <f t="shared" si="20"/>
        <v>3</v>
      </c>
      <c r="AS46" s="213">
        <f t="shared" si="20"/>
        <v>4</v>
      </c>
      <c r="AT46" s="213">
        <f t="shared" si="20"/>
        <v>2</v>
      </c>
      <c r="AU46" s="213">
        <f t="shared" si="20"/>
        <v>1</v>
      </c>
      <c r="AV46" s="213">
        <f t="shared" si="20"/>
        <v>4</v>
      </c>
      <c r="AW46" s="213">
        <f t="shared" si="20"/>
        <v>3</v>
      </c>
      <c r="AY46" s="186">
        <f t="shared" si="21"/>
        <v>4.0999444870274466</v>
      </c>
      <c r="AZ46" s="186">
        <f t="shared" si="21"/>
        <v>3.5666126533485922</v>
      </c>
      <c r="BA46" s="186">
        <f t="shared" si="21"/>
        <v>4.7666635677765257</v>
      </c>
      <c r="BB46" s="186">
        <f t="shared" si="21"/>
        <v>4.2314572928371588</v>
      </c>
      <c r="BC46" s="186">
        <f t="shared" si="21"/>
        <v>4.9331529275023582</v>
      </c>
      <c r="BD46" s="186">
        <f t="shared" si="21"/>
        <v>3.5333312677118554</v>
      </c>
      <c r="BE46" s="186">
        <f t="shared" si="21"/>
        <v>3.3333264784779155</v>
      </c>
    </row>
    <row r="47" spans="1:57" ht="12.75" x14ac:dyDescent="0.2">
      <c r="A47" s="181">
        <f t="shared" si="9"/>
        <v>4.2476190476190476</v>
      </c>
      <c r="B47" s="187">
        <f t="shared" si="22"/>
        <v>0.70833333333333348</v>
      </c>
      <c r="C47" s="135">
        <v>4.5333333333333332</v>
      </c>
      <c r="D47" s="135">
        <v>4.6333333333333337</v>
      </c>
      <c r="E47" s="135">
        <v>4.3</v>
      </c>
      <c r="F47" s="135">
        <v>4.2666666666666666</v>
      </c>
      <c r="G47" s="135">
        <v>5.0666666666666664</v>
      </c>
      <c r="H47" s="135">
        <v>3.5333333333333332</v>
      </c>
      <c r="I47" s="135">
        <v>3.4</v>
      </c>
      <c r="J47" s="165">
        <v>35</v>
      </c>
      <c r="K47" s="43">
        <f t="shared" si="10"/>
        <v>2</v>
      </c>
      <c r="L47" s="43">
        <f t="shared" si="11"/>
        <v>2</v>
      </c>
      <c r="M47" s="43">
        <f t="shared" si="12"/>
        <v>1</v>
      </c>
      <c r="N47" s="43">
        <f t="shared" si="13"/>
        <v>1</v>
      </c>
      <c r="O47" s="43">
        <f t="shared" si="14"/>
        <v>2</v>
      </c>
      <c r="P47" s="43">
        <f t="shared" si="15"/>
        <v>1</v>
      </c>
      <c r="Q47" s="43">
        <f t="shared" si="16"/>
        <v>1</v>
      </c>
      <c r="R47" s="165">
        <v>35</v>
      </c>
      <c r="S47" s="146">
        <v>3</v>
      </c>
      <c r="T47" s="146">
        <v>3</v>
      </c>
      <c r="U47" s="146">
        <v>5</v>
      </c>
      <c r="V47" s="146">
        <v>3</v>
      </c>
      <c r="W47" s="146">
        <v>3</v>
      </c>
      <c r="X47" s="146">
        <v>3</v>
      </c>
      <c r="Y47" s="146">
        <v>3</v>
      </c>
      <c r="AA47" s="184">
        <f t="shared" si="17"/>
        <v>0.99920736855262138</v>
      </c>
      <c r="AB47" s="184">
        <f t="shared" si="17"/>
        <v>0.99913884304616241</v>
      </c>
      <c r="AC47" s="184">
        <f t="shared" si="17"/>
        <v>0.99999978471546636</v>
      </c>
      <c r="AD47" s="184">
        <f t="shared" si="17"/>
        <v>0.99955684082767526</v>
      </c>
      <c r="AE47" s="184">
        <f t="shared" si="17"/>
        <v>0.99913884304616241</v>
      </c>
      <c r="AF47" s="184">
        <f t="shared" si="17"/>
        <v>0.99945877947971673</v>
      </c>
      <c r="AG47" s="184">
        <f t="shared" si="17"/>
        <v>0.99990093900293442</v>
      </c>
      <c r="AI47" s="214">
        <f t="shared" si="18"/>
        <v>1</v>
      </c>
      <c r="AJ47" s="214">
        <f t="shared" si="18"/>
        <v>1</v>
      </c>
      <c r="AK47" s="214">
        <f t="shared" si="18"/>
        <v>4</v>
      </c>
      <c r="AL47" s="214">
        <f t="shared" si="18"/>
        <v>2</v>
      </c>
      <c r="AM47" s="214">
        <f t="shared" si="18"/>
        <v>1</v>
      </c>
      <c r="AN47" s="214">
        <f t="shared" si="18"/>
        <v>2</v>
      </c>
      <c r="AO47" s="214">
        <f t="shared" si="18"/>
        <v>2</v>
      </c>
      <c r="AP47" s="206">
        <f t="shared" si="19"/>
        <v>0.70833333333333348</v>
      </c>
      <c r="AQ47" s="213">
        <f t="shared" si="20"/>
        <v>0.5</v>
      </c>
      <c r="AR47" s="213">
        <f t="shared" si="20"/>
        <v>0.5</v>
      </c>
      <c r="AS47" s="213">
        <f t="shared" si="20"/>
        <v>4</v>
      </c>
      <c r="AT47" s="213">
        <f t="shared" si="20"/>
        <v>2</v>
      </c>
      <c r="AU47" s="213">
        <f t="shared" si="20"/>
        <v>0.5</v>
      </c>
      <c r="AV47" s="213">
        <f t="shared" si="20"/>
        <v>2</v>
      </c>
      <c r="AW47" s="213">
        <f t="shared" si="20"/>
        <v>2</v>
      </c>
      <c r="AY47" s="186">
        <f t="shared" si="21"/>
        <v>4.5297400707718838</v>
      </c>
      <c r="AZ47" s="186">
        <f t="shared" si="21"/>
        <v>4.6293433061138867</v>
      </c>
      <c r="BA47" s="186">
        <f t="shared" si="21"/>
        <v>4.2999990742765055</v>
      </c>
      <c r="BB47" s="186">
        <f t="shared" si="21"/>
        <v>4.2647758541980814</v>
      </c>
      <c r="BC47" s="186">
        <f t="shared" si="21"/>
        <v>5.0623034714338893</v>
      </c>
      <c r="BD47" s="186">
        <f t="shared" si="21"/>
        <v>3.5314210208283323</v>
      </c>
      <c r="BE47" s="186">
        <f t="shared" si="21"/>
        <v>3.3996631926099767</v>
      </c>
    </row>
    <row r="48" spans="1:57" ht="13.5" customHeight="1" x14ac:dyDescent="0.2">
      <c r="A48" s="181">
        <f t="shared" si="9"/>
        <v>4.1238095238095243</v>
      </c>
      <c r="B48" s="187">
        <f t="shared" si="22"/>
        <v>0.72916666666666685</v>
      </c>
      <c r="C48" s="135">
        <v>4.8666666666666671</v>
      </c>
      <c r="D48" s="135">
        <v>5.1000000000000005</v>
      </c>
      <c r="E48" s="135">
        <v>3.8666666666666667</v>
      </c>
      <c r="F48" s="135">
        <v>3.3666666666666667</v>
      </c>
      <c r="G48" s="135">
        <v>4.3</v>
      </c>
      <c r="H48" s="135">
        <v>3.9</v>
      </c>
      <c r="I48" s="135">
        <v>3.4666666666666668</v>
      </c>
      <c r="J48" s="165">
        <v>36</v>
      </c>
      <c r="K48" s="43">
        <f t="shared" si="10"/>
        <v>2</v>
      </c>
      <c r="L48" s="43">
        <f t="shared" si="11"/>
        <v>2</v>
      </c>
      <c r="M48" s="43">
        <f t="shared" si="12"/>
        <v>1</v>
      </c>
      <c r="N48" s="43">
        <f t="shared" si="13"/>
        <v>1</v>
      </c>
      <c r="O48" s="43">
        <f t="shared" si="14"/>
        <v>1</v>
      </c>
      <c r="P48" s="43">
        <f t="shared" si="15"/>
        <v>1</v>
      </c>
      <c r="Q48" s="43">
        <f t="shared" si="16"/>
        <v>1</v>
      </c>
      <c r="R48" s="165">
        <v>36</v>
      </c>
      <c r="S48" s="146">
        <v>3</v>
      </c>
      <c r="T48" s="146">
        <v>3</v>
      </c>
      <c r="U48" s="146">
        <v>4</v>
      </c>
      <c r="V48" s="146">
        <v>3</v>
      </c>
      <c r="W48" s="146">
        <v>3</v>
      </c>
      <c r="X48" s="146">
        <v>3</v>
      </c>
      <c r="Y48" s="146">
        <v>3</v>
      </c>
      <c r="AA48" s="184">
        <f t="shared" si="17"/>
        <v>0.99920736855262138</v>
      </c>
      <c r="AB48" s="184">
        <f t="shared" si="17"/>
        <v>0.99913884304616241</v>
      </c>
      <c r="AC48" s="184">
        <f t="shared" si="17"/>
        <v>0.99999107000679621</v>
      </c>
      <c r="AD48" s="184">
        <f t="shared" si="17"/>
        <v>0.99981200504974832</v>
      </c>
      <c r="AE48" s="184">
        <f t="shared" si="17"/>
        <v>0.99955684082767526</v>
      </c>
      <c r="AF48" s="184">
        <f t="shared" si="17"/>
        <v>0.99945877947971673</v>
      </c>
      <c r="AG48" s="184">
        <f t="shared" si="17"/>
        <v>0.99990093900293442</v>
      </c>
      <c r="AI48" s="214">
        <f t="shared" si="18"/>
        <v>1</v>
      </c>
      <c r="AJ48" s="214">
        <f t="shared" si="18"/>
        <v>1</v>
      </c>
      <c r="AK48" s="214">
        <f t="shared" si="18"/>
        <v>3</v>
      </c>
      <c r="AL48" s="214">
        <f t="shared" si="18"/>
        <v>2</v>
      </c>
      <c r="AM48" s="214">
        <f t="shared" si="18"/>
        <v>2</v>
      </c>
      <c r="AN48" s="214">
        <f t="shared" si="18"/>
        <v>2</v>
      </c>
      <c r="AO48" s="214">
        <f t="shared" si="18"/>
        <v>2</v>
      </c>
      <c r="AP48" s="206">
        <f t="shared" si="19"/>
        <v>0.72916666666666685</v>
      </c>
      <c r="AQ48" s="213">
        <f t="shared" si="20"/>
        <v>0.5</v>
      </c>
      <c r="AR48" s="213">
        <f t="shared" si="20"/>
        <v>0.5</v>
      </c>
      <c r="AS48" s="213">
        <f t="shared" si="20"/>
        <v>3</v>
      </c>
      <c r="AT48" s="213">
        <f t="shared" si="20"/>
        <v>2</v>
      </c>
      <c r="AU48" s="213">
        <f t="shared" si="20"/>
        <v>2</v>
      </c>
      <c r="AV48" s="213">
        <f t="shared" si="20"/>
        <v>2</v>
      </c>
      <c r="AW48" s="213">
        <f t="shared" si="20"/>
        <v>2</v>
      </c>
      <c r="AY48" s="186">
        <f t="shared" si="21"/>
        <v>4.8628091936227582</v>
      </c>
      <c r="AZ48" s="186">
        <f t="shared" si="21"/>
        <v>5.0956080995354291</v>
      </c>
      <c r="BA48" s="186">
        <f t="shared" si="21"/>
        <v>3.8666321373596122</v>
      </c>
      <c r="BB48" s="186">
        <f t="shared" si="21"/>
        <v>3.3660337503341529</v>
      </c>
      <c r="BC48" s="186">
        <f t="shared" si="21"/>
        <v>4.2980944155590031</v>
      </c>
      <c r="BD48" s="186">
        <f t="shared" si="21"/>
        <v>3.8978892399708953</v>
      </c>
      <c r="BE48" s="186">
        <f t="shared" si="21"/>
        <v>3.4663232552101726</v>
      </c>
    </row>
    <row r="49" spans="1:57" ht="12.75" x14ac:dyDescent="0.2">
      <c r="A49" s="181">
        <f t="shared" si="9"/>
        <v>3.8</v>
      </c>
      <c r="B49" s="187">
        <f t="shared" si="22"/>
        <v>0.75000000000000022</v>
      </c>
      <c r="C49" s="135">
        <v>4.8666666666666671</v>
      </c>
      <c r="D49" s="135">
        <v>4.7</v>
      </c>
      <c r="E49" s="135">
        <v>3.6666666666666665</v>
      </c>
      <c r="F49" s="135">
        <v>2.9666666666666668</v>
      </c>
      <c r="G49" s="135">
        <v>3.0333333333333332</v>
      </c>
      <c r="H49" s="135">
        <v>3.5333333333333332</v>
      </c>
      <c r="I49" s="135">
        <v>3.8333333333333335</v>
      </c>
      <c r="J49" s="165">
        <v>37</v>
      </c>
      <c r="K49" s="43">
        <f t="shared" si="10"/>
        <v>2</v>
      </c>
      <c r="L49" s="43">
        <f t="shared" si="11"/>
        <v>2</v>
      </c>
      <c r="M49" s="43">
        <f t="shared" si="12"/>
        <v>1</v>
      </c>
      <c r="N49" s="43">
        <f t="shared" si="13"/>
        <v>1</v>
      </c>
      <c r="O49" s="43">
        <f t="shared" si="14"/>
        <v>1</v>
      </c>
      <c r="P49" s="43">
        <f t="shared" si="15"/>
        <v>1</v>
      </c>
      <c r="Q49" s="43">
        <f t="shared" si="16"/>
        <v>1</v>
      </c>
      <c r="R49" s="165">
        <v>37</v>
      </c>
      <c r="S49" s="146">
        <v>3</v>
      </c>
      <c r="T49" s="146">
        <v>3</v>
      </c>
      <c r="U49" s="146">
        <v>3</v>
      </c>
      <c r="V49" s="146">
        <v>3</v>
      </c>
      <c r="W49" s="146">
        <v>3</v>
      </c>
      <c r="X49" s="146">
        <v>3</v>
      </c>
      <c r="Y49" s="146">
        <v>3</v>
      </c>
      <c r="AA49" s="184">
        <f t="shared" si="17"/>
        <v>0.99920736855262138</v>
      </c>
      <c r="AB49" s="184">
        <f t="shared" si="17"/>
        <v>0.99913884304616241</v>
      </c>
      <c r="AC49" s="184">
        <f t="shared" si="17"/>
        <v>0.99970126436878204</v>
      </c>
      <c r="AD49" s="184">
        <f t="shared" si="17"/>
        <v>0.99981200504974832</v>
      </c>
      <c r="AE49" s="184">
        <f t="shared" si="17"/>
        <v>0.99981200504974832</v>
      </c>
      <c r="AF49" s="184">
        <f t="shared" si="17"/>
        <v>0.99945877947971673</v>
      </c>
      <c r="AG49" s="184">
        <f t="shared" si="17"/>
        <v>0.99976535652206122</v>
      </c>
      <c r="AI49" s="214">
        <f t="shared" si="18"/>
        <v>1</v>
      </c>
      <c r="AJ49" s="214">
        <f t="shared" si="18"/>
        <v>1</v>
      </c>
      <c r="AK49" s="214">
        <f t="shared" si="18"/>
        <v>2</v>
      </c>
      <c r="AL49" s="214">
        <f t="shared" si="18"/>
        <v>2</v>
      </c>
      <c r="AM49" s="214">
        <f t="shared" si="18"/>
        <v>2</v>
      </c>
      <c r="AN49" s="214">
        <f t="shared" si="18"/>
        <v>2</v>
      </c>
      <c r="AO49" s="214">
        <f t="shared" si="18"/>
        <v>2</v>
      </c>
      <c r="AP49" s="206">
        <f t="shared" si="19"/>
        <v>0.75000000000000022</v>
      </c>
      <c r="AQ49" s="213">
        <f t="shared" si="20"/>
        <v>0.5</v>
      </c>
      <c r="AR49" s="213">
        <f t="shared" si="20"/>
        <v>0.5</v>
      </c>
      <c r="AS49" s="213">
        <f t="shared" si="20"/>
        <v>2</v>
      </c>
      <c r="AT49" s="213">
        <f t="shared" si="20"/>
        <v>2</v>
      </c>
      <c r="AU49" s="213">
        <f t="shared" si="20"/>
        <v>2</v>
      </c>
      <c r="AV49" s="213">
        <f t="shared" si="20"/>
        <v>2</v>
      </c>
      <c r="AW49" s="213">
        <f t="shared" si="20"/>
        <v>2</v>
      </c>
      <c r="AY49" s="186">
        <f t="shared" si="21"/>
        <v>4.8628091936227582</v>
      </c>
      <c r="AZ49" s="186">
        <f t="shared" si="21"/>
        <v>4.6959525623169638</v>
      </c>
      <c r="BA49" s="186">
        <f t="shared" si="21"/>
        <v>3.6655713026855339</v>
      </c>
      <c r="BB49" s="186">
        <f t="shared" si="21"/>
        <v>2.9661089483142535</v>
      </c>
      <c r="BC49" s="186">
        <f t="shared" si="21"/>
        <v>3.0327630819842364</v>
      </c>
      <c r="BD49" s="186">
        <f t="shared" si="21"/>
        <v>3.5314210208283323</v>
      </c>
      <c r="BE49" s="186">
        <f t="shared" si="21"/>
        <v>3.8324338666679014</v>
      </c>
    </row>
    <row r="50" spans="1:57" ht="12.75" x14ac:dyDescent="0.2">
      <c r="A50" s="181">
        <f t="shared" si="9"/>
        <v>3.8190476190476192</v>
      </c>
      <c r="B50" s="187">
        <f t="shared" si="22"/>
        <v>0.77083333333333359</v>
      </c>
      <c r="C50" s="135">
        <v>5</v>
      </c>
      <c r="D50" s="135">
        <v>4.0000000000000009</v>
      </c>
      <c r="E50" s="135">
        <v>3.9</v>
      </c>
      <c r="F50" s="135">
        <v>3.3333333333333335</v>
      </c>
      <c r="G50" s="135">
        <v>3.2333333333333329</v>
      </c>
      <c r="H50" s="135">
        <v>3.6999999999999997</v>
      </c>
      <c r="I50" s="135">
        <v>3.5666666666666664</v>
      </c>
      <c r="J50" s="165">
        <v>38</v>
      </c>
      <c r="K50" s="43">
        <f t="shared" si="10"/>
        <v>2</v>
      </c>
      <c r="L50" s="43">
        <f t="shared" si="11"/>
        <v>1</v>
      </c>
      <c r="M50" s="43">
        <f t="shared" si="12"/>
        <v>1</v>
      </c>
      <c r="N50" s="43">
        <f t="shared" si="13"/>
        <v>1</v>
      </c>
      <c r="O50" s="43">
        <f t="shared" si="14"/>
        <v>1</v>
      </c>
      <c r="P50" s="43">
        <f t="shared" si="15"/>
        <v>1</v>
      </c>
      <c r="Q50" s="43">
        <f t="shared" si="16"/>
        <v>1</v>
      </c>
      <c r="R50" s="165">
        <v>38</v>
      </c>
      <c r="S50" s="146">
        <v>3</v>
      </c>
      <c r="T50" s="146">
        <v>3</v>
      </c>
      <c r="U50" s="146">
        <v>3</v>
      </c>
      <c r="V50" s="146">
        <v>3</v>
      </c>
      <c r="W50" s="146">
        <v>3</v>
      </c>
      <c r="X50" s="146">
        <v>3</v>
      </c>
      <c r="Y50" s="146">
        <v>3</v>
      </c>
      <c r="AA50" s="184">
        <f t="shared" si="17"/>
        <v>0.99920736855262138</v>
      </c>
      <c r="AB50" s="184">
        <f t="shared" si="17"/>
        <v>0.99955684082767526</v>
      </c>
      <c r="AC50" s="184">
        <f t="shared" si="17"/>
        <v>0.99970126436878204</v>
      </c>
      <c r="AD50" s="184">
        <f t="shared" si="17"/>
        <v>0.99981200504974832</v>
      </c>
      <c r="AE50" s="184">
        <f t="shared" si="17"/>
        <v>0.99981200504974832</v>
      </c>
      <c r="AF50" s="184">
        <f t="shared" si="17"/>
        <v>0.99945877947971673</v>
      </c>
      <c r="AG50" s="184">
        <f t="shared" si="17"/>
        <v>0.99976535652206122</v>
      </c>
      <c r="AI50" s="214">
        <f t="shared" si="18"/>
        <v>1</v>
      </c>
      <c r="AJ50" s="214">
        <f t="shared" si="18"/>
        <v>2</v>
      </c>
      <c r="AK50" s="214">
        <f t="shared" si="18"/>
        <v>2</v>
      </c>
      <c r="AL50" s="214">
        <f t="shared" si="18"/>
        <v>2</v>
      </c>
      <c r="AM50" s="214">
        <f t="shared" si="18"/>
        <v>2</v>
      </c>
      <c r="AN50" s="214">
        <f t="shared" si="18"/>
        <v>2</v>
      </c>
      <c r="AO50" s="214">
        <f t="shared" si="18"/>
        <v>2</v>
      </c>
      <c r="AP50" s="206">
        <f t="shared" si="19"/>
        <v>0.77083333333333359</v>
      </c>
      <c r="AQ50" s="213">
        <f t="shared" si="20"/>
        <v>0.5</v>
      </c>
      <c r="AR50" s="213">
        <f t="shared" si="20"/>
        <v>2</v>
      </c>
      <c r="AS50" s="213">
        <f t="shared" si="20"/>
        <v>2</v>
      </c>
      <c r="AT50" s="213">
        <f t="shared" si="20"/>
        <v>2</v>
      </c>
      <c r="AU50" s="213">
        <f t="shared" si="20"/>
        <v>2</v>
      </c>
      <c r="AV50" s="213">
        <f t="shared" si="20"/>
        <v>2</v>
      </c>
      <c r="AW50" s="213">
        <f t="shared" si="20"/>
        <v>2</v>
      </c>
      <c r="AY50" s="186">
        <f t="shared" si="21"/>
        <v>4.9960368427631066</v>
      </c>
      <c r="AZ50" s="186">
        <f t="shared" si="21"/>
        <v>3.9982273633107019</v>
      </c>
      <c r="BA50" s="186">
        <f t="shared" si="21"/>
        <v>3.89883493103825</v>
      </c>
      <c r="BB50" s="186">
        <f t="shared" si="21"/>
        <v>3.3327066834991612</v>
      </c>
      <c r="BC50" s="186">
        <f t="shared" si="21"/>
        <v>3.2327254829941858</v>
      </c>
      <c r="BD50" s="186">
        <f t="shared" si="21"/>
        <v>3.6979974840749517</v>
      </c>
      <c r="BE50" s="186">
        <f t="shared" si="21"/>
        <v>3.5658297715953515</v>
      </c>
    </row>
    <row r="51" spans="1:57" ht="12.75" x14ac:dyDescent="0.2">
      <c r="A51" s="181">
        <f t="shared" si="9"/>
        <v>4.0666666666666673</v>
      </c>
      <c r="B51" s="187">
        <f t="shared" si="22"/>
        <v>0.79166666666666696</v>
      </c>
      <c r="C51" s="135">
        <v>5.5333333333333341</v>
      </c>
      <c r="D51" s="135">
        <v>3.7999999999999994</v>
      </c>
      <c r="E51" s="135">
        <v>4.2666666666666666</v>
      </c>
      <c r="F51" s="135">
        <v>4</v>
      </c>
      <c r="G51" s="135">
        <v>3.3666666666666671</v>
      </c>
      <c r="H51" s="135">
        <v>3.6333333333333333</v>
      </c>
      <c r="I51" s="135">
        <v>3.8666666666666671</v>
      </c>
      <c r="J51" s="165">
        <v>39</v>
      </c>
      <c r="K51" s="43">
        <f t="shared" si="10"/>
        <v>2</v>
      </c>
      <c r="L51" s="43">
        <f t="shared" si="11"/>
        <v>1</v>
      </c>
      <c r="M51" s="43">
        <f t="shared" si="12"/>
        <v>1</v>
      </c>
      <c r="N51" s="43">
        <f t="shared" si="13"/>
        <v>1</v>
      </c>
      <c r="O51" s="43">
        <f t="shared" si="14"/>
        <v>1</v>
      </c>
      <c r="P51" s="43">
        <f t="shared" si="15"/>
        <v>1</v>
      </c>
      <c r="Q51" s="43">
        <f t="shared" si="16"/>
        <v>1</v>
      </c>
      <c r="R51" s="165">
        <v>39</v>
      </c>
      <c r="S51" s="146">
        <v>3</v>
      </c>
      <c r="T51" s="146">
        <v>3</v>
      </c>
      <c r="U51" s="146">
        <v>3</v>
      </c>
      <c r="V51" s="146">
        <v>3</v>
      </c>
      <c r="W51" s="146">
        <v>3</v>
      </c>
      <c r="X51" s="146">
        <v>3</v>
      </c>
      <c r="Y51" s="146">
        <v>3</v>
      </c>
      <c r="AA51" s="184">
        <f t="shared" si="17"/>
        <v>0.99863576978652491</v>
      </c>
      <c r="AB51" s="184">
        <f t="shared" si="17"/>
        <v>0.99955684082767526</v>
      </c>
      <c r="AC51" s="184">
        <f t="shared" si="17"/>
        <v>0.99970126436878204</v>
      </c>
      <c r="AD51" s="184">
        <f t="shared" si="17"/>
        <v>0.99955684082767526</v>
      </c>
      <c r="AE51" s="184">
        <f t="shared" si="17"/>
        <v>0.99981200504974832</v>
      </c>
      <c r="AF51" s="184">
        <f t="shared" si="17"/>
        <v>0.99945877947971673</v>
      </c>
      <c r="AG51" s="184">
        <f t="shared" si="17"/>
        <v>0.99976535652206122</v>
      </c>
      <c r="AI51" s="214">
        <f t="shared" si="18"/>
        <v>1</v>
      </c>
      <c r="AJ51" s="214">
        <f t="shared" si="18"/>
        <v>2</v>
      </c>
      <c r="AK51" s="214">
        <f t="shared" si="18"/>
        <v>2</v>
      </c>
      <c r="AL51" s="214">
        <f t="shared" si="18"/>
        <v>2</v>
      </c>
      <c r="AM51" s="214">
        <f t="shared" si="18"/>
        <v>2</v>
      </c>
      <c r="AN51" s="214">
        <f t="shared" si="18"/>
        <v>2</v>
      </c>
      <c r="AO51" s="214">
        <f t="shared" si="18"/>
        <v>2</v>
      </c>
      <c r="AP51" s="206">
        <f t="shared" si="19"/>
        <v>0.79166666666666696</v>
      </c>
      <c r="AQ51" s="213">
        <f t="shared" si="20"/>
        <v>0.5</v>
      </c>
      <c r="AR51" s="213">
        <f t="shared" si="20"/>
        <v>2</v>
      </c>
      <c r="AS51" s="213">
        <f t="shared" si="20"/>
        <v>2</v>
      </c>
      <c r="AT51" s="213">
        <f t="shared" si="20"/>
        <v>2</v>
      </c>
      <c r="AU51" s="213">
        <f t="shared" si="20"/>
        <v>2</v>
      </c>
      <c r="AV51" s="213">
        <f t="shared" si="20"/>
        <v>2</v>
      </c>
      <c r="AW51" s="213">
        <f t="shared" si="20"/>
        <v>2</v>
      </c>
      <c r="AY51" s="186">
        <f t="shared" si="21"/>
        <v>5.5257845928187717</v>
      </c>
      <c r="AZ51" s="186">
        <f t="shared" si="21"/>
        <v>3.7983159951451655</v>
      </c>
      <c r="BA51" s="186">
        <f t="shared" si="21"/>
        <v>4.2653920613068035</v>
      </c>
      <c r="BB51" s="186">
        <f t="shared" si="21"/>
        <v>3.9982273633107011</v>
      </c>
      <c r="BC51" s="186">
        <f t="shared" si="21"/>
        <v>3.3660337503341533</v>
      </c>
      <c r="BD51" s="186">
        <f t="shared" si="21"/>
        <v>3.6313668987763039</v>
      </c>
      <c r="BE51" s="186">
        <f t="shared" si="21"/>
        <v>3.8657593785519704</v>
      </c>
    </row>
    <row r="52" spans="1:57" ht="12.75" x14ac:dyDescent="0.2">
      <c r="A52" s="181">
        <f t="shared" si="9"/>
        <v>4.6666666666666661</v>
      </c>
      <c r="B52" s="187">
        <f t="shared" si="22"/>
        <v>0.81250000000000033</v>
      </c>
      <c r="C52" s="135">
        <v>5.666666666666667</v>
      </c>
      <c r="D52" s="135">
        <v>4.2333333333333334</v>
      </c>
      <c r="E52" s="135">
        <v>5.1000000000000005</v>
      </c>
      <c r="F52" s="135">
        <v>4.9333333333333327</v>
      </c>
      <c r="G52" s="135">
        <v>4.4333333333333327</v>
      </c>
      <c r="H52" s="135">
        <v>3.8333333333333335</v>
      </c>
      <c r="I52" s="135">
        <v>4.4666666666666668</v>
      </c>
      <c r="J52" s="165">
        <v>40</v>
      </c>
      <c r="K52" s="43">
        <f t="shared" si="10"/>
        <v>2</v>
      </c>
      <c r="L52" s="43">
        <f t="shared" si="11"/>
        <v>1</v>
      </c>
      <c r="M52" s="43">
        <f t="shared" si="12"/>
        <v>1</v>
      </c>
      <c r="N52" s="43">
        <f t="shared" si="13"/>
        <v>2</v>
      </c>
      <c r="O52" s="43">
        <f t="shared" si="14"/>
        <v>1</v>
      </c>
      <c r="P52" s="43">
        <f t="shared" si="15"/>
        <v>1</v>
      </c>
      <c r="Q52" s="43">
        <f t="shared" si="16"/>
        <v>1</v>
      </c>
      <c r="R52" s="165">
        <v>40</v>
      </c>
      <c r="S52" s="146">
        <v>3</v>
      </c>
      <c r="T52" s="146">
        <v>3</v>
      </c>
      <c r="U52" s="146">
        <v>3</v>
      </c>
      <c r="V52" s="146">
        <v>3</v>
      </c>
      <c r="W52" s="146">
        <v>3</v>
      </c>
      <c r="X52" s="146">
        <v>3</v>
      </c>
      <c r="Y52" s="146">
        <v>3</v>
      </c>
      <c r="AA52" s="184">
        <f t="shared" si="17"/>
        <v>0.99863576978652491</v>
      </c>
      <c r="AB52" s="184">
        <f t="shared" si="17"/>
        <v>0.99955684082767526</v>
      </c>
      <c r="AC52" s="184">
        <f t="shared" si="17"/>
        <v>0.99941773542878531</v>
      </c>
      <c r="AD52" s="184">
        <f t="shared" si="17"/>
        <v>0.99913884304616241</v>
      </c>
      <c r="AE52" s="184">
        <f t="shared" si="17"/>
        <v>0.99955684082767526</v>
      </c>
      <c r="AF52" s="184">
        <f t="shared" si="17"/>
        <v>0.99945877947971673</v>
      </c>
      <c r="AG52" s="184">
        <f t="shared" si="17"/>
        <v>0.99976535652206122</v>
      </c>
      <c r="AI52" s="214">
        <f t="shared" si="18"/>
        <v>1</v>
      </c>
      <c r="AJ52" s="214">
        <f t="shared" si="18"/>
        <v>2</v>
      </c>
      <c r="AK52" s="214">
        <f t="shared" si="18"/>
        <v>2</v>
      </c>
      <c r="AL52" s="214">
        <f t="shared" si="18"/>
        <v>1</v>
      </c>
      <c r="AM52" s="214">
        <f t="shared" si="18"/>
        <v>2</v>
      </c>
      <c r="AN52" s="214">
        <f t="shared" si="18"/>
        <v>2</v>
      </c>
      <c r="AO52" s="214">
        <f t="shared" si="18"/>
        <v>2</v>
      </c>
      <c r="AP52" s="206">
        <f t="shared" si="19"/>
        <v>0.81250000000000033</v>
      </c>
      <c r="AQ52" s="213">
        <f t="shared" si="20"/>
        <v>0.5</v>
      </c>
      <c r="AR52" s="213">
        <f t="shared" si="20"/>
        <v>2</v>
      </c>
      <c r="AS52" s="213">
        <f t="shared" si="20"/>
        <v>2</v>
      </c>
      <c r="AT52" s="213">
        <f t="shared" si="20"/>
        <v>0.5</v>
      </c>
      <c r="AU52" s="213">
        <f t="shared" si="20"/>
        <v>2</v>
      </c>
      <c r="AV52" s="213">
        <f t="shared" si="20"/>
        <v>2</v>
      </c>
      <c r="AW52" s="213">
        <f t="shared" si="20"/>
        <v>2</v>
      </c>
      <c r="AY52" s="186">
        <f t="shared" si="21"/>
        <v>5.6589360287903077</v>
      </c>
      <c r="AZ52" s="186">
        <f t="shared" si="21"/>
        <v>4.2314572928371588</v>
      </c>
      <c r="BA52" s="186">
        <f t="shared" si="21"/>
        <v>5.0970304506868054</v>
      </c>
      <c r="BB52" s="186">
        <f t="shared" si="21"/>
        <v>4.9290849590277341</v>
      </c>
      <c r="BC52" s="186">
        <f t="shared" si="21"/>
        <v>4.4313686610026934</v>
      </c>
      <c r="BD52" s="186">
        <f t="shared" si="21"/>
        <v>3.8312586546722476</v>
      </c>
      <c r="BE52" s="186">
        <f t="shared" si="21"/>
        <v>4.4656185924652068</v>
      </c>
    </row>
    <row r="53" spans="1:57" ht="12.75" x14ac:dyDescent="0.2">
      <c r="A53" s="181">
        <f t="shared" si="9"/>
        <v>4.7476190476190467</v>
      </c>
      <c r="B53" s="187">
        <f t="shared" si="22"/>
        <v>0.8333333333333337</v>
      </c>
      <c r="C53" s="135">
        <v>5.5</v>
      </c>
      <c r="D53" s="135">
        <v>4.7666666666666666</v>
      </c>
      <c r="E53" s="135">
        <v>5.166666666666667</v>
      </c>
      <c r="F53" s="135">
        <v>4.9333333333333336</v>
      </c>
      <c r="G53" s="135">
        <v>4.1666666666666661</v>
      </c>
      <c r="H53" s="135">
        <v>3.9</v>
      </c>
      <c r="I53" s="135">
        <v>4.8</v>
      </c>
      <c r="J53" s="165">
        <v>41</v>
      </c>
      <c r="K53" s="43">
        <f t="shared" si="10"/>
        <v>2</v>
      </c>
      <c r="L53" s="43">
        <f t="shared" si="11"/>
        <v>2</v>
      </c>
      <c r="M53" s="43">
        <f t="shared" si="12"/>
        <v>1</v>
      </c>
      <c r="N53" s="43">
        <f t="shared" si="13"/>
        <v>2</v>
      </c>
      <c r="O53" s="43">
        <f t="shared" si="14"/>
        <v>1</v>
      </c>
      <c r="P53" s="43">
        <f t="shared" si="15"/>
        <v>1</v>
      </c>
      <c r="Q53" s="43">
        <f t="shared" si="16"/>
        <v>1</v>
      </c>
      <c r="R53" s="165">
        <v>41</v>
      </c>
      <c r="S53" s="146">
        <v>3</v>
      </c>
      <c r="T53" s="146">
        <v>3</v>
      </c>
      <c r="U53" s="146">
        <v>3</v>
      </c>
      <c r="V53" s="146">
        <v>3</v>
      </c>
      <c r="W53" s="146">
        <v>3</v>
      </c>
      <c r="X53" s="146">
        <v>3</v>
      </c>
      <c r="Y53" s="146">
        <v>3</v>
      </c>
      <c r="AA53" s="184">
        <f t="shared" si="17"/>
        <v>0.99863576978652491</v>
      </c>
      <c r="AB53" s="184">
        <f t="shared" si="17"/>
        <v>0.99913884304616241</v>
      </c>
      <c r="AC53" s="184">
        <f t="shared" si="17"/>
        <v>0.99941773542878531</v>
      </c>
      <c r="AD53" s="184">
        <f t="shared" si="17"/>
        <v>0.99913884304616241</v>
      </c>
      <c r="AE53" s="184">
        <f t="shared" si="17"/>
        <v>0.99955684082767526</v>
      </c>
      <c r="AF53" s="184">
        <f t="shared" si="17"/>
        <v>0.99945877947971673</v>
      </c>
      <c r="AG53" s="184">
        <f t="shared" si="17"/>
        <v>0.99954188412086176</v>
      </c>
      <c r="AI53" s="214">
        <f t="shared" si="18"/>
        <v>1</v>
      </c>
      <c r="AJ53" s="214">
        <f t="shared" si="18"/>
        <v>1</v>
      </c>
      <c r="AK53" s="214">
        <f t="shared" si="18"/>
        <v>2</v>
      </c>
      <c r="AL53" s="214">
        <f t="shared" si="18"/>
        <v>1</v>
      </c>
      <c r="AM53" s="214">
        <f t="shared" si="18"/>
        <v>2</v>
      </c>
      <c r="AN53" s="214">
        <f t="shared" si="18"/>
        <v>2</v>
      </c>
      <c r="AO53" s="214">
        <f t="shared" si="18"/>
        <v>2</v>
      </c>
      <c r="AP53" s="206">
        <f t="shared" si="19"/>
        <v>0.8333333333333337</v>
      </c>
      <c r="AQ53" s="213">
        <f t="shared" si="20"/>
        <v>0.5</v>
      </c>
      <c r="AR53" s="213">
        <f t="shared" si="20"/>
        <v>0.5</v>
      </c>
      <c r="AS53" s="213">
        <f t="shared" si="20"/>
        <v>2</v>
      </c>
      <c r="AT53" s="213">
        <f t="shared" si="20"/>
        <v>0.5</v>
      </c>
      <c r="AU53" s="213">
        <f t="shared" si="20"/>
        <v>2</v>
      </c>
      <c r="AV53" s="213">
        <f t="shared" si="20"/>
        <v>2</v>
      </c>
      <c r="AW53" s="213">
        <f t="shared" si="20"/>
        <v>2</v>
      </c>
      <c r="AY53" s="186">
        <f t="shared" si="21"/>
        <v>5.4924967338258872</v>
      </c>
      <c r="AZ53" s="186">
        <f t="shared" si="21"/>
        <v>4.7625618185200409</v>
      </c>
      <c r="BA53" s="186">
        <f t="shared" si="21"/>
        <v>5.163658299715391</v>
      </c>
      <c r="BB53" s="186">
        <f t="shared" si="21"/>
        <v>4.929084959027735</v>
      </c>
      <c r="BC53" s="186">
        <f t="shared" si="21"/>
        <v>4.1648201701153127</v>
      </c>
      <c r="BD53" s="186">
        <f t="shared" si="21"/>
        <v>3.8978892399708953</v>
      </c>
      <c r="BE53" s="186">
        <f t="shared" si="21"/>
        <v>4.7978010437801366</v>
      </c>
    </row>
    <row r="54" spans="1:57" ht="12.75" x14ac:dyDescent="0.2">
      <c r="A54" s="181">
        <f t="shared" si="9"/>
        <v>4.8523809523809529</v>
      </c>
      <c r="B54" s="187">
        <f t="shared" si="22"/>
        <v>0.85416666666666707</v>
      </c>
      <c r="C54" s="135">
        <v>5.1333333333333329</v>
      </c>
      <c r="D54" s="135">
        <v>4.7333333333333334</v>
      </c>
      <c r="E54" s="135">
        <v>6.0333333333333341</v>
      </c>
      <c r="F54" s="135">
        <v>4.7666666666666666</v>
      </c>
      <c r="G54" s="135">
        <v>4.2666666666666666</v>
      </c>
      <c r="H54" s="135">
        <v>4.2333333333333334</v>
      </c>
      <c r="I54" s="135">
        <v>4.8</v>
      </c>
      <c r="J54" s="165">
        <v>42</v>
      </c>
      <c r="K54" s="43">
        <f t="shared" si="10"/>
        <v>2</v>
      </c>
      <c r="L54" s="43">
        <f t="shared" si="11"/>
        <v>2</v>
      </c>
      <c r="M54" s="43">
        <f t="shared" si="12"/>
        <v>2</v>
      </c>
      <c r="N54" s="43">
        <f t="shared" si="13"/>
        <v>2</v>
      </c>
      <c r="O54" s="43">
        <f t="shared" si="14"/>
        <v>1</v>
      </c>
      <c r="P54" s="43">
        <f t="shared" si="15"/>
        <v>1</v>
      </c>
      <c r="Q54" s="43">
        <f t="shared" si="16"/>
        <v>1</v>
      </c>
      <c r="R54" s="165">
        <v>42</v>
      </c>
      <c r="S54" s="146">
        <v>3</v>
      </c>
      <c r="T54" s="146">
        <v>3</v>
      </c>
      <c r="U54" s="146">
        <v>3</v>
      </c>
      <c r="V54" s="146">
        <v>3</v>
      </c>
      <c r="W54" s="146">
        <v>3</v>
      </c>
      <c r="X54" s="146">
        <v>3</v>
      </c>
      <c r="Y54" s="146">
        <v>3</v>
      </c>
      <c r="AA54" s="184">
        <f t="shared" si="17"/>
        <v>0.99920736855262138</v>
      </c>
      <c r="AB54" s="184">
        <f t="shared" si="17"/>
        <v>0.99913884304616241</v>
      </c>
      <c r="AC54" s="184">
        <f t="shared" si="17"/>
        <v>0.99899553971146937</v>
      </c>
      <c r="AD54" s="184">
        <f t="shared" si="17"/>
        <v>0.99913884304616241</v>
      </c>
      <c r="AE54" s="184">
        <f t="shared" si="17"/>
        <v>0.99955684082767526</v>
      </c>
      <c r="AF54" s="184">
        <f t="shared" si="17"/>
        <v>0.99945877947971673</v>
      </c>
      <c r="AG54" s="184">
        <f t="shared" si="17"/>
        <v>0.99954188412086176</v>
      </c>
      <c r="AI54" s="214">
        <f t="shared" si="18"/>
        <v>1</v>
      </c>
      <c r="AJ54" s="214">
        <f t="shared" si="18"/>
        <v>1</v>
      </c>
      <c r="AK54" s="214">
        <f t="shared" si="18"/>
        <v>1</v>
      </c>
      <c r="AL54" s="214">
        <f t="shared" si="18"/>
        <v>1</v>
      </c>
      <c r="AM54" s="214">
        <f t="shared" si="18"/>
        <v>2</v>
      </c>
      <c r="AN54" s="214">
        <f t="shared" si="18"/>
        <v>2</v>
      </c>
      <c r="AO54" s="214">
        <f t="shared" si="18"/>
        <v>2</v>
      </c>
      <c r="AP54" s="206">
        <f t="shared" si="19"/>
        <v>0.85416666666666707</v>
      </c>
      <c r="AQ54" s="213">
        <f t="shared" si="20"/>
        <v>0.5</v>
      </c>
      <c r="AR54" s="213">
        <f t="shared" si="20"/>
        <v>0.5</v>
      </c>
      <c r="AS54" s="213">
        <f t="shared" si="20"/>
        <v>0.5</v>
      </c>
      <c r="AT54" s="213">
        <f t="shared" si="20"/>
        <v>0.5</v>
      </c>
      <c r="AU54" s="213">
        <f t="shared" si="20"/>
        <v>2</v>
      </c>
      <c r="AV54" s="213">
        <f t="shared" si="20"/>
        <v>2</v>
      </c>
      <c r="AW54" s="213">
        <f t="shared" si="20"/>
        <v>2</v>
      </c>
      <c r="AY54" s="186">
        <f t="shared" si="21"/>
        <v>5.1292644919034558</v>
      </c>
      <c r="AZ54" s="186">
        <f t="shared" si="21"/>
        <v>4.7292571904185019</v>
      </c>
      <c r="BA54" s="186">
        <f t="shared" si="21"/>
        <v>6.0272730895925326</v>
      </c>
      <c r="BB54" s="186">
        <f t="shared" si="21"/>
        <v>4.7625618185200409</v>
      </c>
      <c r="BC54" s="186">
        <f t="shared" si="21"/>
        <v>4.2647758541980814</v>
      </c>
      <c r="BD54" s="186">
        <f t="shared" si="21"/>
        <v>4.2310421664641344</v>
      </c>
      <c r="BE54" s="186">
        <f t="shared" si="21"/>
        <v>4.7978010437801366</v>
      </c>
    </row>
    <row r="55" spans="1:57" ht="13.5" customHeight="1" x14ac:dyDescent="0.2">
      <c r="A55" s="181">
        <f t="shared" si="9"/>
        <v>4.6428571428571432</v>
      </c>
      <c r="B55" s="187">
        <f t="shared" si="22"/>
        <v>0.87500000000000044</v>
      </c>
      <c r="C55" s="135">
        <v>4.7333333333333334</v>
      </c>
      <c r="D55" s="135">
        <v>4.8999999999999995</v>
      </c>
      <c r="E55" s="135">
        <v>5.3999999999999995</v>
      </c>
      <c r="F55" s="135">
        <v>4.6333333333333337</v>
      </c>
      <c r="G55" s="135">
        <v>4</v>
      </c>
      <c r="H55" s="135">
        <v>4.4333333333333336</v>
      </c>
      <c r="I55" s="135">
        <v>4.3999999999999995</v>
      </c>
      <c r="J55" s="165">
        <v>43</v>
      </c>
      <c r="K55" s="43">
        <f t="shared" si="10"/>
        <v>2</v>
      </c>
      <c r="L55" s="43">
        <f t="shared" si="11"/>
        <v>2</v>
      </c>
      <c r="M55" s="43">
        <f t="shared" si="12"/>
        <v>1</v>
      </c>
      <c r="N55" s="43">
        <f t="shared" si="13"/>
        <v>2</v>
      </c>
      <c r="O55" s="43">
        <f t="shared" si="14"/>
        <v>1</v>
      </c>
      <c r="P55" s="43">
        <f t="shared" si="15"/>
        <v>1</v>
      </c>
      <c r="Q55" s="43">
        <f t="shared" si="16"/>
        <v>1</v>
      </c>
      <c r="R55" s="165">
        <v>43</v>
      </c>
      <c r="S55" s="146">
        <v>3</v>
      </c>
      <c r="T55" s="146">
        <v>4</v>
      </c>
      <c r="U55" s="146">
        <v>3</v>
      </c>
      <c r="V55" s="146">
        <v>3</v>
      </c>
      <c r="W55" s="146">
        <v>3</v>
      </c>
      <c r="X55" s="146">
        <v>3</v>
      </c>
      <c r="Y55" s="146">
        <v>3</v>
      </c>
      <c r="AA55" s="184">
        <f t="shared" si="17"/>
        <v>0.99920736855262138</v>
      </c>
      <c r="AB55" s="184">
        <f t="shared" si="17"/>
        <v>0.99996343125047793</v>
      </c>
      <c r="AC55" s="184">
        <f t="shared" si="17"/>
        <v>0.99941773542878531</v>
      </c>
      <c r="AD55" s="184">
        <f t="shared" si="17"/>
        <v>0.99913884304616241</v>
      </c>
      <c r="AE55" s="184">
        <f t="shared" si="17"/>
        <v>0.99955684082767526</v>
      </c>
      <c r="AF55" s="184">
        <f t="shared" si="17"/>
        <v>0.99945877947971673</v>
      </c>
      <c r="AG55" s="184">
        <f t="shared" si="17"/>
        <v>0.99976535652206122</v>
      </c>
      <c r="AI55" s="214">
        <f t="shared" si="18"/>
        <v>1</v>
      </c>
      <c r="AJ55" s="214">
        <f t="shared" si="18"/>
        <v>2</v>
      </c>
      <c r="AK55" s="214">
        <f t="shared" si="18"/>
        <v>2</v>
      </c>
      <c r="AL55" s="214">
        <f t="shared" si="18"/>
        <v>1</v>
      </c>
      <c r="AM55" s="214">
        <f t="shared" si="18"/>
        <v>2</v>
      </c>
      <c r="AN55" s="214">
        <f t="shared" si="18"/>
        <v>2</v>
      </c>
      <c r="AO55" s="214">
        <f t="shared" si="18"/>
        <v>2</v>
      </c>
      <c r="AP55" s="206">
        <f t="shared" si="19"/>
        <v>0.87500000000000044</v>
      </c>
      <c r="AQ55" s="213">
        <f t="shared" si="20"/>
        <v>0.5</v>
      </c>
      <c r="AR55" s="213">
        <f t="shared" si="20"/>
        <v>1</v>
      </c>
      <c r="AS55" s="213">
        <f t="shared" si="20"/>
        <v>2</v>
      </c>
      <c r="AT55" s="213">
        <f t="shared" si="20"/>
        <v>0.5</v>
      </c>
      <c r="AU55" s="213">
        <f t="shared" si="20"/>
        <v>2</v>
      </c>
      <c r="AV55" s="213">
        <f t="shared" si="20"/>
        <v>2</v>
      </c>
      <c r="AW55" s="213">
        <f t="shared" si="20"/>
        <v>2</v>
      </c>
      <c r="AY55" s="186">
        <f t="shared" si="21"/>
        <v>4.7295815444824081</v>
      </c>
      <c r="AZ55" s="186">
        <f t="shared" si="21"/>
        <v>4.8998208131273415</v>
      </c>
      <c r="BA55" s="186">
        <f t="shared" si="21"/>
        <v>5.3968557713154404</v>
      </c>
      <c r="BB55" s="186">
        <f t="shared" si="21"/>
        <v>4.6293433061138867</v>
      </c>
      <c r="BC55" s="186">
        <f t="shared" si="21"/>
        <v>3.9982273633107011</v>
      </c>
      <c r="BD55" s="186">
        <f t="shared" si="21"/>
        <v>4.4309339223600777</v>
      </c>
      <c r="BE55" s="186">
        <f t="shared" si="21"/>
        <v>4.3989675686970688</v>
      </c>
    </row>
    <row r="56" spans="1:57" ht="12.75" x14ac:dyDescent="0.2">
      <c r="A56" s="181">
        <f t="shared" si="9"/>
        <v>4.1238095238095243</v>
      </c>
      <c r="B56" s="187">
        <f t="shared" si="22"/>
        <v>0.89583333333333381</v>
      </c>
      <c r="C56" s="135">
        <v>4.333333333333333</v>
      </c>
      <c r="D56" s="135">
        <v>4.2</v>
      </c>
      <c r="E56" s="135">
        <v>4.4333333333333336</v>
      </c>
      <c r="F56" s="135">
        <v>3.9333333333333336</v>
      </c>
      <c r="G56" s="135">
        <v>3.7333333333333329</v>
      </c>
      <c r="H56" s="135">
        <v>4.3666666666666663</v>
      </c>
      <c r="I56" s="135">
        <v>3.8666666666666667</v>
      </c>
      <c r="J56" s="165">
        <v>44</v>
      </c>
      <c r="K56" s="43">
        <f t="shared" si="10"/>
        <v>1</v>
      </c>
      <c r="L56" s="43">
        <f t="shared" si="11"/>
        <v>1</v>
      </c>
      <c r="M56" s="43">
        <f t="shared" si="12"/>
        <v>1</v>
      </c>
      <c r="N56" s="43">
        <f t="shared" si="13"/>
        <v>1</v>
      </c>
      <c r="O56" s="43">
        <f t="shared" si="14"/>
        <v>1</v>
      </c>
      <c r="P56" s="43">
        <f t="shared" si="15"/>
        <v>1</v>
      </c>
      <c r="Q56" s="43">
        <f t="shared" si="16"/>
        <v>1</v>
      </c>
      <c r="R56" s="165">
        <v>44</v>
      </c>
      <c r="S56" s="146">
        <v>3</v>
      </c>
      <c r="T56" s="146">
        <v>4</v>
      </c>
      <c r="U56" s="146">
        <v>3</v>
      </c>
      <c r="V56" s="146">
        <v>2</v>
      </c>
      <c r="W56" s="146">
        <v>2</v>
      </c>
      <c r="X56" s="146">
        <v>3</v>
      </c>
      <c r="Y56" s="146">
        <v>3</v>
      </c>
      <c r="AA56" s="184">
        <f t="shared" si="17"/>
        <v>0.99959237716030525</v>
      </c>
      <c r="AB56" s="184">
        <f t="shared" si="17"/>
        <v>0.99998485607904464</v>
      </c>
      <c r="AC56" s="184">
        <f t="shared" si="17"/>
        <v>0.99970126436878204</v>
      </c>
      <c r="AD56" s="184">
        <f t="shared" si="17"/>
        <v>0.99005664645578129</v>
      </c>
      <c r="AE56" s="184">
        <f t="shared" si="17"/>
        <v>0.99005664645578129</v>
      </c>
      <c r="AF56" s="184">
        <f t="shared" si="17"/>
        <v>0.99945877947971673</v>
      </c>
      <c r="AG56" s="184">
        <f t="shared" si="17"/>
        <v>0.99976535652206122</v>
      </c>
      <c r="AI56" s="214">
        <f t="shared" si="18"/>
        <v>2</v>
      </c>
      <c r="AJ56" s="214">
        <f t="shared" si="18"/>
        <v>3</v>
      </c>
      <c r="AK56" s="214">
        <f t="shared" si="18"/>
        <v>2</v>
      </c>
      <c r="AL56" s="214">
        <f t="shared" si="18"/>
        <v>1</v>
      </c>
      <c r="AM56" s="214">
        <f t="shared" si="18"/>
        <v>1</v>
      </c>
      <c r="AN56" s="214">
        <f t="shared" si="18"/>
        <v>2</v>
      </c>
      <c r="AO56" s="214">
        <f t="shared" si="18"/>
        <v>2</v>
      </c>
      <c r="AP56" s="206">
        <f t="shared" si="19"/>
        <v>0.89583333333333381</v>
      </c>
      <c r="AQ56" s="213">
        <f t="shared" si="20"/>
        <v>2</v>
      </c>
      <c r="AR56" s="213">
        <f t="shared" si="20"/>
        <v>3</v>
      </c>
      <c r="AS56" s="213">
        <f t="shared" si="20"/>
        <v>2</v>
      </c>
      <c r="AT56" s="213">
        <f t="shared" si="20"/>
        <v>1</v>
      </c>
      <c r="AU56" s="213">
        <f t="shared" si="20"/>
        <v>1</v>
      </c>
      <c r="AV56" s="213">
        <f t="shared" si="20"/>
        <v>2</v>
      </c>
      <c r="AW56" s="213">
        <f t="shared" si="20"/>
        <v>2</v>
      </c>
      <c r="AY56" s="186">
        <f t="shared" si="21"/>
        <v>4.3315669676946555</v>
      </c>
      <c r="AZ56" s="186">
        <f t="shared" si="21"/>
        <v>4.1999363955319877</v>
      </c>
      <c r="BA56" s="186">
        <f t="shared" si="21"/>
        <v>4.4320089387016006</v>
      </c>
      <c r="BB56" s="186">
        <f t="shared" si="21"/>
        <v>3.89422280939274</v>
      </c>
      <c r="BC56" s="186">
        <f t="shared" si="21"/>
        <v>3.6962114801015833</v>
      </c>
      <c r="BD56" s="186">
        <f t="shared" si="21"/>
        <v>4.364303337061429</v>
      </c>
      <c r="BE56" s="186">
        <f t="shared" si="21"/>
        <v>3.8657593785519699</v>
      </c>
    </row>
    <row r="57" spans="1:57" ht="12.75" x14ac:dyDescent="0.2">
      <c r="A57" s="181">
        <f t="shared" si="9"/>
        <v>3.3190476190476192</v>
      </c>
      <c r="B57" s="187">
        <f t="shared" si="22"/>
        <v>0.91666666666666718</v>
      </c>
      <c r="C57" s="135">
        <v>3.2333333333333338</v>
      </c>
      <c r="D57" s="135">
        <v>3.3333333333333335</v>
      </c>
      <c r="E57" s="135">
        <v>2.8000000000000003</v>
      </c>
      <c r="F57" s="135">
        <v>3.9</v>
      </c>
      <c r="G57" s="135">
        <v>3.4666666666666663</v>
      </c>
      <c r="H57" s="135">
        <v>3.6</v>
      </c>
      <c r="I57" s="135">
        <v>2.9</v>
      </c>
      <c r="J57" s="165">
        <v>45</v>
      </c>
      <c r="K57" s="43">
        <f t="shared" si="10"/>
        <v>1</v>
      </c>
      <c r="L57" s="43">
        <f t="shared" si="11"/>
        <v>1</v>
      </c>
      <c r="M57" s="43">
        <f t="shared" si="12"/>
        <v>1</v>
      </c>
      <c r="N57" s="43">
        <f t="shared" si="13"/>
        <v>1</v>
      </c>
      <c r="O57" s="43">
        <f t="shared" si="14"/>
        <v>1</v>
      </c>
      <c r="P57" s="43">
        <f t="shared" si="15"/>
        <v>1</v>
      </c>
      <c r="Q57" s="43">
        <f t="shared" si="16"/>
        <v>1</v>
      </c>
      <c r="R57" s="165">
        <v>45</v>
      </c>
      <c r="S57" s="146">
        <v>1</v>
      </c>
      <c r="T57" s="146">
        <v>2</v>
      </c>
      <c r="U57" s="146">
        <v>2</v>
      </c>
      <c r="V57" s="146">
        <v>1</v>
      </c>
      <c r="W57" s="146">
        <v>1</v>
      </c>
      <c r="X57" s="146">
        <v>1</v>
      </c>
      <c r="Y57" s="146">
        <v>1</v>
      </c>
      <c r="AA57" s="184">
        <f t="shared" si="17"/>
        <v>0.88750522291265477</v>
      </c>
      <c r="AB57" s="184">
        <f t="shared" si="17"/>
        <v>0.99444007181883887</v>
      </c>
      <c r="AC57" s="184">
        <f t="shared" si="17"/>
        <v>0.9957324220038708</v>
      </c>
      <c r="AD57" s="184">
        <f t="shared" si="17"/>
        <v>0.84039050173493002</v>
      </c>
      <c r="AE57" s="184">
        <f t="shared" si="17"/>
        <v>0.88421734261612717</v>
      </c>
      <c r="AF57" s="184">
        <f t="shared" si="17"/>
        <v>0.82898971712409542</v>
      </c>
      <c r="AG57" s="184">
        <f t="shared" si="17"/>
        <v>0.90695124826576556</v>
      </c>
      <c r="AI57" s="214">
        <f t="shared" si="18"/>
        <v>0</v>
      </c>
      <c r="AJ57" s="214">
        <f t="shared" si="18"/>
        <v>1</v>
      </c>
      <c r="AK57" s="214">
        <f t="shared" si="18"/>
        <v>1</v>
      </c>
      <c r="AL57" s="214">
        <f t="shared" si="18"/>
        <v>0</v>
      </c>
      <c r="AM57" s="214">
        <f t="shared" si="18"/>
        <v>0</v>
      </c>
      <c r="AN57" s="214">
        <f t="shared" si="18"/>
        <v>0</v>
      </c>
      <c r="AO57" s="214">
        <f t="shared" si="18"/>
        <v>0</v>
      </c>
      <c r="AP57" s="206">
        <f t="shared" si="19"/>
        <v>0.91666666666666718</v>
      </c>
      <c r="AQ57" s="213">
        <f t="shared" si="20"/>
        <v>0</v>
      </c>
      <c r="AR57" s="213">
        <f t="shared" si="20"/>
        <v>1</v>
      </c>
      <c r="AS57" s="213">
        <f t="shared" si="20"/>
        <v>1</v>
      </c>
      <c r="AT57" s="213">
        <f t="shared" si="20"/>
        <v>0</v>
      </c>
      <c r="AU57" s="213">
        <f t="shared" si="20"/>
        <v>0</v>
      </c>
      <c r="AV57" s="213">
        <f t="shared" si="20"/>
        <v>0</v>
      </c>
      <c r="AW57" s="213">
        <f t="shared" si="20"/>
        <v>0</v>
      </c>
      <c r="AY57" s="186">
        <f t="shared" si="21"/>
        <v>2.8696002207509177</v>
      </c>
      <c r="AZ57" s="186">
        <f t="shared" si="21"/>
        <v>3.3148002393961296</v>
      </c>
      <c r="BA57" s="186">
        <f t="shared" si="21"/>
        <v>2.7880507816108384</v>
      </c>
      <c r="BB57" s="186">
        <f t="shared" si="21"/>
        <v>3.277522956766227</v>
      </c>
      <c r="BC57" s="186">
        <f t="shared" si="21"/>
        <v>3.0652867877359071</v>
      </c>
      <c r="BD57" s="186">
        <f t="shared" si="21"/>
        <v>2.9843629816467434</v>
      </c>
      <c r="BE57" s="186">
        <f t="shared" si="21"/>
        <v>2.6301586199707199</v>
      </c>
    </row>
    <row r="58" spans="1:57" ht="12.75" x14ac:dyDescent="0.2">
      <c r="A58" s="181">
        <f t="shared" si="9"/>
        <v>2.3857142857142861</v>
      </c>
      <c r="B58" s="187">
        <f t="shared" si="22"/>
        <v>0.93750000000000056</v>
      </c>
      <c r="C58" s="135">
        <v>2.1333333333333333</v>
      </c>
      <c r="D58" s="135">
        <v>2.1333333333333333</v>
      </c>
      <c r="E58" s="135">
        <v>1.8333333333333333</v>
      </c>
      <c r="F58" s="135">
        <v>2.7666666666666671</v>
      </c>
      <c r="G58" s="135">
        <v>2.9</v>
      </c>
      <c r="H58" s="135">
        <v>2.9333333333333336</v>
      </c>
      <c r="I58" s="135">
        <v>2</v>
      </c>
      <c r="J58" s="165">
        <v>46</v>
      </c>
      <c r="K58" s="43">
        <f t="shared" si="10"/>
        <v>1</v>
      </c>
      <c r="L58" s="43">
        <f t="shared" si="11"/>
        <v>1</v>
      </c>
      <c r="M58" s="43">
        <f t="shared" si="12"/>
        <v>1</v>
      </c>
      <c r="N58" s="43">
        <f t="shared" si="13"/>
        <v>1</v>
      </c>
      <c r="O58" s="43">
        <f t="shared" si="14"/>
        <v>1</v>
      </c>
      <c r="P58" s="43">
        <f t="shared" si="15"/>
        <v>1</v>
      </c>
      <c r="Q58" s="43">
        <f t="shared" si="16"/>
        <v>1</v>
      </c>
      <c r="R58" s="165">
        <v>46</v>
      </c>
      <c r="S58" s="146">
        <v>1</v>
      </c>
      <c r="T58" s="146">
        <v>1</v>
      </c>
      <c r="U58" s="146">
        <v>1</v>
      </c>
      <c r="V58" s="146">
        <v>1</v>
      </c>
      <c r="W58" s="146">
        <v>1</v>
      </c>
      <c r="X58" s="146">
        <v>1</v>
      </c>
      <c r="Y58" s="146">
        <v>1</v>
      </c>
      <c r="AA58" s="184">
        <f t="shared" si="17"/>
        <v>0.92746216025399031</v>
      </c>
      <c r="AB58" s="184">
        <f t="shared" si="17"/>
        <v>0.92534209974781756</v>
      </c>
      <c r="AC58" s="184">
        <f t="shared" si="17"/>
        <v>0.93481708672110753</v>
      </c>
      <c r="AD58" s="184">
        <f t="shared" si="17"/>
        <v>0.88421734261612717</v>
      </c>
      <c r="AE58" s="184">
        <f t="shared" si="17"/>
        <v>0.88421734261612717</v>
      </c>
      <c r="AF58" s="184">
        <f t="shared" si="17"/>
        <v>0.8759470757908322</v>
      </c>
      <c r="AG58" s="184">
        <f t="shared" si="17"/>
        <v>0.94000116612859697</v>
      </c>
      <c r="AI58" s="214">
        <f t="shared" si="18"/>
        <v>0</v>
      </c>
      <c r="AJ58" s="214">
        <f t="shared" si="18"/>
        <v>0</v>
      </c>
      <c r="AK58" s="214">
        <f t="shared" si="18"/>
        <v>0</v>
      </c>
      <c r="AL58" s="214">
        <f t="shared" si="18"/>
        <v>0</v>
      </c>
      <c r="AM58" s="214">
        <f t="shared" si="18"/>
        <v>0</v>
      </c>
      <c r="AN58" s="214">
        <f t="shared" si="18"/>
        <v>0</v>
      </c>
      <c r="AO58" s="214">
        <f t="shared" si="18"/>
        <v>0</v>
      </c>
      <c r="AP58" s="206">
        <f t="shared" si="19"/>
        <v>0.93750000000000056</v>
      </c>
      <c r="AQ58" s="213">
        <f t="shared" si="20"/>
        <v>0</v>
      </c>
      <c r="AR58" s="213">
        <f t="shared" si="20"/>
        <v>0</v>
      </c>
      <c r="AS58" s="213">
        <f t="shared" si="20"/>
        <v>0</v>
      </c>
      <c r="AT58" s="213">
        <f t="shared" si="20"/>
        <v>0</v>
      </c>
      <c r="AU58" s="213">
        <f t="shared" si="20"/>
        <v>0</v>
      </c>
      <c r="AV58" s="213">
        <f t="shared" si="20"/>
        <v>0</v>
      </c>
      <c r="AW58" s="213">
        <f t="shared" si="20"/>
        <v>0</v>
      </c>
      <c r="AY58" s="186">
        <f t="shared" si="21"/>
        <v>1.9785859418751792</v>
      </c>
      <c r="AZ58" s="186">
        <f t="shared" si="21"/>
        <v>1.9740631461286775</v>
      </c>
      <c r="BA58" s="186">
        <f t="shared" si="21"/>
        <v>1.7138313256553637</v>
      </c>
      <c r="BB58" s="186">
        <f t="shared" si="21"/>
        <v>2.4463346479046186</v>
      </c>
      <c r="BC58" s="186">
        <f t="shared" si="21"/>
        <v>2.5642302935867689</v>
      </c>
      <c r="BD58" s="186">
        <f t="shared" si="21"/>
        <v>2.5694447556531079</v>
      </c>
      <c r="BE58" s="186">
        <f t="shared" si="21"/>
        <v>1.8800023322571939</v>
      </c>
    </row>
    <row r="59" spans="1:57" ht="12.75" x14ac:dyDescent="0.2">
      <c r="A59" s="181">
        <f t="shared" si="9"/>
        <v>1.2285714285714284</v>
      </c>
      <c r="B59" s="187">
        <f t="shared" si="22"/>
        <v>0.95833333333333393</v>
      </c>
      <c r="C59" s="135">
        <v>0.95</v>
      </c>
      <c r="D59" s="135">
        <v>1.1499999999999999</v>
      </c>
      <c r="E59" s="135">
        <v>0.8</v>
      </c>
      <c r="F59" s="135">
        <v>1</v>
      </c>
      <c r="G59" s="135">
        <v>2</v>
      </c>
      <c r="H59" s="135">
        <v>1.35</v>
      </c>
      <c r="I59" s="135">
        <v>1.35</v>
      </c>
      <c r="J59" s="165">
        <v>47</v>
      </c>
      <c r="K59" s="43">
        <f t="shared" si="10"/>
        <v>1</v>
      </c>
      <c r="L59" s="43">
        <f t="shared" si="11"/>
        <v>1</v>
      </c>
      <c r="M59" s="43">
        <f t="shared" si="12"/>
        <v>1</v>
      </c>
      <c r="N59" s="43">
        <f t="shared" si="13"/>
        <v>1</v>
      </c>
      <c r="O59" s="43">
        <f t="shared" si="14"/>
        <v>1</v>
      </c>
      <c r="P59" s="43">
        <f t="shared" si="15"/>
        <v>1</v>
      </c>
      <c r="Q59" s="43">
        <f t="shared" si="16"/>
        <v>1</v>
      </c>
      <c r="R59" s="165">
        <v>47</v>
      </c>
      <c r="S59" s="146">
        <v>1</v>
      </c>
      <c r="T59" s="146">
        <v>1</v>
      </c>
      <c r="U59" s="146">
        <v>1</v>
      </c>
      <c r="V59" s="146">
        <v>1</v>
      </c>
      <c r="W59" s="146">
        <v>1</v>
      </c>
      <c r="X59" s="146">
        <v>1</v>
      </c>
      <c r="Y59" s="146">
        <v>1</v>
      </c>
      <c r="AA59" s="184">
        <f>ServiceLevel(C59,$B$10,K$10,$C$6,S59)</f>
        <v>0.96492011675173794</v>
      </c>
      <c r="AB59" s="184">
        <f t="shared" si="17"/>
        <v>0.96389483842395474</v>
      </c>
      <c r="AC59" s="184">
        <f t="shared" si="17"/>
        <v>0.96847701840016642</v>
      </c>
      <c r="AD59" s="184">
        <f t="shared" si="17"/>
        <v>0.96389483842395474</v>
      </c>
      <c r="AE59" s="184">
        <f t="shared" si="17"/>
        <v>0.92534209974781756</v>
      </c>
      <c r="AF59" s="184">
        <f t="shared" si="17"/>
        <v>0.96131587429624188</v>
      </c>
      <c r="AG59" s="184">
        <f t="shared" si="17"/>
        <v>0.97098408093471689</v>
      </c>
      <c r="AI59" s="214">
        <f t="shared" si="18"/>
        <v>0</v>
      </c>
      <c r="AJ59" s="214">
        <f t="shared" si="18"/>
        <v>0</v>
      </c>
      <c r="AK59" s="214">
        <f t="shared" si="18"/>
        <v>0</v>
      </c>
      <c r="AL59" s="214">
        <f t="shared" si="18"/>
        <v>0</v>
      </c>
      <c r="AM59" s="214">
        <f t="shared" si="18"/>
        <v>0</v>
      </c>
      <c r="AN59" s="214">
        <f t="shared" si="18"/>
        <v>0</v>
      </c>
      <c r="AO59" s="214">
        <f t="shared" si="18"/>
        <v>0</v>
      </c>
      <c r="AP59" s="206">
        <f t="shared" si="19"/>
        <v>0.95833333333333393</v>
      </c>
      <c r="AQ59" s="213">
        <f t="shared" si="20"/>
        <v>0</v>
      </c>
      <c r="AR59" s="213">
        <f t="shared" si="20"/>
        <v>0</v>
      </c>
      <c r="AS59" s="213">
        <f t="shared" si="20"/>
        <v>0</v>
      </c>
      <c r="AT59" s="213">
        <f t="shared" si="20"/>
        <v>0</v>
      </c>
      <c r="AU59" s="213">
        <f t="shared" si="20"/>
        <v>0</v>
      </c>
      <c r="AV59" s="213">
        <f t="shared" si="20"/>
        <v>0</v>
      </c>
      <c r="AW59" s="213">
        <f t="shared" si="20"/>
        <v>0</v>
      </c>
      <c r="AY59" s="186">
        <f t="shared" si="21"/>
        <v>0.91667411091415096</v>
      </c>
      <c r="AZ59" s="186">
        <f t="shared" si="21"/>
        <v>1.1084790641875479</v>
      </c>
      <c r="BA59" s="186">
        <f t="shared" si="21"/>
        <v>0.77478161472013318</v>
      </c>
      <c r="BB59" s="186">
        <f t="shared" si="21"/>
        <v>0.96389483842395474</v>
      </c>
      <c r="BC59" s="186">
        <f t="shared" si="21"/>
        <v>1.8506841994956351</v>
      </c>
      <c r="BD59" s="186">
        <f t="shared" si="21"/>
        <v>1.2977764302999266</v>
      </c>
      <c r="BE59" s="186">
        <f t="shared" si="21"/>
        <v>1.3108285092618679</v>
      </c>
    </row>
    <row r="60" spans="1:57" ht="13.5" thickBot="1" x14ac:dyDescent="0.25">
      <c r="A60" s="181">
        <f t="shared" si="9"/>
        <v>0.70714285714285707</v>
      </c>
      <c r="B60" s="187">
        <f t="shared" si="22"/>
        <v>0.9791666666666673</v>
      </c>
      <c r="C60" s="135">
        <v>0.85</v>
      </c>
      <c r="D60" s="135">
        <v>0.7</v>
      </c>
      <c r="E60" s="135">
        <v>0.7</v>
      </c>
      <c r="F60" s="135">
        <v>0.45</v>
      </c>
      <c r="G60" s="135">
        <v>1</v>
      </c>
      <c r="H60" s="135">
        <v>0.6</v>
      </c>
      <c r="I60" s="135">
        <v>0.64999999999999991</v>
      </c>
      <c r="J60" s="165">
        <v>48</v>
      </c>
      <c r="K60" s="43">
        <f t="shared" si="10"/>
        <v>1</v>
      </c>
      <c r="L60" s="43">
        <f t="shared" si="11"/>
        <v>1</v>
      </c>
      <c r="M60" s="43">
        <f t="shared" si="12"/>
        <v>1</v>
      </c>
      <c r="N60" s="43">
        <f t="shared" si="13"/>
        <v>0</v>
      </c>
      <c r="O60" s="43">
        <f t="shared" si="14"/>
        <v>1</v>
      </c>
      <c r="P60" s="43">
        <f t="shared" si="15"/>
        <v>1</v>
      </c>
      <c r="Q60" s="43">
        <f t="shared" si="16"/>
        <v>1</v>
      </c>
      <c r="R60" s="165">
        <v>48</v>
      </c>
      <c r="S60" s="146">
        <v>1</v>
      </c>
      <c r="T60" s="146">
        <v>1</v>
      </c>
      <c r="U60" s="146">
        <v>1</v>
      </c>
      <c r="V60" s="146">
        <v>1</v>
      </c>
      <c r="W60" s="146">
        <v>1</v>
      </c>
      <c r="X60" s="146">
        <v>1</v>
      </c>
      <c r="Y60" s="146">
        <v>1</v>
      </c>
      <c r="AA60" s="184">
        <f t="shared" si="17"/>
        <v>0.96492011675173794</v>
      </c>
      <c r="AB60" s="184">
        <f t="shared" si="17"/>
        <v>0.96389483842395474</v>
      </c>
      <c r="AC60" s="184">
        <f t="shared" si="17"/>
        <v>0.96847701840016642</v>
      </c>
      <c r="AD60" s="184">
        <f t="shared" si="17"/>
        <v>0.42331478480422602</v>
      </c>
      <c r="AE60" s="184">
        <f t="shared" si="17"/>
        <v>0.96389483842395474</v>
      </c>
      <c r="AF60" s="184">
        <f t="shared" si="17"/>
        <v>0.96131587429624188</v>
      </c>
      <c r="AG60" s="184">
        <f t="shared" si="17"/>
        <v>0.97098408093471689</v>
      </c>
      <c r="AI60" s="214">
        <f t="shared" si="18"/>
        <v>0</v>
      </c>
      <c r="AJ60" s="214">
        <f t="shared" si="18"/>
        <v>0</v>
      </c>
      <c r="AK60" s="214">
        <f t="shared" si="18"/>
        <v>0</v>
      </c>
      <c r="AL60" s="214">
        <f t="shared" si="18"/>
        <v>1</v>
      </c>
      <c r="AM60" s="214">
        <f t="shared" si="18"/>
        <v>0</v>
      </c>
      <c r="AN60" s="214">
        <f t="shared" si="18"/>
        <v>0</v>
      </c>
      <c r="AO60" s="214">
        <f t="shared" si="18"/>
        <v>0</v>
      </c>
      <c r="AP60" s="206">
        <f t="shared" si="19"/>
        <v>0.9791666666666673</v>
      </c>
      <c r="AQ60" s="213">
        <f t="shared" si="20"/>
        <v>0</v>
      </c>
      <c r="AR60" s="213">
        <f>T60/L60-1</f>
        <v>0</v>
      </c>
      <c r="AS60" s="213">
        <f t="shared" si="20"/>
        <v>0</v>
      </c>
      <c r="AT60" s="213" t="e">
        <f t="shared" si="20"/>
        <v>#DIV/0!</v>
      </c>
      <c r="AU60" s="213">
        <f t="shared" si="20"/>
        <v>0</v>
      </c>
      <c r="AV60" s="213">
        <f t="shared" si="20"/>
        <v>0</v>
      </c>
      <c r="AW60" s="213">
        <f t="shared" si="20"/>
        <v>0</v>
      </c>
      <c r="AY60" s="186">
        <f t="shared" si="21"/>
        <v>0.82018209923897722</v>
      </c>
      <c r="AZ60" s="186">
        <f t="shared" si="21"/>
        <v>0.67472638689676823</v>
      </c>
      <c r="BA60" s="186">
        <f t="shared" si="21"/>
        <v>0.67793391288011651</v>
      </c>
      <c r="BB60" s="186">
        <f t="shared" si="21"/>
        <v>0.19049165316190173</v>
      </c>
      <c r="BC60" s="186">
        <f t="shared" si="21"/>
        <v>0.96389483842395474</v>
      </c>
      <c r="BD60" s="186">
        <f t="shared" si="21"/>
        <v>0.57678952457774513</v>
      </c>
      <c r="BE60" s="186">
        <f t="shared" si="21"/>
        <v>0.63113965260756588</v>
      </c>
    </row>
    <row r="61" spans="1:57" ht="15.75" thickBot="1" x14ac:dyDescent="0.3">
      <c r="A61" s="188">
        <f>SUM(K61:Q61)</f>
        <v>139</v>
      </c>
      <c r="B61" s="189">
        <f>SUM(C61:I61)</f>
        <v>855.66666666666663</v>
      </c>
      <c r="C61" s="257">
        <f t="shared" ref="C61:I61" si="23">SUM(C13:C60)</f>
        <v>137.83333333333331</v>
      </c>
      <c r="D61" s="257">
        <f t="shared" si="23"/>
        <v>120.21666666666668</v>
      </c>
      <c r="E61" s="257">
        <f t="shared" si="23"/>
        <v>129.08333333333331</v>
      </c>
      <c r="F61" s="257">
        <f t="shared" si="23"/>
        <v>116.58333333333334</v>
      </c>
      <c r="G61" s="257">
        <f t="shared" si="23"/>
        <v>116.63333333333334</v>
      </c>
      <c r="H61" s="257">
        <f t="shared" si="23"/>
        <v>121.19999999999999</v>
      </c>
      <c r="I61" s="257">
        <f t="shared" si="23"/>
        <v>114.11666666666666</v>
      </c>
      <c r="K61" s="193">
        <f>SUM(K13:K60)/2</f>
        <v>25</v>
      </c>
      <c r="L61" s="191">
        <f t="shared" ref="L61:Q61" si="24">SUM(L13:L60)/2</f>
        <v>21.5</v>
      </c>
      <c r="M61" s="191">
        <f t="shared" si="24"/>
        <v>18</v>
      </c>
      <c r="N61" s="191">
        <f t="shared" si="24"/>
        <v>19.5</v>
      </c>
      <c r="O61" s="191">
        <f t="shared" si="24"/>
        <v>19</v>
      </c>
      <c r="P61" s="191">
        <f t="shared" si="24"/>
        <v>18.5</v>
      </c>
      <c r="Q61" s="192">
        <f t="shared" si="24"/>
        <v>17.5</v>
      </c>
      <c r="S61" s="193">
        <v>61</v>
      </c>
      <c r="T61" s="193">
        <v>62.5</v>
      </c>
      <c r="U61" s="193">
        <v>64.5</v>
      </c>
      <c r="V61" s="193">
        <v>64.5</v>
      </c>
      <c r="W61" s="193">
        <v>54.5</v>
      </c>
      <c r="X61" s="193">
        <v>62.5</v>
      </c>
      <c r="Y61" s="193">
        <v>55</v>
      </c>
      <c r="AI61" s="21"/>
      <c r="AJ61" s="21"/>
      <c r="AK61" s="21"/>
      <c r="AL61" s="21"/>
      <c r="AM61" s="21"/>
      <c r="AN61" s="21"/>
      <c r="AO61" s="21"/>
      <c r="AP61" s="21" t="s">
        <v>161</v>
      </c>
      <c r="AQ61" s="215">
        <f>COUNTIF(AQ13:AQ60,$AP$61)/48</f>
        <v>0</v>
      </c>
      <c r="AR61" s="216">
        <f t="shared" ref="AR61:AW61" si="25">COUNTIF(AR13:AR60,$AP$61)/48</f>
        <v>0</v>
      </c>
      <c r="AS61" s="216">
        <f t="shared" si="25"/>
        <v>0</v>
      </c>
      <c r="AT61" s="216">
        <f t="shared" si="25"/>
        <v>0</v>
      </c>
      <c r="AU61" s="216">
        <f t="shared" si="25"/>
        <v>0</v>
      </c>
      <c r="AV61" s="216">
        <f t="shared" si="25"/>
        <v>0</v>
      </c>
      <c r="AW61" s="217">
        <f t="shared" si="25"/>
        <v>0</v>
      </c>
    </row>
    <row r="62" spans="1:57" ht="15.75" thickBot="1" x14ac:dyDescent="0.3">
      <c r="A62" s="188">
        <f>SUM(S61:Y61)</f>
        <v>424.5</v>
      </c>
      <c r="C62" s="258">
        <v>107</v>
      </c>
      <c r="D62" s="258">
        <v>109</v>
      </c>
      <c r="E62" s="259">
        <v>100</v>
      </c>
      <c r="F62" s="258">
        <v>109</v>
      </c>
      <c r="G62" s="259">
        <v>109</v>
      </c>
      <c r="H62" s="259">
        <v>114</v>
      </c>
      <c r="I62" s="259">
        <v>95</v>
      </c>
      <c r="AP62" s="21" t="s">
        <v>164</v>
      </c>
      <c r="AQ62" s="215">
        <f>COUNTIF(AQ13:AQ60,$AP$62)/48</f>
        <v>0.625</v>
      </c>
      <c r="AR62" s="215">
        <f t="shared" ref="AR62:AV62" si="26">COUNTIF(AR13:AR60,$AP$62)/48</f>
        <v>0.64583333333333337</v>
      </c>
      <c r="AS62" s="215">
        <f t="shared" si="26"/>
        <v>0.64583333333333337</v>
      </c>
      <c r="AT62" s="215">
        <f t="shared" si="26"/>
        <v>0.625</v>
      </c>
      <c r="AU62" s="215">
        <f t="shared" si="26"/>
        <v>0.625</v>
      </c>
      <c r="AV62" s="215">
        <f t="shared" si="26"/>
        <v>0.625</v>
      </c>
      <c r="AW62" s="215">
        <f>COUNTIF(AW13:AW60,$AP$62)/48</f>
        <v>0.625</v>
      </c>
    </row>
    <row r="63" spans="1:57" x14ac:dyDescent="0.2">
      <c r="C63" s="195">
        <f>C61/$B$61</f>
        <v>0.16108297623685233</v>
      </c>
      <c r="D63" s="195">
        <f t="shared" ref="D63:I63" si="27">D61/$B$61</f>
        <v>0.14049474094273473</v>
      </c>
      <c r="E63" s="195">
        <f t="shared" si="27"/>
        <v>0.15085703155434357</v>
      </c>
      <c r="F63" s="195">
        <f t="shared" si="27"/>
        <v>0.13624853915075966</v>
      </c>
      <c r="G63" s="195">
        <f t="shared" si="27"/>
        <v>0.13630697312037399</v>
      </c>
      <c r="H63" s="195">
        <f t="shared" si="27"/>
        <v>0.14164394234514999</v>
      </c>
      <c r="I63" s="195">
        <f t="shared" si="27"/>
        <v>0.13336579664978573</v>
      </c>
      <c r="K63" s="195">
        <f>K61/$A$61</f>
        <v>0.17985611510791366</v>
      </c>
      <c r="L63" s="195">
        <f t="shared" ref="L63:Q63" si="28">L61/$A$61</f>
        <v>0.15467625899280577</v>
      </c>
      <c r="M63" s="195">
        <f t="shared" si="28"/>
        <v>0.12949640287769784</v>
      </c>
      <c r="N63" s="195">
        <f t="shared" si="28"/>
        <v>0.14028776978417265</v>
      </c>
      <c r="O63" s="195">
        <f t="shared" si="28"/>
        <v>0.1366906474820144</v>
      </c>
      <c r="P63" s="195">
        <f t="shared" si="28"/>
        <v>0.13309352517985612</v>
      </c>
      <c r="Q63" s="195">
        <f t="shared" si="28"/>
        <v>0.12589928057553956</v>
      </c>
      <c r="S63" s="195">
        <f>S61/$A$62</f>
        <v>0.143698468786808</v>
      </c>
      <c r="T63" s="195">
        <f t="shared" ref="T63:Y63" si="29">T61/$A$62</f>
        <v>0.14723203769140164</v>
      </c>
      <c r="U63" s="195">
        <f t="shared" si="29"/>
        <v>0.1519434628975265</v>
      </c>
      <c r="V63" s="195">
        <f t="shared" si="29"/>
        <v>0.1519434628975265</v>
      </c>
      <c r="W63" s="195">
        <f t="shared" si="29"/>
        <v>0.12838633686690223</v>
      </c>
      <c r="X63" s="195">
        <f t="shared" si="29"/>
        <v>0.14723203769140164</v>
      </c>
      <c r="Y63" s="195">
        <f t="shared" si="29"/>
        <v>0.12956419316843346</v>
      </c>
    </row>
    <row r="65" spans="11:45" x14ac:dyDescent="0.2">
      <c r="K65" s="306" t="str">
        <f>"ETP HEBDO =  "&amp;A61/40</f>
        <v>ETP HEBDO =  3,475</v>
      </c>
      <c r="L65" s="306"/>
      <c r="M65" s="306"/>
      <c r="N65" s="306"/>
      <c r="O65" s="306"/>
      <c r="P65" s="306"/>
      <c r="Q65" s="306"/>
      <c r="S65" s="307" t="str">
        <f>"ETP HEBDO =  "&amp;A62/40</f>
        <v>ETP HEBDO =  10,6125</v>
      </c>
      <c r="T65" s="307"/>
      <c r="U65" s="307"/>
      <c r="V65" s="307"/>
      <c r="W65" s="307"/>
      <c r="X65" s="307"/>
      <c r="Y65" s="307"/>
      <c r="AP65" s="165" t="s">
        <v>162</v>
      </c>
      <c r="AQ65" s="309" t="s">
        <v>149</v>
      </c>
      <c r="AR65" s="309"/>
      <c r="AS65" s="196">
        <f>COUNTIF(AI13:AO60, AP65)</f>
        <v>0</v>
      </c>
    </row>
    <row r="68" spans="11:45" x14ac:dyDescent="0.2">
      <c r="AP68" s="165" t="s">
        <v>163</v>
      </c>
      <c r="AQ68" s="305" t="s">
        <v>152</v>
      </c>
      <c r="AR68" s="305"/>
      <c r="AS68" s="196">
        <f>COUNTIF(AI13:AO60, AP68)</f>
        <v>0</v>
      </c>
    </row>
    <row r="70" spans="11:45" ht="12.75" x14ac:dyDescent="0.2">
      <c r="AP70" s="165" t="s">
        <v>161</v>
      </c>
      <c r="AQ70" s="221">
        <f>COUNTIF(AQ13:AW60,AP70)/336</f>
        <v>0</v>
      </c>
      <c r="AR70" s="203" t="s">
        <v>153</v>
      </c>
    </row>
    <row r="71" spans="11:45" ht="12.75" x14ac:dyDescent="0.2">
      <c r="AP71" s="21" t="s">
        <v>164</v>
      </c>
      <c r="AQ71" s="221">
        <f>COUNTIF(AQ13:AW60,AP71)/336</f>
        <v>0.63095238095238093</v>
      </c>
      <c r="AR71" s="203" t="s">
        <v>167</v>
      </c>
    </row>
  </sheetData>
  <mergeCells count="14">
    <mergeCell ref="S7:Y7"/>
    <mergeCell ref="A4:B4"/>
    <mergeCell ref="A6:B6"/>
    <mergeCell ref="A8:B8"/>
    <mergeCell ref="C11:I11"/>
    <mergeCell ref="K11:Q11"/>
    <mergeCell ref="AQ68:AR68"/>
    <mergeCell ref="K65:Q65"/>
    <mergeCell ref="S65:Y65"/>
    <mergeCell ref="AA11:AG11"/>
    <mergeCell ref="AI11:AO11"/>
    <mergeCell ref="AQ11:AW11"/>
    <mergeCell ref="AQ65:AR65"/>
    <mergeCell ref="S11:Y11"/>
  </mergeCells>
  <conditionalFormatting sqref="AA13:AG60">
    <cfRule type="cellIs" dxfId="1722" priority="80" operator="lessThan">
      <formula>0.8</formula>
    </cfRule>
    <cfRule type="cellIs" dxfId="1721" priority="81" operator="greaterThan">
      <formula>0.9</formula>
    </cfRule>
    <cfRule type="cellIs" dxfId="1720" priority="82" operator="between">
      <formula>0.8</formula>
      <formula>0.9</formula>
    </cfRule>
  </conditionalFormatting>
  <conditionalFormatting sqref="AQ10:AW10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60">
    <cfRule type="cellIs" dxfId="1719" priority="56" operator="between">
      <formula>-9</formula>
      <formula>-1</formula>
    </cfRule>
    <cfRule type="cellIs" dxfId="1718" priority="57" operator="between">
      <formula>1</formula>
      <formula>9</formula>
    </cfRule>
    <cfRule type="cellIs" dxfId="1717" priority="58" operator="lessThan">
      <formula>-9</formula>
    </cfRule>
    <cfRule type="cellIs" dxfId="1716" priority="59" operator="greaterThan">
      <formula>9</formula>
    </cfRule>
  </conditionalFormatting>
  <conditionalFormatting sqref="AA10:AG10">
    <cfRule type="cellIs" dxfId="1715" priority="55" operator="lessThan">
      <formula>0.8</formula>
    </cfRule>
  </conditionalFormatting>
  <conditionalFormatting sqref="K10:Q1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3:AW60">
    <cfRule type="cellIs" dxfId="1714" priority="33" operator="between">
      <formula>-9</formula>
      <formula>-1</formula>
    </cfRule>
    <cfRule type="cellIs" dxfId="1713" priority="34" operator="between">
      <formula>1</formula>
      <formula>9</formula>
    </cfRule>
    <cfRule type="cellIs" dxfId="1712" priority="35" operator="lessThan">
      <formula>-9</formula>
    </cfRule>
    <cfRule type="cellIs" dxfId="1711" priority="36" operator="greaterThan">
      <formula>9</formula>
    </cfRule>
  </conditionalFormatting>
  <conditionalFormatting sqref="AQ13:AW60">
    <cfRule type="cellIs" dxfId="1710" priority="29" operator="lessThan">
      <formula>-0.1</formula>
    </cfRule>
  </conditionalFormatting>
  <conditionalFormatting sqref="AI13:AO60">
    <cfRule type="cellIs" dxfId="1709" priority="26" operator="greaterThan">
      <formula>10</formula>
    </cfRule>
    <cfRule type="cellIs" dxfId="1708" priority="27" operator="lessThan">
      <formula>-10</formula>
    </cfRule>
    <cfRule type="cellIs" dxfId="1707" priority="28" operator="lessThan">
      <formula>0</formula>
    </cfRule>
  </conditionalFormatting>
  <conditionalFormatting sqref="AQ61:AW61">
    <cfRule type="cellIs" dxfId="1706" priority="9" operator="between">
      <formula>-9</formula>
      <formula>-1</formula>
    </cfRule>
    <cfRule type="cellIs" dxfId="1705" priority="10" operator="between">
      <formula>1</formula>
      <formula>9</formula>
    </cfRule>
    <cfRule type="cellIs" dxfId="1704" priority="11" operator="lessThan">
      <formula>-9</formula>
    </cfRule>
    <cfRule type="cellIs" dxfId="1703" priority="12" operator="greaterThan">
      <formula>9</formula>
    </cfRule>
  </conditionalFormatting>
  <conditionalFormatting sqref="AS68">
    <cfRule type="cellIs" dxfId="1702" priority="8" operator="greaterThan">
      <formula>0</formula>
    </cfRule>
  </conditionalFormatting>
  <conditionalFormatting sqref="AQ70">
    <cfRule type="cellIs" dxfId="1701" priority="7" operator="greaterThan">
      <formula>0.1</formula>
    </cfRule>
  </conditionalFormatting>
  <conditionalFormatting sqref="AS65">
    <cfRule type="cellIs" dxfId="1700" priority="6" operator="greaterThan">
      <formula>0</formula>
    </cfRule>
  </conditionalFormatting>
  <conditionalFormatting sqref="AQ61:AW61">
    <cfRule type="cellIs" dxfId="1699" priority="5" operator="lessThan">
      <formula>-0.1</formula>
    </cfRule>
  </conditionalFormatting>
  <conditionalFormatting sqref="AQ61:AW61">
    <cfRule type="cellIs" dxfId="1698" priority="4" operator="greaterThan">
      <formula>0.1499</formula>
    </cfRule>
  </conditionalFormatting>
  <conditionalFormatting sqref="AQ62:AW62">
    <cfRule type="cellIs" dxfId="1697" priority="3" operator="greaterThan">
      <formula>0.2</formula>
    </cfRule>
  </conditionalFormatting>
  <conditionalFormatting sqref="AQ71">
    <cfRule type="cellIs" dxfId="1696" priority="2" operator="greaterThan">
      <formula>0.15</formula>
    </cfRule>
  </conditionalFormatting>
  <conditionalFormatting sqref="C13:I6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ignoredErrors>
    <ignoredError sqref="AT59:AT60" evalError="1"/>
  </ignoredErrors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70C0"/>
  </sheetPr>
  <dimension ref="A1:BE71"/>
  <sheetViews>
    <sheetView topLeftCell="A7" zoomScale="80" zoomScaleNormal="80" workbookViewId="0">
      <selection activeCell="K10" sqref="K10:Q10"/>
    </sheetView>
  </sheetViews>
  <sheetFormatPr baseColWidth="10" defaultRowHeight="11.25" x14ac:dyDescent="0.2"/>
  <cols>
    <col min="1" max="2" width="11.42578125" style="165"/>
    <col min="3" max="3" width="8" style="165" bestFit="1" customWidth="1"/>
    <col min="4" max="4" width="6.5703125" style="165" bestFit="1" customWidth="1"/>
    <col min="5" max="5" width="8.85546875" style="165" bestFit="1" customWidth="1"/>
    <col min="6" max="6" width="6.5703125" style="165" bestFit="1" customWidth="1"/>
    <col min="7" max="7" width="9.28515625" style="165" bestFit="1" customWidth="1"/>
    <col min="8" max="8" width="7.5703125" style="165" bestFit="1" customWidth="1"/>
    <col min="9" max="9" width="9.7109375" style="165" bestFit="1" customWidth="1"/>
    <col min="10" max="10" width="12.140625" style="165" bestFit="1" customWidth="1"/>
    <col min="11" max="12" width="6.5703125" style="165" bestFit="1" customWidth="1"/>
    <col min="13" max="13" width="8.85546875" style="165" bestFit="1" customWidth="1"/>
    <col min="14" max="14" width="6.5703125" style="165" bestFit="1" customWidth="1"/>
    <col min="15" max="15" width="9.28515625" style="165" bestFit="1" customWidth="1"/>
    <col min="16" max="16" width="7.5703125" style="165" bestFit="1" customWidth="1"/>
    <col min="17" max="17" width="9.7109375" style="165" bestFit="1" customWidth="1"/>
    <col min="18" max="18" width="11.42578125" style="165"/>
    <col min="19" max="20" width="5.85546875" style="165" bestFit="1" customWidth="1"/>
    <col min="21" max="21" width="8.7109375" style="165" bestFit="1" customWidth="1"/>
    <col min="22" max="22" width="5.7109375" style="165" bestFit="1" customWidth="1"/>
    <col min="23" max="23" width="9.140625" style="165" bestFit="1" customWidth="1"/>
    <col min="24" max="24" width="7.42578125" style="165" bestFit="1" customWidth="1"/>
    <col min="25" max="25" width="9.5703125" style="165" bestFit="1" customWidth="1"/>
    <col min="26" max="26" width="11.42578125" style="165"/>
    <col min="27" max="28" width="6" style="165" bestFit="1" customWidth="1"/>
    <col min="29" max="29" width="8.7109375" style="165" bestFit="1" customWidth="1"/>
    <col min="30" max="30" width="6" style="165" bestFit="1" customWidth="1"/>
    <col min="31" max="31" width="9.140625" style="165" bestFit="1" customWidth="1"/>
    <col min="32" max="32" width="7.42578125" style="165" bestFit="1" customWidth="1"/>
    <col min="33" max="33" width="9.5703125" style="165" bestFit="1" customWidth="1"/>
    <col min="34" max="34" width="11.42578125" style="165"/>
    <col min="35" max="36" width="5.85546875" style="165" bestFit="1" customWidth="1"/>
    <col min="37" max="37" width="8.7109375" style="165" bestFit="1" customWidth="1"/>
    <col min="38" max="38" width="5.7109375" style="165" bestFit="1" customWidth="1"/>
    <col min="39" max="39" width="9.140625" style="165" bestFit="1" customWidth="1"/>
    <col min="40" max="40" width="7.42578125" style="165" bestFit="1" customWidth="1"/>
    <col min="41" max="41" width="9.5703125" style="165" bestFit="1" customWidth="1"/>
    <col min="42" max="42" width="11.42578125" style="165"/>
    <col min="43" max="44" width="6.5703125" style="165" bestFit="1" customWidth="1"/>
    <col min="45" max="45" width="8.85546875" style="165" bestFit="1" customWidth="1"/>
    <col min="46" max="46" width="6.5703125" style="165" bestFit="1" customWidth="1"/>
    <col min="47" max="47" width="9.28515625" style="165" bestFit="1" customWidth="1"/>
    <col min="48" max="48" width="7.5703125" style="165" bestFit="1" customWidth="1"/>
    <col min="49" max="49" width="9.5703125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C2" s="167">
        <v>0.7</v>
      </c>
      <c r="K2" s="168">
        <f>K10*C61</f>
        <v>48695.999999999993</v>
      </c>
      <c r="L2" s="168">
        <f t="shared" ref="L2:Q2" si="0">L10*D61</f>
        <v>50262.916666666664</v>
      </c>
      <c r="M2" s="168">
        <f t="shared" si="0"/>
        <v>49714.583333333343</v>
      </c>
      <c r="N2" s="168">
        <f t="shared" si="0"/>
        <v>48843.833333333321</v>
      </c>
      <c r="O2" s="168">
        <f t="shared" si="0"/>
        <v>46645.200000000004</v>
      </c>
      <c r="P2" s="168">
        <f t="shared" si="0"/>
        <v>50294.833333333336</v>
      </c>
      <c r="Q2" s="168">
        <f t="shared" si="0"/>
        <v>39763.833333333321</v>
      </c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35">
        <v>3.2631162976630254E-2</v>
      </c>
      <c r="D8" s="35">
        <v>2.6248042974200105E-2</v>
      </c>
      <c r="E8" s="35">
        <v>1.7253561281182953E-2</v>
      </c>
      <c r="F8" s="35">
        <v>3.5416383600561416E-2</v>
      </c>
      <c r="G8" s="35">
        <v>2.0181329239738793E-2</v>
      </c>
      <c r="H8" s="35">
        <v>1.3571501429999633E-2</v>
      </c>
      <c r="I8" s="35">
        <v>1.9741035862935862E-2</v>
      </c>
      <c r="K8" s="173"/>
      <c r="L8" s="173"/>
      <c r="M8" s="173"/>
      <c r="N8" s="173"/>
      <c r="O8" s="173"/>
      <c r="P8" s="173"/>
      <c r="Q8" s="173"/>
      <c r="S8" s="204">
        <v>18</v>
      </c>
      <c r="T8" s="204">
        <v>16</v>
      </c>
      <c r="U8" s="204">
        <v>19</v>
      </c>
      <c r="V8" s="204">
        <v>19</v>
      </c>
      <c r="W8" s="204">
        <v>17</v>
      </c>
      <c r="X8" s="204">
        <v>19</v>
      </c>
      <c r="Y8" s="204">
        <v>21</v>
      </c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 s="135">
        <f>C62</f>
        <v>180</v>
      </c>
      <c r="L10" s="135">
        <f t="shared" ref="L10:Q10" si="1">D62</f>
        <v>175</v>
      </c>
      <c r="M10" s="135">
        <f t="shared" si="1"/>
        <v>175</v>
      </c>
      <c r="N10" s="135">
        <f t="shared" si="1"/>
        <v>170</v>
      </c>
      <c r="O10" s="135">
        <f t="shared" si="1"/>
        <v>168</v>
      </c>
      <c r="P10" s="135">
        <f t="shared" si="1"/>
        <v>167</v>
      </c>
      <c r="Q10" s="135">
        <f t="shared" si="1"/>
        <v>145</v>
      </c>
      <c r="S10" s="173">
        <f>MAX(K13:K60)</f>
        <v>3</v>
      </c>
      <c r="T10" s="173">
        <f t="shared" ref="T10:Y10" si="2">MAX(L13:L60)</f>
        <v>3</v>
      </c>
      <c r="U10" s="173">
        <f t="shared" si="2"/>
        <v>3</v>
      </c>
      <c r="V10" s="173">
        <f t="shared" si="2"/>
        <v>3</v>
      </c>
      <c r="W10" s="173">
        <f t="shared" si="2"/>
        <v>3</v>
      </c>
      <c r="X10" s="173">
        <f t="shared" si="2"/>
        <v>3</v>
      </c>
      <c r="Y10" s="173">
        <f t="shared" si="2"/>
        <v>2</v>
      </c>
      <c r="AA10" s="175">
        <f>AY10/C61</f>
        <v>0.93978432590432337</v>
      </c>
      <c r="AB10" s="175">
        <f t="shared" ref="AB10:AG10" si="3">AZ10/D61</f>
        <v>0.9585449986942941</v>
      </c>
      <c r="AC10" s="175">
        <f t="shared" si="3"/>
        <v>0.95814108950430432</v>
      </c>
      <c r="AD10" s="175">
        <f t="shared" si="3"/>
        <v>0.95107262841427176</v>
      </c>
      <c r="AE10" s="175">
        <f t="shared" si="3"/>
        <v>0.94594115959264968</v>
      </c>
      <c r="AF10" s="175">
        <f t="shared" si="3"/>
        <v>0.94881802958351813</v>
      </c>
      <c r="AG10" s="175">
        <f t="shared" si="3"/>
        <v>0.95180703989703885</v>
      </c>
      <c r="AI10" s="175"/>
      <c r="AJ10" s="175"/>
      <c r="AK10" s="175"/>
      <c r="AL10" s="175"/>
      <c r="AM10" s="175"/>
      <c r="AN10" s="175"/>
      <c r="AO10" s="175"/>
      <c r="AQ10" s="176"/>
      <c r="AR10" s="176"/>
      <c r="AS10" s="176"/>
      <c r="AT10" s="176"/>
      <c r="AU10" s="176"/>
      <c r="AV10" s="176"/>
      <c r="AW10" s="176"/>
      <c r="AY10" s="177">
        <f>SUM(AY13:AY60)</f>
        <v>254.24298630131625</v>
      </c>
      <c r="AZ10" s="177">
        <f t="shared" ref="AZ10:BE10" si="4">SUM(AZ13:AZ60)</f>
        <v>275.31009937497947</v>
      </c>
      <c r="BA10" s="177">
        <f t="shared" si="4"/>
        <v>272.1919145100145</v>
      </c>
      <c r="BB10" s="177">
        <f t="shared" si="4"/>
        <v>273.2590173538938</v>
      </c>
      <c r="BC10" s="177">
        <f t="shared" si="4"/>
        <v>262.64056296089922</v>
      </c>
      <c r="BD10" s="177">
        <f t="shared" si="4"/>
        <v>285.7523632429029</v>
      </c>
      <c r="BE10" s="177">
        <f t="shared" si="4"/>
        <v>261.01721724109785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45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0.97142857142857153</v>
      </c>
      <c r="B13" s="182">
        <v>0</v>
      </c>
      <c r="C13" s="135">
        <v>1.2</v>
      </c>
      <c r="D13" s="135">
        <v>0.9</v>
      </c>
      <c r="E13" s="135">
        <v>0.6</v>
      </c>
      <c r="F13" s="135">
        <v>1.2</v>
      </c>
      <c r="G13" s="135">
        <v>1.2</v>
      </c>
      <c r="H13" s="135">
        <v>0.4</v>
      </c>
      <c r="I13" s="135">
        <v>1.3</v>
      </c>
      <c r="J13" s="165">
        <v>1</v>
      </c>
      <c r="K13" s="43">
        <f>AgentsRequired(C13,$B$10,K$10,$C$4,$C$6,$C$2,$C$8)</f>
        <v>1</v>
      </c>
      <c r="L13" s="43">
        <f>AgentsRequired(D13,$B$10,L$10,$C$4,$C$6,$C$2,$D$8)</f>
        <v>1</v>
      </c>
      <c r="M13" s="43">
        <f>AgentsRequired(E13,$B$10,M$10,$C$4,$C$6,$C$2,$E$8)</f>
        <v>1</v>
      </c>
      <c r="N13" s="43">
        <f>AgentsRequired(F13,$B$10,N$10,$C$4,$C$6,$C$2,$F$8)</f>
        <v>1</v>
      </c>
      <c r="O13" s="43">
        <f>AgentsRequired(G13,$B$10,O$10,$C$4,$C$6,$C$2,$G$8)</f>
        <v>1</v>
      </c>
      <c r="P13" s="43">
        <f>AgentsRequired(H13,$B$10,P$10,$C$4,$C$6,$C$2,$H$8)</f>
        <v>0</v>
      </c>
      <c r="Q13" s="43">
        <f>AgentsRequired(I13,$B$10,Q$10,$C$4,$C$6,$C$2,$I$8)</f>
        <v>1</v>
      </c>
      <c r="R13" s="165">
        <v>1</v>
      </c>
      <c r="S13" s="146">
        <v>1</v>
      </c>
      <c r="T13" s="146">
        <v>1</v>
      </c>
      <c r="U13" s="146">
        <v>1</v>
      </c>
      <c r="V13" s="146">
        <v>1</v>
      </c>
      <c r="W13" s="146">
        <v>1</v>
      </c>
      <c r="X13" s="146">
        <v>1</v>
      </c>
      <c r="Y13" s="146">
        <v>1</v>
      </c>
      <c r="AA13" s="184">
        <f>ServiceLevel(C13,$B$10,K$10,$C$6,S13)</f>
        <v>0.92591817793182818</v>
      </c>
      <c r="AB13" s="184">
        <f>ServiceLevel(D13,$B$10,L$10,$C$6,T13)</f>
        <v>0.92865869307013049</v>
      </c>
      <c r="AC13" s="184">
        <f t="shared" ref="AC13:AG28" si="5">ServiceLevel(E13,$B$10,M$10,$C$6,U13)</f>
        <v>0.92865869307013049</v>
      </c>
      <c r="AD13" s="184">
        <f t="shared" si="5"/>
        <v>0.93139235792682362</v>
      </c>
      <c r="AE13" s="184">
        <f t="shared" si="5"/>
        <v>0.9324837850378328</v>
      </c>
      <c r="AF13" s="184">
        <f t="shared" si="5"/>
        <v>0.30182216946314355</v>
      </c>
      <c r="AG13" s="184">
        <f t="shared" si="5"/>
        <v>0.94493648663655216</v>
      </c>
      <c r="AI13" s="214">
        <f>S13-K13</f>
        <v>0</v>
      </c>
      <c r="AJ13" s="214">
        <f t="shared" ref="AJ13:AO28" si="6">T13-L13</f>
        <v>0</v>
      </c>
      <c r="AK13" s="214">
        <f t="shared" si="6"/>
        <v>0</v>
      </c>
      <c r="AL13" s="214">
        <f t="shared" si="6"/>
        <v>0</v>
      </c>
      <c r="AM13" s="214">
        <f t="shared" si="6"/>
        <v>0</v>
      </c>
      <c r="AN13" s="214">
        <f t="shared" si="6"/>
        <v>1</v>
      </c>
      <c r="AO13" s="214">
        <f t="shared" si="6"/>
        <v>0</v>
      </c>
      <c r="AP13" s="206">
        <f>B13</f>
        <v>0</v>
      </c>
      <c r="AQ13" s="213">
        <f>S13/K13-1</f>
        <v>0</v>
      </c>
      <c r="AR13" s="213">
        <f t="shared" ref="AR13:AW28" si="7">T13/L13-1</f>
        <v>0</v>
      </c>
      <c r="AS13" s="213">
        <f t="shared" si="7"/>
        <v>0</v>
      </c>
      <c r="AT13" s="213">
        <f t="shared" si="7"/>
        <v>0</v>
      </c>
      <c r="AU13" s="213">
        <f t="shared" si="7"/>
        <v>0</v>
      </c>
      <c r="AV13" s="213" t="e">
        <f t="shared" si="7"/>
        <v>#DIV/0!</v>
      </c>
      <c r="AW13" s="213">
        <f t="shared" si="7"/>
        <v>0</v>
      </c>
      <c r="AY13" s="186">
        <f>AA13*C13</f>
        <v>1.1111018135181938</v>
      </c>
      <c r="AZ13" s="186">
        <f t="shared" ref="AZ13:BE28" si="8">AB13*D13</f>
        <v>0.83579282376311748</v>
      </c>
      <c r="BA13" s="186">
        <f t="shared" si="8"/>
        <v>0.55719521584207832</v>
      </c>
      <c r="BB13" s="186">
        <f t="shared" si="8"/>
        <v>1.1176708295121882</v>
      </c>
      <c r="BC13" s="186">
        <f t="shared" si="8"/>
        <v>1.1189805420453993</v>
      </c>
      <c r="BD13" s="186">
        <f t="shared" si="8"/>
        <v>0.12072886778525743</v>
      </c>
      <c r="BE13" s="186">
        <f t="shared" si="8"/>
        <v>1.2284174326275179</v>
      </c>
    </row>
    <row r="14" spans="1:57" ht="12.75" x14ac:dyDescent="0.2">
      <c r="A14" s="181">
        <f t="shared" ref="A14:A60" si="9">AVERAGE(C14:I14)</f>
        <v>0.77142857142857135</v>
      </c>
      <c r="B14" s="187">
        <f>B13+TIME(0,$B$10,0)</f>
        <v>2.0833333333333332E-2</v>
      </c>
      <c r="C14" s="135">
        <v>0.89999999999999991</v>
      </c>
      <c r="D14" s="135">
        <v>0.7</v>
      </c>
      <c r="E14" s="135">
        <v>0.5</v>
      </c>
      <c r="F14" s="135">
        <v>0.75</v>
      </c>
      <c r="G14" s="135">
        <v>0.89999999999999991</v>
      </c>
      <c r="H14" s="135">
        <v>0.35</v>
      </c>
      <c r="I14" s="135">
        <v>1.3</v>
      </c>
      <c r="J14" s="165">
        <v>2</v>
      </c>
      <c r="K14" s="43">
        <f t="shared" ref="K14:K60" si="10">AgentsRequired(C14,$B$10,K$10,$C$4,$C$6,$C$2,$C$8)</f>
        <v>1</v>
      </c>
      <c r="L14" s="43">
        <f t="shared" ref="L14:L60" si="11">AgentsRequired(D14,$B$10,L$10,$C$4,$C$6,$C$2,$D$8)</f>
        <v>1</v>
      </c>
      <c r="M14" s="43">
        <f t="shared" ref="M14:M60" si="12">AgentsRequired(E14,$B$10,M$10,$C$4,$C$6,$C$2,$E$8)</f>
        <v>0</v>
      </c>
      <c r="N14" s="43">
        <f t="shared" ref="N14:N60" si="13">AgentsRequired(F14,$B$10,N$10,$C$4,$C$6,$C$2,$F$8)</f>
        <v>1</v>
      </c>
      <c r="O14" s="43">
        <f t="shared" ref="O14:O60" si="14">AgentsRequired(G14,$B$10,O$10,$C$4,$C$6,$C$2,$G$8)</f>
        <v>1</v>
      </c>
      <c r="P14" s="43">
        <f t="shared" ref="P14:P60" si="15">AgentsRequired(H14,$B$10,P$10,$C$4,$C$6,$C$2,$H$8)</f>
        <v>0</v>
      </c>
      <c r="Q14" s="43">
        <f t="shared" ref="Q14:Q60" si="16">AgentsRequired(I14,$B$10,Q$10,$C$4,$C$6,$C$2,$I$8)</f>
        <v>1</v>
      </c>
      <c r="R14" s="165">
        <v>2</v>
      </c>
      <c r="S14" s="146">
        <v>1</v>
      </c>
      <c r="T14" s="146">
        <v>1</v>
      </c>
      <c r="U14" s="146">
        <v>1</v>
      </c>
      <c r="V14" s="146">
        <v>1</v>
      </c>
      <c r="W14" s="146">
        <v>1</v>
      </c>
      <c r="X14" s="146">
        <v>1</v>
      </c>
      <c r="Y14" s="146">
        <v>1</v>
      </c>
      <c r="AA14" s="184">
        <f t="shared" ref="AA14:AG60" si="17">ServiceLevel(C14,$B$10,K$10,$C$6,S14)</f>
        <v>0.92591817793182818</v>
      </c>
      <c r="AB14" s="184">
        <f t="shared" si="17"/>
        <v>0.92865869307013049</v>
      </c>
      <c r="AC14" s="184">
        <f t="shared" si="5"/>
        <v>0.29026040431087452</v>
      </c>
      <c r="AD14" s="184">
        <f t="shared" si="5"/>
        <v>0.93139235792682362</v>
      </c>
      <c r="AE14" s="184">
        <f t="shared" si="5"/>
        <v>0.9324837850378328</v>
      </c>
      <c r="AF14" s="184">
        <f t="shared" si="5"/>
        <v>0.30182216946314355</v>
      </c>
      <c r="AG14" s="184">
        <f t="shared" si="5"/>
        <v>0.94493648663655216</v>
      </c>
      <c r="AI14" s="214">
        <f t="shared" ref="AI14:AO60" si="18">S14-K14</f>
        <v>0</v>
      </c>
      <c r="AJ14" s="214">
        <f t="shared" si="6"/>
        <v>0</v>
      </c>
      <c r="AK14" s="214">
        <f t="shared" si="6"/>
        <v>1</v>
      </c>
      <c r="AL14" s="214">
        <f t="shared" si="6"/>
        <v>0</v>
      </c>
      <c r="AM14" s="214">
        <f t="shared" si="6"/>
        <v>0</v>
      </c>
      <c r="AN14" s="214">
        <f t="shared" si="6"/>
        <v>1</v>
      </c>
      <c r="AO14" s="214">
        <f t="shared" si="6"/>
        <v>0</v>
      </c>
      <c r="AP14" s="206">
        <f t="shared" ref="AP14:AP60" si="19">B14</f>
        <v>2.0833333333333332E-2</v>
      </c>
      <c r="AQ14" s="213">
        <f t="shared" ref="AQ14:AW60" si="20">S14/K14-1</f>
        <v>0</v>
      </c>
      <c r="AR14" s="213">
        <f t="shared" si="7"/>
        <v>0</v>
      </c>
      <c r="AS14" s="213" t="e">
        <f t="shared" si="7"/>
        <v>#DIV/0!</v>
      </c>
      <c r="AT14" s="213">
        <f t="shared" si="7"/>
        <v>0</v>
      </c>
      <c r="AU14" s="213">
        <f t="shared" si="7"/>
        <v>0</v>
      </c>
      <c r="AV14" s="213" t="e">
        <f t="shared" si="7"/>
        <v>#DIV/0!</v>
      </c>
      <c r="AW14" s="213">
        <f t="shared" si="7"/>
        <v>0</v>
      </c>
      <c r="AY14" s="186">
        <f t="shared" ref="AY14:BE60" si="21">AA14*C14</f>
        <v>0.83332636013864525</v>
      </c>
      <c r="AZ14" s="186">
        <f t="shared" si="8"/>
        <v>0.65006108514909133</v>
      </c>
      <c r="BA14" s="186">
        <f t="shared" si="8"/>
        <v>0.14513020215543726</v>
      </c>
      <c r="BB14" s="186">
        <f t="shared" si="8"/>
        <v>0.69854426844511774</v>
      </c>
      <c r="BC14" s="186">
        <f t="shared" si="8"/>
        <v>0.83923540653404949</v>
      </c>
      <c r="BD14" s="186">
        <f t="shared" si="8"/>
        <v>0.10563775931210023</v>
      </c>
      <c r="BE14" s="186">
        <f t="shared" si="8"/>
        <v>1.2284174326275179</v>
      </c>
    </row>
    <row r="15" spans="1:57" ht="12.75" x14ac:dyDescent="0.2">
      <c r="A15" s="181">
        <f t="shared" si="9"/>
        <v>0.68095238095238086</v>
      </c>
      <c r="B15" s="187">
        <f t="shared" ref="B15:B60" si="22">B14+TIME(0,$B$10,0)</f>
        <v>4.1666666666666664E-2</v>
      </c>
      <c r="C15" s="135">
        <v>0.69999999999999984</v>
      </c>
      <c r="D15" s="135">
        <v>0.79999999999999993</v>
      </c>
      <c r="E15" s="135">
        <v>0.56666666666666665</v>
      </c>
      <c r="F15" s="135">
        <v>0.53333333333333333</v>
      </c>
      <c r="G15" s="135">
        <v>0.76666666666666661</v>
      </c>
      <c r="H15" s="135">
        <v>0.39999999999999997</v>
      </c>
      <c r="I15" s="135">
        <v>1</v>
      </c>
      <c r="J15" s="165">
        <v>3</v>
      </c>
      <c r="K15" s="43">
        <f t="shared" si="10"/>
        <v>1</v>
      </c>
      <c r="L15" s="43">
        <f t="shared" si="11"/>
        <v>1</v>
      </c>
      <c r="M15" s="43">
        <f t="shared" si="12"/>
        <v>1</v>
      </c>
      <c r="N15" s="43">
        <f t="shared" si="13"/>
        <v>1</v>
      </c>
      <c r="O15" s="43">
        <f t="shared" si="14"/>
        <v>1</v>
      </c>
      <c r="P15" s="43">
        <f t="shared" si="15"/>
        <v>0</v>
      </c>
      <c r="Q15" s="43">
        <f t="shared" si="16"/>
        <v>1</v>
      </c>
      <c r="R15" s="165">
        <v>3</v>
      </c>
      <c r="S15" s="146">
        <v>1</v>
      </c>
      <c r="T15" s="146">
        <v>1</v>
      </c>
      <c r="U15" s="146">
        <v>1</v>
      </c>
      <c r="V15" s="146">
        <v>1</v>
      </c>
      <c r="W15" s="146">
        <v>1</v>
      </c>
      <c r="X15" s="146">
        <v>1</v>
      </c>
      <c r="Y15" s="146">
        <v>1</v>
      </c>
      <c r="AA15" s="184">
        <f t="shared" si="17"/>
        <v>0.92591817793182818</v>
      </c>
      <c r="AB15" s="184">
        <f t="shared" si="17"/>
        <v>0.92865869307013049</v>
      </c>
      <c r="AC15" s="184">
        <f t="shared" si="5"/>
        <v>0.92865869307013049</v>
      </c>
      <c r="AD15" s="184">
        <f t="shared" si="5"/>
        <v>0.93139235792682362</v>
      </c>
      <c r="AE15" s="184">
        <f t="shared" si="5"/>
        <v>0.9324837850378328</v>
      </c>
      <c r="AF15" s="184">
        <f t="shared" si="5"/>
        <v>0.30182216946314355</v>
      </c>
      <c r="AG15" s="184">
        <f t="shared" si="5"/>
        <v>0.94493648663655216</v>
      </c>
      <c r="AI15" s="214">
        <f t="shared" si="18"/>
        <v>0</v>
      </c>
      <c r="AJ15" s="214">
        <f t="shared" si="6"/>
        <v>0</v>
      </c>
      <c r="AK15" s="214">
        <f t="shared" si="6"/>
        <v>0</v>
      </c>
      <c r="AL15" s="214">
        <f t="shared" si="6"/>
        <v>0</v>
      </c>
      <c r="AM15" s="214">
        <f t="shared" si="6"/>
        <v>0</v>
      </c>
      <c r="AN15" s="214">
        <f t="shared" si="6"/>
        <v>1</v>
      </c>
      <c r="AO15" s="214">
        <f t="shared" si="6"/>
        <v>0</v>
      </c>
      <c r="AP15" s="206">
        <f t="shared" si="19"/>
        <v>4.1666666666666664E-2</v>
      </c>
      <c r="AQ15" s="213">
        <f t="shared" si="20"/>
        <v>0</v>
      </c>
      <c r="AR15" s="213">
        <f t="shared" si="7"/>
        <v>0</v>
      </c>
      <c r="AS15" s="213">
        <f t="shared" si="7"/>
        <v>0</v>
      </c>
      <c r="AT15" s="213">
        <f t="shared" si="7"/>
        <v>0</v>
      </c>
      <c r="AU15" s="213">
        <f t="shared" si="7"/>
        <v>0</v>
      </c>
      <c r="AV15" s="213" t="e">
        <f t="shared" si="7"/>
        <v>#DIV/0!</v>
      </c>
      <c r="AW15" s="213">
        <f t="shared" si="7"/>
        <v>0</v>
      </c>
      <c r="AY15" s="186">
        <f t="shared" si="21"/>
        <v>0.64814272455227961</v>
      </c>
      <c r="AZ15" s="186">
        <f t="shared" si="8"/>
        <v>0.74292695445610435</v>
      </c>
      <c r="BA15" s="186">
        <f t="shared" si="8"/>
        <v>0.5262399260730739</v>
      </c>
      <c r="BB15" s="186">
        <f t="shared" si="8"/>
        <v>0.49674259089430595</v>
      </c>
      <c r="BC15" s="186">
        <f t="shared" si="8"/>
        <v>0.71490423519567181</v>
      </c>
      <c r="BD15" s="186">
        <f t="shared" si="8"/>
        <v>0.1207288677852574</v>
      </c>
      <c r="BE15" s="186">
        <f t="shared" si="8"/>
        <v>0.94493648663655216</v>
      </c>
    </row>
    <row r="16" spans="1:57" ht="12.75" x14ac:dyDescent="0.2">
      <c r="A16" s="181">
        <f t="shared" si="9"/>
        <v>0.42857142857142855</v>
      </c>
      <c r="B16" s="187">
        <f t="shared" si="22"/>
        <v>6.25E-2</v>
      </c>
      <c r="C16" s="135">
        <v>0.33333333333333331</v>
      </c>
      <c r="D16" s="135">
        <v>0.56666666666666665</v>
      </c>
      <c r="E16" s="135">
        <v>0.40000000000000008</v>
      </c>
      <c r="F16" s="135">
        <v>0.20000000000000004</v>
      </c>
      <c r="G16" s="135">
        <v>0.40000000000000008</v>
      </c>
      <c r="H16" s="135">
        <v>0.43333333333333335</v>
      </c>
      <c r="I16" s="135">
        <v>0.66666666666666663</v>
      </c>
      <c r="J16" s="165">
        <v>4</v>
      </c>
      <c r="K16" s="43">
        <f t="shared" si="10"/>
        <v>0</v>
      </c>
      <c r="L16" s="43">
        <f t="shared" si="11"/>
        <v>1</v>
      </c>
      <c r="M16" s="43">
        <f t="shared" si="12"/>
        <v>0</v>
      </c>
      <c r="N16" s="43">
        <f t="shared" si="13"/>
        <v>0</v>
      </c>
      <c r="O16" s="43">
        <f t="shared" si="14"/>
        <v>0</v>
      </c>
      <c r="P16" s="43">
        <f t="shared" si="15"/>
        <v>0</v>
      </c>
      <c r="Q16" s="43">
        <f t="shared" si="16"/>
        <v>1</v>
      </c>
      <c r="R16" s="165">
        <v>4</v>
      </c>
      <c r="S16" s="146">
        <v>1</v>
      </c>
      <c r="T16" s="146">
        <v>1</v>
      </c>
      <c r="U16" s="146">
        <v>1</v>
      </c>
      <c r="V16" s="146">
        <v>1</v>
      </c>
      <c r="W16" s="146">
        <v>1</v>
      </c>
      <c r="X16" s="146">
        <v>1</v>
      </c>
      <c r="Y16" s="146">
        <v>1</v>
      </c>
      <c r="AA16" s="184">
        <f t="shared" si="17"/>
        <v>0.28346868942621073</v>
      </c>
      <c r="AB16" s="184">
        <f t="shared" si="17"/>
        <v>0.92865869307013049</v>
      </c>
      <c r="AC16" s="184">
        <f t="shared" si="5"/>
        <v>0.29026040431087452</v>
      </c>
      <c r="AD16" s="184">
        <f t="shared" si="5"/>
        <v>0.29738147733700449</v>
      </c>
      <c r="AE16" s="184">
        <f t="shared" si="5"/>
        <v>0.30032746262486965</v>
      </c>
      <c r="AF16" s="184">
        <f t="shared" si="5"/>
        <v>0.30182216946314355</v>
      </c>
      <c r="AG16" s="184">
        <f t="shared" si="5"/>
        <v>0.94493648663655216</v>
      </c>
      <c r="AI16" s="214">
        <f t="shared" si="18"/>
        <v>1</v>
      </c>
      <c r="AJ16" s="214">
        <f t="shared" si="6"/>
        <v>0</v>
      </c>
      <c r="AK16" s="214">
        <f t="shared" si="6"/>
        <v>1</v>
      </c>
      <c r="AL16" s="214">
        <f t="shared" si="6"/>
        <v>1</v>
      </c>
      <c r="AM16" s="214">
        <f t="shared" si="6"/>
        <v>1</v>
      </c>
      <c r="AN16" s="214">
        <f t="shared" si="6"/>
        <v>1</v>
      </c>
      <c r="AO16" s="214">
        <f t="shared" si="6"/>
        <v>0</v>
      </c>
      <c r="AP16" s="206">
        <f t="shared" si="19"/>
        <v>6.25E-2</v>
      </c>
      <c r="AQ16" s="213" t="e">
        <f t="shared" si="20"/>
        <v>#DIV/0!</v>
      </c>
      <c r="AR16" s="213">
        <f t="shared" si="7"/>
        <v>0</v>
      </c>
      <c r="AS16" s="213" t="e">
        <f t="shared" si="7"/>
        <v>#DIV/0!</v>
      </c>
      <c r="AT16" s="213" t="e">
        <f t="shared" si="7"/>
        <v>#DIV/0!</v>
      </c>
      <c r="AU16" s="213" t="e">
        <f t="shared" si="7"/>
        <v>#DIV/0!</v>
      </c>
      <c r="AV16" s="213" t="e">
        <f t="shared" si="7"/>
        <v>#DIV/0!</v>
      </c>
      <c r="AW16" s="213">
        <f t="shared" si="7"/>
        <v>0</v>
      </c>
      <c r="AY16" s="186">
        <f t="shared" si="21"/>
        <v>9.4489563142070243E-2</v>
      </c>
      <c r="AZ16" s="186">
        <f t="shared" si="8"/>
        <v>0.5262399260730739</v>
      </c>
      <c r="BA16" s="186">
        <f t="shared" si="8"/>
        <v>0.11610416172434983</v>
      </c>
      <c r="BB16" s="186">
        <f t="shared" si="8"/>
        <v>5.9476295467400908E-2</v>
      </c>
      <c r="BC16" s="186">
        <f t="shared" si="8"/>
        <v>0.12013098504994787</v>
      </c>
      <c r="BD16" s="186">
        <f t="shared" si="8"/>
        <v>0.1307896067673622</v>
      </c>
      <c r="BE16" s="186">
        <f t="shared" si="8"/>
        <v>0.62995765775770141</v>
      </c>
    </row>
    <row r="17" spans="1:57" ht="12.75" x14ac:dyDescent="0.2">
      <c r="A17" s="181">
        <f t="shared" si="9"/>
        <v>0.29523809523809519</v>
      </c>
      <c r="B17" s="187">
        <f t="shared" si="22"/>
        <v>8.3333333333333329E-2</v>
      </c>
      <c r="C17" s="135">
        <v>0.13333333333333333</v>
      </c>
      <c r="D17" s="135">
        <v>0.46666666666666662</v>
      </c>
      <c r="E17" s="135">
        <v>0.3</v>
      </c>
      <c r="F17" s="135">
        <v>0.13333333333333333</v>
      </c>
      <c r="G17" s="135">
        <v>0.26666666666666666</v>
      </c>
      <c r="H17" s="135">
        <v>0.39999999999999997</v>
      </c>
      <c r="I17" s="135">
        <v>0.3666666666666667</v>
      </c>
      <c r="J17" s="165">
        <v>5</v>
      </c>
      <c r="K17" s="43">
        <f t="shared" si="10"/>
        <v>0</v>
      </c>
      <c r="L17" s="43">
        <f t="shared" si="11"/>
        <v>0</v>
      </c>
      <c r="M17" s="43">
        <f t="shared" si="12"/>
        <v>0</v>
      </c>
      <c r="N17" s="43">
        <f t="shared" si="13"/>
        <v>0</v>
      </c>
      <c r="O17" s="43">
        <f t="shared" si="14"/>
        <v>0</v>
      </c>
      <c r="P17" s="43">
        <f t="shared" si="15"/>
        <v>0</v>
      </c>
      <c r="Q17" s="43">
        <f t="shared" si="16"/>
        <v>0</v>
      </c>
      <c r="R17" s="165">
        <v>5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AA17" s="184">
        <f t="shared" si="17"/>
        <v>0</v>
      </c>
      <c r="AB17" s="184">
        <f t="shared" si="17"/>
        <v>0</v>
      </c>
      <c r="AC17" s="184">
        <f t="shared" si="5"/>
        <v>0</v>
      </c>
      <c r="AD17" s="184">
        <f t="shared" si="5"/>
        <v>0</v>
      </c>
      <c r="AE17" s="184">
        <f t="shared" si="5"/>
        <v>0</v>
      </c>
      <c r="AF17" s="184">
        <f t="shared" si="5"/>
        <v>0</v>
      </c>
      <c r="AG17" s="184">
        <f t="shared" si="5"/>
        <v>0</v>
      </c>
      <c r="AI17" s="214">
        <f t="shared" si="18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06">
        <f t="shared" si="19"/>
        <v>8.3333333333333329E-2</v>
      </c>
      <c r="AQ17" s="213" t="e">
        <f t="shared" si="20"/>
        <v>#DIV/0!</v>
      </c>
      <c r="AR17" s="213" t="e">
        <f t="shared" si="7"/>
        <v>#DIV/0!</v>
      </c>
      <c r="AS17" s="213" t="e">
        <f t="shared" si="7"/>
        <v>#DIV/0!</v>
      </c>
      <c r="AT17" s="213" t="e">
        <f t="shared" si="7"/>
        <v>#DIV/0!</v>
      </c>
      <c r="AU17" s="213" t="e">
        <f t="shared" si="7"/>
        <v>#DIV/0!</v>
      </c>
      <c r="AV17" s="213" t="e">
        <f t="shared" si="7"/>
        <v>#DIV/0!</v>
      </c>
      <c r="AW17" s="213" t="e">
        <f t="shared" si="7"/>
        <v>#DIV/0!</v>
      </c>
      <c r="AY17" s="186">
        <f t="shared" si="21"/>
        <v>0</v>
      </c>
      <c r="AZ17" s="186">
        <f t="shared" si="8"/>
        <v>0</v>
      </c>
      <c r="BA17" s="186">
        <f t="shared" si="8"/>
        <v>0</v>
      </c>
      <c r="BB17" s="186">
        <f t="shared" si="8"/>
        <v>0</v>
      </c>
      <c r="BC17" s="186">
        <f t="shared" si="8"/>
        <v>0</v>
      </c>
      <c r="BD17" s="186">
        <f t="shared" si="8"/>
        <v>0</v>
      </c>
      <c r="BE17" s="186">
        <f t="shared" si="8"/>
        <v>0</v>
      </c>
    </row>
    <row r="18" spans="1:57" ht="12.75" x14ac:dyDescent="0.2">
      <c r="A18" s="181">
        <f t="shared" si="9"/>
        <v>0.22857142857142856</v>
      </c>
      <c r="B18" s="187">
        <f t="shared" si="22"/>
        <v>0.10416666666666666</v>
      </c>
      <c r="C18" s="135">
        <v>0.19999999999999998</v>
      </c>
      <c r="D18" s="135">
        <v>0.26666666666666666</v>
      </c>
      <c r="E18" s="135">
        <v>6.6666666666666666E-2</v>
      </c>
      <c r="F18" s="135">
        <v>0.13333333333333333</v>
      </c>
      <c r="G18" s="135">
        <v>0.20000000000000004</v>
      </c>
      <c r="H18" s="135">
        <v>0.39999999999999997</v>
      </c>
      <c r="I18" s="135">
        <v>0.33333333333333331</v>
      </c>
      <c r="J18" s="165">
        <v>6</v>
      </c>
      <c r="K18" s="43">
        <f t="shared" si="10"/>
        <v>0</v>
      </c>
      <c r="L18" s="43">
        <f t="shared" si="11"/>
        <v>0</v>
      </c>
      <c r="M18" s="43">
        <f t="shared" si="12"/>
        <v>0</v>
      </c>
      <c r="N18" s="43">
        <f t="shared" si="13"/>
        <v>0</v>
      </c>
      <c r="O18" s="43">
        <f t="shared" si="14"/>
        <v>0</v>
      </c>
      <c r="P18" s="43">
        <f t="shared" si="15"/>
        <v>0</v>
      </c>
      <c r="Q18" s="43">
        <f t="shared" si="16"/>
        <v>0</v>
      </c>
      <c r="R18" s="165">
        <v>6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AA18" s="184">
        <f t="shared" si="17"/>
        <v>0</v>
      </c>
      <c r="AB18" s="184">
        <f t="shared" si="17"/>
        <v>0</v>
      </c>
      <c r="AC18" s="184">
        <f t="shared" si="5"/>
        <v>0</v>
      </c>
      <c r="AD18" s="184">
        <f t="shared" si="5"/>
        <v>0</v>
      </c>
      <c r="AE18" s="184">
        <f t="shared" si="5"/>
        <v>0</v>
      </c>
      <c r="AF18" s="184">
        <f t="shared" si="5"/>
        <v>0</v>
      </c>
      <c r="AG18" s="184">
        <f t="shared" si="5"/>
        <v>0</v>
      </c>
      <c r="AI18" s="214">
        <f t="shared" si="18"/>
        <v>0</v>
      </c>
      <c r="AJ18" s="214">
        <f t="shared" si="6"/>
        <v>0</v>
      </c>
      <c r="AK18" s="214">
        <f t="shared" si="6"/>
        <v>0</v>
      </c>
      <c r="AL18" s="214">
        <f t="shared" si="6"/>
        <v>0</v>
      </c>
      <c r="AM18" s="214">
        <f t="shared" si="6"/>
        <v>0</v>
      </c>
      <c r="AN18" s="214">
        <f t="shared" si="6"/>
        <v>0</v>
      </c>
      <c r="AO18" s="214">
        <f t="shared" si="6"/>
        <v>0</v>
      </c>
      <c r="AP18" s="206">
        <f t="shared" si="19"/>
        <v>0.10416666666666666</v>
      </c>
      <c r="AQ18" s="213" t="e">
        <f t="shared" si="20"/>
        <v>#DIV/0!</v>
      </c>
      <c r="AR18" s="213" t="e">
        <f t="shared" si="7"/>
        <v>#DIV/0!</v>
      </c>
      <c r="AS18" s="213" t="e">
        <f t="shared" si="7"/>
        <v>#DIV/0!</v>
      </c>
      <c r="AT18" s="213" t="e">
        <f t="shared" si="7"/>
        <v>#DIV/0!</v>
      </c>
      <c r="AU18" s="213" t="e">
        <f t="shared" si="7"/>
        <v>#DIV/0!</v>
      </c>
      <c r="AV18" s="213" t="e">
        <f t="shared" si="7"/>
        <v>#DIV/0!</v>
      </c>
      <c r="AW18" s="213" t="e">
        <f t="shared" si="7"/>
        <v>#DIV/0!</v>
      </c>
      <c r="AY18" s="186">
        <f t="shared" si="21"/>
        <v>0</v>
      </c>
      <c r="AZ18" s="186">
        <f t="shared" si="8"/>
        <v>0</v>
      </c>
      <c r="BA18" s="186">
        <f t="shared" si="8"/>
        <v>0</v>
      </c>
      <c r="BB18" s="186">
        <f t="shared" si="8"/>
        <v>0</v>
      </c>
      <c r="BC18" s="186">
        <f t="shared" si="8"/>
        <v>0</v>
      </c>
      <c r="BD18" s="186">
        <f t="shared" si="8"/>
        <v>0</v>
      </c>
      <c r="BE18" s="186">
        <f t="shared" si="8"/>
        <v>0</v>
      </c>
    </row>
    <row r="19" spans="1:57" ht="12.75" x14ac:dyDescent="0.2">
      <c r="A19" s="181">
        <f t="shared" si="9"/>
        <v>0.19999999999999998</v>
      </c>
      <c r="B19" s="187">
        <f t="shared" si="22"/>
        <v>0.12499999999999999</v>
      </c>
      <c r="C19" s="135">
        <v>0.19999999999999998</v>
      </c>
      <c r="D19" s="135">
        <v>0.30000000000000004</v>
      </c>
      <c r="E19" s="135">
        <v>3.3333333333333333E-2</v>
      </c>
      <c r="F19" s="135">
        <v>0.10000000000000002</v>
      </c>
      <c r="G19" s="135">
        <v>0.26666666666666666</v>
      </c>
      <c r="H19" s="135">
        <v>0.26666666666666666</v>
      </c>
      <c r="I19" s="135">
        <v>0.23333333333333331</v>
      </c>
      <c r="J19" s="165">
        <v>7</v>
      </c>
      <c r="K19" s="43">
        <f t="shared" si="10"/>
        <v>0</v>
      </c>
      <c r="L19" s="43">
        <f t="shared" si="11"/>
        <v>0</v>
      </c>
      <c r="M19" s="43">
        <f t="shared" si="12"/>
        <v>0</v>
      </c>
      <c r="N19" s="43">
        <f t="shared" si="13"/>
        <v>0</v>
      </c>
      <c r="O19" s="43">
        <f t="shared" si="14"/>
        <v>0</v>
      </c>
      <c r="P19" s="43">
        <f t="shared" si="15"/>
        <v>0</v>
      </c>
      <c r="Q19" s="43">
        <f t="shared" si="16"/>
        <v>0</v>
      </c>
      <c r="R19" s="165">
        <v>7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AA19" s="184">
        <f t="shared" si="17"/>
        <v>0</v>
      </c>
      <c r="AB19" s="184">
        <f t="shared" si="17"/>
        <v>0</v>
      </c>
      <c r="AC19" s="184">
        <f t="shared" si="5"/>
        <v>0</v>
      </c>
      <c r="AD19" s="184">
        <f t="shared" si="5"/>
        <v>0</v>
      </c>
      <c r="AE19" s="184">
        <f t="shared" si="5"/>
        <v>0</v>
      </c>
      <c r="AF19" s="184">
        <f t="shared" si="5"/>
        <v>0</v>
      </c>
      <c r="AG19" s="184">
        <f t="shared" si="5"/>
        <v>0</v>
      </c>
      <c r="AI19" s="214">
        <f t="shared" si="18"/>
        <v>0</v>
      </c>
      <c r="AJ19" s="214">
        <f t="shared" si="6"/>
        <v>0</v>
      </c>
      <c r="AK19" s="214">
        <f t="shared" si="6"/>
        <v>0</v>
      </c>
      <c r="AL19" s="214">
        <f t="shared" si="6"/>
        <v>0</v>
      </c>
      <c r="AM19" s="214">
        <f t="shared" si="6"/>
        <v>0</v>
      </c>
      <c r="AN19" s="214">
        <f t="shared" si="6"/>
        <v>0</v>
      </c>
      <c r="AO19" s="214">
        <f t="shared" si="6"/>
        <v>0</v>
      </c>
      <c r="AP19" s="206">
        <f t="shared" si="19"/>
        <v>0.12499999999999999</v>
      </c>
      <c r="AQ19" s="213" t="e">
        <f t="shared" si="20"/>
        <v>#DIV/0!</v>
      </c>
      <c r="AR19" s="213" t="e">
        <f t="shared" si="7"/>
        <v>#DIV/0!</v>
      </c>
      <c r="AS19" s="213" t="e">
        <f t="shared" si="7"/>
        <v>#DIV/0!</v>
      </c>
      <c r="AT19" s="213" t="e">
        <f t="shared" si="7"/>
        <v>#DIV/0!</v>
      </c>
      <c r="AU19" s="213" t="e">
        <f t="shared" si="7"/>
        <v>#DIV/0!</v>
      </c>
      <c r="AV19" s="213" t="e">
        <f t="shared" si="7"/>
        <v>#DIV/0!</v>
      </c>
      <c r="AW19" s="213" t="e">
        <f t="shared" si="7"/>
        <v>#DIV/0!</v>
      </c>
      <c r="AY19" s="186">
        <f t="shared" si="21"/>
        <v>0</v>
      </c>
      <c r="AZ19" s="186">
        <f t="shared" si="8"/>
        <v>0</v>
      </c>
      <c r="BA19" s="186">
        <f t="shared" si="8"/>
        <v>0</v>
      </c>
      <c r="BB19" s="186">
        <f t="shared" si="8"/>
        <v>0</v>
      </c>
      <c r="BC19" s="186">
        <f t="shared" si="8"/>
        <v>0</v>
      </c>
      <c r="BD19" s="186">
        <f t="shared" si="8"/>
        <v>0</v>
      </c>
      <c r="BE19" s="186">
        <f t="shared" si="8"/>
        <v>0</v>
      </c>
    </row>
    <row r="20" spans="1:57" ht="12.75" x14ac:dyDescent="0.2">
      <c r="A20" s="181">
        <f t="shared" si="9"/>
        <v>0.20476190476190476</v>
      </c>
      <c r="B20" s="187">
        <f t="shared" si="22"/>
        <v>0.14583333333333331</v>
      </c>
      <c r="C20" s="135">
        <v>0.23333333333333331</v>
      </c>
      <c r="D20" s="135">
        <v>0.33333333333333331</v>
      </c>
      <c r="E20" s="135">
        <v>9.9999999999999992E-2</v>
      </c>
      <c r="F20" s="135">
        <v>6.6666666666666666E-2</v>
      </c>
      <c r="G20" s="135">
        <v>0.19999999999999998</v>
      </c>
      <c r="H20" s="135">
        <v>0.33333333333333331</v>
      </c>
      <c r="I20" s="135">
        <v>0.16666666666666666</v>
      </c>
      <c r="J20" s="165">
        <v>8</v>
      </c>
      <c r="K20" s="43">
        <f t="shared" si="10"/>
        <v>0</v>
      </c>
      <c r="L20" s="43">
        <f t="shared" si="11"/>
        <v>0</v>
      </c>
      <c r="M20" s="43">
        <f t="shared" si="12"/>
        <v>0</v>
      </c>
      <c r="N20" s="43">
        <f t="shared" si="13"/>
        <v>0</v>
      </c>
      <c r="O20" s="43">
        <f t="shared" si="14"/>
        <v>0</v>
      </c>
      <c r="P20" s="43">
        <f t="shared" si="15"/>
        <v>0</v>
      </c>
      <c r="Q20" s="43">
        <f t="shared" si="16"/>
        <v>0</v>
      </c>
      <c r="R20" s="165">
        <v>8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AA20" s="184">
        <f t="shared" si="17"/>
        <v>0</v>
      </c>
      <c r="AB20" s="184">
        <f t="shared" si="17"/>
        <v>0</v>
      </c>
      <c r="AC20" s="184">
        <f t="shared" si="5"/>
        <v>0</v>
      </c>
      <c r="AD20" s="184">
        <f t="shared" si="5"/>
        <v>0</v>
      </c>
      <c r="AE20" s="184">
        <f t="shared" si="5"/>
        <v>0</v>
      </c>
      <c r="AF20" s="184">
        <f t="shared" si="5"/>
        <v>0</v>
      </c>
      <c r="AG20" s="184">
        <f t="shared" si="5"/>
        <v>0</v>
      </c>
      <c r="AI20" s="214">
        <f t="shared" si="18"/>
        <v>0</v>
      </c>
      <c r="AJ20" s="214">
        <f t="shared" si="6"/>
        <v>0</v>
      </c>
      <c r="AK20" s="214">
        <f t="shared" si="6"/>
        <v>0</v>
      </c>
      <c r="AL20" s="214">
        <f t="shared" si="6"/>
        <v>0</v>
      </c>
      <c r="AM20" s="214">
        <f t="shared" si="6"/>
        <v>0</v>
      </c>
      <c r="AN20" s="214">
        <f t="shared" si="6"/>
        <v>0</v>
      </c>
      <c r="AO20" s="214">
        <f t="shared" si="6"/>
        <v>0</v>
      </c>
      <c r="AP20" s="206">
        <f t="shared" si="19"/>
        <v>0.14583333333333331</v>
      </c>
      <c r="AQ20" s="213" t="e">
        <f t="shared" si="20"/>
        <v>#DIV/0!</v>
      </c>
      <c r="AR20" s="213" t="e">
        <f t="shared" si="7"/>
        <v>#DIV/0!</v>
      </c>
      <c r="AS20" s="213" t="e">
        <f t="shared" si="7"/>
        <v>#DIV/0!</v>
      </c>
      <c r="AT20" s="213" t="e">
        <f t="shared" si="7"/>
        <v>#DIV/0!</v>
      </c>
      <c r="AU20" s="213" t="e">
        <f t="shared" si="7"/>
        <v>#DIV/0!</v>
      </c>
      <c r="AV20" s="213" t="e">
        <f t="shared" si="7"/>
        <v>#DIV/0!</v>
      </c>
      <c r="AW20" s="213" t="e">
        <f t="shared" si="7"/>
        <v>#DIV/0!</v>
      </c>
      <c r="AY20" s="186">
        <f t="shared" si="21"/>
        <v>0</v>
      </c>
      <c r="AZ20" s="186">
        <f t="shared" si="8"/>
        <v>0</v>
      </c>
      <c r="BA20" s="186">
        <f t="shared" si="8"/>
        <v>0</v>
      </c>
      <c r="BB20" s="186">
        <f t="shared" si="8"/>
        <v>0</v>
      </c>
      <c r="BC20" s="186">
        <f t="shared" si="8"/>
        <v>0</v>
      </c>
      <c r="BD20" s="186">
        <f t="shared" si="8"/>
        <v>0</v>
      </c>
      <c r="BE20" s="186">
        <f t="shared" si="8"/>
        <v>0</v>
      </c>
    </row>
    <row r="21" spans="1:57" ht="12.75" x14ac:dyDescent="0.2">
      <c r="A21" s="181">
        <f t="shared" si="9"/>
        <v>0.19523809523809524</v>
      </c>
      <c r="B21" s="187">
        <f t="shared" si="22"/>
        <v>0.16666666666666666</v>
      </c>
      <c r="C21" s="135">
        <v>0.16666666666666666</v>
      </c>
      <c r="D21" s="135">
        <v>0.23333333333333331</v>
      </c>
      <c r="E21" s="135">
        <v>9.9999999999999992E-2</v>
      </c>
      <c r="F21" s="135">
        <v>0.23333333333333331</v>
      </c>
      <c r="G21" s="135">
        <v>0.19999999999999998</v>
      </c>
      <c r="H21" s="135">
        <v>0.33333333333333331</v>
      </c>
      <c r="I21" s="135">
        <v>0.10000000000000002</v>
      </c>
      <c r="J21" s="165">
        <v>9</v>
      </c>
      <c r="K21" s="43">
        <f t="shared" si="10"/>
        <v>0</v>
      </c>
      <c r="L21" s="43">
        <f t="shared" si="11"/>
        <v>0</v>
      </c>
      <c r="M21" s="43">
        <f t="shared" si="12"/>
        <v>0</v>
      </c>
      <c r="N21" s="43">
        <f t="shared" si="13"/>
        <v>0</v>
      </c>
      <c r="O21" s="43">
        <f t="shared" si="14"/>
        <v>0</v>
      </c>
      <c r="P21" s="43">
        <f t="shared" si="15"/>
        <v>0</v>
      </c>
      <c r="Q21" s="43">
        <f t="shared" si="16"/>
        <v>0</v>
      </c>
      <c r="R21" s="165">
        <v>9</v>
      </c>
      <c r="S21" s="146">
        <v>1</v>
      </c>
      <c r="T21" s="146">
        <v>1</v>
      </c>
      <c r="U21" s="146">
        <v>1</v>
      </c>
      <c r="V21" s="146">
        <v>1</v>
      </c>
      <c r="W21" s="146">
        <v>1</v>
      </c>
      <c r="X21" s="146">
        <v>1</v>
      </c>
      <c r="Y21" s="146">
        <v>1</v>
      </c>
      <c r="AA21" s="184">
        <f t="shared" si="17"/>
        <v>0.28346868942621073</v>
      </c>
      <c r="AB21" s="184">
        <f t="shared" si="17"/>
        <v>0.29026040431087452</v>
      </c>
      <c r="AC21" s="184">
        <f t="shared" si="5"/>
        <v>0.29026040431087452</v>
      </c>
      <c r="AD21" s="184">
        <f t="shared" si="5"/>
        <v>0.29738147733700449</v>
      </c>
      <c r="AE21" s="184">
        <f t="shared" si="5"/>
        <v>0.30032746262486965</v>
      </c>
      <c r="AF21" s="184">
        <f t="shared" si="5"/>
        <v>0.30182216946314355</v>
      </c>
      <c r="AG21" s="184">
        <f t="shared" si="5"/>
        <v>0.33886227576814465</v>
      </c>
      <c r="AI21" s="214">
        <f t="shared" si="18"/>
        <v>1</v>
      </c>
      <c r="AJ21" s="214">
        <f t="shared" si="6"/>
        <v>1</v>
      </c>
      <c r="AK21" s="214">
        <f t="shared" si="6"/>
        <v>1</v>
      </c>
      <c r="AL21" s="214">
        <f t="shared" si="6"/>
        <v>1</v>
      </c>
      <c r="AM21" s="214">
        <f t="shared" si="6"/>
        <v>1</v>
      </c>
      <c r="AN21" s="214">
        <f t="shared" si="6"/>
        <v>1</v>
      </c>
      <c r="AO21" s="214">
        <f t="shared" si="6"/>
        <v>1</v>
      </c>
      <c r="AP21" s="206">
        <f t="shared" si="19"/>
        <v>0.16666666666666666</v>
      </c>
      <c r="AQ21" s="213" t="e">
        <f t="shared" si="20"/>
        <v>#DIV/0!</v>
      </c>
      <c r="AR21" s="213" t="e">
        <f t="shared" si="7"/>
        <v>#DIV/0!</v>
      </c>
      <c r="AS21" s="213" t="e">
        <f t="shared" si="7"/>
        <v>#DIV/0!</v>
      </c>
      <c r="AT21" s="213" t="e">
        <f t="shared" si="7"/>
        <v>#DIV/0!</v>
      </c>
      <c r="AU21" s="213" t="e">
        <f t="shared" si="7"/>
        <v>#DIV/0!</v>
      </c>
      <c r="AV21" s="213" t="e">
        <f t="shared" si="7"/>
        <v>#DIV/0!</v>
      </c>
      <c r="AW21" s="213" t="e">
        <f t="shared" si="7"/>
        <v>#DIV/0!</v>
      </c>
      <c r="AY21" s="186">
        <f t="shared" si="21"/>
        <v>4.7244781571035122E-2</v>
      </c>
      <c r="AZ21" s="186">
        <f t="shared" si="8"/>
        <v>6.772742767253738E-2</v>
      </c>
      <c r="BA21" s="186">
        <f t="shared" si="8"/>
        <v>2.902604043108745E-2</v>
      </c>
      <c r="BB21" s="186">
        <f t="shared" si="8"/>
        <v>6.9389011378634374E-2</v>
      </c>
      <c r="BC21" s="186">
        <f t="shared" si="8"/>
        <v>6.0065492524973924E-2</v>
      </c>
      <c r="BD21" s="186">
        <f t="shared" si="8"/>
        <v>0.10060738982104785</v>
      </c>
      <c r="BE21" s="186">
        <f t="shared" si="8"/>
        <v>3.3886227576814469E-2</v>
      </c>
    </row>
    <row r="22" spans="1:57" ht="12.75" x14ac:dyDescent="0.2">
      <c r="A22" s="181">
        <f t="shared" si="9"/>
        <v>0.25238095238095232</v>
      </c>
      <c r="B22" s="187">
        <f t="shared" si="22"/>
        <v>0.1875</v>
      </c>
      <c r="C22" s="135">
        <v>0.26666666666666666</v>
      </c>
      <c r="D22" s="135">
        <v>0.3</v>
      </c>
      <c r="E22" s="135">
        <v>0.19999999999999998</v>
      </c>
      <c r="F22" s="135">
        <v>0.33333333333333331</v>
      </c>
      <c r="G22" s="135">
        <v>0.13333333333333333</v>
      </c>
      <c r="H22" s="135">
        <v>0.39999999999999997</v>
      </c>
      <c r="I22" s="135">
        <v>0.13333333333333333</v>
      </c>
      <c r="J22" s="165">
        <v>10</v>
      </c>
      <c r="K22" s="43">
        <f t="shared" si="10"/>
        <v>0</v>
      </c>
      <c r="L22" s="43">
        <f t="shared" si="11"/>
        <v>0</v>
      </c>
      <c r="M22" s="43">
        <f t="shared" si="12"/>
        <v>0</v>
      </c>
      <c r="N22" s="43">
        <f t="shared" si="13"/>
        <v>0</v>
      </c>
      <c r="O22" s="43">
        <f t="shared" si="14"/>
        <v>0</v>
      </c>
      <c r="P22" s="43">
        <f t="shared" si="15"/>
        <v>0</v>
      </c>
      <c r="Q22" s="43">
        <f t="shared" si="16"/>
        <v>0</v>
      </c>
      <c r="R22" s="165">
        <v>10</v>
      </c>
      <c r="S22" s="146">
        <v>1</v>
      </c>
      <c r="T22" s="146">
        <v>1</v>
      </c>
      <c r="U22" s="146">
        <v>1</v>
      </c>
      <c r="V22" s="146">
        <v>1</v>
      </c>
      <c r="W22" s="146">
        <v>1</v>
      </c>
      <c r="X22" s="146">
        <v>1</v>
      </c>
      <c r="Y22" s="146">
        <v>1</v>
      </c>
      <c r="AA22" s="184">
        <f t="shared" si="17"/>
        <v>0.28346868942621073</v>
      </c>
      <c r="AB22" s="184">
        <f t="shared" si="17"/>
        <v>0.29026040431087452</v>
      </c>
      <c r="AC22" s="184">
        <f t="shared" si="5"/>
        <v>0.29026040431087452</v>
      </c>
      <c r="AD22" s="184">
        <f t="shared" si="5"/>
        <v>0.29738147733700449</v>
      </c>
      <c r="AE22" s="184">
        <f t="shared" si="5"/>
        <v>0.30032746262486965</v>
      </c>
      <c r="AF22" s="184">
        <f t="shared" si="5"/>
        <v>0.30182216946314355</v>
      </c>
      <c r="AG22" s="184">
        <f t="shared" si="5"/>
        <v>0.33886227576814465</v>
      </c>
      <c r="AI22" s="214">
        <f t="shared" si="18"/>
        <v>1</v>
      </c>
      <c r="AJ22" s="214">
        <f t="shared" si="6"/>
        <v>1</v>
      </c>
      <c r="AK22" s="214">
        <f t="shared" si="6"/>
        <v>1</v>
      </c>
      <c r="AL22" s="214">
        <f t="shared" si="6"/>
        <v>1</v>
      </c>
      <c r="AM22" s="214">
        <f t="shared" si="6"/>
        <v>1</v>
      </c>
      <c r="AN22" s="214">
        <f t="shared" si="6"/>
        <v>1</v>
      </c>
      <c r="AO22" s="214">
        <f t="shared" si="6"/>
        <v>1</v>
      </c>
      <c r="AP22" s="206">
        <f t="shared" si="19"/>
        <v>0.1875</v>
      </c>
      <c r="AQ22" s="213" t="e">
        <f t="shared" si="20"/>
        <v>#DIV/0!</v>
      </c>
      <c r="AR22" s="213" t="e">
        <f t="shared" si="7"/>
        <v>#DIV/0!</v>
      </c>
      <c r="AS22" s="213" t="e">
        <f t="shared" si="7"/>
        <v>#DIV/0!</v>
      </c>
      <c r="AT22" s="213" t="e">
        <f t="shared" si="7"/>
        <v>#DIV/0!</v>
      </c>
      <c r="AU22" s="213" t="e">
        <f t="shared" si="7"/>
        <v>#DIV/0!</v>
      </c>
      <c r="AV22" s="213" t="e">
        <f t="shared" si="7"/>
        <v>#DIV/0!</v>
      </c>
      <c r="AW22" s="213" t="e">
        <f t="shared" si="7"/>
        <v>#DIV/0!</v>
      </c>
      <c r="AY22" s="186">
        <f t="shared" si="21"/>
        <v>7.5591650513656197E-2</v>
      </c>
      <c r="AZ22" s="186">
        <f t="shared" si="8"/>
        <v>8.7078121293262353E-2</v>
      </c>
      <c r="BA22" s="186">
        <f t="shared" si="8"/>
        <v>5.80520808621749E-2</v>
      </c>
      <c r="BB22" s="186">
        <f t="shared" si="8"/>
        <v>9.9127159112334828E-2</v>
      </c>
      <c r="BC22" s="186">
        <f t="shared" si="8"/>
        <v>4.0043661683315954E-2</v>
      </c>
      <c r="BD22" s="186">
        <f t="shared" si="8"/>
        <v>0.1207288677852574</v>
      </c>
      <c r="BE22" s="186">
        <f t="shared" si="8"/>
        <v>4.5181636769085952E-2</v>
      </c>
    </row>
    <row r="23" spans="1:57" ht="12.75" x14ac:dyDescent="0.2">
      <c r="A23" s="181">
        <f t="shared" si="9"/>
        <v>0.37142857142857144</v>
      </c>
      <c r="B23" s="187">
        <f t="shared" si="22"/>
        <v>0.20833333333333334</v>
      </c>
      <c r="C23" s="135">
        <v>0.3666666666666667</v>
      </c>
      <c r="D23" s="135">
        <v>0.33333333333333331</v>
      </c>
      <c r="E23" s="135">
        <v>0.3666666666666667</v>
      </c>
      <c r="F23" s="135">
        <v>0.5</v>
      </c>
      <c r="G23" s="135">
        <v>0.3666666666666667</v>
      </c>
      <c r="H23" s="135">
        <v>0.43333333333333335</v>
      </c>
      <c r="I23" s="135">
        <v>0.23333333333333331</v>
      </c>
      <c r="J23" s="165">
        <v>11</v>
      </c>
      <c r="K23" s="43">
        <f>AgentsRequired(C23,$B$10,K$10,$C$4,$C$6,$C$2,$C$8)</f>
        <v>0</v>
      </c>
      <c r="L23" s="43">
        <f t="shared" si="11"/>
        <v>0</v>
      </c>
      <c r="M23" s="43">
        <f t="shared" si="12"/>
        <v>0</v>
      </c>
      <c r="N23" s="43">
        <f t="shared" si="13"/>
        <v>0</v>
      </c>
      <c r="O23" s="43">
        <f t="shared" si="14"/>
        <v>0</v>
      </c>
      <c r="P23" s="43">
        <f t="shared" si="15"/>
        <v>0</v>
      </c>
      <c r="Q23" s="43">
        <f t="shared" si="16"/>
        <v>0</v>
      </c>
      <c r="R23" s="165">
        <v>11</v>
      </c>
      <c r="S23" s="146">
        <v>1</v>
      </c>
      <c r="T23" s="146">
        <v>1</v>
      </c>
      <c r="U23" s="146">
        <v>1</v>
      </c>
      <c r="V23" s="146">
        <v>1</v>
      </c>
      <c r="W23" s="146">
        <v>1</v>
      </c>
      <c r="X23" s="146">
        <v>1</v>
      </c>
      <c r="Y23" s="146">
        <v>1</v>
      </c>
      <c r="AA23" s="184">
        <f t="shared" si="17"/>
        <v>0.28346868942621073</v>
      </c>
      <c r="AB23" s="184">
        <f t="shared" si="17"/>
        <v>0.29026040431087452</v>
      </c>
      <c r="AC23" s="184">
        <f t="shared" si="5"/>
        <v>0.29026040431087452</v>
      </c>
      <c r="AD23" s="184">
        <f t="shared" si="5"/>
        <v>0.29738147733700449</v>
      </c>
      <c r="AE23" s="184">
        <f t="shared" si="5"/>
        <v>0.30032746262486965</v>
      </c>
      <c r="AF23" s="184">
        <f t="shared" si="5"/>
        <v>0.30182216946314355</v>
      </c>
      <c r="AG23" s="184">
        <f t="shared" si="5"/>
        <v>0.33886227576814465</v>
      </c>
      <c r="AI23" s="214">
        <f t="shared" si="18"/>
        <v>1</v>
      </c>
      <c r="AJ23" s="214">
        <f t="shared" si="6"/>
        <v>1</v>
      </c>
      <c r="AK23" s="214">
        <f t="shared" si="6"/>
        <v>1</v>
      </c>
      <c r="AL23" s="214">
        <f t="shared" si="6"/>
        <v>1</v>
      </c>
      <c r="AM23" s="214">
        <f t="shared" si="6"/>
        <v>1</v>
      </c>
      <c r="AN23" s="214">
        <f t="shared" si="6"/>
        <v>1</v>
      </c>
      <c r="AO23" s="214">
        <f t="shared" si="6"/>
        <v>1</v>
      </c>
      <c r="AP23" s="206">
        <f t="shared" si="19"/>
        <v>0.20833333333333334</v>
      </c>
      <c r="AQ23" s="213" t="e">
        <f t="shared" si="20"/>
        <v>#DIV/0!</v>
      </c>
      <c r="AR23" s="213" t="e">
        <f t="shared" si="7"/>
        <v>#DIV/0!</v>
      </c>
      <c r="AS23" s="213" t="e">
        <f t="shared" si="7"/>
        <v>#DIV/0!</v>
      </c>
      <c r="AT23" s="213" t="e">
        <f t="shared" si="7"/>
        <v>#DIV/0!</v>
      </c>
      <c r="AU23" s="213" t="e">
        <f t="shared" si="7"/>
        <v>#DIV/0!</v>
      </c>
      <c r="AV23" s="213" t="e">
        <f t="shared" si="7"/>
        <v>#DIV/0!</v>
      </c>
      <c r="AW23" s="213" t="e">
        <f t="shared" si="7"/>
        <v>#DIV/0!</v>
      </c>
      <c r="AY23" s="186">
        <f t="shared" si="21"/>
        <v>0.10393851945627727</v>
      </c>
      <c r="AZ23" s="186">
        <f t="shared" si="8"/>
        <v>9.675346810362484E-2</v>
      </c>
      <c r="BA23" s="186">
        <f t="shared" si="8"/>
        <v>0.10642881491398733</v>
      </c>
      <c r="BB23" s="186">
        <f t="shared" si="8"/>
        <v>0.14869073866850224</v>
      </c>
      <c r="BC23" s="186">
        <f t="shared" si="8"/>
        <v>0.11012006962911888</v>
      </c>
      <c r="BD23" s="186">
        <f t="shared" si="8"/>
        <v>0.1307896067673622</v>
      </c>
      <c r="BE23" s="186">
        <f t="shared" si="8"/>
        <v>7.9067864345900407E-2</v>
      </c>
    </row>
    <row r="24" spans="1:57" ht="12.75" x14ac:dyDescent="0.2">
      <c r="A24" s="181">
        <f t="shared" si="9"/>
        <v>0.63333333333333341</v>
      </c>
      <c r="B24" s="187">
        <f t="shared" si="22"/>
        <v>0.22916666666666669</v>
      </c>
      <c r="C24" s="135">
        <v>0.6</v>
      </c>
      <c r="D24" s="135">
        <v>0.73333333333333339</v>
      </c>
      <c r="E24" s="135">
        <v>0.93333333333333324</v>
      </c>
      <c r="F24" s="135">
        <v>0.70000000000000007</v>
      </c>
      <c r="G24" s="135">
        <v>0.66666666666666663</v>
      </c>
      <c r="H24" s="135">
        <v>0.43333333333333335</v>
      </c>
      <c r="I24" s="135">
        <v>0.3666666666666667</v>
      </c>
      <c r="J24" s="165">
        <v>12</v>
      </c>
      <c r="K24" s="43">
        <f t="shared" si="10"/>
        <v>1</v>
      </c>
      <c r="L24" s="43">
        <f t="shared" si="11"/>
        <v>1</v>
      </c>
      <c r="M24" s="43">
        <f t="shared" si="12"/>
        <v>1</v>
      </c>
      <c r="N24" s="43">
        <f t="shared" si="13"/>
        <v>1</v>
      </c>
      <c r="O24" s="43">
        <f t="shared" si="14"/>
        <v>1</v>
      </c>
      <c r="P24" s="43">
        <f t="shared" si="15"/>
        <v>0</v>
      </c>
      <c r="Q24" s="43">
        <f t="shared" si="16"/>
        <v>0</v>
      </c>
      <c r="R24" s="165">
        <v>12</v>
      </c>
      <c r="S24" s="146">
        <v>1</v>
      </c>
      <c r="T24" s="146">
        <v>1</v>
      </c>
      <c r="U24" s="146">
        <v>1</v>
      </c>
      <c r="V24" s="146">
        <v>1</v>
      </c>
      <c r="W24" s="146">
        <v>1</v>
      </c>
      <c r="X24" s="146">
        <v>1</v>
      </c>
      <c r="Y24" s="146">
        <v>1</v>
      </c>
      <c r="AA24" s="184">
        <f t="shared" si="17"/>
        <v>0.92591817793182818</v>
      </c>
      <c r="AB24" s="184">
        <f t="shared" si="17"/>
        <v>0.92865869307013049</v>
      </c>
      <c r="AC24" s="184">
        <f t="shared" si="5"/>
        <v>0.92865869307013049</v>
      </c>
      <c r="AD24" s="184">
        <f t="shared" si="5"/>
        <v>0.93139235792682362</v>
      </c>
      <c r="AE24" s="184">
        <f t="shared" si="5"/>
        <v>0.9324837850378328</v>
      </c>
      <c r="AF24" s="184">
        <f t="shared" si="5"/>
        <v>0.30182216946314355</v>
      </c>
      <c r="AG24" s="184">
        <f t="shared" si="5"/>
        <v>0.33886227576814465</v>
      </c>
      <c r="AI24" s="214">
        <f t="shared" si="18"/>
        <v>0</v>
      </c>
      <c r="AJ24" s="214">
        <f t="shared" si="6"/>
        <v>0</v>
      </c>
      <c r="AK24" s="214">
        <f t="shared" si="6"/>
        <v>0</v>
      </c>
      <c r="AL24" s="214">
        <f t="shared" si="6"/>
        <v>0</v>
      </c>
      <c r="AM24" s="214">
        <f t="shared" si="6"/>
        <v>0</v>
      </c>
      <c r="AN24" s="214">
        <f t="shared" si="6"/>
        <v>1</v>
      </c>
      <c r="AO24" s="214">
        <f t="shared" si="6"/>
        <v>1</v>
      </c>
      <c r="AP24" s="206">
        <f t="shared" si="19"/>
        <v>0.22916666666666669</v>
      </c>
      <c r="AQ24" s="213">
        <f t="shared" si="20"/>
        <v>0</v>
      </c>
      <c r="AR24" s="213">
        <f t="shared" si="7"/>
        <v>0</v>
      </c>
      <c r="AS24" s="213">
        <f t="shared" si="7"/>
        <v>0</v>
      </c>
      <c r="AT24" s="213">
        <f t="shared" si="7"/>
        <v>0</v>
      </c>
      <c r="AU24" s="213">
        <f t="shared" si="7"/>
        <v>0</v>
      </c>
      <c r="AV24" s="213" t="e">
        <f t="shared" si="7"/>
        <v>#DIV/0!</v>
      </c>
      <c r="AW24" s="213" t="e">
        <f t="shared" si="7"/>
        <v>#DIV/0!</v>
      </c>
      <c r="AY24" s="186">
        <f t="shared" si="21"/>
        <v>0.55555090675909691</v>
      </c>
      <c r="AZ24" s="186">
        <f t="shared" si="8"/>
        <v>0.68101637491809575</v>
      </c>
      <c r="BA24" s="186">
        <f t="shared" si="8"/>
        <v>0.86674811353212167</v>
      </c>
      <c r="BB24" s="186">
        <f t="shared" si="8"/>
        <v>0.65197465054877657</v>
      </c>
      <c r="BC24" s="186">
        <f t="shared" si="8"/>
        <v>0.6216558566918885</v>
      </c>
      <c r="BD24" s="186">
        <f t="shared" si="8"/>
        <v>0.1307896067673622</v>
      </c>
      <c r="BE24" s="186">
        <f t="shared" si="8"/>
        <v>0.12424950111498638</v>
      </c>
    </row>
    <row r="25" spans="1:57" ht="12.75" x14ac:dyDescent="0.2">
      <c r="A25" s="181">
        <f t="shared" si="9"/>
        <v>1.3095238095238095</v>
      </c>
      <c r="B25" s="187">
        <f t="shared" si="22"/>
        <v>0.25</v>
      </c>
      <c r="C25" s="135">
        <v>1.2666666666666666</v>
      </c>
      <c r="D25" s="135">
        <v>1.4333333333333336</v>
      </c>
      <c r="E25" s="135">
        <v>1.5</v>
      </c>
      <c r="F25" s="135">
        <v>1.3</v>
      </c>
      <c r="G25" s="135">
        <v>1.5</v>
      </c>
      <c r="H25" s="135">
        <v>1.0999999999999999</v>
      </c>
      <c r="I25" s="135">
        <v>1.0666666666666667</v>
      </c>
      <c r="J25" s="165">
        <v>13</v>
      </c>
      <c r="K25" s="43">
        <f t="shared" si="10"/>
        <v>1</v>
      </c>
      <c r="L25" s="43">
        <f t="shared" si="11"/>
        <v>1</v>
      </c>
      <c r="M25" s="43">
        <f t="shared" si="12"/>
        <v>1</v>
      </c>
      <c r="N25" s="43">
        <f t="shared" si="13"/>
        <v>1</v>
      </c>
      <c r="O25" s="43">
        <f t="shared" si="14"/>
        <v>1</v>
      </c>
      <c r="P25" s="43">
        <f t="shared" si="15"/>
        <v>1</v>
      </c>
      <c r="Q25" s="43">
        <f t="shared" si="16"/>
        <v>1</v>
      </c>
      <c r="R25" s="165">
        <v>13</v>
      </c>
      <c r="S25" s="146">
        <v>1</v>
      </c>
      <c r="T25" s="146">
        <v>1</v>
      </c>
      <c r="U25" s="146">
        <v>1</v>
      </c>
      <c r="V25" s="146">
        <v>1</v>
      </c>
      <c r="W25" s="146">
        <v>1</v>
      </c>
      <c r="X25" s="146">
        <v>1</v>
      </c>
      <c r="Y25" s="146">
        <v>1</v>
      </c>
      <c r="AA25" s="184">
        <f t="shared" si="17"/>
        <v>0.92591817793182818</v>
      </c>
      <c r="AB25" s="184">
        <f t="shared" si="17"/>
        <v>0.92865869307013049</v>
      </c>
      <c r="AC25" s="184">
        <f t="shared" si="5"/>
        <v>0.85248114274707165</v>
      </c>
      <c r="AD25" s="184">
        <f t="shared" si="5"/>
        <v>0.93139235792682362</v>
      </c>
      <c r="AE25" s="184">
        <f t="shared" si="5"/>
        <v>0.86039063053536669</v>
      </c>
      <c r="AF25" s="184">
        <f t="shared" si="5"/>
        <v>0.93302904327312264</v>
      </c>
      <c r="AG25" s="184">
        <f t="shared" si="5"/>
        <v>0.94493648663655216</v>
      </c>
      <c r="AI25" s="214">
        <f t="shared" si="18"/>
        <v>0</v>
      </c>
      <c r="AJ25" s="214">
        <f t="shared" si="6"/>
        <v>0</v>
      </c>
      <c r="AK25" s="214">
        <f t="shared" si="6"/>
        <v>0</v>
      </c>
      <c r="AL25" s="214">
        <f t="shared" si="6"/>
        <v>0</v>
      </c>
      <c r="AM25" s="214">
        <f t="shared" si="6"/>
        <v>0</v>
      </c>
      <c r="AN25" s="214">
        <f t="shared" si="6"/>
        <v>0</v>
      </c>
      <c r="AO25" s="214">
        <f t="shared" si="6"/>
        <v>0</v>
      </c>
      <c r="AP25" s="206">
        <f t="shared" si="19"/>
        <v>0.25</v>
      </c>
      <c r="AQ25" s="213">
        <f t="shared" si="20"/>
        <v>0</v>
      </c>
      <c r="AR25" s="213">
        <f t="shared" si="7"/>
        <v>0</v>
      </c>
      <c r="AS25" s="213">
        <f t="shared" si="7"/>
        <v>0</v>
      </c>
      <c r="AT25" s="213">
        <f t="shared" si="7"/>
        <v>0</v>
      </c>
      <c r="AU25" s="213">
        <f t="shared" si="7"/>
        <v>0</v>
      </c>
      <c r="AV25" s="213">
        <f t="shared" si="7"/>
        <v>0</v>
      </c>
      <c r="AW25" s="213">
        <f t="shared" si="7"/>
        <v>0</v>
      </c>
      <c r="AY25" s="186">
        <f t="shared" si="21"/>
        <v>1.1728296920469823</v>
      </c>
      <c r="AZ25" s="186">
        <f t="shared" si="8"/>
        <v>1.3310774600671873</v>
      </c>
      <c r="BA25" s="186">
        <f t="shared" si="8"/>
        <v>1.2787217141206075</v>
      </c>
      <c r="BB25" s="186">
        <f t="shared" si="8"/>
        <v>1.2108100653048708</v>
      </c>
      <c r="BC25" s="186">
        <f t="shared" si="8"/>
        <v>1.29058594580305</v>
      </c>
      <c r="BD25" s="186">
        <f t="shared" si="8"/>
        <v>1.0263319476004347</v>
      </c>
      <c r="BE25" s="186">
        <f t="shared" si="8"/>
        <v>1.0079322524123222</v>
      </c>
    </row>
    <row r="26" spans="1:57" ht="12.75" x14ac:dyDescent="0.2">
      <c r="A26" s="181">
        <f t="shared" si="9"/>
        <v>2.2857142857142856</v>
      </c>
      <c r="B26" s="187">
        <f t="shared" si="22"/>
        <v>0.27083333333333331</v>
      </c>
      <c r="C26" s="135">
        <v>2.2666666666666666</v>
      </c>
      <c r="D26" s="135">
        <v>2.6666666666666665</v>
      </c>
      <c r="E26" s="135">
        <v>2.1333333333333333</v>
      </c>
      <c r="F26" s="135">
        <v>1.8666666666666669</v>
      </c>
      <c r="G26" s="135">
        <v>2.5666666666666664</v>
      </c>
      <c r="H26" s="135">
        <v>2.2999999999999998</v>
      </c>
      <c r="I26" s="135">
        <v>2.1999999999999997</v>
      </c>
      <c r="J26" s="165">
        <v>14</v>
      </c>
      <c r="K26" s="43">
        <f t="shared" si="10"/>
        <v>1</v>
      </c>
      <c r="L26" s="43">
        <f t="shared" si="11"/>
        <v>2</v>
      </c>
      <c r="M26" s="43">
        <f t="shared" si="12"/>
        <v>1</v>
      </c>
      <c r="N26" s="43">
        <f t="shared" si="13"/>
        <v>1</v>
      </c>
      <c r="O26" s="43">
        <f t="shared" si="14"/>
        <v>2</v>
      </c>
      <c r="P26" s="43">
        <f t="shared" si="15"/>
        <v>1</v>
      </c>
      <c r="Q26" s="43">
        <f t="shared" si="16"/>
        <v>1</v>
      </c>
      <c r="R26" s="165">
        <v>14</v>
      </c>
      <c r="S26" s="146">
        <v>1</v>
      </c>
      <c r="T26" s="146">
        <v>1</v>
      </c>
      <c r="U26" s="146">
        <v>1</v>
      </c>
      <c r="V26" s="146">
        <v>1</v>
      </c>
      <c r="W26" s="146">
        <v>1</v>
      </c>
      <c r="X26" s="146">
        <v>1</v>
      </c>
      <c r="Y26" s="146">
        <v>1</v>
      </c>
      <c r="AA26" s="184">
        <f t="shared" si="17"/>
        <v>0.84681433232707026</v>
      </c>
      <c r="AB26" s="184">
        <f t="shared" si="17"/>
        <v>0.77122146150263626</v>
      </c>
      <c r="AC26" s="184">
        <f t="shared" si="5"/>
        <v>0.85248114274707165</v>
      </c>
      <c r="AD26" s="184">
        <f t="shared" si="5"/>
        <v>0.85813378822170916</v>
      </c>
      <c r="AE26" s="184">
        <f t="shared" si="5"/>
        <v>0.78348783266470656</v>
      </c>
      <c r="AF26" s="184">
        <f t="shared" si="5"/>
        <v>0.86151811018550495</v>
      </c>
      <c r="AG26" s="184">
        <f t="shared" si="5"/>
        <v>0.88614020520128389</v>
      </c>
      <c r="AI26" s="214">
        <f t="shared" si="18"/>
        <v>0</v>
      </c>
      <c r="AJ26" s="214">
        <f t="shared" si="6"/>
        <v>-1</v>
      </c>
      <c r="AK26" s="214">
        <f t="shared" si="6"/>
        <v>0</v>
      </c>
      <c r="AL26" s="214">
        <f t="shared" si="6"/>
        <v>0</v>
      </c>
      <c r="AM26" s="214">
        <f t="shared" si="6"/>
        <v>-1</v>
      </c>
      <c r="AN26" s="214">
        <f t="shared" si="6"/>
        <v>0</v>
      </c>
      <c r="AO26" s="214">
        <f t="shared" si="6"/>
        <v>0</v>
      </c>
      <c r="AP26" s="206">
        <f t="shared" si="19"/>
        <v>0.27083333333333331</v>
      </c>
      <c r="AQ26" s="213">
        <f t="shared" si="20"/>
        <v>0</v>
      </c>
      <c r="AR26" s="213">
        <f t="shared" si="7"/>
        <v>-0.5</v>
      </c>
      <c r="AS26" s="213">
        <f t="shared" si="7"/>
        <v>0</v>
      </c>
      <c r="AT26" s="213">
        <f t="shared" si="7"/>
        <v>0</v>
      </c>
      <c r="AU26" s="213">
        <f t="shared" si="7"/>
        <v>-0.5</v>
      </c>
      <c r="AV26" s="213">
        <f t="shared" si="7"/>
        <v>0</v>
      </c>
      <c r="AW26" s="213">
        <f t="shared" si="7"/>
        <v>0</v>
      </c>
      <c r="AY26" s="186">
        <f t="shared" si="21"/>
        <v>1.9194458199413593</v>
      </c>
      <c r="AZ26" s="186">
        <f t="shared" si="8"/>
        <v>2.0565905640070299</v>
      </c>
      <c r="BA26" s="186">
        <f t="shared" si="8"/>
        <v>1.8186264378604196</v>
      </c>
      <c r="BB26" s="186">
        <f t="shared" si="8"/>
        <v>1.6018497380138572</v>
      </c>
      <c r="BC26" s="186">
        <f t="shared" si="8"/>
        <v>2.0109521038394131</v>
      </c>
      <c r="BD26" s="186">
        <f t="shared" si="8"/>
        <v>1.9814916534266613</v>
      </c>
      <c r="BE26" s="186">
        <f t="shared" si="8"/>
        <v>1.9495084514428243</v>
      </c>
    </row>
    <row r="27" spans="1:57" ht="12.75" x14ac:dyDescent="0.2">
      <c r="A27" s="181">
        <f t="shared" si="9"/>
        <v>3.5619047619047621</v>
      </c>
      <c r="B27" s="187">
        <f t="shared" si="22"/>
        <v>0.29166666666666663</v>
      </c>
      <c r="C27" s="135">
        <v>3.4666666666666663</v>
      </c>
      <c r="D27" s="135">
        <v>3.6666666666666665</v>
      </c>
      <c r="E27" s="135">
        <v>2.9</v>
      </c>
      <c r="F27" s="135">
        <v>3.3333333333333335</v>
      </c>
      <c r="G27" s="135">
        <v>3.8666666666666667</v>
      </c>
      <c r="H27" s="135">
        <v>3.9</v>
      </c>
      <c r="I27" s="135">
        <v>3.7999999999999994</v>
      </c>
      <c r="J27" s="165">
        <v>15</v>
      </c>
      <c r="K27" s="43">
        <f t="shared" si="10"/>
        <v>2</v>
      </c>
      <c r="L27" s="43">
        <f t="shared" si="11"/>
        <v>2</v>
      </c>
      <c r="M27" s="43">
        <f t="shared" si="12"/>
        <v>2</v>
      </c>
      <c r="N27" s="43">
        <f t="shared" si="13"/>
        <v>2</v>
      </c>
      <c r="O27" s="43">
        <f t="shared" si="14"/>
        <v>2</v>
      </c>
      <c r="P27" s="43">
        <f t="shared" si="15"/>
        <v>2</v>
      </c>
      <c r="Q27" s="43">
        <f t="shared" si="16"/>
        <v>2</v>
      </c>
      <c r="R27" s="165">
        <v>15</v>
      </c>
      <c r="S27" s="146">
        <v>2</v>
      </c>
      <c r="T27" s="146">
        <v>2</v>
      </c>
      <c r="U27" s="146">
        <v>3</v>
      </c>
      <c r="V27" s="146">
        <v>2</v>
      </c>
      <c r="W27" s="146">
        <v>3</v>
      </c>
      <c r="X27" s="146">
        <v>3</v>
      </c>
      <c r="Y27" s="146">
        <v>2</v>
      </c>
      <c r="AA27" s="184">
        <f t="shared" si="17"/>
        <v>0.9777968564383781</v>
      </c>
      <c r="AB27" s="184">
        <f t="shared" si="17"/>
        <v>0.96356161503127646</v>
      </c>
      <c r="AC27" s="184">
        <f t="shared" si="5"/>
        <v>0.99864809879364058</v>
      </c>
      <c r="AD27" s="184">
        <f t="shared" si="5"/>
        <v>0.98081796572562152</v>
      </c>
      <c r="AE27" s="184">
        <f t="shared" si="5"/>
        <v>0.9973319012874865</v>
      </c>
      <c r="AF27" s="184">
        <f t="shared" si="5"/>
        <v>0.99739242111856152</v>
      </c>
      <c r="AG27" s="184">
        <f t="shared" si="5"/>
        <v>0.97766957400106191</v>
      </c>
      <c r="AI27" s="214">
        <f t="shared" si="18"/>
        <v>0</v>
      </c>
      <c r="AJ27" s="214">
        <f t="shared" si="6"/>
        <v>0</v>
      </c>
      <c r="AK27" s="214">
        <f t="shared" si="6"/>
        <v>1</v>
      </c>
      <c r="AL27" s="214">
        <f t="shared" si="6"/>
        <v>0</v>
      </c>
      <c r="AM27" s="214">
        <f t="shared" si="6"/>
        <v>1</v>
      </c>
      <c r="AN27" s="214">
        <f t="shared" si="6"/>
        <v>1</v>
      </c>
      <c r="AO27" s="214">
        <f t="shared" si="6"/>
        <v>0</v>
      </c>
      <c r="AP27" s="206">
        <f t="shared" si="19"/>
        <v>0.29166666666666663</v>
      </c>
      <c r="AQ27" s="213">
        <f t="shared" si="20"/>
        <v>0</v>
      </c>
      <c r="AR27" s="213">
        <f t="shared" si="7"/>
        <v>0</v>
      </c>
      <c r="AS27" s="213">
        <f t="shared" si="7"/>
        <v>0.5</v>
      </c>
      <c r="AT27" s="213">
        <f t="shared" si="7"/>
        <v>0</v>
      </c>
      <c r="AU27" s="213">
        <f t="shared" si="7"/>
        <v>0.5</v>
      </c>
      <c r="AV27" s="213">
        <f t="shared" si="7"/>
        <v>0.5</v>
      </c>
      <c r="AW27" s="213">
        <f t="shared" si="7"/>
        <v>0</v>
      </c>
      <c r="AY27" s="186">
        <f t="shared" si="21"/>
        <v>3.3896957689863769</v>
      </c>
      <c r="AZ27" s="186">
        <f t="shared" si="8"/>
        <v>3.5330592551146802</v>
      </c>
      <c r="BA27" s="186">
        <f t="shared" si="8"/>
        <v>2.8960794865015576</v>
      </c>
      <c r="BB27" s="186">
        <f t="shared" si="8"/>
        <v>3.2693932190854054</v>
      </c>
      <c r="BC27" s="186">
        <f t="shared" si="8"/>
        <v>3.8563500183116144</v>
      </c>
      <c r="BD27" s="186">
        <f t="shared" si="8"/>
        <v>3.8898304423623897</v>
      </c>
      <c r="BE27" s="186">
        <f t="shared" si="8"/>
        <v>3.7151443812040346</v>
      </c>
    </row>
    <row r="28" spans="1:57" ht="12.75" x14ac:dyDescent="0.2">
      <c r="A28" s="181">
        <f t="shared" si="9"/>
        <v>4.4000000000000004</v>
      </c>
      <c r="B28" s="187">
        <f t="shared" si="22"/>
        <v>0.31249999999999994</v>
      </c>
      <c r="C28" s="135">
        <v>4.2666666666666666</v>
      </c>
      <c r="D28" s="135">
        <v>4.4999999999999991</v>
      </c>
      <c r="E28" s="135">
        <v>3.9333333333333336</v>
      </c>
      <c r="F28" s="135">
        <v>4.0666666666666664</v>
      </c>
      <c r="G28" s="135">
        <v>4.4333333333333336</v>
      </c>
      <c r="H28" s="135">
        <v>4.7333333333333334</v>
      </c>
      <c r="I28" s="135">
        <v>4.8666666666666663</v>
      </c>
      <c r="J28" s="165">
        <v>16</v>
      </c>
      <c r="K28" s="43">
        <f t="shared" si="10"/>
        <v>2</v>
      </c>
      <c r="L28" s="43">
        <f t="shared" si="11"/>
        <v>2</v>
      </c>
      <c r="M28" s="43">
        <f t="shared" si="12"/>
        <v>2</v>
      </c>
      <c r="N28" s="43">
        <f t="shared" si="13"/>
        <v>2</v>
      </c>
      <c r="O28" s="43">
        <f t="shared" si="14"/>
        <v>2</v>
      </c>
      <c r="P28" s="43">
        <f t="shared" si="15"/>
        <v>2</v>
      </c>
      <c r="Q28" s="43">
        <f t="shared" si="16"/>
        <v>2</v>
      </c>
      <c r="R28" s="165">
        <v>16</v>
      </c>
      <c r="S28" s="146">
        <v>2</v>
      </c>
      <c r="T28" s="146">
        <v>2</v>
      </c>
      <c r="U28" s="146">
        <v>3</v>
      </c>
      <c r="V28" s="146">
        <v>2</v>
      </c>
      <c r="W28" s="146">
        <v>3</v>
      </c>
      <c r="X28" s="146">
        <v>3</v>
      </c>
      <c r="Y28" s="146">
        <v>2</v>
      </c>
      <c r="AA28" s="184">
        <f t="shared" si="17"/>
        <v>0.96089025203266454</v>
      </c>
      <c r="AB28" s="184">
        <f t="shared" si="17"/>
        <v>0.96356161503127646</v>
      </c>
      <c r="AC28" s="184">
        <f t="shared" si="5"/>
        <v>0.99688250254337396</v>
      </c>
      <c r="AD28" s="184">
        <f t="shared" si="5"/>
        <v>0.96614314048618588</v>
      </c>
      <c r="AE28" s="184">
        <f t="shared" si="5"/>
        <v>0.9973319012874865</v>
      </c>
      <c r="AF28" s="184">
        <f t="shared" si="5"/>
        <v>0.99502711202112049</v>
      </c>
      <c r="AG28" s="184">
        <f t="shared" si="5"/>
        <v>0.96513548027816098</v>
      </c>
      <c r="AI28" s="214">
        <f t="shared" si="18"/>
        <v>0</v>
      </c>
      <c r="AJ28" s="214">
        <f t="shared" si="6"/>
        <v>0</v>
      </c>
      <c r="AK28" s="214">
        <f t="shared" si="6"/>
        <v>1</v>
      </c>
      <c r="AL28" s="214">
        <f t="shared" si="6"/>
        <v>0</v>
      </c>
      <c r="AM28" s="214">
        <f t="shared" si="6"/>
        <v>1</v>
      </c>
      <c r="AN28" s="214">
        <f t="shared" si="6"/>
        <v>1</v>
      </c>
      <c r="AO28" s="214">
        <f t="shared" si="6"/>
        <v>0</v>
      </c>
      <c r="AP28" s="206">
        <f t="shared" si="19"/>
        <v>0.31249999999999994</v>
      </c>
      <c r="AQ28" s="213">
        <f t="shared" si="20"/>
        <v>0</v>
      </c>
      <c r="AR28" s="213">
        <f t="shared" si="7"/>
        <v>0</v>
      </c>
      <c r="AS28" s="213">
        <f t="shared" si="7"/>
        <v>0.5</v>
      </c>
      <c r="AT28" s="213">
        <f t="shared" si="7"/>
        <v>0</v>
      </c>
      <c r="AU28" s="213">
        <f t="shared" si="7"/>
        <v>0.5</v>
      </c>
      <c r="AV28" s="213">
        <f t="shared" si="7"/>
        <v>0.5</v>
      </c>
      <c r="AW28" s="213">
        <f t="shared" si="7"/>
        <v>0</v>
      </c>
      <c r="AY28" s="186">
        <f t="shared" si="21"/>
        <v>4.0997984086727017</v>
      </c>
      <c r="AZ28" s="186">
        <f t="shared" si="8"/>
        <v>4.336027267640743</v>
      </c>
      <c r="BA28" s="186">
        <f t="shared" si="8"/>
        <v>3.9210711766706043</v>
      </c>
      <c r="BB28" s="186">
        <f t="shared" si="8"/>
        <v>3.9289821046438225</v>
      </c>
      <c r="BC28" s="186">
        <f t="shared" si="8"/>
        <v>4.4215047623745241</v>
      </c>
      <c r="BD28" s="186">
        <f t="shared" si="8"/>
        <v>4.7097949968999702</v>
      </c>
      <c r="BE28" s="186">
        <f t="shared" si="8"/>
        <v>4.6969926706870497</v>
      </c>
    </row>
    <row r="29" spans="1:57" ht="12.75" x14ac:dyDescent="0.2">
      <c r="A29" s="181">
        <f t="shared" si="9"/>
        <v>5.2380952380952381</v>
      </c>
      <c r="B29" s="187">
        <f t="shared" si="22"/>
        <v>0.33333333333333326</v>
      </c>
      <c r="C29" s="135">
        <v>4.6999999999999993</v>
      </c>
      <c r="D29" s="135">
        <v>5.1666666666666661</v>
      </c>
      <c r="E29" s="135">
        <v>4.8666666666666663</v>
      </c>
      <c r="F29" s="135">
        <v>5.2333333333333334</v>
      </c>
      <c r="G29" s="135">
        <v>5.6333333333333329</v>
      </c>
      <c r="H29" s="135">
        <v>5.833333333333333</v>
      </c>
      <c r="I29" s="135">
        <v>5.2333333333333334</v>
      </c>
      <c r="J29" s="165">
        <v>17</v>
      </c>
      <c r="K29" s="43">
        <f t="shared" si="10"/>
        <v>2</v>
      </c>
      <c r="L29" s="43">
        <f t="shared" si="11"/>
        <v>2</v>
      </c>
      <c r="M29" s="43">
        <f t="shared" si="12"/>
        <v>2</v>
      </c>
      <c r="N29" s="43">
        <f t="shared" si="13"/>
        <v>2</v>
      </c>
      <c r="O29" s="43">
        <f t="shared" si="14"/>
        <v>2</v>
      </c>
      <c r="P29" s="43">
        <f t="shared" si="15"/>
        <v>2</v>
      </c>
      <c r="Q29" s="43">
        <f t="shared" si="16"/>
        <v>2</v>
      </c>
      <c r="R29" s="165">
        <v>17</v>
      </c>
      <c r="S29" s="146">
        <v>2</v>
      </c>
      <c r="T29" s="146">
        <v>3</v>
      </c>
      <c r="U29" s="146">
        <v>3</v>
      </c>
      <c r="V29" s="146">
        <v>3</v>
      </c>
      <c r="W29" s="146">
        <v>3</v>
      </c>
      <c r="X29" s="146">
        <v>4</v>
      </c>
      <c r="Y29" s="146">
        <v>3</v>
      </c>
      <c r="AA29" s="184">
        <f t="shared" si="17"/>
        <v>0.9393469340287367</v>
      </c>
      <c r="AB29" s="184">
        <f t="shared" si="17"/>
        <v>0.99406947525080813</v>
      </c>
      <c r="AC29" s="184">
        <f t="shared" si="17"/>
        <v>0.99406947525080813</v>
      </c>
      <c r="AD29" s="184">
        <f t="shared" si="17"/>
        <v>0.99468064718640381</v>
      </c>
      <c r="AE29" s="184">
        <f t="shared" si="17"/>
        <v>0.99141068512107444</v>
      </c>
      <c r="AF29" s="184">
        <f t="shared" si="17"/>
        <v>0.99922700364747929</v>
      </c>
      <c r="AG29" s="184">
        <f t="shared" si="17"/>
        <v>0.997130230529233</v>
      </c>
      <c r="AI29" s="214">
        <f t="shared" si="18"/>
        <v>0</v>
      </c>
      <c r="AJ29" s="214">
        <f t="shared" si="18"/>
        <v>1</v>
      </c>
      <c r="AK29" s="214">
        <f t="shared" si="18"/>
        <v>1</v>
      </c>
      <c r="AL29" s="214">
        <f t="shared" si="18"/>
        <v>1</v>
      </c>
      <c r="AM29" s="214">
        <f t="shared" si="18"/>
        <v>1</v>
      </c>
      <c r="AN29" s="214">
        <f t="shared" si="18"/>
        <v>2</v>
      </c>
      <c r="AO29" s="214">
        <f t="shared" si="18"/>
        <v>1</v>
      </c>
      <c r="AP29" s="206">
        <f t="shared" si="19"/>
        <v>0.33333333333333326</v>
      </c>
      <c r="AQ29" s="213">
        <f t="shared" si="20"/>
        <v>0</v>
      </c>
      <c r="AR29" s="213">
        <f t="shared" si="20"/>
        <v>0.5</v>
      </c>
      <c r="AS29" s="213">
        <f t="shared" si="20"/>
        <v>0.5</v>
      </c>
      <c r="AT29" s="213">
        <f t="shared" si="20"/>
        <v>0.5</v>
      </c>
      <c r="AU29" s="213">
        <f t="shared" si="20"/>
        <v>0.5</v>
      </c>
      <c r="AV29" s="213">
        <f t="shared" si="20"/>
        <v>1</v>
      </c>
      <c r="AW29" s="213">
        <f t="shared" si="20"/>
        <v>0.5</v>
      </c>
      <c r="AY29" s="186">
        <f t="shared" si="21"/>
        <v>4.4149305899350617</v>
      </c>
      <c r="AZ29" s="186">
        <f t="shared" si="21"/>
        <v>5.1360256221291749</v>
      </c>
      <c r="BA29" s="186">
        <f t="shared" si="21"/>
        <v>4.8378047795539327</v>
      </c>
      <c r="BB29" s="186">
        <f t="shared" si="21"/>
        <v>5.2054953869421796</v>
      </c>
      <c r="BC29" s="186">
        <f t="shared" si="21"/>
        <v>5.5849468595153855</v>
      </c>
      <c r="BD29" s="186">
        <f t="shared" si="21"/>
        <v>5.8288241879436287</v>
      </c>
      <c r="BE29" s="186">
        <f t="shared" si="21"/>
        <v>5.2183148731029858</v>
      </c>
    </row>
    <row r="30" spans="1:57" ht="12.75" x14ac:dyDescent="0.2">
      <c r="A30" s="181">
        <f t="shared" si="9"/>
        <v>5.8523809523809529</v>
      </c>
      <c r="B30" s="187">
        <f t="shared" si="22"/>
        <v>0.35416666666666657</v>
      </c>
      <c r="C30" s="135">
        <v>5.0666666666666664</v>
      </c>
      <c r="D30" s="135">
        <v>5.9666666666666659</v>
      </c>
      <c r="E30" s="135">
        <v>5.5666666666666664</v>
      </c>
      <c r="F30" s="135">
        <v>5.6000000000000005</v>
      </c>
      <c r="G30" s="135">
        <v>6.2333333333333343</v>
      </c>
      <c r="H30" s="135">
        <v>7.0333333333333341</v>
      </c>
      <c r="I30" s="135">
        <v>5.5</v>
      </c>
      <c r="J30" s="165">
        <v>18</v>
      </c>
      <c r="K30" s="43">
        <f t="shared" si="10"/>
        <v>2</v>
      </c>
      <c r="L30" s="43">
        <f t="shared" si="11"/>
        <v>2</v>
      </c>
      <c r="M30" s="43">
        <f t="shared" si="12"/>
        <v>2</v>
      </c>
      <c r="N30" s="43">
        <f t="shared" si="13"/>
        <v>2</v>
      </c>
      <c r="O30" s="43">
        <f t="shared" si="14"/>
        <v>2</v>
      </c>
      <c r="P30" s="43">
        <f t="shared" si="15"/>
        <v>2</v>
      </c>
      <c r="Q30" s="43">
        <f t="shared" si="16"/>
        <v>2</v>
      </c>
      <c r="R30" s="165">
        <v>18</v>
      </c>
      <c r="S30" s="146">
        <v>2</v>
      </c>
      <c r="T30" s="146">
        <v>3</v>
      </c>
      <c r="U30" s="146">
        <v>3</v>
      </c>
      <c r="V30" s="146">
        <v>3</v>
      </c>
      <c r="W30" s="146">
        <v>3</v>
      </c>
      <c r="X30" s="146">
        <v>4</v>
      </c>
      <c r="Y30" s="146">
        <v>3</v>
      </c>
      <c r="AA30" s="184">
        <f t="shared" si="17"/>
        <v>0.9393469340287367</v>
      </c>
      <c r="AB30" s="184">
        <f t="shared" si="17"/>
        <v>0.99000675726924636</v>
      </c>
      <c r="AC30" s="184">
        <f t="shared" si="17"/>
        <v>0.99000675726924636</v>
      </c>
      <c r="AD30" s="184">
        <f t="shared" si="17"/>
        <v>0.99102323445646978</v>
      </c>
      <c r="AE30" s="184">
        <f t="shared" si="17"/>
        <v>0.99141068512107444</v>
      </c>
      <c r="AF30" s="184">
        <f t="shared" si="17"/>
        <v>0.99861334659281742</v>
      </c>
      <c r="AG30" s="184">
        <f t="shared" si="17"/>
        <v>0.99512005021418126</v>
      </c>
      <c r="AI30" s="214">
        <f t="shared" si="18"/>
        <v>0</v>
      </c>
      <c r="AJ30" s="214">
        <f t="shared" si="18"/>
        <v>1</v>
      </c>
      <c r="AK30" s="214">
        <f t="shared" si="18"/>
        <v>1</v>
      </c>
      <c r="AL30" s="214">
        <f t="shared" si="18"/>
        <v>1</v>
      </c>
      <c r="AM30" s="214">
        <f t="shared" si="18"/>
        <v>1</v>
      </c>
      <c r="AN30" s="214">
        <f t="shared" si="18"/>
        <v>2</v>
      </c>
      <c r="AO30" s="214">
        <f t="shared" si="18"/>
        <v>1</v>
      </c>
      <c r="AP30" s="206">
        <f t="shared" si="19"/>
        <v>0.35416666666666657</v>
      </c>
      <c r="AQ30" s="213">
        <f t="shared" si="20"/>
        <v>0</v>
      </c>
      <c r="AR30" s="213">
        <f t="shared" si="20"/>
        <v>0.5</v>
      </c>
      <c r="AS30" s="213">
        <f t="shared" si="20"/>
        <v>0.5</v>
      </c>
      <c r="AT30" s="213">
        <f t="shared" si="20"/>
        <v>0.5</v>
      </c>
      <c r="AU30" s="213">
        <f t="shared" si="20"/>
        <v>0.5</v>
      </c>
      <c r="AV30" s="213">
        <f t="shared" si="20"/>
        <v>1</v>
      </c>
      <c r="AW30" s="213">
        <f t="shared" si="20"/>
        <v>0.5</v>
      </c>
      <c r="AY30" s="186">
        <f t="shared" si="21"/>
        <v>4.7593577990789324</v>
      </c>
      <c r="AZ30" s="186">
        <f t="shared" si="21"/>
        <v>5.907040318373169</v>
      </c>
      <c r="BA30" s="186">
        <f t="shared" si="21"/>
        <v>5.5110376154654714</v>
      </c>
      <c r="BB30" s="186">
        <f t="shared" si="21"/>
        <v>5.5497301129562313</v>
      </c>
      <c r="BC30" s="186">
        <f t="shared" si="21"/>
        <v>6.1797932705880312</v>
      </c>
      <c r="BD30" s="186">
        <f t="shared" si="21"/>
        <v>7.0235805377028164</v>
      </c>
      <c r="BE30" s="186">
        <f t="shared" si="21"/>
        <v>5.4731602761779969</v>
      </c>
    </row>
    <row r="31" spans="1:57" ht="12.75" x14ac:dyDescent="0.2">
      <c r="A31" s="181">
        <f t="shared" si="9"/>
        <v>6.8666666666666671</v>
      </c>
      <c r="B31" s="187">
        <f t="shared" si="22"/>
        <v>0.37499999999999989</v>
      </c>
      <c r="C31" s="135">
        <v>5.7</v>
      </c>
      <c r="D31" s="135">
        <v>6.7666666666666666</v>
      </c>
      <c r="E31" s="135">
        <v>6.5666666666666664</v>
      </c>
      <c r="F31" s="135">
        <v>6.7666666666666666</v>
      </c>
      <c r="G31" s="135">
        <v>7.6000000000000005</v>
      </c>
      <c r="H31" s="135">
        <v>8.5666666666666682</v>
      </c>
      <c r="I31" s="135">
        <v>6.1000000000000005</v>
      </c>
      <c r="J31" s="165">
        <v>19</v>
      </c>
      <c r="K31" s="43">
        <f t="shared" si="10"/>
        <v>2</v>
      </c>
      <c r="L31" s="43">
        <f t="shared" si="11"/>
        <v>2</v>
      </c>
      <c r="M31" s="43">
        <f t="shared" si="12"/>
        <v>2</v>
      </c>
      <c r="N31" s="43">
        <f t="shared" si="13"/>
        <v>2</v>
      </c>
      <c r="O31" s="43">
        <f t="shared" si="14"/>
        <v>2</v>
      </c>
      <c r="P31" s="43">
        <f t="shared" si="15"/>
        <v>2</v>
      </c>
      <c r="Q31" s="43">
        <f t="shared" si="16"/>
        <v>2</v>
      </c>
      <c r="R31" s="165">
        <v>19</v>
      </c>
      <c r="S31" s="146">
        <v>3</v>
      </c>
      <c r="T31" s="146">
        <v>3</v>
      </c>
      <c r="U31" s="146">
        <v>3</v>
      </c>
      <c r="V31" s="146">
        <v>3</v>
      </c>
      <c r="W31" s="146">
        <v>3</v>
      </c>
      <c r="X31" s="146">
        <v>4</v>
      </c>
      <c r="Y31" s="146">
        <v>3</v>
      </c>
      <c r="AA31" s="184">
        <f t="shared" si="17"/>
        <v>0.98892065567930143</v>
      </c>
      <c r="AB31" s="184">
        <f t="shared" si="17"/>
        <v>0.98450733261983903</v>
      </c>
      <c r="AC31" s="184">
        <f t="shared" si="17"/>
        <v>0.98450733261983903</v>
      </c>
      <c r="AD31" s="184">
        <f t="shared" si="17"/>
        <v>0.98606331917047907</v>
      </c>
      <c r="AE31" s="184">
        <f t="shared" si="17"/>
        <v>0.98049535204141824</v>
      </c>
      <c r="AF31" s="184">
        <f t="shared" si="17"/>
        <v>0.99643984710872857</v>
      </c>
      <c r="AG31" s="184">
        <f t="shared" si="17"/>
        <v>0.99512005021418126</v>
      </c>
      <c r="AI31" s="214">
        <f t="shared" si="18"/>
        <v>1</v>
      </c>
      <c r="AJ31" s="214">
        <f t="shared" si="18"/>
        <v>1</v>
      </c>
      <c r="AK31" s="214">
        <f t="shared" si="18"/>
        <v>1</v>
      </c>
      <c r="AL31" s="214">
        <f t="shared" si="18"/>
        <v>1</v>
      </c>
      <c r="AM31" s="214">
        <f t="shared" si="18"/>
        <v>1</v>
      </c>
      <c r="AN31" s="214">
        <f t="shared" si="18"/>
        <v>2</v>
      </c>
      <c r="AO31" s="214">
        <f t="shared" si="18"/>
        <v>1</v>
      </c>
      <c r="AP31" s="206">
        <f t="shared" si="19"/>
        <v>0.37499999999999989</v>
      </c>
      <c r="AQ31" s="213">
        <f t="shared" si="20"/>
        <v>0.5</v>
      </c>
      <c r="AR31" s="213">
        <f t="shared" si="20"/>
        <v>0.5</v>
      </c>
      <c r="AS31" s="213">
        <f t="shared" si="20"/>
        <v>0.5</v>
      </c>
      <c r="AT31" s="213">
        <f t="shared" si="20"/>
        <v>0.5</v>
      </c>
      <c r="AU31" s="213">
        <f t="shared" si="20"/>
        <v>0.5</v>
      </c>
      <c r="AV31" s="213">
        <f t="shared" si="20"/>
        <v>1</v>
      </c>
      <c r="AW31" s="213">
        <f t="shared" si="20"/>
        <v>0.5</v>
      </c>
      <c r="AY31" s="186">
        <f t="shared" si="21"/>
        <v>5.6368477373720181</v>
      </c>
      <c r="AZ31" s="186">
        <f t="shared" si="21"/>
        <v>6.6618329507275771</v>
      </c>
      <c r="BA31" s="186">
        <f t="shared" si="21"/>
        <v>6.4649314842036096</v>
      </c>
      <c r="BB31" s="186">
        <f t="shared" si="21"/>
        <v>6.6723617930535752</v>
      </c>
      <c r="BC31" s="186">
        <f t="shared" si="21"/>
        <v>7.4517646755147791</v>
      </c>
      <c r="BD31" s="186">
        <f t="shared" si="21"/>
        <v>8.5361680235647768</v>
      </c>
      <c r="BE31" s="186">
        <f t="shared" si="21"/>
        <v>6.0702323063065062</v>
      </c>
    </row>
    <row r="32" spans="1:57" ht="12.75" x14ac:dyDescent="0.2">
      <c r="A32" s="181">
        <f t="shared" si="9"/>
        <v>7.6904761904761898</v>
      </c>
      <c r="B32" s="187">
        <f t="shared" si="22"/>
        <v>0.3958333333333332</v>
      </c>
      <c r="C32" s="135">
        <v>6.7666666666666666</v>
      </c>
      <c r="D32" s="135">
        <v>7.5</v>
      </c>
      <c r="E32" s="135">
        <v>7.5999999999999988</v>
      </c>
      <c r="F32" s="135">
        <v>7.333333333333333</v>
      </c>
      <c r="G32" s="135">
        <v>8.2666666666666675</v>
      </c>
      <c r="H32" s="135">
        <v>9.2333333333333343</v>
      </c>
      <c r="I32" s="135">
        <v>7.1333333333333329</v>
      </c>
      <c r="J32" s="165">
        <v>20</v>
      </c>
      <c r="K32" s="43">
        <f t="shared" si="10"/>
        <v>2</v>
      </c>
      <c r="L32" s="43">
        <f t="shared" si="11"/>
        <v>2</v>
      </c>
      <c r="M32" s="43">
        <f t="shared" si="12"/>
        <v>2</v>
      </c>
      <c r="N32" s="43">
        <f t="shared" si="13"/>
        <v>2</v>
      </c>
      <c r="O32" s="43">
        <f t="shared" si="14"/>
        <v>2</v>
      </c>
      <c r="P32" s="43">
        <f t="shared" si="15"/>
        <v>2</v>
      </c>
      <c r="Q32" s="43">
        <f t="shared" si="16"/>
        <v>2</v>
      </c>
      <c r="R32" s="165">
        <v>20</v>
      </c>
      <c r="S32" s="146">
        <v>3</v>
      </c>
      <c r="T32" s="146">
        <v>3</v>
      </c>
      <c r="U32" s="146">
        <v>3</v>
      </c>
      <c r="V32" s="146">
        <v>3</v>
      </c>
      <c r="W32" s="146">
        <v>3</v>
      </c>
      <c r="X32" s="146">
        <v>4</v>
      </c>
      <c r="Y32" s="146">
        <v>3</v>
      </c>
      <c r="AA32" s="184">
        <f t="shared" si="17"/>
        <v>0.98284782088441414</v>
      </c>
      <c r="AB32" s="184">
        <f t="shared" si="17"/>
        <v>0.97739597159303593</v>
      </c>
      <c r="AC32" s="184">
        <f t="shared" si="17"/>
        <v>0.97739597159303593</v>
      </c>
      <c r="AD32" s="184">
        <f t="shared" si="17"/>
        <v>0.98606331917047907</v>
      </c>
      <c r="AE32" s="184">
        <f t="shared" si="17"/>
        <v>0.98049535204141824</v>
      </c>
      <c r="AF32" s="184">
        <f t="shared" si="17"/>
        <v>0.99643984710872857</v>
      </c>
      <c r="AG32" s="184">
        <f t="shared" si="17"/>
        <v>0.9923681060840065</v>
      </c>
      <c r="AI32" s="214">
        <f t="shared" si="18"/>
        <v>1</v>
      </c>
      <c r="AJ32" s="214">
        <f t="shared" si="18"/>
        <v>1</v>
      </c>
      <c r="AK32" s="214">
        <f t="shared" si="18"/>
        <v>1</v>
      </c>
      <c r="AL32" s="214">
        <f t="shared" si="18"/>
        <v>1</v>
      </c>
      <c r="AM32" s="214">
        <f t="shared" si="18"/>
        <v>1</v>
      </c>
      <c r="AN32" s="214">
        <f t="shared" si="18"/>
        <v>2</v>
      </c>
      <c r="AO32" s="214">
        <f t="shared" si="18"/>
        <v>1</v>
      </c>
      <c r="AP32" s="206">
        <f t="shared" si="19"/>
        <v>0.3958333333333332</v>
      </c>
      <c r="AQ32" s="213">
        <f t="shared" si="20"/>
        <v>0.5</v>
      </c>
      <c r="AR32" s="213">
        <f t="shared" si="20"/>
        <v>0.5</v>
      </c>
      <c r="AS32" s="213">
        <f t="shared" si="20"/>
        <v>0.5</v>
      </c>
      <c r="AT32" s="213">
        <f t="shared" si="20"/>
        <v>0.5</v>
      </c>
      <c r="AU32" s="213">
        <f t="shared" si="20"/>
        <v>0.5</v>
      </c>
      <c r="AV32" s="213">
        <f t="shared" si="20"/>
        <v>1</v>
      </c>
      <c r="AW32" s="213">
        <f t="shared" si="20"/>
        <v>0.5</v>
      </c>
      <c r="AY32" s="186">
        <f t="shared" si="21"/>
        <v>6.650603587984536</v>
      </c>
      <c r="AZ32" s="186">
        <f t="shared" si="21"/>
        <v>7.3304697869477691</v>
      </c>
      <c r="BA32" s="186">
        <f t="shared" si="21"/>
        <v>7.4282093841070722</v>
      </c>
      <c r="BB32" s="186">
        <f t="shared" si="21"/>
        <v>7.2311310072501795</v>
      </c>
      <c r="BC32" s="186">
        <f t="shared" si="21"/>
        <v>8.1054282435423914</v>
      </c>
      <c r="BD32" s="186">
        <f t="shared" si="21"/>
        <v>9.2004612549705946</v>
      </c>
      <c r="BE32" s="186">
        <f t="shared" si="21"/>
        <v>7.0788924900659129</v>
      </c>
    </row>
    <row r="33" spans="1:57" ht="12.75" x14ac:dyDescent="0.2">
      <c r="A33" s="181">
        <f t="shared" si="9"/>
        <v>8.204761904761904</v>
      </c>
      <c r="B33" s="187">
        <f t="shared" si="22"/>
        <v>0.41666666666666652</v>
      </c>
      <c r="C33" s="135">
        <v>7.5333333333333341</v>
      </c>
      <c r="D33" s="135">
        <v>8.1666666666666661</v>
      </c>
      <c r="E33" s="135">
        <v>8.1333333333333329</v>
      </c>
      <c r="F33" s="135">
        <v>8.2000000000000011</v>
      </c>
      <c r="G33" s="135">
        <v>8.4</v>
      </c>
      <c r="H33" s="135">
        <v>9.4333333333333336</v>
      </c>
      <c r="I33" s="135">
        <v>7.5666666666666673</v>
      </c>
      <c r="J33" s="165">
        <v>21</v>
      </c>
      <c r="K33" s="43">
        <f t="shared" si="10"/>
        <v>2</v>
      </c>
      <c r="L33" s="43">
        <f t="shared" si="11"/>
        <v>2</v>
      </c>
      <c r="M33" s="43">
        <f t="shared" si="12"/>
        <v>2</v>
      </c>
      <c r="N33" s="43">
        <f t="shared" si="13"/>
        <v>2</v>
      </c>
      <c r="O33" s="43">
        <f t="shared" si="14"/>
        <v>2</v>
      </c>
      <c r="P33" s="43">
        <f t="shared" si="15"/>
        <v>2</v>
      </c>
      <c r="Q33" s="43">
        <f t="shared" si="16"/>
        <v>2</v>
      </c>
      <c r="R33" s="165">
        <v>21</v>
      </c>
      <c r="S33" s="146">
        <v>3</v>
      </c>
      <c r="T33" s="146">
        <v>3</v>
      </c>
      <c r="U33" s="146">
        <v>3</v>
      </c>
      <c r="V33" s="146">
        <v>3</v>
      </c>
      <c r="W33" s="146">
        <v>3</v>
      </c>
      <c r="X33" s="146">
        <v>4</v>
      </c>
      <c r="Y33" s="146">
        <v>3</v>
      </c>
      <c r="AA33" s="184">
        <f t="shared" si="17"/>
        <v>0.97500850465874211</v>
      </c>
      <c r="AB33" s="184">
        <f t="shared" si="17"/>
        <v>0.97739597159303593</v>
      </c>
      <c r="AC33" s="184">
        <f t="shared" si="17"/>
        <v>0.97739597159303593</v>
      </c>
      <c r="AD33" s="184">
        <f t="shared" si="17"/>
        <v>0.97963841888951697</v>
      </c>
      <c r="AE33" s="184">
        <f t="shared" si="17"/>
        <v>0.98049535204141824</v>
      </c>
      <c r="AF33" s="184">
        <f t="shared" si="17"/>
        <v>0.99643984710872857</v>
      </c>
      <c r="AG33" s="184">
        <f t="shared" si="17"/>
        <v>0.98877114786466724</v>
      </c>
      <c r="AI33" s="214">
        <f t="shared" si="18"/>
        <v>1</v>
      </c>
      <c r="AJ33" s="214">
        <f t="shared" si="18"/>
        <v>1</v>
      </c>
      <c r="AK33" s="214">
        <f t="shared" si="18"/>
        <v>1</v>
      </c>
      <c r="AL33" s="214">
        <f t="shared" si="18"/>
        <v>1</v>
      </c>
      <c r="AM33" s="214">
        <f t="shared" si="18"/>
        <v>1</v>
      </c>
      <c r="AN33" s="214">
        <f t="shared" si="18"/>
        <v>2</v>
      </c>
      <c r="AO33" s="214">
        <f t="shared" si="18"/>
        <v>1</v>
      </c>
      <c r="AP33" s="206">
        <f t="shared" si="19"/>
        <v>0.41666666666666652</v>
      </c>
      <c r="AQ33" s="213">
        <f t="shared" si="20"/>
        <v>0.5</v>
      </c>
      <c r="AR33" s="213">
        <f t="shared" si="20"/>
        <v>0.5</v>
      </c>
      <c r="AS33" s="213">
        <f t="shared" si="20"/>
        <v>0.5</v>
      </c>
      <c r="AT33" s="213">
        <f t="shared" si="20"/>
        <v>0.5</v>
      </c>
      <c r="AU33" s="213">
        <f t="shared" si="20"/>
        <v>0.5</v>
      </c>
      <c r="AV33" s="213">
        <f t="shared" si="20"/>
        <v>1</v>
      </c>
      <c r="AW33" s="213">
        <f t="shared" si="20"/>
        <v>0.5</v>
      </c>
      <c r="AY33" s="186">
        <f t="shared" si="21"/>
        <v>7.345064068429191</v>
      </c>
      <c r="AZ33" s="186">
        <f t="shared" si="21"/>
        <v>7.9820671013431266</v>
      </c>
      <c r="BA33" s="186">
        <f t="shared" si="21"/>
        <v>7.9494872356233586</v>
      </c>
      <c r="BB33" s="186">
        <f t="shared" si="21"/>
        <v>8.0330350348940396</v>
      </c>
      <c r="BC33" s="186">
        <f t="shared" si="21"/>
        <v>8.2361609571479129</v>
      </c>
      <c r="BD33" s="186">
        <f t="shared" si="21"/>
        <v>9.3997492243923393</v>
      </c>
      <c r="BE33" s="186">
        <f t="shared" si="21"/>
        <v>7.4817016855093161</v>
      </c>
    </row>
    <row r="34" spans="1:57" ht="12.75" x14ac:dyDescent="0.2">
      <c r="A34" s="181">
        <f t="shared" si="9"/>
        <v>8.4476190476190478</v>
      </c>
      <c r="B34" s="187">
        <f t="shared" si="22"/>
        <v>0.43749999999999983</v>
      </c>
      <c r="C34" s="135">
        <v>7.5666666666666664</v>
      </c>
      <c r="D34" s="135">
        <v>8.4</v>
      </c>
      <c r="E34" s="135">
        <v>8.3333333333333339</v>
      </c>
      <c r="F34" s="135">
        <v>8.5666666666666682</v>
      </c>
      <c r="G34" s="135">
        <v>8.5666666666666682</v>
      </c>
      <c r="H34" s="135">
        <v>9.6666666666666661</v>
      </c>
      <c r="I34" s="135">
        <v>8.0333333333333332</v>
      </c>
      <c r="J34" s="165">
        <v>22</v>
      </c>
      <c r="K34" s="43">
        <f t="shared" si="10"/>
        <v>2</v>
      </c>
      <c r="L34" s="43">
        <f t="shared" si="11"/>
        <v>2</v>
      </c>
      <c r="M34" s="43">
        <f t="shared" si="12"/>
        <v>2</v>
      </c>
      <c r="N34" s="43">
        <f t="shared" si="13"/>
        <v>2</v>
      </c>
      <c r="O34" s="43">
        <f t="shared" si="14"/>
        <v>2</v>
      </c>
      <c r="P34" s="43">
        <f t="shared" si="15"/>
        <v>3</v>
      </c>
      <c r="Q34" s="43">
        <f t="shared" si="16"/>
        <v>2</v>
      </c>
      <c r="R34" s="165">
        <v>22</v>
      </c>
      <c r="S34" s="146">
        <v>3</v>
      </c>
      <c r="T34" s="146">
        <v>3</v>
      </c>
      <c r="U34" s="146">
        <v>3</v>
      </c>
      <c r="V34" s="146">
        <v>3</v>
      </c>
      <c r="W34" s="146">
        <v>3</v>
      </c>
      <c r="X34" s="146">
        <v>4</v>
      </c>
      <c r="Y34" s="146">
        <v>3</v>
      </c>
      <c r="AA34" s="184">
        <f t="shared" si="17"/>
        <v>0.97500850465874211</v>
      </c>
      <c r="AB34" s="184">
        <f t="shared" si="17"/>
        <v>0.97739597159303593</v>
      </c>
      <c r="AC34" s="184">
        <f t="shared" si="17"/>
        <v>0.97739597159303593</v>
      </c>
      <c r="AD34" s="184">
        <f t="shared" si="17"/>
        <v>0.97159360510573733</v>
      </c>
      <c r="AE34" s="184">
        <f t="shared" si="17"/>
        <v>0.97277480377601522</v>
      </c>
      <c r="AF34" s="184">
        <f t="shared" si="17"/>
        <v>0.99473461573709476</v>
      </c>
      <c r="AG34" s="184">
        <f t="shared" si="17"/>
        <v>0.98877114786466724</v>
      </c>
      <c r="AI34" s="214">
        <f t="shared" si="18"/>
        <v>1</v>
      </c>
      <c r="AJ34" s="214">
        <f t="shared" si="18"/>
        <v>1</v>
      </c>
      <c r="AK34" s="214">
        <f t="shared" si="18"/>
        <v>1</v>
      </c>
      <c r="AL34" s="214">
        <f t="shared" si="18"/>
        <v>1</v>
      </c>
      <c r="AM34" s="214">
        <f t="shared" si="18"/>
        <v>1</v>
      </c>
      <c r="AN34" s="214">
        <f t="shared" si="18"/>
        <v>1</v>
      </c>
      <c r="AO34" s="214">
        <f t="shared" si="18"/>
        <v>1</v>
      </c>
      <c r="AP34" s="206">
        <f t="shared" si="19"/>
        <v>0.43749999999999983</v>
      </c>
      <c r="AQ34" s="213">
        <f t="shared" si="20"/>
        <v>0.5</v>
      </c>
      <c r="AR34" s="213">
        <f t="shared" si="20"/>
        <v>0.5</v>
      </c>
      <c r="AS34" s="213">
        <f t="shared" si="20"/>
        <v>0.5</v>
      </c>
      <c r="AT34" s="213">
        <f t="shared" si="20"/>
        <v>0.5</v>
      </c>
      <c r="AU34" s="213">
        <f t="shared" si="20"/>
        <v>0.5</v>
      </c>
      <c r="AV34" s="213">
        <f t="shared" si="20"/>
        <v>0.33333333333333326</v>
      </c>
      <c r="AW34" s="213">
        <f t="shared" si="20"/>
        <v>0.5</v>
      </c>
      <c r="AY34" s="186">
        <f t="shared" si="21"/>
        <v>7.3775643519178153</v>
      </c>
      <c r="AZ34" s="186">
        <f t="shared" si="21"/>
        <v>8.2101261613815026</v>
      </c>
      <c r="BA34" s="186">
        <f t="shared" si="21"/>
        <v>8.1449664299419666</v>
      </c>
      <c r="BB34" s="186">
        <f t="shared" si="21"/>
        <v>8.3233185504058174</v>
      </c>
      <c r="BC34" s="186">
        <f t="shared" si="21"/>
        <v>8.3334374856811984</v>
      </c>
      <c r="BD34" s="186">
        <f t="shared" si="21"/>
        <v>9.6157679521252479</v>
      </c>
      <c r="BE34" s="186">
        <f t="shared" si="21"/>
        <v>7.9431282211794931</v>
      </c>
    </row>
    <row r="35" spans="1:57" ht="12.75" x14ac:dyDescent="0.2">
      <c r="A35" s="181">
        <f t="shared" si="9"/>
        <v>8.761904761904761</v>
      </c>
      <c r="B35" s="187">
        <f t="shared" si="22"/>
        <v>0.45833333333333315</v>
      </c>
      <c r="C35" s="135">
        <v>7.8</v>
      </c>
      <c r="D35" s="135">
        <v>9</v>
      </c>
      <c r="E35" s="135">
        <v>7.8</v>
      </c>
      <c r="F35" s="135">
        <v>9.0333333333333332</v>
      </c>
      <c r="G35" s="135">
        <v>8.6666666666666661</v>
      </c>
      <c r="H35" s="135">
        <v>10.133333333333335</v>
      </c>
      <c r="I35" s="135">
        <v>8.9</v>
      </c>
      <c r="J35" s="165">
        <v>23</v>
      </c>
      <c r="K35" s="43">
        <f t="shared" si="10"/>
        <v>2</v>
      </c>
      <c r="L35" s="43">
        <f t="shared" si="11"/>
        <v>2</v>
      </c>
      <c r="M35" s="43">
        <f t="shared" si="12"/>
        <v>2</v>
      </c>
      <c r="N35" s="43">
        <f t="shared" si="13"/>
        <v>2</v>
      </c>
      <c r="O35" s="43">
        <f t="shared" si="14"/>
        <v>2</v>
      </c>
      <c r="P35" s="43">
        <f t="shared" si="15"/>
        <v>3</v>
      </c>
      <c r="Q35" s="43">
        <f t="shared" si="16"/>
        <v>2</v>
      </c>
      <c r="R35" s="165">
        <v>23</v>
      </c>
      <c r="S35" s="146">
        <v>3</v>
      </c>
      <c r="T35" s="146">
        <v>3</v>
      </c>
      <c r="U35" s="146">
        <v>3</v>
      </c>
      <c r="V35" s="146">
        <v>3</v>
      </c>
      <c r="W35" s="146">
        <v>3</v>
      </c>
      <c r="X35" s="146">
        <v>4</v>
      </c>
      <c r="Y35" s="146">
        <v>3</v>
      </c>
      <c r="AA35" s="184">
        <f t="shared" si="17"/>
        <v>0.97500850465874211</v>
      </c>
      <c r="AB35" s="184">
        <f t="shared" si="17"/>
        <v>0.96850626184273647</v>
      </c>
      <c r="AC35" s="184">
        <f t="shared" si="17"/>
        <v>0.97739597159303593</v>
      </c>
      <c r="AD35" s="184">
        <f t="shared" si="17"/>
        <v>0.97159360510573733</v>
      </c>
      <c r="AE35" s="184">
        <f t="shared" si="17"/>
        <v>0.97277480377601522</v>
      </c>
      <c r="AF35" s="184">
        <f t="shared" si="17"/>
        <v>0.99473461573709476</v>
      </c>
      <c r="AG35" s="184">
        <f t="shared" si="17"/>
        <v>0.98422868076623227</v>
      </c>
      <c r="AI35" s="214">
        <f t="shared" si="18"/>
        <v>1</v>
      </c>
      <c r="AJ35" s="214">
        <f t="shared" si="18"/>
        <v>1</v>
      </c>
      <c r="AK35" s="214">
        <f t="shared" si="18"/>
        <v>1</v>
      </c>
      <c r="AL35" s="214">
        <f t="shared" si="18"/>
        <v>1</v>
      </c>
      <c r="AM35" s="214">
        <f t="shared" si="18"/>
        <v>1</v>
      </c>
      <c r="AN35" s="214">
        <f t="shared" si="18"/>
        <v>1</v>
      </c>
      <c r="AO35" s="214">
        <f t="shared" si="18"/>
        <v>1</v>
      </c>
      <c r="AP35" s="206">
        <f t="shared" si="19"/>
        <v>0.45833333333333315</v>
      </c>
      <c r="AQ35" s="213">
        <f t="shared" si="20"/>
        <v>0.5</v>
      </c>
      <c r="AR35" s="213">
        <f t="shared" si="20"/>
        <v>0.5</v>
      </c>
      <c r="AS35" s="213">
        <f t="shared" si="20"/>
        <v>0.5</v>
      </c>
      <c r="AT35" s="213">
        <f t="shared" si="20"/>
        <v>0.5</v>
      </c>
      <c r="AU35" s="213">
        <f t="shared" si="20"/>
        <v>0.5</v>
      </c>
      <c r="AV35" s="213">
        <f t="shared" si="20"/>
        <v>0.33333333333333326</v>
      </c>
      <c r="AW35" s="213">
        <f t="shared" si="20"/>
        <v>0.5</v>
      </c>
      <c r="AY35" s="186">
        <f t="shared" si="21"/>
        <v>7.6050663363381883</v>
      </c>
      <c r="AZ35" s="186">
        <f t="shared" si="21"/>
        <v>8.7165563565846291</v>
      </c>
      <c r="BA35" s="186">
        <f t="shared" si="21"/>
        <v>7.6236885784256803</v>
      </c>
      <c r="BB35" s="186">
        <f t="shared" si="21"/>
        <v>8.7767288994551613</v>
      </c>
      <c r="BC35" s="186">
        <f t="shared" si="21"/>
        <v>8.4307149660587974</v>
      </c>
      <c r="BD35" s="186">
        <f t="shared" si="21"/>
        <v>10.079977439469229</v>
      </c>
      <c r="BE35" s="186">
        <f t="shared" si="21"/>
        <v>8.7596352588194684</v>
      </c>
    </row>
    <row r="36" spans="1:57" ht="12.75" x14ac:dyDescent="0.2">
      <c r="A36" s="181">
        <f t="shared" si="9"/>
        <v>9.1714285714285726</v>
      </c>
      <c r="B36" s="187">
        <f t="shared" si="22"/>
        <v>0.47916666666666646</v>
      </c>
      <c r="C36" s="135">
        <v>8.3666666666666654</v>
      </c>
      <c r="D36" s="135">
        <v>8.8999999999999986</v>
      </c>
      <c r="E36" s="135">
        <v>8.0333333333333332</v>
      </c>
      <c r="F36" s="135">
        <v>9.2000000000000011</v>
      </c>
      <c r="G36" s="135">
        <v>9.2000000000000011</v>
      </c>
      <c r="H36" s="135">
        <v>10.866666666666665</v>
      </c>
      <c r="I36" s="135">
        <v>9.6333333333333329</v>
      </c>
      <c r="J36" s="165">
        <v>24</v>
      </c>
      <c r="K36" s="43">
        <f t="shared" si="10"/>
        <v>2</v>
      </c>
      <c r="L36" s="43">
        <f t="shared" si="11"/>
        <v>2</v>
      </c>
      <c r="M36" s="43">
        <f t="shared" si="12"/>
        <v>2</v>
      </c>
      <c r="N36" s="43">
        <f t="shared" si="13"/>
        <v>2</v>
      </c>
      <c r="O36" s="43">
        <f t="shared" si="14"/>
        <v>2</v>
      </c>
      <c r="P36" s="43">
        <f t="shared" si="15"/>
        <v>3</v>
      </c>
      <c r="Q36" s="43">
        <f t="shared" si="16"/>
        <v>2</v>
      </c>
      <c r="R36" s="165">
        <v>24</v>
      </c>
      <c r="S36" s="146">
        <v>3</v>
      </c>
      <c r="T36" s="146">
        <v>3</v>
      </c>
      <c r="U36" s="146">
        <v>3</v>
      </c>
      <c r="V36" s="146">
        <v>3</v>
      </c>
      <c r="W36" s="146">
        <v>3</v>
      </c>
      <c r="X36" s="146">
        <v>4</v>
      </c>
      <c r="Y36" s="146">
        <v>3</v>
      </c>
      <c r="AA36" s="184">
        <f t="shared" si="17"/>
        <v>0.97500850465874211</v>
      </c>
      <c r="AB36" s="184">
        <f t="shared" si="17"/>
        <v>0.96850626184273647</v>
      </c>
      <c r="AC36" s="184">
        <f t="shared" si="17"/>
        <v>0.97739597159303593</v>
      </c>
      <c r="AD36" s="184">
        <f t="shared" si="17"/>
        <v>0.97159360510573733</v>
      </c>
      <c r="AE36" s="184">
        <f t="shared" si="17"/>
        <v>0.97277480377601522</v>
      </c>
      <c r="AF36" s="184">
        <f t="shared" si="17"/>
        <v>0.99251396598307395</v>
      </c>
      <c r="AG36" s="184">
        <f t="shared" si="17"/>
        <v>0.97864204161799662</v>
      </c>
      <c r="AI36" s="214">
        <f t="shared" si="18"/>
        <v>1</v>
      </c>
      <c r="AJ36" s="214">
        <f t="shared" si="18"/>
        <v>1</v>
      </c>
      <c r="AK36" s="214">
        <f t="shared" si="18"/>
        <v>1</v>
      </c>
      <c r="AL36" s="214">
        <f t="shared" si="18"/>
        <v>1</v>
      </c>
      <c r="AM36" s="214">
        <f t="shared" si="18"/>
        <v>1</v>
      </c>
      <c r="AN36" s="214">
        <f t="shared" si="18"/>
        <v>1</v>
      </c>
      <c r="AO36" s="214">
        <f t="shared" si="18"/>
        <v>1</v>
      </c>
      <c r="AP36" s="206">
        <f t="shared" si="19"/>
        <v>0.47916666666666646</v>
      </c>
      <c r="AQ36" s="213">
        <f t="shared" si="20"/>
        <v>0.5</v>
      </c>
      <c r="AR36" s="213">
        <f t="shared" si="20"/>
        <v>0.5</v>
      </c>
      <c r="AS36" s="213">
        <f t="shared" si="20"/>
        <v>0.5</v>
      </c>
      <c r="AT36" s="213">
        <f t="shared" si="20"/>
        <v>0.5</v>
      </c>
      <c r="AU36" s="213">
        <f t="shared" si="20"/>
        <v>0.5</v>
      </c>
      <c r="AV36" s="213">
        <f t="shared" si="20"/>
        <v>0.33333333333333326</v>
      </c>
      <c r="AW36" s="213">
        <f t="shared" si="20"/>
        <v>0.5</v>
      </c>
      <c r="AY36" s="186">
        <f t="shared" si="21"/>
        <v>8.1575711556448081</v>
      </c>
      <c r="AZ36" s="186">
        <f t="shared" si="21"/>
        <v>8.6197057304003533</v>
      </c>
      <c r="BA36" s="186">
        <f t="shared" si="21"/>
        <v>7.8517476384640554</v>
      </c>
      <c r="BB36" s="186">
        <f t="shared" si="21"/>
        <v>8.9386611669727838</v>
      </c>
      <c r="BC36" s="186">
        <f t="shared" si="21"/>
        <v>8.9495281947393419</v>
      </c>
      <c r="BD36" s="186">
        <f t="shared" si="21"/>
        <v>10.785318430349403</v>
      </c>
      <c r="BE36" s="186">
        <f t="shared" si="21"/>
        <v>9.4275850009200344</v>
      </c>
    </row>
    <row r="37" spans="1:57" ht="12.75" x14ac:dyDescent="0.2">
      <c r="A37" s="181">
        <f t="shared" si="9"/>
        <v>9.6571428571428566</v>
      </c>
      <c r="B37" s="187">
        <f t="shared" si="22"/>
        <v>0.49999999999999978</v>
      </c>
      <c r="C37" s="135">
        <v>9.3666666666666654</v>
      </c>
      <c r="D37" s="135">
        <v>9.6</v>
      </c>
      <c r="E37" s="135">
        <v>8.1</v>
      </c>
      <c r="F37" s="135">
        <v>9.6666666666666661</v>
      </c>
      <c r="G37" s="135">
        <v>9.5000000000000018</v>
      </c>
      <c r="H37" s="135">
        <v>11.533333333333333</v>
      </c>
      <c r="I37" s="135">
        <v>9.8333333333333321</v>
      </c>
      <c r="J37" s="165">
        <v>25</v>
      </c>
      <c r="K37" s="43">
        <f t="shared" si="10"/>
        <v>2</v>
      </c>
      <c r="L37" s="43">
        <f t="shared" si="11"/>
        <v>3</v>
      </c>
      <c r="M37" s="43">
        <f t="shared" si="12"/>
        <v>2</v>
      </c>
      <c r="N37" s="43">
        <f t="shared" si="13"/>
        <v>3</v>
      </c>
      <c r="O37" s="43">
        <f t="shared" si="14"/>
        <v>3</v>
      </c>
      <c r="P37" s="43">
        <f t="shared" si="15"/>
        <v>3</v>
      </c>
      <c r="Q37" s="43">
        <f t="shared" si="16"/>
        <v>2</v>
      </c>
      <c r="R37" s="165">
        <v>25</v>
      </c>
      <c r="S37" s="146">
        <v>3</v>
      </c>
      <c r="T37" s="146">
        <v>4</v>
      </c>
      <c r="U37" s="146">
        <v>3</v>
      </c>
      <c r="V37" s="146">
        <v>3</v>
      </c>
      <c r="W37" s="146">
        <v>3</v>
      </c>
      <c r="X37" s="146">
        <v>3</v>
      </c>
      <c r="Y37" s="146">
        <v>3</v>
      </c>
      <c r="AA37" s="184">
        <f t="shared" si="17"/>
        <v>0.96522471791893005</v>
      </c>
      <c r="AB37" s="184">
        <f t="shared" si="17"/>
        <v>0.99342090664905669</v>
      </c>
      <c r="AC37" s="184">
        <f t="shared" si="17"/>
        <v>0.97739597159303593</v>
      </c>
      <c r="AD37" s="184">
        <f t="shared" si="17"/>
        <v>0.9617793128577532</v>
      </c>
      <c r="AE37" s="184">
        <f t="shared" si="17"/>
        <v>0.96335019066600014</v>
      </c>
      <c r="AF37" s="184">
        <f t="shared" si="17"/>
        <v>0.94008005305352771</v>
      </c>
      <c r="AG37" s="184">
        <f t="shared" si="17"/>
        <v>0.97864204161799662</v>
      </c>
      <c r="AI37" s="214">
        <f t="shared" si="18"/>
        <v>1</v>
      </c>
      <c r="AJ37" s="214">
        <f t="shared" si="18"/>
        <v>1</v>
      </c>
      <c r="AK37" s="214">
        <f t="shared" si="18"/>
        <v>1</v>
      </c>
      <c r="AL37" s="214">
        <f t="shared" si="18"/>
        <v>0</v>
      </c>
      <c r="AM37" s="214">
        <f t="shared" si="18"/>
        <v>0</v>
      </c>
      <c r="AN37" s="214">
        <f t="shared" si="18"/>
        <v>0</v>
      </c>
      <c r="AO37" s="214">
        <f t="shared" si="18"/>
        <v>1</v>
      </c>
      <c r="AP37" s="206">
        <f t="shared" si="19"/>
        <v>0.49999999999999978</v>
      </c>
      <c r="AQ37" s="213">
        <f t="shared" si="20"/>
        <v>0.5</v>
      </c>
      <c r="AR37" s="213">
        <f t="shared" si="20"/>
        <v>0.33333333333333326</v>
      </c>
      <c r="AS37" s="213">
        <f t="shared" si="20"/>
        <v>0.5</v>
      </c>
      <c r="AT37" s="213">
        <f t="shared" si="20"/>
        <v>0</v>
      </c>
      <c r="AU37" s="213">
        <f t="shared" si="20"/>
        <v>0</v>
      </c>
      <c r="AV37" s="213">
        <f t="shared" si="20"/>
        <v>0</v>
      </c>
      <c r="AW37" s="213">
        <f t="shared" si="20"/>
        <v>0.5</v>
      </c>
      <c r="AY37" s="186">
        <f t="shared" si="21"/>
        <v>9.0409381911739768</v>
      </c>
      <c r="AZ37" s="186">
        <f t="shared" si="21"/>
        <v>9.5368407038309435</v>
      </c>
      <c r="BA37" s="186">
        <f t="shared" si="21"/>
        <v>7.9169073699035906</v>
      </c>
      <c r="BB37" s="186">
        <f t="shared" si="21"/>
        <v>9.2972000242916142</v>
      </c>
      <c r="BC37" s="186">
        <f t="shared" si="21"/>
        <v>9.1518268113270036</v>
      </c>
      <c r="BD37" s="186">
        <f t="shared" si="21"/>
        <v>10.84225661188402</v>
      </c>
      <c r="BE37" s="186">
        <f t="shared" si="21"/>
        <v>9.6233134092436323</v>
      </c>
    </row>
    <row r="38" spans="1:57" ht="12.75" x14ac:dyDescent="0.2">
      <c r="A38" s="181">
        <f t="shared" si="9"/>
        <v>10.071428571428571</v>
      </c>
      <c r="B38" s="187">
        <f t="shared" si="22"/>
        <v>0.52083333333333315</v>
      </c>
      <c r="C38" s="135">
        <v>9.7999999999999989</v>
      </c>
      <c r="D38" s="135">
        <v>10.066666666666668</v>
      </c>
      <c r="E38" s="135">
        <v>9.6</v>
      </c>
      <c r="F38" s="135">
        <v>9.9333333333333353</v>
      </c>
      <c r="G38" s="135">
        <v>9.9</v>
      </c>
      <c r="H38" s="135">
        <v>11.699999999999998</v>
      </c>
      <c r="I38" s="135">
        <v>9.4999999999999982</v>
      </c>
      <c r="J38" s="165">
        <v>26</v>
      </c>
      <c r="K38" s="43">
        <f t="shared" si="10"/>
        <v>3</v>
      </c>
      <c r="L38" s="43">
        <f t="shared" si="11"/>
        <v>3</v>
      </c>
      <c r="M38" s="43">
        <f t="shared" si="12"/>
        <v>3</v>
      </c>
      <c r="N38" s="43">
        <f t="shared" si="13"/>
        <v>3</v>
      </c>
      <c r="O38" s="43">
        <f t="shared" si="14"/>
        <v>3</v>
      </c>
      <c r="P38" s="43">
        <f t="shared" si="15"/>
        <v>3</v>
      </c>
      <c r="Q38" s="43">
        <f t="shared" si="16"/>
        <v>2</v>
      </c>
      <c r="R38" s="165">
        <v>26</v>
      </c>
      <c r="S38" s="146">
        <v>3</v>
      </c>
      <c r="T38" s="146">
        <v>5</v>
      </c>
      <c r="U38" s="146">
        <v>3</v>
      </c>
      <c r="V38" s="146">
        <v>3</v>
      </c>
      <c r="W38" s="146">
        <v>3</v>
      </c>
      <c r="X38" s="146">
        <v>3</v>
      </c>
      <c r="Y38" s="146">
        <v>3</v>
      </c>
      <c r="AA38" s="184">
        <f t="shared" si="17"/>
        <v>0.95332571645158259</v>
      </c>
      <c r="AB38" s="184">
        <f t="shared" si="17"/>
        <v>0.99914588511030422</v>
      </c>
      <c r="AC38" s="184">
        <f t="shared" si="17"/>
        <v>0.95767806415041368</v>
      </c>
      <c r="AD38" s="184">
        <f t="shared" si="17"/>
        <v>0.9617793128577532</v>
      </c>
      <c r="AE38" s="184">
        <f t="shared" si="17"/>
        <v>0.96335019066600014</v>
      </c>
      <c r="AF38" s="184">
        <f t="shared" si="17"/>
        <v>0.94008005305352771</v>
      </c>
      <c r="AG38" s="184">
        <f t="shared" si="17"/>
        <v>0.98422868076623227</v>
      </c>
      <c r="AI38" s="214">
        <f t="shared" si="18"/>
        <v>0</v>
      </c>
      <c r="AJ38" s="214">
        <f t="shared" si="18"/>
        <v>2</v>
      </c>
      <c r="AK38" s="214">
        <f t="shared" si="18"/>
        <v>0</v>
      </c>
      <c r="AL38" s="214">
        <f t="shared" si="18"/>
        <v>0</v>
      </c>
      <c r="AM38" s="214">
        <f t="shared" si="18"/>
        <v>0</v>
      </c>
      <c r="AN38" s="214">
        <f t="shared" si="18"/>
        <v>0</v>
      </c>
      <c r="AO38" s="214">
        <f t="shared" si="18"/>
        <v>1</v>
      </c>
      <c r="AP38" s="206">
        <f t="shared" si="19"/>
        <v>0.52083333333333315</v>
      </c>
      <c r="AQ38" s="213">
        <f t="shared" si="20"/>
        <v>0</v>
      </c>
      <c r="AR38" s="213">
        <f t="shared" si="20"/>
        <v>0.66666666666666674</v>
      </c>
      <c r="AS38" s="213">
        <f t="shared" si="20"/>
        <v>0</v>
      </c>
      <c r="AT38" s="213">
        <f t="shared" si="20"/>
        <v>0</v>
      </c>
      <c r="AU38" s="213">
        <f t="shared" si="20"/>
        <v>0</v>
      </c>
      <c r="AV38" s="213">
        <f t="shared" si="20"/>
        <v>0</v>
      </c>
      <c r="AW38" s="213">
        <f t="shared" si="20"/>
        <v>0.5</v>
      </c>
      <c r="AY38" s="186">
        <f t="shared" si="21"/>
        <v>9.3425920212255082</v>
      </c>
      <c r="AZ38" s="186">
        <f t="shared" si="21"/>
        <v>10.058068576777064</v>
      </c>
      <c r="BA38" s="186">
        <f t="shared" si="21"/>
        <v>9.1937094158439709</v>
      </c>
      <c r="BB38" s="186">
        <f t="shared" si="21"/>
        <v>9.5536745077203502</v>
      </c>
      <c r="BC38" s="186">
        <f t="shared" si="21"/>
        <v>9.5371668875934024</v>
      </c>
      <c r="BD38" s="186">
        <f t="shared" si="21"/>
        <v>10.998936620726273</v>
      </c>
      <c r="BE38" s="186">
        <f t="shared" si="21"/>
        <v>9.3501724672792044</v>
      </c>
    </row>
    <row r="39" spans="1:57" ht="13.5" customHeight="1" x14ac:dyDescent="0.2">
      <c r="A39" s="181">
        <f t="shared" si="9"/>
        <v>10.138095238095238</v>
      </c>
      <c r="B39" s="187">
        <f t="shared" si="22"/>
        <v>0.54166666666666652</v>
      </c>
      <c r="C39" s="135">
        <v>9.7000000000000011</v>
      </c>
      <c r="D39" s="135">
        <v>10.299999999999999</v>
      </c>
      <c r="E39" s="135">
        <v>10.333333333333334</v>
      </c>
      <c r="F39" s="135">
        <v>10.233333333333333</v>
      </c>
      <c r="G39" s="135">
        <v>10.1</v>
      </c>
      <c r="H39" s="135">
        <v>11.066666666666668</v>
      </c>
      <c r="I39" s="135">
        <v>9.2333333333333325</v>
      </c>
      <c r="J39" s="165">
        <v>27</v>
      </c>
      <c r="K39" s="43">
        <f t="shared" si="10"/>
        <v>3</v>
      </c>
      <c r="L39" s="43">
        <f t="shared" si="11"/>
        <v>3</v>
      </c>
      <c r="M39" s="43">
        <f t="shared" si="12"/>
        <v>3</v>
      </c>
      <c r="N39" s="43">
        <f t="shared" si="13"/>
        <v>3</v>
      </c>
      <c r="O39" s="43">
        <f t="shared" si="14"/>
        <v>3</v>
      </c>
      <c r="P39" s="43">
        <f t="shared" si="15"/>
        <v>3</v>
      </c>
      <c r="Q39" s="43">
        <f t="shared" si="16"/>
        <v>2</v>
      </c>
      <c r="R39" s="165">
        <v>27</v>
      </c>
      <c r="S39" s="146">
        <v>3</v>
      </c>
      <c r="T39" s="146">
        <v>3</v>
      </c>
      <c r="U39" s="146">
        <v>3</v>
      </c>
      <c r="V39" s="146">
        <v>4</v>
      </c>
      <c r="W39" s="146">
        <v>3</v>
      </c>
      <c r="X39" s="146">
        <v>5</v>
      </c>
      <c r="Y39" s="146">
        <v>3</v>
      </c>
      <c r="AA39" s="184">
        <f t="shared" si="17"/>
        <v>0.95332571645158259</v>
      </c>
      <c r="AB39" s="184">
        <f t="shared" si="17"/>
        <v>0.95767806415041368</v>
      </c>
      <c r="AC39" s="184">
        <f t="shared" si="17"/>
        <v>0.95767806415041368</v>
      </c>
      <c r="AD39" s="184">
        <f t="shared" si="17"/>
        <v>0.9942659751509566</v>
      </c>
      <c r="AE39" s="184">
        <f t="shared" si="17"/>
        <v>0.96335019066600014</v>
      </c>
      <c r="AF39" s="184">
        <f t="shared" si="17"/>
        <v>0.99900019396021655</v>
      </c>
      <c r="AG39" s="184">
        <f t="shared" si="17"/>
        <v>0.98422868076623227</v>
      </c>
      <c r="AI39" s="214">
        <f t="shared" si="18"/>
        <v>0</v>
      </c>
      <c r="AJ39" s="214">
        <f t="shared" si="18"/>
        <v>0</v>
      </c>
      <c r="AK39" s="214">
        <f t="shared" si="18"/>
        <v>0</v>
      </c>
      <c r="AL39" s="214">
        <f t="shared" si="18"/>
        <v>1</v>
      </c>
      <c r="AM39" s="214">
        <f t="shared" si="18"/>
        <v>0</v>
      </c>
      <c r="AN39" s="218">
        <f>X39-P39</f>
        <v>2</v>
      </c>
      <c r="AO39" s="214">
        <f t="shared" si="18"/>
        <v>1</v>
      </c>
      <c r="AP39" s="206">
        <f t="shared" si="19"/>
        <v>0.54166666666666652</v>
      </c>
      <c r="AQ39" s="213">
        <f t="shared" si="20"/>
        <v>0</v>
      </c>
      <c r="AR39" s="213">
        <f t="shared" si="20"/>
        <v>0</v>
      </c>
      <c r="AS39" s="213">
        <f t="shared" si="20"/>
        <v>0</v>
      </c>
      <c r="AT39" s="213">
        <f t="shared" si="20"/>
        <v>0.33333333333333326</v>
      </c>
      <c r="AU39" s="213">
        <f t="shared" si="20"/>
        <v>0</v>
      </c>
      <c r="AV39" s="213">
        <f t="shared" si="20"/>
        <v>0.66666666666666674</v>
      </c>
      <c r="AW39" s="213">
        <f t="shared" si="20"/>
        <v>0.5</v>
      </c>
      <c r="AY39" s="186">
        <f t="shared" si="21"/>
        <v>9.2472594495803531</v>
      </c>
      <c r="AZ39" s="186">
        <f t="shared" si="21"/>
        <v>9.8640840607492599</v>
      </c>
      <c r="BA39" s="186">
        <f t="shared" si="21"/>
        <v>9.8960066628876078</v>
      </c>
      <c r="BB39" s="186">
        <f t="shared" si="21"/>
        <v>10.174655145711455</v>
      </c>
      <c r="BC39" s="186">
        <f t="shared" si="21"/>
        <v>9.7298369257266017</v>
      </c>
      <c r="BD39" s="186">
        <f t="shared" si="21"/>
        <v>11.055602146493065</v>
      </c>
      <c r="BE39" s="186">
        <f t="shared" si="21"/>
        <v>9.0877114857415435</v>
      </c>
    </row>
    <row r="40" spans="1:57" ht="13.5" customHeight="1" x14ac:dyDescent="0.2">
      <c r="A40" s="181">
        <f t="shared" si="9"/>
        <v>10.009523809523811</v>
      </c>
      <c r="B40" s="187">
        <f t="shared" si="22"/>
        <v>0.56249999999999989</v>
      </c>
      <c r="C40" s="135">
        <v>9.2333333333333343</v>
      </c>
      <c r="D40" s="135">
        <v>10.3</v>
      </c>
      <c r="E40" s="135">
        <v>10.633333333333335</v>
      </c>
      <c r="F40" s="135">
        <v>10.199999999999999</v>
      </c>
      <c r="G40" s="135">
        <v>9.8666666666666671</v>
      </c>
      <c r="H40" s="135">
        <v>10.566666666666668</v>
      </c>
      <c r="I40" s="135">
        <v>9.2666666666666675</v>
      </c>
      <c r="J40" s="165">
        <v>28</v>
      </c>
      <c r="K40" s="43">
        <f t="shared" si="10"/>
        <v>2</v>
      </c>
      <c r="L40" s="43">
        <f t="shared" si="11"/>
        <v>3</v>
      </c>
      <c r="M40" s="43">
        <f t="shared" si="12"/>
        <v>3</v>
      </c>
      <c r="N40" s="43">
        <f t="shared" si="13"/>
        <v>3</v>
      </c>
      <c r="O40" s="43">
        <f t="shared" si="14"/>
        <v>3</v>
      </c>
      <c r="P40" s="43">
        <f t="shared" si="15"/>
        <v>3</v>
      </c>
      <c r="Q40" s="43">
        <f t="shared" si="16"/>
        <v>2</v>
      </c>
      <c r="R40" s="165">
        <v>28</v>
      </c>
      <c r="S40" s="146">
        <v>4</v>
      </c>
      <c r="T40" s="146">
        <v>3</v>
      </c>
      <c r="U40" s="146">
        <v>4</v>
      </c>
      <c r="V40" s="146">
        <v>4</v>
      </c>
      <c r="W40" s="146">
        <v>3</v>
      </c>
      <c r="X40" s="146">
        <v>5</v>
      </c>
      <c r="Y40" s="146">
        <v>3</v>
      </c>
      <c r="AA40" s="184">
        <f t="shared" si="17"/>
        <v>0.99490155293951932</v>
      </c>
      <c r="AB40" s="184">
        <f t="shared" si="17"/>
        <v>0.95767806415041368</v>
      </c>
      <c r="AC40" s="184">
        <f t="shared" si="17"/>
        <v>0.99067060723777867</v>
      </c>
      <c r="AD40" s="184">
        <f t="shared" si="17"/>
        <v>0.9942659751509566</v>
      </c>
      <c r="AE40" s="184">
        <f t="shared" si="17"/>
        <v>0.96335019066600014</v>
      </c>
      <c r="AF40" s="184">
        <f t="shared" si="17"/>
        <v>0.99900019396021655</v>
      </c>
      <c r="AG40" s="184">
        <f t="shared" si="17"/>
        <v>0.98422868076623227</v>
      </c>
      <c r="AI40" s="214">
        <f t="shared" si="18"/>
        <v>2</v>
      </c>
      <c r="AJ40" s="214">
        <f t="shared" si="18"/>
        <v>0</v>
      </c>
      <c r="AK40" s="214">
        <f t="shared" si="18"/>
        <v>1</v>
      </c>
      <c r="AL40" s="214">
        <f t="shared" si="18"/>
        <v>1</v>
      </c>
      <c r="AM40" s="214">
        <f t="shared" si="18"/>
        <v>0</v>
      </c>
      <c r="AN40" s="214">
        <f t="shared" si="18"/>
        <v>2</v>
      </c>
      <c r="AO40" s="214">
        <f t="shared" si="18"/>
        <v>1</v>
      </c>
      <c r="AP40" s="206">
        <f t="shared" si="19"/>
        <v>0.56249999999999989</v>
      </c>
      <c r="AQ40" s="213">
        <f t="shared" si="20"/>
        <v>1</v>
      </c>
      <c r="AR40" s="213">
        <f t="shared" si="20"/>
        <v>0</v>
      </c>
      <c r="AS40" s="213">
        <f t="shared" si="20"/>
        <v>0.33333333333333326</v>
      </c>
      <c r="AT40" s="213">
        <f t="shared" si="20"/>
        <v>0.33333333333333326</v>
      </c>
      <c r="AU40" s="213">
        <f t="shared" si="20"/>
        <v>0</v>
      </c>
      <c r="AV40" s="213">
        <f t="shared" si="20"/>
        <v>0.66666666666666674</v>
      </c>
      <c r="AW40" s="213">
        <f t="shared" si="20"/>
        <v>0.5</v>
      </c>
      <c r="AY40" s="186">
        <f t="shared" si="21"/>
        <v>9.1862576721415632</v>
      </c>
      <c r="AZ40" s="186">
        <f t="shared" si="21"/>
        <v>9.8640840607492617</v>
      </c>
      <c r="BA40" s="186">
        <f t="shared" si="21"/>
        <v>10.534130790295048</v>
      </c>
      <c r="BB40" s="186">
        <f t="shared" si="21"/>
        <v>10.141512946539757</v>
      </c>
      <c r="BC40" s="186">
        <f t="shared" si="21"/>
        <v>9.5050552145712022</v>
      </c>
      <c r="BD40" s="186">
        <f t="shared" si="21"/>
        <v>10.556102049512956</v>
      </c>
      <c r="BE40" s="186">
        <f t="shared" si="21"/>
        <v>9.1205191084337525</v>
      </c>
    </row>
    <row r="41" spans="1:57" ht="13.5" customHeight="1" x14ac:dyDescent="0.2">
      <c r="A41" s="181">
        <f t="shared" si="9"/>
        <v>10.023809523809522</v>
      </c>
      <c r="B41" s="187">
        <f t="shared" si="22"/>
        <v>0.58333333333333326</v>
      </c>
      <c r="C41" s="135">
        <v>9.0333333333333332</v>
      </c>
      <c r="D41" s="135">
        <v>10.133333333333333</v>
      </c>
      <c r="E41" s="135">
        <v>10.433333333333332</v>
      </c>
      <c r="F41" s="135">
        <v>10.799999999999999</v>
      </c>
      <c r="G41" s="135">
        <v>9.7333333333333343</v>
      </c>
      <c r="H41" s="135">
        <v>11.133333333333333</v>
      </c>
      <c r="I41" s="135">
        <v>8.9</v>
      </c>
      <c r="J41" s="165">
        <v>29</v>
      </c>
      <c r="K41" s="43">
        <f t="shared" si="10"/>
        <v>2</v>
      </c>
      <c r="L41" s="43">
        <f t="shared" si="11"/>
        <v>3</v>
      </c>
      <c r="M41" s="43">
        <f t="shared" si="12"/>
        <v>3</v>
      </c>
      <c r="N41" s="43">
        <f t="shared" si="13"/>
        <v>3</v>
      </c>
      <c r="O41" s="43">
        <f t="shared" si="14"/>
        <v>3</v>
      </c>
      <c r="P41" s="43">
        <f t="shared" si="15"/>
        <v>3</v>
      </c>
      <c r="Q41" s="43">
        <f t="shared" si="16"/>
        <v>2</v>
      </c>
      <c r="R41" s="165">
        <v>29</v>
      </c>
      <c r="S41" s="146">
        <v>4</v>
      </c>
      <c r="T41" s="146">
        <v>4</v>
      </c>
      <c r="U41" s="146">
        <v>4</v>
      </c>
      <c r="V41" s="146">
        <v>4</v>
      </c>
      <c r="W41" s="146">
        <v>3</v>
      </c>
      <c r="X41" s="146">
        <v>5</v>
      </c>
      <c r="Y41" s="146">
        <v>4</v>
      </c>
      <c r="AA41" s="184">
        <f t="shared" si="17"/>
        <v>0.99490155293951932</v>
      </c>
      <c r="AB41" s="184">
        <f t="shared" si="17"/>
        <v>0.99342090664905669</v>
      </c>
      <c r="AC41" s="184">
        <f t="shared" si="17"/>
        <v>0.99342090664905669</v>
      </c>
      <c r="AD41" s="184">
        <f t="shared" si="17"/>
        <v>0.99185569584961342</v>
      </c>
      <c r="AE41" s="184">
        <f t="shared" si="17"/>
        <v>0.96335019066600014</v>
      </c>
      <c r="AF41" s="184">
        <f t="shared" si="17"/>
        <v>0.99900019396021655</v>
      </c>
      <c r="AG41" s="184">
        <f t="shared" si="17"/>
        <v>0.99824432383237549</v>
      </c>
      <c r="AI41" s="214">
        <f t="shared" si="18"/>
        <v>2</v>
      </c>
      <c r="AJ41" s="214">
        <f t="shared" si="18"/>
        <v>1</v>
      </c>
      <c r="AK41" s="214">
        <f t="shared" si="18"/>
        <v>1</v>
      </c>
      <c r="AL41" s="214">
        <f t="shared" si="18"/>
        <v>1</v>
      </c>
      <c r="AM41" s="214">
        <f t="shared" si="18"/>
        <v>0</v>
      </c>
      <c r="AN41" s="214">
        <f t="shared" si="18"/>
        <v>2</v>
      </c>
      <c r="AO41" s="214">
        <f t="shared" si="18"/>
        <v>2</v>
      </c>
      <c r="AP41" s="206">
        <f t="shared" si="19"/>
        <v>0.58333333333333326</v>
      </c>
      <c r="AQ41" s="213">
        <f t="shared" si="20"/>
        <v>1</v>
      </c>
      <c r="AR41" s="213">
        <f t="shared" si="20"/>
        <v>0.33333333333333326</v>
      </c>
      <c r="AS41" s="213">
        <f t="shared" si="20"/>
        <v>0.33333333333333326</v>
      </c>
      <c r="AT41" s="213">
        <f t="shared" si="20"/>
        <v>0.33333333333333326</v>
      </c>
      <c r="AU41" s="213">
        <f t="shared" si="20"/>
        <v>0</v>
      </c>
      <c r="AV41" s="213">
        <f t="shared" si="20"/>
        <v>0.66666666666666674</v>
      </c>
      <c r="AW41" s="213">
        <f t="shared" si="20"/>
        <v>1</v>
      </c>
      <c r="AY41" s="186">
        <f t="shared" si="21"/>
        <v>8.987277361553657</v>
      </c>
      <c r="AZ41" s="186">
        <f t="shared" si="21"/>
        <v>10.066665187377108</v>
      </c>
      <c r="BA41" s="186">
        <f t="shared" si="21"/>
        <v>10.364691459371823</v>
      </c>
      <c r="BB41" s="186">
        <f t="shared" si="21"/>
        <v>10.712041515175823</v>
      </c>
      <c r="BC41" s="186">
        <f t="shared" si="21"/>
        <v>9.3766085224824014</v>
      </c>
      <c r="BD41" s="186">
        <f t="shared" si="21"/>
        <v>11.122202159423743</v>
      </c>
      <c r="BE41" s="186">
        <f t="shared" si="21"/>
        <v>8.884374482108143</v>
      </c>
    </row>
    <row r="42" spans="1:57" ht="13.5" customHeight="1" x14ac:dyDescent="0.2">
      <c r="A42" s="181">
        <f t="shared" si="9"/>
        <v>10.338095238095239</v>
      </c>
      <c r="B42" s="187">
        <f t="shared" si="22"/>
        <v>0.60416666666666663</v>
      </c>
      <c r="C42" s="135">
        <v>8.8000000000000007</v>
      </c>
      <c r="D42" s="135">
        <v>11</v>
      </c>
      <c r="E42" s="135">
        <v>11</v>
      </c>
      <c r="F42" s="135">
        <v>10.766666666666667</v>
      </c>
      <c r="G42" s="135">
        <v>10.333333333333334</v>
      </c>
      <c r="H42" s="135">
        <v>11.300000000000002</v>
      </c>
      <c r="I42" s="135">
        <v>9.1666666666666661</v>
      </c>
      <c r="J42" s="165">
        <v>30</v>
      </c>
      <c r="K42" s="43">
        <f t="shared" si="10"/>
        <v>2</v>
      </c>
      <c r="L42" s="43">
        <f t="shared" si="11"/>
        <v>3</v>
      </c>
      <c r="M42" s="43">
        <f t="shared" si="12"/>
        <v>3</v>
      </c>
      <c r="N42" s="43">
        <f t="shared" si="13"/>
        <v>3</v>
      </c>
      <c r="O42" s="43">
        <f t="shared" si="14"/>
        <v>3</v>
      </c>
      <c r="P42" s="43">
        <f t="shared" si="15"/>
        <v>3</v>
      </c>
      <c r="Q42" s="43">
        <f t="shared" si="16"/>
        <v>2</v>
      </c>
      <c r="R42" s="165">
        <v>30</v>
      </c>
      <c r="S42" s="146">
        <v>4</v>
      </c>
      <c r="T42" s="146">
        <v>4</v>
      </c>
      <c r="U42" s="146">
        <v>4</v>
      </c>
      <c r="V42" s="146">
        <v>4</v>
      </c>
      <c r="W42" s="146">
        <v>3</v>
      </c>
      <c r="X42" s="146">
        <v>5</v>
      </c>
      <c r="Y42" s="146">
        <v>4</v>
      </c>
      <c r="AA42" s="184">
        <f t="shared" si="17"/>
        <v>0.99490155293951932</v>
      </c>
      <c r="AB42" s="184">
        <f t="shared" si="17"/>
        <v>0.99067060723777867</v>
      </c>
      <c r="AC42" s="184">
        <f t="shared" si="17"/>
        <v>0.99067060723777867</v>
      </c>
      <c r="AD42" s="184">
        <f t="shared" si="17"/>
        <v>0.99185569584961342</v>
      </c>
      <c r="AE42" s="184">
        <f t="shared" si="17"/>
        <v>0.96335019066600014</v>
      </c>
      <c r="AF42" s="184">
        <f t="shared" si="17"/>
        <v>0.99900019396021655</v>
      </c>
      <c r="AG42" s="184">
        <f t="shared" si="17"/>
        <v>0.99824432383237549</v>
      </c>
      <c r="AI42" s="214">
        <f t="shared" si="18"/>
        <v>2</v>
      </c>
      <c r="AJ42" s="214">
        <f t="shared" si="18"/>
        <v>1</v>
      </c>
      <c r="AK42" s="214">
        <f t="shared" si="18"/>
        <v>1</v>
      </c>
      <c r="AL42" s="214">
        <f t="shared" si="18"/>
        <v>1</v>
      </c>
      <c r="AM42" s="214">
        <f t="shared" si="18"/>
        <v>0</v>
      </c>
      <c r="AN42" s="214">
        <f t="shared" si="18"/>
        <v>2</v>
      </c>
      <c r="AO42" s="214">
        <f t="shared" si="18"/>
        <v>2</v>
      </c>
      <c r="AP42" s="206">
        <f t="shared" si="19"/>
        <v>0.60416666666666663</v>
      </c>
      <c r="AQ42" s="213">
        <f t="shared" si="20"/>
        <v>1</v>
      </c>
      <c r="AR42" s="213">
        <f t="shared" si="20"/>
        <v>0.33333333333333326</v>
      </c>
      <c r="AS42" s="213">
        <f t="shared" si="20"/>
        <v>0.33333333333333326</v>
      </c>
      <c r="AT42" s="213">
        <f t="shared" si="20"/>
        <v>0.33333333333333326</v>
      </c>
      <c r="AU42" s="213">
        <f t="shared" si="20"/>
        <v>0</v>
      </c>
      <c r="AV42" s="213">
        <f t="shared" si="20"/>
        <v>0.66666666666666674</v>
      </c>
      <c r="AW42" s="213">
        <f t="shared" si="20"/>
        <v>1</v>
      </c>
      <c r="AY42" s="186">
        <f t="shared" si="21"/>
        <v>8.7551336658677705</v>
      </c>
      <c r="AZ42" s="186">
        <f t="shared" si="21"/>
        <v>10.897376679615565</v>
      </c>
      <c r="BA42" s="186">
        <f t="shared" si="21"/>
        <v>10.897376679615565</v>
      </c>
      <c r="BB42" s="186">
        <f t="shared" si="21"/>
        <v>10.678979658647505</v>
      </c>
      <c r="BC42" s="186">
        <f t="shared" si="21"/>
        <v>9.9546186368820013</v>
      </c>
      <c r="BD42" s="186">
        <f t="shared" si="21"/>
        <v>11.288702191750449</v>
      </c>
      <c r="BE42" s="186">
        <f t="shared" si="21"/>
        <v>9.1505729684634414</v>
      </c>
    </row>
    <row r="43" spans="1:57" ht="13.5" customHeight="1" x14ac:dyDescent="0.2">
      <c r="A43" s="181">
        <f t="shared" si="9"/>
        <v>10.366666666666665</v>
      </c>
      <c r="B43" s="187">
        <f t="shared" si="22"/>
        <v>0.625</v>
      </c>
      <c r="C43" s="135">
        <v>9.2666666666666675</v>
      </c>
      <c r="D43" s="135">
        <v>10.933333333333332</v>
      </c>
      <c r="E43" s="135">
        <v>10.866666666666667</v>
      </c>
      <c r="F43" s="135">
        <v>10.933333333333332</v>
      </c>
      <c r="G43" s="135">
        <v>10.799999999999999</v>
      </c>
      <c r="H43" s="135">
        <v>11.066666666666668</v>
      </c>
      <c r="I43" s="135">
        <v>8.7000000000000011</v>
      </c>
      <c r="J43" s="165">
        <v>31</v>
      </c>
      <c r="K43" s="43">
        <f t="shared" si="10"/>
        <v>2</v>
      </c>
      <c r="L43" s="43">
        <f t="shared" si="11"/>
        <v>3</v>
      </c>
      <c r="M43" s="43">
        <f t="shared" si="12"/>
        <v>3</v>
      </c>
      <c r="N43" s="43">
        <f t="shared" si="13"/>
        <v>3</v>
      </c>
      <c r="O43" s="43">
        <f t="shared" si="14"/>
        <v>3</v>
      </c>
      <c r="P43" s="43">
        <f t="shared" si="15"/>
        <v>3</v>
      </c>
      <c r="Q43" s="43">
        <f t="shared" si="16"/>
        <v>2</v>
      </c>
      <c r="R43" s="165">
        <v>31</v>
      </c>
      <c r="S43" s="146">
        <v>5</v>
      </c>
      <c r="T43" s="146">
        <v>4</v>
      </c>
      <c r="U43" s="146">
        <v>4</v>
      </c>
      <c r="V43" s="146">
        <v>5</v>
      </c>
      <c r="W43" s="146">
        <v>4</v>
      </c>
      <c r="X43" s="146">
        <v>4</v>
      </c>
      <c r="Y43" s="146">
        <v>6</v>
      </c>
      <c r="AA43" s="184">
        <f t="shared" si="17"/>
        <v>0.99937802192291658</v>
      </c>
      <c r="AB43" s="184">
        <f t="shared" si="17"/>
        <v>0.99067060723777867</v>
      </c>
      <c r="AC43" s="184">
        <f t="shared" si="17"/>
        <v>0.99067060723777867</v>
      </c>
      <c r="AD43" s="184">
        <f t="shared" si="17"/>
        <v>0.99888729417135924</v>
      </c>
      <c r="AE43" s="184">
        <f t="shared" si="17"/>
        <v>0.99229884013215119</v>
      </c>
      <c r="AF43" s="184">
        <f t="shared" si="17"/>
        <v>0.99251396598307395</v>
      </c>
      <c r="AG43" s="184">
        <f t="shared" si="17"/>
        <v>0.99998747436357194</v>
      </c>
      <c r="AI43" s="214">
        <f t="shared" si="18"/>
        <v>3</v>
      </c>
      <c r="AJ43" s="214">
        <f t="shared" si="18"/>
        <v>1</v>
      </c>
      <c r="AK43" s="214">
        <f t="shared" si="18"/>
        <v>1</v>
      </c>
      <c r="AL43" s="214">
        <f t="shared" si="18"/>
        <v>2</v>
      </c>
      <c r="AM43" s="214">
        <f t="shared" si="18"/>
        <v>1</v>
      </c>
      <c r="AN43" s="214">
        <f t="shared" si="18"/>
        <v>1</v>
      </c>
      <c r="AO43" s="214">
        <f t="shared" si="18"/>
        <v>4</v>
      </c>
      <c r="AP43" s="206">
        <f t="shared" si="19"/>
        <v>0.625</v>
      </c>
      <c r="AQ43" s="213">
        <f t="shared" si="20"/>
        <v>1.5</v>
      </c>
      <c r="AR43" s="213">
        <f t="shared" si="20"/>
        <v>0.33333333333333326</v>
      </c>
      <c r="AS43" s="213">
        <f t="shared" si="20"/>
        <v>0.33333333333333326</v>
      </c>
      <c r="AT43" s="213">
        <f t="shared" si="20"/>
        <v>0.66666666666666674</v>
      </c>
      <c r="AU43" s="213">
        <f t="shared" si="20"/>
        <v>0.33333333333333326</v>
      </c>
      <c r="AV43" s="213">
        <f t="shared" si="20"/>
        <v>0.33333333333333326</v>
      </c>
      <c r="AW43" s="213">
        <f t="shared" si="20"/>
        <v>2</v>
      </c>
      <c r="AY43" s="186">
        <f t="shared" si="21"/>
        <v>9.2609030031523609</v>
      </c>
      <c r="AZ43" s="186">
        <f t="shared" si="21"/>
        <v>10.831331972466378</v>
      </c>
      <c r="BA43" s="186">
        <f t="shared" si="21"/>
        <v>10.765287265317195</v>
      </c>
      <c r="BB43" s="186">
        <f t="shared" si="21"/>
        <v>10.921167749606859</v>
      </c>
      <c r="BC43" s="186">
        <f t="shared" si="21"/>
        <v>10.716827473427232</v>
      </c>
      <c r="BD43" s="186">
        <f t="shared" si="21"/>
        <v>10.98382122354602</v>
      </c>
      <c r="BE43" s="186">
        <f t="shared" si="21"/>
        <v>8.6998910269630763</v>
      </c>
    </row>
    <row r="44" spans="1:57" ht="12.75" x14ac:dyDescent="0.2">
      <c r="A44" s="181">
        <f t="shared" si="9"/>
        <v>9.9523809523809526</v>
      </c>
      <c r="B44" s="187">
        <f t="shared" si="22"/>
        <v>0.64583333333333337</v>
      </c>
      <c r="C44" s="135">
        <v>9.5333333333333332</v>
      </c>
      <c r="D44" s="135">
        <v>9.9333333333333318</v>
      </c>
      <c r="E44" s="135">
        <v>10.366666666666667</v>
      </c>
      <c r="F44" s="135">
        <v>10.166666666666666</v>
      </c>
      <c r="G44" s="135">
        <v>10.466666666666667</v>
      </c>
      <c r="H44" s="135">
        <v>9.8666666666666671</v>
      </c>
      <c r="I44" s="135">
        <v>9.3333333333333339</v>
      </c>
      <c r="J44" s="165">
        <v>32</v>
      </c>
      <c r="K44" s="43">
        <f t="shared" si="10"/>
        <v>3</v>
      </c>
      <c r="L44" s="43">
        <f t="shared" si="11"/>
        <v>3</v>
      </c>
      <c r="M44" s="43">
        <f t="shared" si="12"/>
        <v>3</v>
      </c>
      <c r="N44" s="43">
        <f t="shared" si="13"/>
        <v>3</v>
      </c>
      <c r="O44" s="43">
        <f t="shared" si="14"/>
        <v>3</v>
      </c>
      <c r="P44" s="43">
        <f t="shared" si="15"/>
        <v>3</v>
      </c>
      <c r="Q44" s="43">
        <f t="shared" si="16"/>
        <v>2</v>
      </c>
      <c r="R44" s="165">
        <v>32</v>
      </c>
      <c r="S44" s="146">
        <v>5</v>
      </c>
      <c r="T44" s="146">
        <v>4</v>
      </c>
      <c r="U44" s="146">
        <v>4</v>
      </c>
      <c r="V44" s="146">
        <v>5</v>
      </c>
      <c r="W44" s="146">
        <v>4</v>
      </c>
      <c r="X44" s="146">
        <v>4</v>
      </c>
      <c r="Y44" s="146">
        <v>6</v>
      </c>
      <c r="AA44" s="184">
        <f t="shared" si="17"/>
        <v>0.99899004927925006</v>
      </c>
      <c r="AB44" s="184">
        <f t="shared" si="17"/>
        <v>0.99342090664905669</v>
      </c>
      <c r="AC44" s="184">
        <f t="shared" si="17"/>
        <v>0.99342090664905669</v>
      </c>
      <c r="AD44" s="184">
        <f t="shared" si="17"/>
        <v>0.99928259915934581</v>
      </c>
      <c r="AE44" s="184">
        <f t="shared" si="17"/>
        <v>0.99458152459767646</v>
      </c>
      <c r="AF44" s="184">
        <f t="shared" si="17"/>
        <v>0.99473461573709476</v>
      </c>
      <c r="AG44" s="184">
        <f t="shared" si="17"/>
        <v>0.99998747436357194</v>
      </c>
      <c r="AI44" s="214">
        <f t="shared" si="18"/>
        <v>2</v>
      </c>
      <c r="AJ44" s="214">
        <f t="shared" si="18"/>
        <v>1</v>
      </c>
      <c r="AK44" s="214">
        <f t="shared" si="18"/>
        <v>1</v>
      </c>
      <c r="AL44" s="214">
        <f t="shared" si="18"/>
        <v>2</v>
      </c>
      <c r="AM44" s="214">
        <f t="shared" si="18"/>
        <v>1</v>
      </c>
      <c r="AN44" s="214">
        <f t="shared" si="18"/>
        <v>1</v>
      </c>
      <c r="AO44" s="214">
        <f t="shared" si="18"/>
        <v>4</v>
      </c>
      <c r="AP44" s="206">
        <f t="shared" si="19"/>
        <v>0.64583333333333337</v>
      </c>
      <c r="AQ44" s="213">
        <f t="shared" si="20"/>
        <v>0.66666666666666674</v>
      </c>
      <c r="AR44" s="213">
        <f t="shared" si="20"/>
        <v>0.33333333333333326</v>
      </c>
      <c r="AS44" s="213">
        <f t="shared" si="20"/>
        <v>0.33333333333333326</v>
      </c>
      <c r="AT44" s="213">
        <f t="shared" si="20"/>
        <v>0.66666666666666674</v>
      </c>
      <c r="AU44" s="213">
        <f t="shared" si="20"/>
        <v>0.33333333333333326</v>
      </c>
      <c r="AV44" s="213">
        <f t="shared" si="20"/>
        <v>0.33333333333333326</v>
      </c>
      <c r="AW44" s="213">
        <f t="shared" si="20"/>
        <v>2</v>
      </c>
      <c r="AY44" s="186">
        <f t="shared" si="21"/>
        <v>9.5237051364621834</v>
      </c>
      <c r="AZ44" s="186">
        <f t="shared" si="21"/>
        <v>9.8679810060472946</v>
      </c>
      <c r="BA44" s="186">
        <f t="shared" si="21"/>
        <v>10.298463398928554</v>
      </c>
      <c r="BB44" s="186">
        <f t="shared" si="21"/>
        <v>10.159373091453348</v>
      </c>
      <c r="BC44" s="186">
        <f t="shared" si="21"/>
        <v>10.409953290789014</v>
      </c>
      <c r="BD44" s="186">
        <f t="shared" si="21"/>
        <v>9.8147148752726689</v>
      </c>
      <c r="BE44" s="186">
        <f t="shared" si="21"/>
        <v>9.3332164273933387</v>
      </c>
    </row>
    <row r="45" spans="1:57" ht="12.75" x14ac:dyDescent="0.2">
      <c r="A45" s="181">
        <f t="shared" si="9"/>
        <v>9.5904761904761902</v>
      </c>
      <c r="B45" s="187">
        <f t="shared" si="22"/>
        <v>0.66666666666666674</v>
      </c>
      <c r="C45" s="135">
        <v>10.033333333333333</v>
      </c>
      <c r="D45" s="135">
        <v>9.1666666666666661</v>
      </c>
      <c r="E45" s="135">
        <v>9.4666666666666668</v>
      </c>
      <c r="F45" s="135">
        <v>9.7666666666666657</v>
      </c>
      <c r="G45" s="135">
        <v>9.6666666666666661</v>
      </c>
      <c r="H45" s="135">
        <v>9.7999999999999989</v>
      </c>
      <c r="I45" s="135">
        <v>9.2333333333333325</v>
      </c>
      <c r="J45" s="165">
        <v>33</v>
      </c>
      <c r="K45" s="43">
        <f t="shared" si="10"/>
        <v>3</v>
      </c>
      <c r="L45" s="43">
        <f t="shared" si="11"/>
        <v>2</v>
      </c>
      <c r="M45" s="43">
        <f t="shared" si="12"/>
        <v>2</v>
      </c>
      <c r="N45" s="43">
        <f t="shared" si="13"/>
        <v>3</v>
      </c>
      <c r="O45" s="43">
        <f t="shared" si="14"/>
        <v>3</v>
      </c>
      <c r="P45" s="43">
        <f t="shared" si="15"/>
        <v>3</v>
      </c>
      <c r="Q45" s="43">
        <f t="shared" si="16"/>
        <v>2</v>
      </c>
      <c r="R45" s="165">
        <v>33</v>
      </c>
      <c r="S45" s="146">
        <v>4</v>
      </c>
      <c r="T45" s="146">
        <v>4</v>
      </c>
      <c r="U45" s="146">
        <v>4</v>
      </c>
      <c r="V45" s="146">
        <v>3</v>
      </c>
      <c r="W45" s="146">
        <v>4</v>
      </c>
      <c r="X45" s="146">
        <v>4</v>
      </c>
      <c r="Y45" s="146">
        <v>3</v>
      </c>
      <c r="AA45" s="184">
        <f t="shared" si="17"/>
        <v>0.99249225630262361</v>
      </c>
      <c r="AB45" s="184">
        <f t="shared" si="17"/>
        <v>0.9955396159419968</v>
      </c>
      <c r="AC45" s="184">
        <f t="shared" si="17"/>
        <v>0.9955396159419968</v>
      </c>
      <c r="AD45" s="184">
        <f t="shared" si="17"/>
        <v>0.9617793128577532</v>
      </c>
      <c r="AE45" s="184">
        <f t="shared" si="17"/>
        <v>0.99458152459767646</v>
      </c>
      <c r="AF45" s="184">
        <f t="shared" si="17"/>
        <v>0.99473461573709476</v>
      </c>
      <c r="AG45" s="184">
        <f t="shared" si="17"/>
        <v>0.98422868076623227</v>
      </c>
      <c r="AI45" s="214">
        <f t="shared" si="18"/>
        <v>1</v>
      </c>
      <c r="AJ45" s="214">
        <f t="shared" si="18"/>
        <v>2</v>
      </c>
      <c r="AK45" s="214">
        <f t="shared" si="18"/>
        <v>2</v>
      </c>
      <c r="AL45" s="214">
        <f t="shared" si="18"/>
        <v>0</v>
      </c>
      <c r="AM45" s="214">
        <f t="shared" si="18"/>
        <v>1</v>
      </c>
      <c r="AN45" s="214">
        <f t="shared" si="18"/>
        <v>1</v>
      </c>
      <c r="AO45" s="214">
        <f t="shared" si="18"/>
        <v>1</v>
      </c>
      <c r="AP45" s="206">
        <f t="shared" si="19"/>
        <v>0.66666666666666674</v>
      </c>
      <c r="AQ45" s="213">
        <f t="shared" si="20"/>
        <v>0.33333333333333326</v>
      </c>
      <c r="AR45" s="213">
        <f t="shared" si="20"/>
        <v>1</v>
      </c>
      <c r="AS45" s="213">
        <f t="shared" si="20"/>
        <v>1</v>
      </c>
      <c r="AT45" s="213">
        <f t="shared" si="20"/>
        <v>0</v>
      </c>
      <c r="AU45" s="213">
        <f t="shared" si="20"/>
        <v>0.33333333333333326</v>
      </c>
      <c r="AV45" s="213">
        <f t="shared" si="20"/>
        <v>0.33333333333333326</v>
      </c>
      <c r="AW45" s="213">
        <f t="shared" si="20"/>
        <v>0.5</v>
      </c>
      <c r="AY45" s="186">
        <f t="shared" si="21"/>
        <v>9.9580056382363242</v>
      </c>
      <c r="AZ45" s="186">
        <f t="shared" si="21"/>
        <v>9.1257798128016372</v>
      </c>
      <c r="BA45" s="186">
        <f t="shared" si="21"/>
        <v>9.4244416975842373</v>
      </c>
      <c r="BB45" s="186">
        <f t="shared" si="21"/>
        <v>9.3933779555773889</v>
      </c>
      <c r="BC45" s="186">
        <f t="shared" si="21"/>
        <v>9.614288071110872</v>
      </c>
      <c r="BD45" s="186">
        <f t="shared" si="21"/>
        <v>9.7483992342235268</v>
      </c>
      <c r="BE45" s="186">
        <f t="shared" si="21"/>
        <v>9.0877114857415435</v>
      </c>
    </row>
    <row r="46" spans="1:57" ht="13.5" customHeight="1" x14ac:dyDescent="0.2">
      <c r="A46" s="181">
        <f t="shared" si="9"/>
        <v>9.3190476190476179</v>
      </c>
      <c r="B46" s="187">
        <f t="shared" si="22"/>
        <v>0.68750000000000011</v>
      </c>
      <c r="C46" s="135">
        <v>9.1333333333333329</v>
      </c>
      <c r="D46" s="135">
        <v>9.3666666666666654</v>
      </c>
      <c r="E46" s="135">
        <v>10.166666666666666</v>
      </c>
      <c r="F46" s="135">
        <v>9.2999999999999989</v>
      </c>
      <c r="G46" s="135">
        <v>8.7999999999999989</v>
      </c>
      <c r="H46" s="135">
        <v>9.4666666666666668</v>
      </c>
      <c r="I46" s="135">
        <v>9</v>
      </c>
      <c r="J46" s="165">
        <v>34</v>
      </c>
      <c r="K46" s="43">
        <f t="shared" si="10"/>
        <v>2</v>
      </c>
      <c r="L46" s="43">
        <f t="shared" si="11"/>
        <v>2</v>
      </c>
      <c r="M46" s="43">
        <f t="shared" si="12"/>
        <v>3</v>
      </c>
      <c r="N46" s="43">
        <f t="shared" si="13"/>
        <v>2</v>
      </c>
      <c r="O46" s="43">
        <f t="shared" si="14"/>
        <v>2</v>
      </c>
      <c r="P46" s="43">
        <f t="shared" si="15"/>
        <v>2</v>
      </c>
      <c r="Q46" s="43">
        <f t="shared" si="16"/>
        <v>2</v>
      </c>
      <c r="R46" s="165">
        <v>34</v>
      </c>
      <c r="S46" s="146">
        <v>4</v>
      </c>
      <c r="T46" s="146">
        <v>4</v>
      </c>
      <c r="U46" s="146">
        <v>4</v>
      </c>
      <c r="V46" s="146">
        <v>3</v>
      </c>
      <c r="W46" s="146">
        <v>4</v>
      </c>
      <c r="X46" s="146">
        <v>4</v>
      </c>
      <c r="Y46" s="146">
        <v>3</v>
      </c>
      <c r="AA46" s="184">
        <f t="shared" si="17"/>
        <v>0.99490155293951932</v>
      </c>
      <c r="AB46" s="184">
        <f t="shared" si="17"/>
        <v>0.9955396159419968</v>
      </c>
      <c r="AC46" s="184">
        <f t="shared" si="17"/>
        <v>0.99342090664905669</v>
      </c>
      <c r="AD46" s="184">
        <f t="shared" si="17"/>
        <v>0.97159360510573733</v>
      </c>
      <c r="AE46" s="184">
        <f t="shared" si="17"/>
        <v>0.99633509733575232</v>
      </c>
      <c r="AF46" s="184">
        <f t="shared" si="17"/>
        <v>0.99643984710872857</v>
      </c>
      <c r="AG46" s="184">
        <f t="shared" si="17"/>
        <v>0.98422868076623227</v>
      </c>
      <c r="AI46" s="214">
        <f t="shared" si="18"/>
        <v>2</v>
      </c>
      <c r="AJ46" s="214">
        <f t="shared" si="18"/>
        <v>2</v>
      </c>
      <c r="AK46" s="214">
        <f t="shared" si="18"/>
        <v>1</v>
      </c>
      <c r="AL46" s="214">
        <f t="shared" si="18"/>
        <v>1</v>
      </c>
      <c r="AM46" s="214">
        <f t="shared" si="18"/>
        <v>2</v>
      </c>
      <c r="AN46" s="214">
        <f t="shared" si="18"/>
        <v>2</v>
      </c>
      <c r="AO46" s="214">
        <f t="shared" si="18"/>
        <v>1</v>
      </c>
      <c r="AP46" s="206">
        <f t="shared" si="19"/>
        <v>0.68750000000000011</v>
      </c>
      <c r="AQ46" s="213">
        <f t="shared" si="20"/>
        <v>1</v>
      </c>
      <c r="AR46" s="213">
        <f t="shared" si="20"/>
        <v>1</v>
      </c>
      <c r="AS46" s="213">
        <f t="shared" si="20"/>
        <v>0.33333333333333326</v>
      </c>
      <c r="AT46" s="213">
        <f t="shared" si="20"/>
        <v>0.5</v>
      </c>
      <c r="AU46" s="213">
        <f t="shared" si="20"/>
        <v>1</v>
      </c>
      <c r="AV46" s="213">
        <f t="shared" si="20"/>
        <v>1</v>
      </c>
      <c r="AW46" s="213">
        <f t="shared" si="20"/>
        <v>0.5</v>
      </c>
      <c r="AY46" s="186">
        <f t="shared" si="21"/>
        <v>9.0867675168476101</v>
      </c>
      <c r="AZ46" s="186">
        <f t="shared" si="21"/>
        <v>9.3248877359900355</v>
      </c>
      <c r="BA46" s="186">
        <f t="shared" si="21"/>
        <v>10.099779217598742</v>
      </c>
      <c r="BB46" s="186">
        <f t="shared" si="21"/>
        <v>9.0358205274833558</v>
      </c>
      <c r="BC46" s="186">
        <f t="shared" si="21"/>
        <v>8.7677488565546202</v>
      </c>
      <c r="BD46" s="186">
        <f t="shared" si="21"/>
        <v>9.4329638859626304</v>
      </c>
      <c r="BE46" s="186">
        <f t="shared" si="21"/>
        <v>8.8580581268960898</v>
      </c>
    </row>
    <row r="47" spans="1:57" ht="12.75" x14ac:dyDescent="0.2">
      <c r="A47" s="181">
        <f t="shared" si="9"/>
        <v>8.8523809523809529</v>
      </c>
      <c r="B47" s="187">
        <f t="shared" si="22"/>
        <v>0.70833333333333348</v>
      </c>
      <c r="C47" s="135">
        <v>8.1666666666666661</v>
      </c>
      <c r="D47" s="135">
        <v>9.2333333333333343</v>
      </c>
      <c r="E47" s="135">
        <v>10.333333333333334</v>
      </c>
      <c r="F47" s="135">
        <v>9.3333333333333339</v>
      </c>
      <c r="G47" s="135">
        <v>8.2333333333333343</v>
      </c>
      <c r="H47" s="135">
        <v>9.0666666666666664</v>
      </c>
      <c r="I47" s="135">
        <v>7.6000000000000005</v>
      </c>
      <c r="J47" s="165">
        <v>35</v>
      </c>
      <c r="K47" s="43">
        <f t="shared" si="10"/>
        <v>2</v>
      </c>
      <c r="L47" s="43">
        <f t="shared" si="11"/>
        <v>2</v>
      </c>
      <c r="M47" s="43">
        <f t="shared" si="12"/>
        <v>3</v>
      </c>
      <c r="N47" s="43">
        <f t="shared" si="13"/>
        <v>2</v>
      </c>
      <c r="O47" s="43">
        <f t="shared" si="14"/>
        <v>2</v>
      </c>
      <c r="P47" s="43">
        <f t="shared" si="15"/>
        <v>2</v>
      </c>
      <c r="Q47" s="43">
        <f t="shared" si="16"/>
        <v>2</v>
      </c>
      <c r="R47" s="165">
        <v>35</v>
      </c>
      <c r="S47" s="146">
        <v>3</v>
      </c>
      <c r="T47" s="146">
        <v>3</v>
      </c>
      <c r="U47" s="146">
        <v>3</v>
      </c>
      <c r="V47" s="146">
        <v>3</v>
      </c>
      <c r="W47" s="146">
        <v>3</v>
      </c>
      <c r="X47" s="146">
        <v>3</v>
      </c>
      <c r="Y47" s="146">
        <v>2</v>
      </c>
      <c r="AA47" s="184">
        <f t="shared" si="17"/>
        <v>0.97500850465874211</v>
      </c>
      <c r="AB47" s="184">
        <f t="shared" si="17"/>
        <v>0.96850626184273647</v>
      </c>
      <c r="AC47" s="184">
        <f t="shared" si="17"/>
        <v>0.95767806415041368</v>
      </c>
      <c r="AD47" s="184">
        <f t="shared" si="17"/>
        <v>0.97159360510573733</v>
      </c>
      <c r="AE47" s="184">
        <f t="shared" si="17"/>
        <v>0.98049535204141824</v>
      </c>
      <c r="AF47" s="184">
        <f t="shared" si="17"/>
        <v>0.97335398459765543</v>
      </c>
      <c r="AG47" s="184">
        <f t="shared" si="17"/>
        <v>0.91037436214345557</v>
      </c>
      <c r="AI47" s="214">
        <f t="shared" si="18"/>
        <v>1</v>
      </c>
      <c r="AJ47" s="214">
        <f t="shared" si="18"/>
        <v>1</v>
      </c>
      <c r="AK47" s="214">
        <f t="shared" si="18"/>
        <v>0</v>
      </c>
      <c r="AL47" s="214">
        <f t="shared" si="18"/>
        <v>1</v>
      </c>
      <c r="AM47" s="214">
        <f t="shared" si="18"/>
        <v>1</v>
      </c>
      <c r="AN47" s="214">
        <f t="shared" si="18"/>
        <v>1</v>
      </c>
      <c r="AO47" s="214">
        <f t="shared" si="18"/>
        <v>0</v>
      </c>
      <c r="AP47" s="206">
        <f t="shared" si="19"/>
        <v>0.70833333333333348</v>
      </c>
      <c r="AQ47" s="213">
        <f t="shared" si="20"/>
        <v>0.5</v>
      </c>
      <c r="AR47" s="213">
        <f t="shared" si="20"/>
        <v>0.5</v>
      </c>
      <c r="AS47" s="213">
        <f t="shared" si="20"/>
        <v>0</v>
      </c>
      <c r="AT47" s="213">
        <f t="shared" si="20"/>
        <v>0.5</v>
      </c>
      <c r="AU47" s="213">
        <f t="shared" si="20"/>
        <v>0.5</v>
      </c>
      <c r="AV47" s="213">
        <f t="shared" si="20"/>
        <v>0.5</v>
      </c>
      <c r="AW47" s="213">
        <f t="shared" si="20"/>
        <v>0</v>
      </c>
      <c r="AY47" s="186">
        <f t="shared" si="21"/>
        <v>7.9625694547130603</v>
      </c>
      <c r="AZ47" s="186">
        <f t="shared" si="21"/>
        <v>8.9425411510146002</v>
      </c>
      <c r="BA47" s="186">
        <f t="shared" si="21"/>
        <v>9.8960066628876078</v>
      </c>
      <c r="BB47" s="186">
        <f t="shared" si="21"/>
        <v>9.0682069809868828</v>
      </c>
      <c r="BC47" s="186">
        <f t="shared" si="21"/>
        <v>8.072745065141012</v>
      </c>
      <c r="BD47" s="186">
        <f t="shared" si="21"/>
        <v>8.8250761270187432</v>
      </c>
      <c r="BE47" s="186">
        <f t="shared" si="21"/>
        <v>6.9188451522902632</v>
      </c>
    </row>
    <row r="48" spans="1:57" ht="13.5" customHeight="1" x14ac:dyDescent="0.2">
      <c r="A48" s="181">
        <f t="shared" si="9"/>
        <v>8.3238095238095244</v>
      </c>
      <c r="B48" s="187">
        <f t="shared" si="22"/>
        <v>0.72916666666666685</v>
      </c>
      <c r="C48" s="135">
        <v>7</v>
      </c>
      <c r="D48" s="135">
        <v>8.7666666666666657</v>
      </c>
      <c r="E48" s="135">
        <v>9.7666666666666657</v>
      </c>
      <c r="F48" s="135">
        <v>9.4</v>
      </c>
      <c r="G48" s="135">
        <v>7.7666666666666666</v>
      </c>
      <c r="H48" s="135">
        <v>8.5666666666666682</v>
      </c>
      <c r="I48" s="135">
        <v>7</v>
      </c>
      <c r="J48" s="165">
        <v>36</v>
      </c>
      <c r="K48" s="43">
        <f t="shared" si="10"/>
        <v>2</v>
      </c>
      <c r="L48" s="43">
        <f t="shared" si="11"/>
        <v>2</v>
      </c>
      <c r="M48" s="43">
        <f t="shared" si="12"/>
        <v>3</v>
      </c>
      <c r="N48" s="43">
        <f t="shared" si="13"/>
        <v>2</v>
      </c>
      <c r="O48" s="43">
        <f t="shared" si="14"/>
        <v>2</v>
      </c>
      <c r="P48" s="43">
        <f t="shared" si="15"/>
        <v>2</v>
      </c>
      <c r="Q48" s="43">
        <f t="shared" si="16"/>
        <v>2</v>
      </c>
      <c r="R48" s="165">
        <v>36</v>
      </c>
      <c r="S48" s="146">
        <v>3</v>
      </c>
      <c r="T48" s="146">
        <v>3</v>
      </c>
      <c r="U48" s="146">
        <v>3</v>
      </c>
      <c r="V48" s="146">
        <v>3</v>
      </c>
      <c r="W48" s="146">
        <v>3</v>
      </c>
      <c r="X48" s="146">
        <v>3</v>
      </c>
      <c r="Y48" s="146">
        <v>2</v>
      </c>
      <c r="AA48" s="184">
        <f t="shared" si="17"/>
        <v>0.98284782088441414</v>
      </c>
      <c r="AB48" s="184">
        <f t="shared" si="17"/>
        <v>0.96850626184273647</v>
      </c>
      <c r="AC48" s="184">
        <f t="shared" si="17"/>
        <v>0.95767806415041368</v>
      </c>
      <c r="AD48" s="184">
        <f t="shared" si="17"/>
        <v>0.97159360510573733</v>
      </c>
      <c r="AE48" s="184">
        <f t="shared" si="17"/>
        <v>0.98049535204141824</v>
      </c>
      <c r="AF48" s="184">
        <f t="shared" si="17"/>
        <v>0.97335398459765543</v>
      </c>
      <c r="AG48" s="184">
        <f t="shared" si="17"/>
        <v>0.93154469178314903</v>
      </c>
      <c r="AI48" s="214">
        <f t="shared" si="18"/>
        <v>1</v>
      </c>
      <c r="AJ48" s="214">
        <f t="shared" si="18"/>
        <v>1</v>
      </c>
      <c r="AK48" s="214">
        <f t="shared" si="18"/>
        <v>0</v>
      </c>
      <c r="AL48" s="214">
        <f t="shared" si="18"/>
        <v>1</v>
      </c>
      <c r="AM48" s="214">
        <f t="shared" si="18"/>
        <v>1</v>
      </c>
      <c r="AN48" s="214">
        <f t="shared" si="18"/>
        <v>1</v>
      </c>
      <c r="AO48" s="214">
        <f t="shared" si="18"/>
        <v>0</v>
      </c>
      <c r="AP48" s="206">
        <f t="shared" si="19"/>
        <v>0.72916666666666685</v>
      </c>
      <c r="AQ48" s="213">
        <f t="shared" si="20"/>
        <v>0.5</v>
      </c>
      <c r="AR48" s="213">
        <f t="shared" si="20"/>
        <v>0.5</v>
      </c>
      <c r="AS48" s="213">
        <f t="shared" si="20"/>
        <v>0</v>
      </c>
      <c r="AT48" s="213">
        <f t="shared" si="20"/>
        <v>0.5</v>
      </c>
      <c r="AU48" s="213">
        <f t="shared" si="20"/>
        <v>0.5</v>
      </c>
      <c r="AV48" s="213">
        <f t="shared" si="20"/>
        <v>0.5</v>
      </c>
      <c r="AW48" s="213">
        <f t="shared" si="20"/>
        <v>0</v>
      </c>
      <c r="AY48" s="186">
        <f t="shared" si="21"/>
        <v>6.8799347461908988</v>
      </c>
      <c r="AZ48" s="186">
        <f t="shared" si="21"/>
        <v>8.4905715621546562</v>
      </c>
      <c r="BA48" s="186">
        <f t="shared" si="21"/>
        <v>9.3533224265357067</v>
      </c>
      <c r="BB48" s="186">
        <f t="shared" si="21"/>
        <v>9.1329798879939315</v>
      </c>
      <c r="BC48" s="186">
        <f t="shared" si="21"/>
        <v>7.6151805675216817</v>
      </c>
      <c r="BD48" s="186">
        <f t="shared" si="21"/>
        <v>8.338399134719916</v>
      </c>
      <c r="BE48" s="186">
        <f t="shared" si="21"/>
        <v>6.5208128424820435</v>
      </c>
    </row>
    <row r="49" spans="1:57" ht="12.75" x14ac:dyDescent="0.2">
      <c r="A49" s="181">
        <f t="shared" si="9"/>
        <v>8.1285714285714299</v>
      </c>
      <c r="B49" s="187">
        <f t="shared" si="22"/>
        <v>0.75000000000000022</v>
      </c>
      <c r="C49" s="135">
        <v>7.666666666666667</v>
      </c>
      <c r="D49" s="135">
        <v>7.9333333333333327</v>
      </c>
      <c r="E49" s="135">
        <v>8.6</v>
      </c>
      <c r="F49" s="135">
        <v>9.1666666666666661</v>
      </c>
      <c r="G49" s="135">
        <v>7.7</v>
      </c>
      <c r="H49" s="135">
        <v>7.8333333333333321</v>
      </c>
      <c r="I49" s="135">
        <v>8</v>
      </c>
      <c r="J49" s="165">
        <v>37</v>
      </c>
      <c r="K49" s="43">
        <f t="shared" si="10"/>
        <v>2</v>
      </c>
      <c r="L49" s="43">
        <f t="shared" si="11"/>
        <v>2</v>
      </c>
      <c r="M49" s="43">
        <f t="shared" si="12"/>
        <v>2</v>
      </c>
      <c r="N49" s="43">
        <f t="shared" si="13"/>
        <v>2</v>
      </c>
      <c r="O49" s="43">
        <f t="shared" si="14"/>
        <v>2</v>
      </c>
      <c r="P49" s="43">
        <f t="shared" si="15"/>
        <v>2</v>
      </c>
      <c r="Q49" s="43">
        <f t="shared" si="16"/>
        <v>2</v>
      </c>
      <c r="R49" s="165">
        <v>37</v>
      </c>
      <c r="S49" s="146">
        <v>3</v>
      </c>
      <c r="T49" s="146">
        <v>3</v>
      </c>
      <c r="U49" s="146">
        <v>3</v>
      </c>
      <c r="V49" s="146">
        <v>3</v>
      </c>
      <c r="W49" s="146">
        <v>3</v>
      </c>
      <c r="X49" s="146">
        <v>3</v>
      </c>
      <c r="Y49" s="146">
        <v>3</v>
      </c>
      <c r="AA49" s="184">
        <f t="shared" si="17"/>
        <v>0.97500850465874211</v>
      </c>
      <c r="AB49" s="184">
        <f t="shared" si="17"/>
        <v>0.97739597159303593</v>
      </c>
      <c r="AC49" s="184">
        <f t="shared" si="17"/>
        <v>0.96850626184273647</v>
      </c>
      <c r="AD49" s="184">
        <f t="shared" si="17"/>
        <v>0.97159360510573733</v>
      </c>
      <c r="AE49" s="184">
        <f t="shared" si="17"/>
        <v>0.98049535204141824</v>
      </c>
      <c r="AF49" s="184">
        <f t="shared" si="17"/>
        <v>0.98091532150104621</v>
      </c>
      <c r="AG49" s="184">
        <f t="shared" si="17"/>
        <v>0.98877114786466724</v>
      </c>
      <c r="AI49" s="214">
        <f t="shared" si="18"/>
        <v>1</v>
      </c>
      <c r="AJ49" s="214">
        <f t="shared" si="18"/>
        <v>1</v>
      </c>
      <c r="AK49" s="214">
        <f t="shared" si="18"/>
        <v>1</v>
      </c>
      <c r="AL49" s="214">
        <f t="shared" si="18"/>
        <v>1</v>
      </c>
      <c r="AM49" s="214">
        <f t="shared" si="18"/>
        <v>1</v>
      </c>
      <c r="AN49" s="214">
        <f t="shared" si="18"/>
        <v>1</v>
      </c>
      <c r="AO49" s="214">
        <f t="shared" si="18"/>
        <v>1</v>
      </c>
      <c r="AP49" s="206">
        <f t="shared" si="19"/>
        <v>0.75000000000000022</v>
      </c>
      <c r="AQ49" s="213">
        <f t="shared" si="20"/>
        <v>0.5</v>
      </c>
      <c r="AR49" s="213">
        <f t="shared" si="20"/>
        <v>0.5</v>
      </c>
      <c r="AS49" s="213">
        <f t="shared" si="20"/>
        <v>0.5</v>
      </c>
      <c r="AT49" s="213">
        <f t="shared" si="20"/>
        <v>0.5</v>
      </c>
      <c r="AU49" s="213">
        <f t="shared" si="20"/>
        <v>0.5</v>
      </c>
      <c r="AV49" s="213">
        <f t="shared" si="20"/>
        <v>0.5</v>
      </c>
      <c r="AW49" s="213">
        <f t="shared" si="20"/>
        <v>0.5</v>
      </c>
      <c r="AY49" s="186">
        <f t="shared" si="21"/>
        <v>7.4750652023836901</v>
      </c>
      <c r="AZ49" s="186">
        <f t="shared" si="21"/>
        <v>7.7540080413047514</v>
      </c>
      <c r="BA49" s="186">
        <f t="shared" si="21"/>
        <v>8.3291538518475328</v>
      </c>
      <c r="BB49" s="186">
        <f t="shared" si="21"/>
        <v>8.9062747134692586</v>
      </c>
      <c r="BC49" s="186">
        <f t="shared" si="21"/>
        <v>7.549814210718921</v>
      </c>
      <c r="BD49" s="186">
        <f t="shared" si="21"/>
        <v>7.6838366850915278</v>
      </c>
      <c r="BE49" s="186">
        <f t="shared" si="21"/>
        <v>7.9101691829173379</v>
      </c>
    </row>
    <row r="50" spans="1:57" ht="12.75" x14ac:dyDescent="0.2">
      <c r="A50" s="181">
        <f t="shared" si="9"/>
        <v>8.6761904761904756</v>
      </c>
      <c r="B50" s="187">
        <f t="shared" si="22"/>
        <v>0.77083333333333359</v>
      </c>
      <c r="C50" s="135">
        <v>8.2333333333333343</v>
      </c>
      <c r="D50" s="135">
        <v>9.4666666666666668</v>
      </c>
      <c r="E50" s="135">
        <v>8.2999999999999989</v>
      </c>
      <c r="F50" s="135">
        <v>9.6333333333333329</v>
      </c>
      <c r="G50" s="135">
        <v>7.8999999999999995</v>
      </c>
      <c r="H50" s="135">
        <v>8.6666666666666661</v>
      </c>
      <c r="I50" s="135">
        <v>8.5333333333333332</v>
      </c>
      <c r="J50" s="165">
        <v>38</v>
      </c>
      <c r="K50" s="43">
        <f t="shared" si="10"/>
        <v>2</v>
      </c>
      <c r="L50" s="43">
        <f t="shared" si="11"/>
        <v>2</v>
      </c>
      <c r="M50" s="43">
        <f t="shared" si="12"/>
        <v>2</v>
      </c>
      <c r="N50" s="43">
        <f t="shared" si="13"/>
        <v>3</v>
      </c>
      <c r="O50" s="43">
        <f t="shared" si="14"/>
        <v>2</v>
      </c>
      <c r="P50" s="43">
        <f t="shared" si="15"/>
        <v>2</v>
      </c>
      <c r="Q50" s="43">
        <f t="shared" si="16"/>
        <v>2</v>
      </c>
      <c r="R50" s="165">
        <v>38</v>
      </c>
      <c r="S50" s="146">
        <v>3</v>
      </c>
      <c r="T50" s="146">
        <v>3</v>
      </c>
      <c r="U50" s="146">
        <v>3</v>
      </c>
      <c r="V50" s="146">
        <v>3</v>
      </c>
      <c r="W50" s="146">
        <v>3</v>
      </c>
      <c r="X50" s="146">
        <v>3</v>
      </c>
      <c r="Y50" s="146">
        <v>3</v>
      </c>
      <c r="AA50" s="184">
        <f t="shared" si="17"/>
        <v>0.97500850465874211</v>
      </c>
      <c r="AB50" s="184">
        <f t="shared" si="17"/>
        <v>0.96850626184273647</v>
      </c>
      <c r="AC50" s="184">
        <f t="shared" si="17"/>
        <v>0.97739597159303593</v>
      </c>
      <c r="AD50" s="184">
        <f t="shared" si="17"/>
        <v>0.9617793128577532</v>
      </c>
      <c r="AE50" s="184">
        <f t="shared" si="17"/>
        <v>0.98049535204141824</v>
      </c>
      <c r="AF50" s="184">
        <f t="shared" si="17"/>
        <v>0.97335398459765543</v>
      </c>
      <c r="AG50" s="184">
        <f t="shared" si="17"/>
        <v>0.98422868076623227</v>
      </c>
      <c r="AI50" s="214">
        <f t="shared" si="18"/>
        <v>1</v>
      </c>
      <c r="AJ50" s="214">
        <f t="shared" si="18"/>
        <v>1</v>
      </c>
      <c r="AK50" s="214">
        <f t="shared" si="18"/>
        <v>1</v>
      </c>
      <c r="AL50" s="214">
        <f t="shared" si="18"/>
        <v>0</v>
      </c>
      <c r="AM50" s="214">
        <f t="shared" si="18"/>
        <v>1</v>
      </c>
      <c r="AN50" s="214">
        <f t="shared" si="18"/>
        <v>1</v>
      </c>
      <c r="AO50" s="214">
        <f t="shared" si="18"/>
        <v>1</v>
      </c>
      <c r="AP50" s="206">
        <f t="shared" si="19"/>
        <v>0.77083333333333359</v>
      </c>
      <c r="AQ50" s="213">
        <f t="shared" si="20"/>
        <v>0.5</v>
      </c>
      <c r="AR50" s="213">
        <f t="shared" si="20"/>
        <v>0.5</v>
      </c>
      <c r="AS50" s="213">
        <f t="shared" si="20"/>
        <v>0.5</v>
      </c>
      <c r="AT50" s="213">
        <f t="shared" si="20"/>
        <v>0</v>
      </c>
      <c r="AU50" s="213">
        <f t="shared" si="20"/>
        <v>0.5</v>
      </c>
      <c r="AV50" s="213">
        <f t="shared" si="20"/>
        <v>0.5</v>
      </c>
      <c r="AW50" s="213">
        <f t="shared" si="20"/>
        <v>0.5</v>
      </c>
      <c r="AY50" s="186">
        <f t="shared" si="21"/>
        <v>8.0275700216903108</v>
      </c>
      <c r="AZ50" s="186">
        <f t="shared" si="21"/>
        <v>9.1685259454445713</v>
      </c>
      <c r="BA50" s="186">
        <f t="shared" si="21"/>
        <v>8.1123865642221968</v>
      </c>
      <c r="BB50" s="186">
        <f t="shared" si="21"/>
        <v>9.2651407138630226</v>
      </c>
      <c r="BC50" s="186">
        <f t="shared" si="21"/>
        <v>7.745913281127204</v>
      </c>
      <c r="BD50" s="186">
        <f t="shared" si="21"/>
        <v>8.43573453317968</v>
      </c>
      <c r="BE50" s="186">
        <f t="shared" si="21"/>
        <v>8.3987514092051825</v>
      </c>
    </row>
    <row r="51" spans="1:57" ht="12.75" x14ac:dyDescent="0.2">
      <c r="A51" s="181">
        <f t="shared" si="9"/>
        <v>9.1571428571428566</v>
      </c>
      <c r="B51" s="187">
        <f t="shared" si="22"/>
        <v>0.79166666666666696</v>
      </c>
      <c r="C51" s="135">
        <v>9.7000000000000011</v>
      </c>
      <c r="D51" s="135">
        <v>9.5666666666666664</v>
      </c>
      <c r="E51" s="135">
        <v>8.9666666666666668</v>
      </c>
      <c r="F51" s="135">
        <v>9.8333333333333321</v>
      </c>
      <c r="G51" s="135">
        <v>8.0333333333333332</v>
      </c>
      <c r="H51" s="135">
        <v>8.9333333333333318</v>
      </c>
      <c r="I51" s="135">
        <v>9.0666666666666682</v>
      </c>
      <c r="J51" s="165">
        <v>39</v>
      </c>
      <c r="K51" s="43">
        <f t="shared" si="10"/>
        <v>3</v>
      </c>
      <c r="L51" s="43">
        <f t="shared" si="11"/>
        <v>3</v>
      </c>
      <c r="M51" s="43">
        <f t="shared" si="12"/>
        <v>2</v>
      </c>
      <c r="N51" s="43">
        <f t="shared" si="13"/>
        <v>3</v>
      </c>
      <c r="O51" s="43">
        <f t="shared" si="14"/>
        <v>2</v>
      </c>
      <c r="P51" s="43">
        <f t="shared" si="15"/>
        <v>2</v>
      </c>
      <c r="Q51" s="43">
        <f t="shared" si="16"/>
        <v>2</v>
      </c>
      <c r="R51" s="165">
        <v>39</v>
      </c>
      <c r="S51" s="146">
        <v>3</v>
      </c>
      <c r="T51" s="146">
        <v>3</v>
      </c>
      <c r="U51" s="146">
        <v>3</v>
      </c>
      <c r="V51" s="146">
        <v>3</v>
      </c>
      <c r="W51" s="146">
        <v>3</v>
      </c>
      <c r="X51" s="146">
        <v>3</v>
      </c>
      <c r="Y51" s="146">
        <v>3</v>
      </c>
      <c r="AA51" s="184">
        <f t="shared" si="17"/>
        <v>0.95332571645158259</v>
      </c>
      <c r="AB51" s="184">
        <f t="shared" si="17"/>
        <v>0.95767806415041368</v>
      </c>
      <c r="AC51" s="184">
        <f t="shared" si="17"/>
        <v>0.96850626184273647</v>
      </c>
      <c r="AD51" s="184">
        <f t="shared" si="17"/>
        <v>0.9617793128577532</v>
      </c>
      <c r="AE51" s="184">
        <f t="shared" si="17"/>
        <v>0.98049535204141824</v>
      </c>
      <c r="AF51" s="184">
        <f t="shared" si="17"/>
        <v>0.97335398459765543</v>
      </c>
      <c r="AG51" s="184">
        <f t="shared" si="17"/>
        <v>0.98422868076623227</v>
      </c>
      <c r="AI51" s="214">
        <f t="shared" si="18"/>
        <v>0</v>
      </c>
      <c r="AJ51" s="214">
        <f t="shared" si="18"/>
        <v>0</v>
      </c>
      <c r="AK51" s="214">
        <f t="shared" si="18"/>
        <v>1</v>
      </c>
      <c r="AL51" s="214">
        <f t="shared" si="18"/>
        <v>0</v>
      </c>
      <c r="AM51" s="214">
        <f t="shared" si="18"/>
        <v>1</v>
      </c>
      <c r="AN51" s="214">
        <f t="shared" si="18"/>
        <v>1</v>
      </c>
      <c r="AO51" s="214">
        <f t="shared" si="18"/>
        <v>1</v>
      </c>
      <c r="AP51" s="206">
        <f t="shared" si="19"/>
        <v>0.79166666666666696</v>
      </c>
      <c r="AQ51" s="213">
        <f t="shared" si="20"/>
        <v>0</v>
      </c>
      <c r="AR51" s="213">
        <f t="shared" si="20"/>
        <v>0</v>
      </c>
      <c r="AS51" s="213">
        <f t="shared" si="20"/>
        <v>0.5</v>
      </c>
      <c r="AT51" s="213">
        <f t="shared" si="20"/>
        <v>0</v>
      </c>
      <c r="AU51" s="213">
        <f t="shared" si="20"/>
        <v>0.5</v>
      </c>
      <c r="AV51" s="213">
        <f t="shared" si="20"/>
        <v>0.5</v>
      </c>
      <c r="AW51" s="213">
        <f t="shared" si="20"/>
        <v>0.5</v>
      </c>
      <c r="AY51" s="186">
        <f t="shared" si="21"/>
        <v>9.2472594495803531</v>
      </c>
      <c r="AZ51" s="186">
        <f t="shared" si="21"/>
        <v>9.1617868137056231</v>
      </c>
      <c r="BA51" s="186">
        <f t="shared" si="21"/>
        <v>8.6842728145232044</v>
      </c>
      <c r="BB51" s="186">
        <f t="shared" si="21"/>
        <v>9.457496576434572</v>
      </c>
      <c r="BC51" s="186">
        <f t="shared" si="21"/>
        <v>7.8766459947327263</v>
      </c>
      <c r="BD51" s="186">
        <f t="shared" si="21"/>
        <v>8.6952955957390543</v>
      </c>
      <c r="BE51" s="186">
        <f t="shared" si="21"/>
        <v>8.9236733722805077</v>
      </c>
    </row>
    <row r="52" spans="1:57" ht="12.75" x14ac:dyDescent="0.2">
      <c r="A52" s="181">
        <f t="shared" si="9"/>
        <v>9.9380952380952383</v>
      </c>
      <c r="B52" s="187">
        <f t="shared" si="22"/>
        <v>0.81250000000000033</v>
      </c>
      <c r="C52" s="135">
        <v>10.266666666666667</v>
      </c>
      <c r="D52" s="135">
        <v>10.533333333333333</v>
      </c>
      <c r="E52" s="135">
        <v>10.766666666666666</v>
      </c>
      <c r="F52" s="135">
        <v>10.1</v>
      </c>
      <c r="G52" s="135">
        <v>8.6999999999999993</v>
      </c>
      <c r="H52" s="135">
        <v>10.033333333333333</v>
      </c>
      <c r="I52" s="135">
        <v>9.1666666666666661</v>
      </c>
      <c r="J52" s="165">
        <v>40</v>
      </c>
      <c r="K52" s="43">
        <f t="shared" si="10"/>
        <v>3</v>
      </c>
      <c r="L52" s="43">
        <f t="shared" si="11"/>
        <v>3</v>
      </c>
      <c r="M52" s="43">
        <f t="shared" si="12"/>
        <v>3</v>
      </c>
      <c r="N52" s="43">
        <f t="shared" si="13"/>
        <v>3</v>
      </c>
      <c r="O52" s="43">
        <f t="shared" si="14"/>
        <v>2</v>
      </c>
      <c r="P52" s="43">
        <f t="shared" si="15"/>
        <v>3</v>
      </c>
      <c r="Q52" s="43">
        <f t="shared" si="16"/>
        <v>2</v>
      </c>
      <c r="R52" s="165">
        <v>40</v>
      </c>
      <c r="S52" s="146">
        <v>3</v>
      </c>
      <c r="T52" s="146">
        <v>3</v>
      </c>
      <c r="U52" s="146">
        <v>3</v>
      </c>
      <c r="V52" s="146">
        <v>3</v>
      </c>
      <c r="W52" s="146">
        <v>3</v>
      </c>
      <c r="X52" s="146">
        <v>3</v>
      </c>
      <c r="Y52" s="146">
        <v>3</v>
      </c>
      <c r="AA52" s="184">
        <f t="shared" si="17"/>
        <v>0.95332571645158259</v>
      </c>
      <c r="AB52" s="184">
        <f t="shared" si="17"/>
        <v>0.94475533209254958</v>
      </c>
      <c r="AC52" s="184">
        <f t="shared" si="17"/>
        <v>0.94475533209254958</v>
      </c>
      <c r="AD52" s="184">
        <f t="shared" si="17"/>
        <v>0.9617793128577532</v>
      </c>
      <c r="AE52" s="184">
        <f t="shared" si="17"/>
        <v>0.97277480377601522</v>
      </c>
      <c r="AF52" s="184">
        <f t="shared" si="17"/>
        <v>0.96412081642307357</v>
      </c>
      <c r="AG52" s="184">
        <f t="shared" si="17"/>
        <v>0.98422868076623227</v>
      </c>
      <c r="AI52" s="214">
        <f t="shared" si="18"/>
        <v>0</v>
      </c>
      <c r="AJ52" s="214">
        <f t="shared" si="18"/>
        <v>0</v>
      </c>
      <c r="AK52" s="214">
        <f t="shared" si="18"/>
        <v>0</v>
      </c>
      <c r="AL52" s="214">
        <f t="shared" si="18"/>
        <v>0</v>
      </c>
      <c r="AM52" s="214">
        <f t="shared" si="18"/>
        <v>1</v>
      </c>
      <c r="AN52" s="214">
        <f t="shared" si="18"/>
        <v>0</v>
      </c>
      <c r="AO52" s="214">
        <f t="shared" si="18"/>
        <v>1</v>
      </c>
      <c r="AP52" s="206">
        <f t="shared" si="19"/>
        <v>0.81250000000000033</v>
      </c>
      <c r="AQ52" s="213">
        <f t="shared" si="20"/>
        <v>0</v>
      </c>
      <c r="AR52" s="213">
        <f t="shared" si="20"/>
        <v>0</v>
      </c>
      <c r="AS52" s="213">
        <f t="shared" si="20"/>
        <v>0</v>
      </c>
      <c r="AT52" s="213">
        <f t="shared" si="20"/>
        <v>0</v>
      </c>
      <c r="AU52" s="213">
        <f t="shared" si="20"/>
        <v>0.5</v>
      </c>
      <c r="AV52" s="213">
        <f t="shared" si="20"/>
        <v>0</v>
      </c>
      <c r="AW52" s="213">
        <f t="shared" si="20"/>
        <v>0.5</v>
      </c>
      <c r="AY52" s="186">
        <f t="shared" si="21"/>
        <v>9.7874773555695818</v>
      </c>
      <c r="AZ52" s="186">
        <f t="shared" si="21"/>
        <v>9.9514228313748561</v>
      </c>
      <c r="BA52" s="186">
        <f t="shared" si="21"/>
        <v>10.17186574219645</v>
      </c>
      <c r="BB52" s="186">
        <f t="shared" si="21"/>
        <v>9.7139710598633062</v>
      </c>
      <c r="BC52" s="186">
        <f t="shared" si="21"/>
        <v>8.4631407928513323</v>
      </c>
      <c r="BD52" s="186">
        <f t="shared" si="21"/>
        <v>9.6733455247781706</v>
      </c>
      <c r="BE52" s="186">
        <f t="shared" si="21"/>
        <v>9.0220962403571292</v>
      </c>
    </row>
    <row r="53" spans="1:57" ht="12.75" x14ac:dyDescent="0.2">
      <c r="A53" s="181">
        <f t="shared" si="9"/>
        <v>10.004761904761905</v>
      </c>
      <c r="B53" s="187">
        <f t="shared" si="22"/>
        <v>0.8333333333333337</v>
      </c>
      <c r="C53" s="135">
        <v>11</v>
      </c>
      <c r="D53" s="135">
        <v>10.333333333333334</v>
      </c>
      <c r="E53" s="135">
        <v>11.1</v>
      </c>
      <c r="F53" s="135">
        <v>9.8666666666666671</v>
      </c>
      <c r="G53" s="135">
        <v>8.9</v>
      </c>
      <c r="H53" s="135">
        <v>9.6666666666666661</v>
      </c>
      <c r="I53" s="135">
        <v>9.1666666666666661</v>
      </c>
      <c r="J53" s="165">
        <v>41</v>
      </c>
      <c r="K53" s="43">
        <f t="shared" si="10"/>
        <v>3</v>
      </c>
      <c r="L53" s="43">
        <f t="shared" si="11"/>
        <v>3</v>
      </c>
      <c r="M53" s="43">
        <f t="shared" si="12"/>
        <v>3</v>
      </c>
      <c r="N53" s="43">
        <f t="shared" si="13"/>
        <v>3</v>
      </c>
      <c r="O53" s="43">
        <f t="shared" si="14"/>
        <v>2</v>
      </c>
      <c r="P53" s="43">
        <f t="shared" si="15"/>
        <v>3</v>
      </c>
      <c r="Q53" s="43">
        <f t="shared" si="16"/>
        <v>2</v>
      </c>
      <c r="R53" s="165">
        <v>41</v>
      </c>
      <c r="S53" s="146">
        <v>3</v>
      </c>
      <c r="T53" s="146">
        <v>3</v>
      </c>
      <c r="U53" s="146">
        <v>3</v>
      </c>
      <c r="V53" s="146">
        <v>3</v>
      </c>
      <c r="W53" s="146">
        <v>3</v>
      </c>
      <c r="X53" s="146">
        <v>3</v>
      </c>
      <c r="Y53" s="146">
        <v>3</v>
      </c>
      <c r="AA53" s="184">
        <f t="shared" si="17"/>
        <v>0.9391455048494366</v>
      </c>
      <c r="AB53" s="184">
        <f t="shared" si="17"/>
        <v>0.95767806415041368</v>
      </c>
      <c r="AC53" s="184">
        <f t="shared" si="17"/>
        <v>0.94475533209254958</v>
      </c>
      <c r="AD53" s="184">
        <f t="shared" si="17"/>
        <v>0.9617793128577532</v>
      </c>
      <c r="AE53" s="184">
        <f t="shared" si="17"/>
        <v>0.97277480377601522</v>
      </c>
      <c r="AF53" s="184">
        <f t="shared" si="17"/>
        <v>0.96412081642307357</v>
      </c>
      <c r="AG53" s="184">
        <f t="shared" si="17"/>
        <v>0.98422868076623227</v>
      </c>
      <c r="AI53" s="214">
        <f t="shared" si="18"/>
        <v>0</v>
      </c>
      <c r="AJ53" s="214">
        <f t="shared" si="18"/>
        <v>0</v>
      </c>
      <c r="AK53" s="214">
        <f t="shared" si="18"/>
        <v>0</v>
      </c>
      <c r="AL53" s="214">
        <f t="shared" si="18"/>
        <v>0</v>
      </c>
      <c r="AM53" s="214">
        <f t="shared" si="18"/>
        <v>1</v>
      </c>
      <c r="AN53" s="214">
        <f t="shared" si="18"/>
        <v>0</v>
      </c>
      <c r="AO53" s="214">
        <f t="shared" si="18"/>
        <v>1</v>
      </c>
      <c r="AP53" s="206">
        <f t="shared" si="19"/>
        <v>0.8333333333333337</v>
      </c>
      <c r="AQ53" s="213">
        <f t="shared" si="20"/>
        <v>0</v>
      </c>
      <c r="AR53" s="213">
        <f t="shared" si="20"/>
        <v>0</v>
      </c>
      <c r="AS53" s="213">
        <f t="shared" si="20"/>
        <v>0</v>
      </c>
      <c r="AT53" s="213">
        <f t="shared" si="20"/>
        <v>0</v>
      </c>
      <c r="AU53" s="213">
        <f t="shared" si="20"/>
        <v>0.5</v>
      </c>
      <c r="AV53" s="213">
        <f t="shared" si="20"/>
        <v>0</v>
      </c>
      <c r="AW53" s="213">
        <f t="shared" si="20"/>
        <v>0.5</v>
      </c>
      <c r="AY53" s="186">
        <f t="shared" si="21"/>
        <v>10.330600553343803</v>
      </c>
      <c r="AZ53" s="186">
        <f t="shared" si="21"/>
        <v>9.8960066628876078</v>
      </c>
      <c r="BA53" s="186">
        <f t="shared" si="21"/>
        <v>10.4867841862273</v>
      </c>
      <c r="BB53" s="186">
        <f t="shared" si="21"/>
        <v>9.4895558868631653</v>
      </c>
      <c r="BC53" s="186">
        <f t="shared" si="21"/>
        <v>8.6576957536065358</v>
      </c>
      <c r="BD53" s="186">
        <f t="shared" si="21"/>
        <v>9.3198345587563765</v>
      </c>
      <c r="BE53" s="186">
        <f t="shared" si="21"/>
        <v>9.0220962403571292</v>
      </c>
    </row>
    <row r="54" spans="1:57" ht="12.75" x14ac:dyDescent="0.2">
      <c r="A54" s="181">
        <f t="shared" si="9"/>
        <v>10.009523809523809</v>
      </c>
      <c r="B54" s="187">
        <f t="shared" si="22"/>
        <v>0.85416666666666707</v>
      </c>
      <c r="C54" s="135">
        <v>10.6</v>
      </c>
      <c r="D54" s="135">
        <v>10.933333333333332</v>
      </c>
      <c r="E54" s="135">
        <v>11.5</v>
      </c>
      <c r="F54" s="135">
        <v>9.2333333333333325</v>
      </c>
      <c r="G54" s="135">
        <v>8.6</v>
      </c>
      <c r="H54" s="135">
        <v>9.5</v>
      </c>
      <c r="I54" s="135">
        <v>9.6999999999999993</v>
      </c>
      <c r="J54" s="165">
        <v>42</v>
      </c>
      <c r="K54" s="43">
        <f t="shared" si="10"/>
        <v>3</v>
      </c>
      <c r="L54" s="43">
        <f t="shared" si="11"/>
        <v>3</v>
      </c>
      <c r="M54" s="43">
        <f t="shared" si="12"/>
        <v>3</v>
      </c>
      <c r="N54" s="43">
        <f t="shared" si="13"/>
        <v>2</v>
      </c>
      <c r="O54" s="43">
        <f t="shared" si="14"/>
        <v>2</v>
      </c>
      <c r="P54" s="43">
        <f t="shared" si="15"/>
        <v>3</v>
      </c>
      <c r="Q54" s="43">
        <f t="shared" si="16"/>
        <v>2</v>
      </c>
      <c r="R54" s="165">
        <v>42</v>
      </c>
      <c r="S54" s="146">
        <v>3</v>
      </c>
      <c r="T54" s="146">
        <v>3</v>
      </c>
      <c r="U54" s="146">
        <v>3</v>
      </c>
      <c r="V54" s="146">
        <v>3</v>
      </c>
      <c r="W54" s="146">
        <v>3</v>
      </c>
      <c r="X54" s="146">
        <v>3</v>
      </c>
      <c r="Y54" s="146">
        <v>3</v>
      </c>
      <c r="AA54" s="184">
        <f t="shared" si="17"/>
        <v>0.9391455048494366</v>
      </c>
      <c r="AB54" s="184">
        <f t="shared" si="17"/>
        <v>0.94475533209254958</v>
      </c>
      <c r="AC54" s="184">
        <f t="shared" si="17"/>
        <v>0.92958424009861951</v>
      </c>
      <c r="AD54" s="184">
        <f t="shared" si="17"/>
        <v>0.97159360510573733</v>
      </c>
      <c r="AE54" s="184">
        <f t="shared" si="17"/>
        <v>0.97277480377601522</v>
      </c>
      <c r="AF54" s="184">
        <f t="shared" si="17"/>
        <v>0.96412081642307357</v>
      </c>
      <c r="AG54" s="184">
        <f t="shared" si="17"/>
        <v>0.97864204161799662</v>
      </c>
      <c r="AI54" s="214">
        <f t="shared" si="18"/>
        <v>0</v>
      </c>
      <c r="AJ54" s="214">
        <f t="shared" si="18"/>
        <v>0</v>
      </c>
      <c r="AK54" s="214">
        <f t="shared" si="18"/>
        <v>0</v>
      </c>
      <c r="AL54" s="214">
        <f t="shared" si="18"/>
        <v>1</v>
      </c>
      <c r="AM54" s="214">
        <f t="shared" si="18"/>
        <v>1</v>
      </c>
      <c r="AN54" s="214">
        <f t="shared" si="18"/>
        <v>0</v>
      </c>
      <c r="AO54" s="214">
        <f t="shared" si="18"/>
        <v>1</v>
      </c>
      <c r="AP54" s="206">
        <f t="shared" si="19"/>
        <v>0.85416666666666707</v>
      </c>
      <c r="AQ54" s="213">
        <f t="shared" si="20"/>
        <v>0</v>
      </c>
      <c r="AR54" s="213">
        <f t="shared" si="20"/>
        <v>0</v>
      </c>
      <c r="AS54" s="213">
        <f t="shared" si="20"/>
        <v>0</v>
      </c>
      <c r="AT54" s="213">
        <f t="shared" si="20"/>
        <v>0.5</v>
      </c>
      <c r="AU54" s="213">
        <f t="shared" si="20"/>
        <v>0.5</v>
      </c>
      <c r="AV54" s="213">
        <f t="shared" si="20"/>
        <v>0</v>
      </c>
      <c r="AW54" s="213">
        <f t="shared" si="20"/>
        <v>0.5</v>
      </c>
      <c r="AY54" s="186">
        <f t="shared" si="21"/>
        <v>9.9549423514040267</v>
      </c>
      <c r="AZ54" s="186">
        <f t="shared" si="21"/>
        <v>10.329324964211875</v>
      </c>
      <c r="BA54" s="186">
        <f t="shared" si="21"/>
        <v>10.690218761134124</v>
      </c>
      <c r="BB54" s="186">
        <f t="shared" si="21"/>
        <v>8.9710476204763072</v>
      </c>
      <c r="BC54" s="186">
        <f t="shared" si="21"/>
        <v>8.3658633124737314</v>
      </c>
      <c r="BD54" s="186">
        <f t="shared" si="21"/>
        <v>9.1591477560191983</v>
      </c>
      <c r="BE54" s="186">
        <f t="shared" si="21"/>
        <v>9.492827803694567</v>
      </c>
    </row>
    <row r="55" spans="1:57" ht="13.5" customHeight="1" x14ac:dyDescent="0.2">
      <c r="A55" s="181">
        <f t="shared" si="9"/>
        <v>9.3380952380952387</v>
      </c>
      <c r="B55" s="187">
        <f t="shared" si="22"/>
        <v>0.87500000000000044</v>
      </c>
      <c r="C55" s="135">
        <v>10.366666666666667</v>
      </c>
      <c r="D55" s="135">
        <v>9.9666666666666668</v>
      </c>
      <c r="E55" s="135">
        <v>9.5333333333333332</v>
      </c>
      <c r="F55" s="135">
        <v>8.9666666666666668</v>
      </c>
      <c r="G55" s="135">
        <v>7.7666666666666666</v>
      </c>
      <c r="H55" s="135">
        <v>8.7333333333333325</v>
      </c>
      <c r="I55" s="135">
        <v>10.033333333333333</v>
      </c>
      <c r="J55" s="165">
        <v>43</v>
      </c>
      <c r="K55" s="43">
        <f t="shared" si="10"/>
        <v>3</v>
      </c>
      <c r="L55" s="43">
        <f t="shared" si="11"/>
        <v>3</v>
      </c>
      <c r="M55" s="43">
        <f t="shared" si="12"/>
        <v>3</v>
      </c>
      <c r="N55" s="43">
        <f t="shared" si="13"/>
        <v>2</v>
      </c>
      <c r="O55" s="43">
        <f t="shared" si="14"/>
        <v>2</v>
      </c>
      <c r="P55" s="43">
        <f t="shared" si="15"/>
        <v>2</v>
      </c>
      <c r="Q55" s="43">
        <f t="shared" si="16"/>
        <v>2</v>
      </c>
      <c r="R55" s="165">
        <v>43</v>
      </c>
      <c r="S55" s="146">
        <v>3</v>
      </c>
      <c r="T55" s="146">
        <v>3</v>
      </c>
      <c r="U55" s="146">
        <v>3</v>
      </c>
      <c r="V55" s="146">
        <v>3</v>
      </c>
      <c r="W55" s="146">
        <v>3</v>
      </c>
      <c r="X55" s="146">
        <v>3</v>
      </c>
      <c r="Y55" s="146">
        <v>3</v>
      </c>
      <c r="AA55" s="184">
        <f t="shared" si="17"/>
        <v>0.95332571645158259</v>
      </c>
      <c r="AB55" s="184">
        <f t="shared" si="17"/>
        <v>0.95767806415041368</v>
      </c>
      <c r="AC55" s="184">
        <f t="shared" si="17"/>
        <v>0.95767806415041368</v>
      </c>
      <c r="AD55" s="184">
        <f t="shared" si="17"/>
        <v>0.97159360510573733</v>
      </c>
      <c r="AE55" s="184">
        <f t="shared" si="17"/>
        <v>0.98049535204141824</v>
      </c>
      <c r="AF55" s="184">
        <f t="shared" si="17"/>
        <v>0.97335398459765543</v>
      </c>
      <c r="AG55" s="184">
        <f t="shared" si="17"/>
        <v>0.97864204161799662</v>
      </c>
      <c r="AI55" s="214">
        <f t="shared" si="18"/>
        <v>0</v>
      </c>
      <c r="AJ55" s="214">
        <f t="shared" si="18"/>
        <v>0</v>
      </c>
      <c r="AK55" s="214">
        <f t="shared" si="18"/>
        <v>0</v>
      </c>
      <c r="AL55" s="214">
        <f t="shared" si="18"/>
        <v>1</v>
      </c>
      <c r="AM55" s="214">
        <f t="shared" si="18"/>
        <v>1</v>
      </c>
      <c r="AN55" s="214">
        <f t="shared" si="18"/>
        <v>1</v>
      </c>
      <c r="AO55" s="214">
        <f t="shared" si="18"/>
        <v>1</v>
      </c>
      <c r="AP55" s="206">
        <f t="shared" si="19"/>
        <v>0.87500000000000044</v>
      </c>
      <c r="AQ55" s="213">
        <f t="shared" si="20"/>
        <v>0</v>
      </c>
      <c r="AR55" s="213">
        <f t="shared" si="20"/>
        <v>0</v>
      </c>
      <c r="AS55" s="213">
        <f t="shared" si="20"/>
        <v>0</v>
      </c>
      <c r="AT55" s="213">
        <f t="shared" si="20"/>
        <v>0.5</v>
      </c>
      <c r="AU55" s="213">
        <f t="shared" si="20"/>
        <v>0.5</v>
      </c>
      <c r="AV55" s="213">
        <f t="shared" si="20"/>
        <v>0.5</v>
      </c>
      <c r="AW55" s="213">
        <f t="shared" si="20"/>
        <v>0.5</v>
      </c>
      <c r="AY55" s="186">
        <f t="shared" si="21"/>
        <v>9.8828099272147405</v>
      </c>
      <c r="AZ55" s="186">
        <f t="shared" si="21"/>
        <v>9.5448580393657902</v>
      </c>
      <c r="BA55" s="186">
        <f t="shared" si="21"/>
        <v>9.129864211567277</v>
      </c>
      <c r="BB55" s="186">
        <f t="shared" si="21"/>
        <v>8.7119559924481109</v>
      </c>
      <c r="BC55" s="186">
        <f t="shared" si="21"/>
        <v>7.6151805675216817</v>
      </c>
      <c r="BD55" s="186">
        <f t="shared" si="21"/>
        <v>8.5006247988195227</v>
      </c>
      <c r="BE55" s="186">
        <f t="shared" si="21"/>
        <v>9.819041817567232</v>
      </c>
    </row>
    <row r="56" spans="1:57" ht="12.75" x14ac:dyDescent="0.2">
      <c r="A56" s="181">
        <f t="shared" si="9"/>
        <v>8.242857142857142</v>
      </c>
      <c r="B56" s="187">
        <f t="shared" si="22"/>
        <v>0.89583333333333381</v>
      </c>
      <c r="C56" s="135">
        <v>9</v>
      </c>
      <c r="D56" s="135">
        <v>7.7333333333333316</v>
      </c>
      <c r="E56" s="135">
        <v>8.2333333333333343</v>
      </c>
      <c r="F56" s="135">
        <v>7.7</v>
      </c>
      <c r="G56" s="135">
        <v>7.3</v>
      </c>
      <c r="H56" s="135">
        <v>7.8666666666666671</v>
      </c>
      <c r="I56" s="135">
        <v>9.8666666666666671</v>
      </c>
      <c r="J56" s="165">
        <v>44</v>
      </c>
      <c r="K56" s="43">
        <f t="shared" si="10"/>
        <v>2</v>
      </c>
      <c r="L56" s="43">
        <f t="shared" si="11"/>
        <v>2</v>
      </c>
      <c r="M56" s="43">
        <f t="shared" si="12"/>
        <v>2</v>
      </c>
      <c r="N56" s="43">
        <f t="shared" si="13"/>
        <v>2</v>
      </c>
      <c r="O56" s="43">
        <f t="shared" si="14"/>
        <v>2</v>
      </c>
      <c r="P56" s="43">
        <f t="shared" si="15"/>
        <v>2</v>
      </c>
      <c r="Q56" s="43">
        <f t="shared" si="16"/>
        <v>2</v>
      </c>
      <c r="R56" s="165">
        <v>44</v>
      </c>
      <c r="S56" s="146">
        <v>3</v>
      </c>
      <c r="T56" s="146">
        <v>3</v>
      </c>
      <c r="U56" s="146">
        <v>3</v>
      </c>
      <c r="V56" s="146">
        <v>3</v>
      </c>
      <c r="W56" s="146">
        <v>3</v>
      </c>
      <c r="X56" s="146">
        <v>3</v>
      </c>
      <c r="Y56" s="146">
        <v>3</v>
      </c>
      <c r="AA56" s="184">
        <f t="shared" si="17"/>
        <v>0.96522471791893005</v>
      </c>
      <c r="AB56" s="184">
        <f t="shared" si="17"/>
        <v>0.97739597159303593</v>
      </c>
      <c r="AC56" s="184">
        <f t="shared" si="17"/>
        <v>0.97739597159303593</v>
      </c>
      <c r="AD56" s="184">
        <f t="shared" si="17"/>
        <v>0.97963841888951697</v>
      </c>
      <c r="AE56" s="184">
        <f t="shared" si="17"/>
        <v>0.98665718877602282</v>
      </c>
      <c r="AF56" s="184">
        <f t="shared" si="17"/>
        <v>0.98091532150104621</v>
      </c>
      <c r="AG56" s="184">
        <f t="shared" si="17"/>
        <v>0.97864204161799662</v>
      </c>
      <c r="AI56" s="214">
        <f t="shared" si="18"/>
        <v>1</v>
      </c>
      <c r="AJ56" s="214">
        <f t="shared" si="18"/>
        <v>1</v>
      </c>
      <c r="AK56" s="214">
        <f t="shared" si="18"/>
        <v>1</v>
      </c>
      <c r="AL56" s="214">
        <f t="shared" si="18"/>
        <v>1</v>
      </c>
      <c r="AM56" s="214">
        <f t="shared" si="18"/>
        <v>1</v>
      </c>
      <c r="AN56" s="214">
        <f t="shared" si="18"/>
        <v>1</v>
      </c>
      <c r="AO56" s="214">
        <f t="shared" si="18"/>
        <v>1</v>
      </c>
      <c r="AP56" s="206">
        <f t="shared" si="19"/>
        <v>0.89583333333333381</v>
      </c>
      <c r="AQ56" s="213">
        <f t="shared" si="20"/>
        <v>0.5</v>
      </c>
      <c r="AR56" s="213">
        <f t="shared" si="20"/>
        <v>0.5</v>
      </c>
      <c r="AS56" s="213">
        <f t="shared" si="20"/>
        <v>0.5</v>
      </c>
      <c r="AT56" s="213">
        <f t="shared" si="20"/>
        <v>0.5</v>
      </c>
      <c r="AU56" s="213">
        <f t="shared" si="20"/>
        <v>0.5</v>
      </c>
      <c r="AV56" s="213">
        <f t="shared" si="20"/>
        <v>0.5</v>
      </c>
      <c r="AW56" s="213">
        <f t="shared" si="20"/>
        <v>0.5</v>
      </c>
      <c r="AY56" s="186">
        <f t="shared" si="21"/>
        <v>8.6870224612703701</v>
      </c>
      <c r="AZ56" s="186">
        <f t="shared" si="21"/>
        <v>7.5585288469861425</v>
      </c>
      <c r="BA56" s="186">
        <f t="shared" si="21"/>
        <v>8.0472268327826626</v>
      </c>
      <c r="BB56" s="186">
        <f t="shared" si="21"/>
        <v>7.5432158254492805</v>
      </c>
      <c r="BC56" s="186">
        <f t="shared" si="21"/>
        <v>7.2025974780649662</v>
      </c>
      <c r="BD56" s="186">
        <f t="shared" si="21"/>
        <v>7.7165338624748969</v>
      </c>
      <c r="BE56" s="186">
        <f t="shared" si="21"/>
        <v>9.6559348106308995</v>
      </c>
    </row>
    <row r="57" spans="1:57" ht="12.75" x14ac:dyDescent="0.2">
      <c r="A57" s="181">
        <f t="shared" si="9"/>
        <v>6.6857142857142851</v>
      </c>
      <c r="B57" s="187">
        <f t="shared" si="22"/>
        <v>0.91666666666666718</v>
      </c>
      <c r="C57" s="135">
        <v>7.2666666666666666</v>
      </c>
      <c r="D57" s="135">
        <v>5.8999999999999995</v>
      </c>
      <c r="E57" s="135">
        <v>5.6000000000000005</v>
      </c>
      <c r="F57" s="135">
        <v>6.3999999999999995</v>
      </c>
      <c r="G57" s="135">
        <v>6.6333333333333329</v>
      </c>
      <c r="H57" s="135">
        <v>6.833333333333333</v>
      </c>
      <c r="I57" s="135">
        <v>8.1666666666666661</v>
      </c>
      <c r="J57" s="165">
        <v>45</v>
      </c>
      <c r="K57" s="43">
        <f t="shared" si="10"/>
        <v>2</v>
      </c>
      <c r="L57" s="43">
        <f t="shared" si="11"/>
        <v>2</v>
      </c>
      <c r="M57" s="43">
        <f t="shared" si="12"/>
        <v>2</v>
      </c>
      <c r="N57" s="43">
        <f t="shared" si="13"/>
        <v>2</v>
      </c>
      <c r="O57" s="43">
        <f t="shared" si="14"/>
        <v>2</v>
      </c>
      <c r="P57" s="43">
        <f t="shared" si="15"/>
        <v>2</v>
      </c>
      <c r="Q57" s="43">
        <f t="shared" si="16"/>
        <v>2</v>
      </c>
      <c r="R57" s="165">
        <v>45</v>
      </c>
      <c r="S57" s="146">
        <v>1</v>
      </c>
      <c r="T57" s="146">
        <v>2</v>
      </c>
      <c r="U57" s="146">
        <v>2</v>
      </c>
      <c r="V57" s="146">
        <v>1</v>
      </c>
      <c r="W57" s="146">
        <v>1</v>
      </c>
      <c r="X57" s="146">
        <v>1</v>
      </c>
      <c r="Y57" s="146">
        <v>1</v>
      </c>
      <c r="AA57" s="184">
        <f t="shared" si="17"/>
        <v>0.3666138073748284</v>
      </c>
      <c r="AB57" s="184">
        <f t="shared" si="17"/>
        <v>0.9189580082420804</v>
      </c>
      <c r="AC57" s="184">
        <f t="shared" si="17"/>
        <v>0.9189580082420804</v>
      </c>
      <c r="AD57" s="184">
        <f t="shared" si="17"/>
        <v>0.513697885808163</v>
      </c>
      <c r="AE57" s="184">
        <f t="shared" si="17"/>
        <v>0.42274856177271891</v>
      </c>
      <c r="AF57" s="184">
        <f t="shared" si="17"/>
        <v>0.42741042116016642</v>
      </c>
      <c r="AG57" s="184">
        <f t="shared" si="17"/>
        <v>0.44372533035718864</v>
      </c>
      <c r="AI57" s="214">
        <f t="shared" si="18"/>
        <v>-1</v>
      </c>
      <c r="AJ57" s="214">
        <f t="shared" si="18"/>
        <v>0</v>
      </c>
      <c r="AK57" s="214">
        <f t="shared" si="18"/>
        <v>0</v>
      </c>
      <c r="AL57" s="214">
        <f t="shared" si="18"/>
        <v>-1</v>
      </c>
      <c r="AM57" s="214">
        <f t="shared" si="18"/>
        <v>-1</v>
      </c>
      <c r="AN57" s="214">
        <f t="shared" si="18"/>
        <v>-1</v>
      </c>
      <c r="AO57" s="214">
        <f t="shared" si="18"/>
        <v>-1</v>
      </c>
      <c r="AP57" s="206">
        <f t="shared" si="19"/>
        <v>0.91666666666666718</v>
      </c>
      <c r="AQ57" s="213">
        <f t="shared" si="20"/>
        <v>-0.5</v>
      </c>
      <c r="AR57" s="213">
        <f t="shared" si="20"/>
        <v>0</v>
      </c>
      <c r="AS57" s="213">
        <f t="shared" si="20"/>
        <v>0</v>
      </c>
      <c r="AT57" s="213">
        <f t="shared" si="20"/>
        <v>-0.5</v>
      </c>
      <c r="AU57" s="213">
        <f t="shared" si="20"/>
        <v>-0.5</v>
      </c>
      <c r="AV57" s="213">
        <f t="shared" si="20"/>
        <v>-0.5</v>
      </c>
      <c r="AW57" s="213">
        <f t="shared" si="20"/>
        <v>-0.5</v>
      </c>
      <c r="AY57" s="186">
        <f t="shared" si="21"/>
        <v>2.6640603335904198</v>
      </c>
      <c r="AZ57" s="186">
        <f t="shared" si="21"/>
        <v>5.4218522486282739</v>
      </c>
      <c r="BA57" s="186">
        <f t="shared" si="21"/>
        <v>5.1461648461556511</v>
      </c>
      <c r="BB57" s="186">
        <f t="shared" si="21"/>
        <v>3.287666469172243</v>
      </c>
      <c r="BC57" s="186">
        <f t="shared" si="21"/>
        <v>2.8042321264257017</v>
      </c>
      <c r="BD57" s="186">
        <f t="shared" si="21"/>
        <v>2.9206378779278039</v>
      </c>
      <c r="BE57" s="186">
        <f t="shared" si="21"/>
        <v>3.623756864583707</v>
      </c>
    </row>
    <row r="58" spans="1:57" ht="12.75" x14ac:dyDescent="0.2">
      <c r="A58" s="181">
        <f t="shared" si="9"/>
        <v>4.8380952380952378</v>
      </c>
      <c r="B58" s="187">
        <f t="shared" si="22"/>
        <v>0.93750000000000056</v>
      </c>
      <c r="C58" s="135">
        <v>4.8</v>
      </c>
      <c r="D58" s="135">
        <v>3.9333333333333336</v>
      </c>
      <c r="E58" s="135">
        <v>4.2333333333333334</v>
      </c>
      <c r="F58" s="135">
        <v>4.833333333333333</v>
      </c>
      <c r="G58" s="135">
        <v>5.3999999999999995</v>
      </c>
      <c r="H58" s="135">
        <v>5.333333333333333</v>
      </c>
      <c r="I58" s="135">
        <v>5.333333333333333</v>
      </c>
      <c r="J58" s="165">
        <v>46</v>
      </c>
      <c r="K58" s="43">
        <f t="shared" si="10"/>
        <v>2</v>
      </c>
      <c r="L58" s="43">
        <f t="shared" si="11"/>
        <v>2</v>
      </c>
      <c r="M58" s="43">
        <f t="shared" si="12"/>
        <v>2</v>
      </c>
      <c r="N58" s="43">
        <f t="shared" si="13"/>
        <v>2</v>
      </c>
      <c r="O58" s="43">
        <f t="shared" si="14"/>
        <v>2</v>
      </c>
      <c r="P58" s="43">
        <f t="shared" si="15"/>
        <v>2</v>
      </c>
      <c r="Q58" s="43">
        <f t="shared" si="16"/>
        <v>2</v>
      </c>
      <c r="R58" s="165">
        <v>46</v>
      </c>
      <c r="S58" s="146">
        <v>1</v>
      </c>
      <c r="T58" s="146">
        <v>1</v>
      </c>
      <c r="U58" s="146">
        <v>1</v>
      </c>
      <c r="V58" s="146">
        <v>1</v>
      </c>
      <c r="W58" s="146">
        <v>1</v>
      </c>
      <c r="X58" s="146">
        <v>1</v>
      </c>
      <c r="Y58" s="146">
        <v>1</v>
      </c>
      <c r="AA58" s="184">
        <f t="shared" si="17"/>
        <v>0.57675913755469299</v>
      </c>
      <c r="AB58" s="184">
        <f t="shared" si="17"/>
        <v>0.68462264929439809</v>
      </c>
      <c r="AC58" s="184">
        <f t="shared" si="17"/>
        <v>0.68462264929439809</v>
      </c>
      <c r="AD58" s="184">
        <f t="shared" si="17"/>
        <v>0.60803397121268021</v>
      </c>
      <c r="AE58" s="184">
        <f t="shared" si="17"/>
        <v>0.61426946244202218</v>
      </c>
      <c r="AF58" s="184">
        <f t="shared" si="17"/>
        <v>0.61738460674215967</v>
      </c>
      <c r="AG58" s="184">
        <f t="shared" si="17"/>
        <v>0.68541366512599511</v>
      </c>
      <c r="AI58" s="214">
        <f t="shared" si="18"/>
        <v>-1</v>
      </c>
      <c r="AJ58" s="214">
        <f t="shared" si="18"/>
        <v>-1</v>
      </c>
      <c r="AK58" s="214">
        <f t="shared" si="18"/>
        <v>-1</v>
      </c>
      <c r="AL58" s="214">
        <f t="shared" si="18"/>
        <v>-1</v>
      </c>
      <c r="AM58" s="214">
        <f t="shared" si="18"/>
        <v>-1</v>
      </c>
      <c r="AN58" s="214">
        <f t="shared" si="18"/>
        <v>-1</v>
      </c>
      <c r="AO58" s="214">
        <f t="shared" si="18"/>
        <v>-1</v>
      </c>
      <c r="AP58" s="206">
        <f t="shared" si="19"/>
        <v>0.93750000000000056</v>
      </c>
      <c r="AQ58" s="213">
        <f t="shared" si="20"/>
        <v>-0.5</v>
      </c>
      <c r="AR58" s="213">
        <f t="shared" si="20"/>
        <v>-0.5</v>
      </c>
      <c r="AS58" s="213">
        <f t="shared" si="20"/>
        <v>-0.5</v>
      </c>
      <c r="AT58" s="213">
        <f t="shared" si="20"/>
        <v>-0.5</v>
      </c>
      <c r="AU58" s="213">
        <f t="shared" si="20"/>
        <v>-0.5</v>
      </c>
      <c r="AV58" s="213">
        <f t="shared" si="20"/>
        <v>-0.5</v>
      </c>
      <c r="AW58" s="213">
        <f t="shared" si="20"/>
        <v>-0.5</v>
      </c>
      <c r="AY58" s="186">
        <f t="shared" si="21"/>
        <v>2.7684438602625261</v>
      </c>
      <c r="AZ58" s="186">
        <f t="shared" si="21"/>
        <v>2.6928490872246327</v>
      </c>
      <c r="BA58" s="186">
        <f t="shared" si="21"/>
        <v>2.8982358820129521</v>
      </c>
      <c r="BB58" s="186">
        <f t="shared" si="21"/>
        <v>2.9388308608612874</v>
      </c>
      <c r="BC58" s="186">
        <f t="shared" si="21"/>
        <v>3.3170550971869193</v>
      </c>
      <c r="BD58" s="186">
        <f t="shared" si="21"/>
        <v>3.2927179026248514</v>
      </c>
      <c r="BE58" s="186">
        <f t="shared" si="21"/>
        <v>3.6555395473386403</v>
      </c>
    </row>
    <row r="59" spans="1:57" ht="12.75" x14ac:dyDescent="0.2">
      <c r="A59" s="181">
        <f t="shared" si="9"/>
        <v>2.6071428571428572</v>
      </c>
      <c r="B59" s="187">
        <f t="shared" si="22"/>
        <v>0.95833333333333393</v>
      </c>
      <c r="C59" s="135">
        <v>1.6</v>
      </c>
      <c r="D59" s="135">
        <v>2.0499999999999998</v>
      </c>
      <c r="E59" s="135">
        <v>2.95</v>
      </c>
      <c r="F59" s="135">
        <v>3.45</v>
      </c>
      <c r="G59" s="135">
        <v>3</v>
      </c>
      <c r="H59" s="135">
        <v>2.8</v>
      </c>
      <c r="I59" s="135">
        <v>2.4</v>
      </c>
      <c r="J59" s="165">
        <v>47</v>
      </c>
      <c r="K59" s="43">
        <f t="shared" si="10"/>
        <v>1</v>
      </c>
      <c r="L59" s="43">
        <f t="shared" si="11"/>
        <v>1</v>
      </c>
      <c r="M59" s="43">
        <f t="shared" si="12"/>
        <v>2</v>
      </c>
      <c r="N59" s="43">
        <f t="shared" si="13"/>
        <v>2</v>
      </c>
      <c r="O59" s="43">
        <f t="shared" si="14"/>
        <v>2</v>
      </c>
      <c r="P59" s="43">
        <f t="shared" si="15"/>
        <v>2</v>
      </c>
      <c r="Q59" s="43">
        <f t="shared" si="16"/>
        <v>1</v>
      </c>
      <c r="R59" s="165">
        <v>47</v>
      </c>
      <c r="S59" s="146">
        <v>1</v>
      </c>
      <c r="T59" s="146">
        <v>1</v>
      </c>
      <c r="U59" s="146">
        <v>1</v>
      </c>
      <c r="V59" s="146">
        <v>1</v>
      </c>
      <c r="W59" s="146">
        <v>1</v>
      </c>
      <c r="X59" s="146">
        <v>1</v>
      </c>
      <c r="Y59" s="146">
        <v>1</v>
      </c>
      <c r="AA59" s="184">
        <f t="shared" si="17"/>
        <v>0.84681433232707026</v>
      </c>
      <c r="AB59" s="184">
        <f t="shared" si="17"/>
        <v>0.85248114274707165</v>
      </c>
      <c r="AC59" s="184">
        <f t="shared" si="17"/>
        <v>0.77122146150263626</v>
      </c>
      <c r="AD59" s="184">
        <f t="shared" si="17"/>
        <v>0.77998782530461486</v>
      </c>
      <c r="AE59" s="184">
        <f t="shared" si="17"/>
        <v>0.78348783266470656</v>
      </c>
      <c r="AF59" s="184">
        <f t="shared" si="17"/>
        <v>0.78523637621600262</v>
      </c>
      <c r="AG59" s="184">
        <f t="shared" si="17"/>
        <v>0.88614020520128389</v>
      </c>
      <c r="AI59" s="214">
        <f t="shared" si="18"/>
        <v>0</v>
      </c>
      <c r="AJ59" s="214">
        <f t="shared" si="18"/>
        <v>0</v>
      </c>
      <c r="AK59" s="214">
        <f t="shared" si="18"/>
        <v>-1</v>
      </c>
      <c r="AL59" s="214">
        <f t="shared" si="18"/>
        <v>-1</v>
      </c>
      <c r="AM59" s="214">
        <f t="shared" si="18"/>
        <v>-1</v>
      </c>
      <c r="AN59" s="214">
        <f t="shared" si="18"/>
        <v>-1</v>
      </c>
      <c r="AO59" s="214">
        <f t="shared" si="18"/>
        <v>0</v>
      </c>
      <c r="AP59" s="206">
        <f t="shared" si="19"/>
        <v>0.95833333333333393</v>
      </c>
      <c r="AQ59" s="213">
        <f t="shared" si="20"/>
        <v>0</v>
      </c>
      <c r="AR59" s="213">
        <f t="shared" si="20"/>
        <v>0</v>
      </c>
      <c r="AS59" s="213">
        <f t="shared" si="20"/>
        <v>-0.5</v>
      </c>
      <c r="AT59" s="213">
        <f t="shared" si="20"/>
        <v>-0.5</v>
      </c>
      <c r="AU59" s="213">
        <f t="shared" si="20"/>
        <v>-0.5</v>
      </c>
      <c r="AV59" s="213">
        <f t="shared" si="20"/>
        <v>-0.5</v>
      </c>
      <c r="AW59" s="213">
        <f t="shared" si="20"/>
        <v>0</v>
      </c>
      <c r="AY59" s="186">
        <f t="shared" si="21"/>
        <v>1.3549029317233126</v>
      </c>
      <c r="AZ59" s="186">
        <f t="shared" si="21"/>
        <v>1.7475863426314968</v>
      </c>
      <c r="BA59" s="186">
        <f t="shared" si="21"/>
        <v>2.275103311432777</v>
      </c>
      <c r="BB59" s="186">
        <f t="shared" si="21"/>
        <v>2.6909579973009214</v>
      </c>
      <c r="BC59" s="186">
        <f t="shared" si="21"/>
        <v>2.3504634979941197</v>
      </c>
      <c r="BD59" s="186">
        <f t="shared" si="21"/>
        <v>2.1986618534048072</v>
      </c>
      <c r="BE59" s="186">
        <f t="shared" si="21"/>
        <v>2.1267364924830812</v>
      </c>
    </row>
    <row r="60" spans="1:57" ht="13.5" thickBot="1" x14ac:dyDescent="0.25">
      <c r="A60" s="181">
        <f t="shared" si="9"/>
        <v>1.8785714285714283</v>
      </c>
      <c r="B60" s="187">
        <f t="shared" si="22"/>
        <v>0.9791666666666673</v>
      </c>
      <c r="C60" s="135">
        <v>0.9</v>
      </c>
      <c r="D60" s="135">
        <v>2</v>
      </c>
      <c r="E60" s="135">
        <v>1.7</v>
      </c>
      <c r="F60" s="135">
        <v>2.25</v>
      </c>
      <c r="G60" s="135">
        <v>2.0499999999999998</v>
      </c>
      <c r="H60" s="135">
        <v>2.4500000000000002</v>
      </c>
      <c r="I60" s="135">
        <v>1.8</v>
      </c>
      <c r="J60" s="165">
        <v>48</v>
      </c>
      <c r="K60" s="43">
        <f t="shared" si="10"/>
        <v>1</v>
      </c>
      <c r="L60" s="43">
        <f t="shared" si="11"/>
        <v>1</v>
      </c>
      <c r="M60" s="43">
        <f t="shared" si="12"/>
        <v>1</v>
      </c>
      <c r="N60" s="43">
        <f t="shared" si="13"/>
        <v>1</v>
      </c>
      <c r="O60" s="43">
        <f t="shared" si="14"/>
        <v>1</v>
      </c>
      <c r="P60" s="43">
        <f t="shared" si="15"/>
        <v>1</v>
      </c>
      <c r="Q60" s="43">
        <f t="shared" si="16"/>
        <v>1</v>
      </c>
      <c r="R60" s="165">
        <v>48</v>
      </c>
      <c r="S60" s="146">
        <v>1</v>
      </c>
      <c r="T60" s="146">
        <v>1</v>
      </c>
      <c r="U60" s="146">
        <v>1</v>
      </c>
      <c r="V60" s="146">
        <v>1</v>
      </c>
      <c r="W60" s="146">
        <v>1</v>
      </c>
      <c r="X60" s="146">
        <v>1</v>
      </c>
      <c r="Y60" s="146">
        <v>1</v>
      </c>
      <c r="AA60" s="184">
        <f t="shared" si="17"/>
        <v>0.92591817793182818</v>
      </c>
      <c r="AB60" s="184">
        <f t="shared" si="17"/>
        <v>0.85248114274707165</v>
      </c>
      <c r="AC60" s="184">
        <f t="shared" si="17"/>
        <v>0.85248114274707165</v>
      </c>
      <c r="AD60" s="184">
        <f t="shared" si="17"/>
        <v>0.85813378822170916</v>
      </c>
      <c r="AE60" s="184">
        <f t="shared" si="17"/>
        <v>0.86039063053536669</v>
      </c>
      <c r="AF60" s="184">
        <f t="shared" si="17"/>
        <v>0.86151811018550495</v>
      </c>
      <c r="AG60" s="184">
        <f t="shared" si="17"/>
        <v>0.88614020520128389</v>
      </c>
      <c r="AI60" s="214">
        <f t="shared" si="18"/>
        <v>0</v>
      </c>
      <c r="AJ60" s="214">
        <f t="shared" si="18"/>
        <v>0</v>
      </c>
      <c r="AK60" s="214">
        <f t="shared" si="18"/>
        <v>0</v>
      </c>
      <c r="AL60" s="214">
        <f t="shared" si="18"/>
        <v>0</v>
      </c>
      <c r="AM60" s="214">
        <f t="shared" si="18"/>
        <v>0</v>
      </c>
      <c r="AN60" s="214">
        <f t="shared" si="18"/>
        <v>0</v>
      </c>
      <c r="AO60" s="214">
        <f t="shared" si="18"/>
        <v>0</v>
      </c>
      <c r="AP60" s="206">
        <f t="shared" si="19"/>
        <v>0.9791666666666673</v>
      </c>
      <c r="AQ60" s="213">
        <f t="shared" si="20"/>
        <v>0</v>
      </c>
      <c r="AR60" s="213">
        <f t="shared" si="20"/>
        <v>0</v>
      </c>
      <c r="AS60" s="213">
        <f t="shared" si="20"/>
        <v>0</v>
      </c>
      <c r="AT60" s="213">
        <f t="shared" si="20"/>
        <v>0</v>
      </c>
      <c r="AU60" s="213">
        <f t="shared" si="20"/>
        <v>0</v>
      </c>
      <c r="AV60" s="213">
        <f t="shared" si="20"/>
        <v>0</v>
      </c>
      <c r="AW60" s="213">
        <f t="shared" si="20"/>
        <v>0</v>
      </c>
      <c r="AY60" s="186">
        <f t="shared" si="21"/>
        <v>0.83332636013864536</v>
      </c>
      <c r="AZ60" s="186">
        <f t="shared" si="21"/>
        <v>1.7049622854941433</v>
      </c>
      <c r="BA60" s="186">
        <f t="shared" si="21"/>
        <v>1.4492179426700218</v>
      </c>
      <c r="BB60" s="186">
        <f t="shared" si="21"/>
        <v>1.9308010234988455</v>
      </c>
      <c r="BC60" s="186">
        <f t="shared" si="21"/>
        <v>1.7638007925975014</v>
      </c>
      <c r="BD60" s="186">
        <f t="shared" si="21"/>
        <v>2.1107193699544871</v>
      </c>
      <c r="BE60" s="186">
        <f t="shared" si="21"/>
        <v>1.5950523693623111</v>
      </c>
    </row>
    <row r="61" spans="1:57" ht="15.75" thickBot="1" x14ac:dyDescent="0.3">
      <c r="A61" s="188">
        <f>SUM(K61:Q61)</f>
        <v>289.5</v>
      </c>
      <c r="B61" s="189">
        <f>SUM(C61:I61)</f>
        <v>1982.2000000000003</v>
      </c>
      <c r="C61" s="257">
        <f t="shared" ref="C61:I61" si="23">SUM(C13:C60)</f>
        <v>270.5333333333333</v>
      </c>
      <c r="D61" s="257">
        <f t="shared" si="23"/>
        <v>287.21666666666664</v>
      </c>
      <c r="E61" s="257">
        <f t="shared" si="23"/>
        <v>284.08333333333337</v>
      </c>
      <c r="F61" s="257">
        <f t="shared" si="23"/>
        <v>287.31666666666661</v>
      </c>
      <c r="G61" s="257">
        <f t="shared" si="23"/>
        <v>277.65000000000003</v>
      </c>
      <c r="H61" s="257">
        <f t="shared" si="23"/>
        <v>301.16666666666669</v>
      </c>
      <c r="I61" s="257">
        <f t="shared" si="23"/>
        <v>274.23333333333323</v>
      </c>
      <c r="K61" s="193">
        <f>SUM(K13:K60)/2</f>
        <v>40.5</v>
      </c>
      <c r="L61" s="191">
        <f t="shared" ref="L61:Q61" si="24">SUM(L13:L60)/2</f>
        <v>43.5</v>
      </c>
      <c r="M61" s="191">
        <f t="shared" si="24"/>
        <v>43</v>
      </c>
      <c r="N61" s="191">
        <f t="shared" si="24"/>
        <v>43</v>
      </c>
      <c r="O61" s="191">
        <f t="shared" si="24"/>
        <v>41.5</v>
      </c>
      <c r="P61" s="191">
        <f t="shared" si="24"/>
        <v>42</v>
      </c>
      <c r="Q61" s="192">
        <f t="shared" si="24"/>
        <v>36</v>
      </c>
      <c r="S61" s="193">
        <f>SUM(S13:S60)/2</f>
        <v>54.5</v>
      </c>
      <c r="T61" s="193">
        <f t="shared" ref="T61:Y61" si="25">SUM(T13:T60)/2</f>
        <v>56</v>
      </c>
      <c r="U61" s="193">
        <f t="shared" si="25"/>
        <v>56</v>
      </c>
      <c r="V61" s="193">
        <f t="shared" si="25"/>
        <v>55</v>
      </c>
      <c r="W61" s="193">
        <f t="shared" si="25"/>
        <v>54</v>
      </c>
      <c r="X61" s="193">
        <f t="shared" si="25"/>
        <v>62</v>
      </c>
      <c r="Y61" s="193">
        <f t="shared" si="25"/>
        <v>54</v>
      </c>
      <c r="AI61" s="21"/>
      <c r="AJ61" s="21"/>
      <c r="AK61" s="21"/>
      <c r="AL61" s="21"/>
      <c r="AM61" s="21"/>
      <c r="AN61" s="21"/>
      <c r="AO61" s="21"/>
      <c r="AP61" s="21" t="s">
        <v>161</v>
      </c>
      <c r="AQ61" s="215">
        <f>COUNTIF(AQ13:AQ60,$AP$61)/48</f>
        <v>4.1666666666666664E-2</v>
      </c>
      <c r="AR61" s="216">
        <f t="shared" ref="AR61:AW61" si="26">COUNTIF(AR13:AR60,$AP$61)/48</f>
        <v>4.1666666666666664E-2</v>
      </c>
      <c r="AS61" s="216">
        <f t="shared" si="26"/>
        <v>4.1666666666666664E-2</v>
      </c>
      <c r="AT61" s="216">
        <f t="shared" si="26"/>
        <v>6.25E-2</v>
      </c>
      <c r="AU61" s="216">
        <f t="shared" si="26"/>
        <v>8.3333333333333329E-2</v>
      </c>
      <c r="AV61" s="216">
        <f t="shared" si="26"/>
        <v>6.25E-2</v>
      </c>
      <c r="AW61" s="217">
        <f t="shared" si="26"/>
        <v>4.1666666666666664E-2</v>
      </c>
    </row>
    <row r="62" spans="1:57" ht="15.75" thickBot="1" x14ac:dyDescent="0.3">
      <c r="A62" s="188">
        <f>SUM(S61:Y61)</f>
        <v>391.5</v>
      </c>
      <c r="C62" s="258">
        <v>180</v>
      </c>
      <c r="D62" s="258">
        <v>175</v>
      </c>
      <c r="E62" s="259">
        <v>175</v>
      </c>
      <c r="F62" s="258">
        <v>170</v>
      </c>
      <c r="G62" s="259">
        <v>168</v>
      </c>
      <c r="H62" s="259">
        <v>167</v>
      </c>
      <c r="I62" s="259">
        <v>145</v>
      </c>
      <c r="AP62" s="21" t="s">
        <v>164</v>
      </c>
      <c r="AQ62" s="215">
        <f>COUNTIF(AQ13:AQ60,$AP$62)/48</f>
        <v>0.39583333333333331</v>
      </c>
      <c r="AR62" s="215">
        <f t="shared" ref="AR62:AV62" si="27">COUNTIF(AR13:AR60,$AP$62)/48</f>
        <v>0.4375</v>
      </c>
      <c r="AS62" s="215">
        <f t="shared" si="27"/>
        <v>0.45833333333333331</v>
      </c>
      <c r="AT62" s="215">
        <f t="shared" si="27"/>
        <v>0.4375</v>
      </c>
      <c r="AU62" s="215">
        <f t="shared" si="27"/>
        <v>0.5</v>
      </c>
      <c r="AV62" s="215">
        <f t="shared" si="27"/>
        <v>0.52083333333333337</v>
      </c>
      <c r="AW62" s="215">
        <f>COUNTIF(AW13:AW60,$AP$62)/48</f>
        <v>0.54166666666666663</v>
      </c>
    </row>
    <row r="63" spans="1:57" x14ac:dyDescent="0.2">
      <c r="C63" s="194">
        <f>C61/$B$61</f>
        <v>0.13648135068778794</v>
      </c>
      <c r="D63" s="194">
        <f t="shared" ref="D63:I63" si="28">D61/$B$61</f>
        <v>0.14489792486462849</v>
      </c>
      <c r="E63" s="194">
        <f t="shared" si="28"/>
        <v>0.14331718965459253</v>
      </c>
      <c r="F63" s="194">
        <f t="shared" si="28"/>
        <v>0.14494837386069345</v>
      </c>
      <c r="G63" s="194">
        <f t="shared" si="28"/>
        <v>0.14007163757441227</v>
      </c>
      <c r="H63" s="194">
        <f t="shared" si="28"/>
        <v>0.15193555981569298</v>
      </c>
      <c r="I63" s="194">
        <f t="shared" si="28"/>
        <v>0.13834796354219212</v>
      </c>
      <c r="K63" s="194">
        <f>K61/$A$61</f>
        <v>0.13989637305699482</v>
      </c>
      <c r="L63" s="194">
        <f t="shared" ref="L63:Q63" si="29">L61/$A$61</f>
        <v>0.15025906735751296</v>
      </c>
      <c r="M63" s="194">
        <f t="shared" si="29"/>
        <v>0.14853195164075994</v>
      </c>
      <c r="N63" s="194">
        <f t="shared" si="29"/>
        <v>0.14853195164075994</v>
      </c>
      <c r="O63" s="194">
        <f t="shared" si="29"/>
        <v>0.14335060449050085</v>
      </c>
      <c r="P63" s="194">
        <f t="shared" si="29"/>
        <v>0.14507772020725387</v>
      </c>
      <c r="Q63" s="194">
        <f t="shared" si="29"/>
        <v>0.12435233160621761</v>
      </c>
      <c r="S63" s="195">
        <f>S61/$A$62</f>
        <v>0.1392081736909323</v>
      </c>
      <c r="T63" s="195">
        <f t="shared" ref="T63:Y63" si="30">T61/$A$62</f>
        <v>0.14303959131545338</v>
      </c>
      <c r="U63" s="195">
        <f t="shared" si="30"/>
        <v>0.14303959131545338</v>
      </c>
      <c r="V63" s="195">
        <f t="shared" si="30"/>
        <v>0.14048531289910601</v>
      </c>
      <c r="W63" s="195">
        <f t="shared" si="30"/>
        <v>0.13793103448275862</v>
      </c>
      <c r="X63" s="195">
        <f t="shared" si="30"/>
        <v>0.15836526181353769</v>
      </c>
      <c r="Y63" s="195">
        <f t="shared" si="30"/>
        <v>0.13793103448275862</v>
      </c>
    </row>
    <row r="65" spans="11:45" x14ac:dyDescent="0.2">
      <c r="K65" s="306" t="str">
        <f>"ETP HEBDO =  "&amp;A61/40</f>
        <v>ETP HEBDO =  7,2375</v>
      </c>
      <c r="L65" s="306"/>
      <c r="M65" s="306"/>
      <c r="N65" s="306"/>
      <c r="O65" s="306"/>
      <c r="P65" s="306"/>
      <c r="Q65" s="306"/>
      <c r="S65" s="307" t="str">
        <f>"ETP HEBDO =  "&amp;A62/40</f>
        <v>ETP HEBDO =  9,7875</v>
      </c>
      <c r="T65" s="307"/>
      <c r="U65" s="307"/>
      <c r="V65" s="307"/>
      <c r="W65" s="307"/>
      <c r="X65" s="307"/>
      <c r="Y65" s="307"/>
      <c r="AP65" s="165" t="s">
        <v>162</v>
      </c>
      <c r="AQ65" s="309" t="s">
        <v>149</v>
      </c>
      <c r="AR65" s="309"/>
      <c r="AS65" s="196">
        <f>COUNTIF(AI13:AO60, AP65)</f>
        <v>0</v>
      </c>
    </row>
    <row r="68" spans="11:45" x14ac:dyDescent="0.2">
      <c r="AP68" s="165" t="s">
        <v>163</v>
      </c>
      <c r="AQ68" s="305" t="s">
        <v>152</v>
      </c>
      <c r="AR68" s="305"/>
      <c r="AS68" s="196">
        <f>COUNTIF(AI13:AO60, AP68)</f>
        <v>0</v>
      </c>
    </row>
    <row r="70" spans="11:45" ht="12.75" x14ac:dyDescent="0.2">
      <c r="AP70" s="165" t="s">
        <v>161</v>
      </c>
      <c r="AQ70" s="221">
        <f>COUNTIF(AQ13:AW60,AP70)/336</f>
        <v>5.3571428571428568E-2</v>
      </c>
      <c r="AR70" s="203" t="s">
        <v>153</v>
      </c>
    </row>
    <row r="71" spans="11:45" ht="12.75" x14ac:dyDescent="0.2">
      <c r="AP71" s="21" t="s">
        <v>164</v>
      </c>
      <c r="AQ71" s="221">
        <f>COUNTIF(AQ13:AW60,AP71)/336</f>
        <v>0.47023809523809523</v>
      </c>
      <c r="AR71" s="203" t="s">
        <v>167</v>
      </c>
    </row>
  </sheetData>
  <mergeCells count="14">
    <mergeCell ref="S7:Y7"/>
    <mergeCell ref="A4:B4"/>
    <mergeCell ref="A6:B6"/>
    <mergeCell ref="A8:B8"/>
    <mergeCell ref="C11:I11"/>
    <mergeCell ref="K11:Q11"/>
    <mergeCell ref="AQ68:AR68"/>
    <mergeCell ref="S65:Y65"/>
    <mergeCell ref="K65:Q65"/>
    <mergeCell ref="AA11:AG11"/>
    <mergeCell ref="AI11:AO11"/>
    <mergeCell ref="AQ11:AW11"/>
    <mergeCell ref="AQ65:AR65"/>
    <mergeCell ref="S11:Y11"/>
  </mergeCells>
  <conditionalFormatting sqref="AA13:AG60">
    <cfRule type="cellIs" dxfId="1695" priority="87" operator="lessThan">
      <formula>0.8</formula>
    </cfRule>
    <cfRule type="cellIs" dxfId="1694" priority="88" operator="greaterThan">
      <formula>0.9</formula>
    </cfRule>
    <cfRule type="cellIs" dxfId="1693" priority="89" operator="between">
      <formula>0.8</formula>
      <formula>0.9</formula>
    </cfRule>
  </conditionalFormatting>
  <conditionalFormatting sqref="AQ10:AW10">
    <cfRule type="colorScale" priority="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60">
    <cfRule type="cellIs" dxfId="1692" priority="60" operator="between">
      <formula>-9</formula>
      <formula>-1</formula>
    </cfRule>
    <cfRule type="cellIs" dxfId="1691" priority="61" operator="between">
      <formula>1</formula>
      <formula>9</formula>
    </cfRule>
    <cfRule type="cellIs" dxfId="1690" priority="62" operator="lessThan">
      <formula>-9</formula>
    </cfRule>
    <cfRule type="cellIs" dxfId="1689" priority="63" operator="greaterThan">
      <formula>9</formula>
    </cfRule>
  </conditionalFormatting>
  <conditionalFormatting sqref="AA10:AG10">
    <cfRule type="cellIs" dxfId="1688" priority="59" operator="lessThan">
      <formula>0.8</formula>
    </cfRule>
  </conditionalFormatting>
  <conditionalFormatting sqref="K10:Q10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3:AW60">
    <cfRule type="cellIs" dxfId="1687" priority="37" operator="between">
      <formula>-9</formula>
      <formula>-1</formula>
    </cfRule>
    <cfRule type="cellIs" dxfId="1686" priority="38" operator="between">
      <formula>1</formula>
      <formula>9</formula>
    </cfRule>
    <cfRule type="cellIs" dxfId="1685" priority="39" operator="lessThan">
      <formula>-9</formula>
    </cfRule>
    <cfRule type="cellIs" dxfId="1684" priority="40" operator="greaterThan">
      <formula>9</formula>
    </cfRule>
  </conditionalFormatting>
  <conditionalFormatting sqref="AQ13:AW60">
    <cfRule type="cellIs" dxfId="1683" priority="33" operator="lessThan">
      <formula>-0.1</formula>
    </cfRule>
  </conditionalFormatting>
  <conditionalFormatting sqref="AI13:AO60">
    <cfRule type="cellIs" dxfId="1682" priority="30" operator="greaterThan">
      <formula>10</formula>
    </cfRule>
    <cfRule type="cellIs" dxfId="1681" priority="31" operator="lessThan">
      <formula>-10</formula>
    </cfRule>
    <cfRule type="cellIs" dxfId="1680" priority="32" operator="lessThan">
      <formula>0</formula>
    </cfRule>
  </conditionalFormatting>
  <conditionalFormatting sqref="AQ61:AW61">
    <cfRule type="cellIs" dxfId="1679" priority="9" operator="between">
      <formula>-9</formula>
      <formula>-1</formula>
    </cfRule>
    <cfRule type="cellIs" dxfId="1678" priority="10" operator="between">
      <formula>1</formula>
      <formula>9</formula>
    </cfRule>
    <cfRule type="cellIs" dxfId="1677" priority="11" operator="lessThan">
      <formula>-9</formula>
    </cfRule>
    <cfRule type="cellIs" dxfId="1676" priority="12" operator="greaterThan">
      <formula>9</formula>
    </cfRule>
  </conditionalFormatting>
  <conditionalFormatting sqref="AS68">
    <cfRule type="cellIs" dxfId="1675" priority="8" operator="greaterThan">
      <formula>0</formula>
    </cfRule>
  </conditionalFormatting>
  <conditionalFormatting sqref="AQ70">
    <cfRule type="cellIs" dxfId="1674" priority="7" operator="greaterThan">
      <formula>0.1</formula>
    </cfRule>
  </conditionalFormatting>
  <conditionalFormatting sqref="AS65">
    <cfRule type="cellIs" dxfId="1673" priority="6" operator="greaterThan">
      <formula>0</formula>
    </cfRule>
  </conditionalFormatting>
  <conditionalFormatting sqref="AQ61:AW61">
    <cfRule type="cellIs" dxfId="1672" priority="5" operator="lessThan">
      <formula>-0.1</formula>
    </cfRule>
  </conditionalFormatting>
  <conditionalFormatting sqref="AQ61:AW61">
    <cfRule type="cellIs" dxfId="1671" priority="4" operator="greaterThan">
      <formula>0.1499</formula>
    </cfRule>
  </conditionalFormatting>
  <conditionalFormatting sqref="AQ62:AW62">
    <cfRule type="cellIs" dxfId="1670" priority="3" operator="greaterThan">
      <formula>0.2</formula>
    </cfRule>
  </conditionalFormatting>
  <conditionalFormatting sqref="AQ71">
    <cfRule type="cellIs" dxfId="1669" priority="2" operator="greaterThan">
      <formula>0.15</formula>
    </cfRule>
  </conditionalFormatting>
  <conditionalFormatting sqref="C13:I6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F0"/>
  </sheetPr>
  <dimension ref="A1:BE71"/>
  <sheetViews>
    <sheetView zoomScale="80" zoomScaleNormal="80" workbookViewId="0">
      <selection activeCell="K10" sqref="K10:Q10"/>
    </sheetView>
  </sheetViews>
  <sheetFormatPr baseColWidth="10" defaultRowHeight="11.25" x14ac:dyDescent="0.2"/>
  <cols>
    <col min="1" max="2" width="11.42578125" style="165"/>
    <col min="3" max="8" width="9.140625" style="165" bestFit="1" customWidth="1"/>
    <col min="9" max="9" width="9.5703125" style="165" bestFit="1" customWidth="1"/>
    <col min="10" max="10" width="12.140625" style="165" bestFit="1" customWidth="1"/>
    <col min="11" max="12" width="7.7109375" style="165" bestFit="1" customWidth="1"/>
    <col min="13" max="13" width="8.85546875" style="165" bestFit="1" customWidth="1"/>
    <col min="14" max="14" width="7.7109375" style="165" bestFit="1" customWidth="1"/>
    <col min="15" max="15" width="9.28515625" style="165" bestFit="1" customWidth="1"/>
    <col min="16" max="16" width="7.7109375" style="165" bestFit="1" customWidth="1"/>
    <col min="17" max="17" width="9.7109375" style="165" bestFit="1" customWidth="1"/>
    <col min="18" max="18" width="11.42578125" style="165"/>
    <col min="19" max="20" width="5.85546875" style="165" bestFit="1" customWidth="1"/>
    <col min="21" max="21" width="8.7109375" style="165" bestFit="1" customWidth="1"/>
    <col min="22" max="22" width="5.7109375" style="165" bestFit="1" customWidth="1"/>
    <col min="23" max="23" width="9.140625" style="165" bestFit="1" customWidth="1"/>
    <col min="24" max="24" width="7.42578125" style="165" bestFit="1" customWidth="1"/>
    <col min="25" max="25" width="9.5703125" style="165" bestFit="1" customWidth="1"/>
    <col min="26" max="26" width="11.42578125" style="165"/>
    <col min="27" max="28" width="6" style="165" bestFit="1" customWidth="1"/>
    <col min="29" max="29" width="8.7109375" style="165" bestFit="1" customWidth="1"/>
    <col min="30" max="30" width="6" style="165" bestFit="1" customWidth="1"/>
    <col min="31" max="31" width="9.140625" style="165" bestFit="1" customWidth="1"/>
    <col min="32" max="32" width="7.42578125" style="165" bestFit="1" customWidth="1"/>
    <col min="33" max="33" width="9.5703125" style="165" bestFit="1" customWidth="1"/>
    <col min="34" max="34" width="11.42578125" style="165"/>
    <col min="35" max="36" width="5.85546875" style="165" bestFit="1" customWidth="1"/>
    <col min="37" max="37" width="8.7109375" style="165" bestFit="1" customWidth="1"/>
    <col min="38" max="38" width="5.7109375" style="165" bestFit="1" customWidth="1"/>
    <col min="39" max="39" width="9.140625" style="165" bestFit="1" customWidth="1"/>
    <col min="40" max="40" width="7.42578125" style="165" bestFit="1" customWidth="1"/>
    <col min="41" max="41" width="9.5703125" style="165" bestFit="1" customWidth="1"/>
    <col min="42" max="42" width="11.42578125" style="165"/>
    <col min="43" max="43" width="7.7109375" style="165" bestFit="1" customWidth="1"/>
    <col min="44" max="44" width="6.42578125" style="165" customWidth="1"/>
    <col min="45" max="45" width="8.7109375" style="165" bestFit="1" customWidth="1"/>
    <col min="46" max="46" width="6.42578125" style="165" bestFit="1" customWidth="1"/>
    <col min="47" max="47" width="9.140625" style="165" bestFit="1" customWidth="1"/>
    <col min="48" max="48" width="7.42578125" style="165" bestFit="1" customWidth="1"/>
    <col min="49" max="49" width="9.5703125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C2" s="167">
        <v>0.7</v>
      </c>
      <c r="E2" s="205"/>
      <c r="K2" s="168">
        <f>K10*C61</f>
        <v>585916.80000000005</v>
      </c>
      <c r="L2" s="168">
        <f t="shared" ref="L2:Q2" si="0">L10*D61</f>
        <v>605007.9</v>
      </c>
      <c r="M2" s="168">
        <f t="shared" si="0"/>
        <v>636444.80000000005</v>
      </c>
      <c r="N2" s="168">
        <f t="shared" si="0"/>
        <v>657195.49999999988</v>
      </c>
      <c r="O2" s="168">
        <f t="shared" si="0"/>
        <v>643802.96666666656</v>
      </c>
      <c r="P2" s="168">
        <f t="shared" si="0"/>
        <v>678169.83333333326</v>
      </c>
      <c r="Q2" s="168">
        <f t="shared" si="0"/>
        <v>667463.66666666674</v>
      </c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  <c r="V4" s="203"/>
      <c r="W4" s="203"/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223">
        <v>5.5090428934709418E-2</v>
      </c>
      <c r="D8" s="224">
        <v>5.3855641491487805E-2</v>
      </c>
      <c r="E8" s="224">
        <v>4.6758056568782611E-2</v>
      </c>
      <c r="F8" s="224">
        <v>4.9952734015639315E-2</v>
      </c>
      <c r="G8" s="224">
        <v>5.7770701468419415E-2</v>
      </c>
      <c r="H8" s="224">
        <v>6.2617872162810437E-2</v>
      </c>
      <c r="I8" s="225">
        <v>4.3650316001212768E-2</v>
      </c>
      <c r="K8" s="173"/>
      <c r="L8" s="173"/>
      <c r="M8" s="173"/>
      <c r="N8" s="173"/>
      <c r="O8" s="173"/>
      <c r="P8" s="173"/>
      <c r="Q8" s="173"/>
      <c r="S8" s="204"/>
      <c r="T8" s="204"/>
      <c r="U8" s="204"/>
      <c r="V8" s="204"/>
      <c r="W8" s="204"/>
      <c r="X8" s="204"/>
      <c r="Y8" s="204"/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 s="135">
        <f>C62</f>
        <v>192</v>
      </c>
      <c r="L10" s="135">
        <f t="shared" ref="L10:Q10" si="1">D62</f>
        <v>189</v>
      </c>
      <c r="M10" s="135">
        <f t="shared" si="1"/>
        <v>192</v>
      </c>
      <c r="N10" s="135">
        <f t="shared" si="1"/>
        <v>195</v>
      </c>
      <c r="O10" s="135">
        <f t="shared" si="1"/>
        <v>193</v>
      </c>
      <c r="P10" s="135">
        <f t="shared" si="1"/>
        <v>193</v>
      </c>
      <c r="Q10" s="135">
        <f t="shared" si="1"/>
        <v>190</v>
      </c>
      <c r="S10" s="173">
        <f>MAX(K13:K60)</f>
        <v>24</v>
      </c>
      <c r="T10" s="173">
        <f t="shared" ref="T10:Y10" si="2">MAX(L13:L60)</f>
        <v>24</v>
      </c>
      <c r="U10" s="173">
        <f t="shared" si="2"/>
        <v>25</v>
      </c>
      <c r="V10" s="173">
        <f t="shared" si="2"/>
        <v>26</v>
      </c>
      <c r="W10" s="173">
        <f t="shared" si="2"/>
        <v>25</v>
      </c>
      <c r="X10" s="173">
        <f t="shared" si="2"/>
        <v>26</v>
      </c>
      <c r="Y10" s="173">
        <f t="shared" si="2"/>
        <v>24</v>
      </c>
      <c r="AA10" s="175">
        <f>AY10/C61</f>
        <v>0.93872016165583794</v>
      </c>
      <c r="AB10" s="175">
        <f t="shared" ref="AB10:AG10" si="3">AZ10/D61</f>
        <v>0.96199753745513628</v>
      </c>
      <c r="AC10" s="175">
        <f t="shared" si="3"/>
        <v>0.95337479288522231</v>
      </c>
      <c r="AD10" s="175">
        <f t="shared" si="3"/>
        <v>0.89775603091015621</v>
      </c>
      <c r="AE10" s="175">
        <f t="shared" si="3"/>
        <v>0.91482208063267656</v>
      </c>
      <c r="AF10" s="175">
        <f t="shared" si="3"/>
        <v>0.94062568984057426</v>
      </c>
      <c r="AG10" s="175">
        <f t="shared" si="3"/>
        <v>0.94381395349474551</v>
      </c>
      <c r="AI10" s="175"/>
      <c r="AJ10" s="175"/>
      <c r="AK10" s="175"/>
      <c r="AL10" s="175"/>
      <c r="AM10" s="175"/>
      <c r="AN10" s="175"/>
      <c r="AO10" s="175"/>
      <c r="AQ10" s="302" t="s">
        <v>156</v>
      </c>
      <c r="AR10" s="303"/>
      <c r="AS10" s="303"/>
      <c r="AT10" s="303"/>
      <c r="AU10" s="303"/>
      <c r="AV10" s="303"/>
      <c r="AW10" s="304"/>
      <c r="AY10" s="177">
        <f>SUM(AY13:AY60)</f>
        <v>2864.6453813170383</v>
      </c>
      <c r="AZ10" s="177">
        <f t="shared" ref="AZ10:BE10" si="4">SUM(AZ13:AZ60)</f>
        <v>3079.4503171476372</v>
      </c>
      <c r="BA10" s="177">
        <f t="shared" si="4"/>
        <v>3160.2626530358161</v>
      </c>
      <c r="BB10" s="177">
        <f t="shared" si="4"/>
        <v>3025.6473005744383</v>
      </c>
      <c r="BC10" s="177">
        <f t="shared" si="4"/>
        <v>3051.6330025051275</v>
      </c>
      <c r="BD10" s="177">
        <f t="shared" si="4"/>
        <v>3305.201903151471</v>
      </c>
      <c r="BE10" s="177">
        <f t="shared" si="4"/>
        <v>3315.5869581619249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52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9.8428571428571416</v>
      </c>
      <c r="B13" s="182">
        <v>0</v>
      </c>
      <c r="C13" s="135">
        <v>9.1</v>
      </c>
      <c r="D13" s="135">
        <v>8.1</v>
      </c>
      <c r="E13" s="135">
        <v>10.3</v>
      </c>
      <c r="F13" s="135">
        <v>10.8</v>
      </c>
      <c r="G13" s="135">
        <v>10.9</v>
      </c>
      <c r="H13" s="135">
        <v>9.4</v>
      </c>
      <c r="I13" s="135">
        <v>10.3</v>
      </c>
      <c r="J13" s="165">
        <v>1</v>
      </c>
      <c r="K13" s="43">
        <f>AgentsRequired(C13,$B$10,K$10,$C$4,$C$6,$C$2,$C$8)</f>
        <v>3</v>
      </c>
      <c r="L13" s="43">
        <f>AgentsRequired(D13,$B$10,L$10,$C$4,$C$6,$C$2,$D$8)</f>
        <v>2</v>
      </c>
      <c r="M13" s="43">
        <f>AgentsRequired(E13,$B$10,M$10,$C$4,$C$6,$C$2,$E$8)</f>
        <v>3</v>
      </c>
      <c r="N13" s="43">
        <f>AgentsRequired(F13,$B$10,N$10,$C$4,$C$6,$C$2,$F$8)</f>
        <v>3</v>
      </c>
      <c r="O13" s="43">
        <f>AgentsRequired(G13,$B$10,O$10,$C$4,$C$6,$C$2,$G$8)</f>
        <v>3</v>
      </c>
      <c r="P13" s="43">
        <f>AgentsRequired(H13,$B$10,P$10,$C$4,$C$6,$C$2,$H$8)</f>
        <v>3</v>
      </c>
      <c r="Q13" s="43">
        <f>AgentsRequired(I13,$B$10,Q$10,$C$4,$C$6,$C$2,$I$8)</f>
        <v>3</v>
      </c>
      <c r="R13" s="165">
        <v>1</v>
      </c>
      <c r="S13" s="198">
        <v>3</v>
      </c>
      <c r="T13" s="198">
        <v>3</v>
      </c>
      <c r="U13" s="198">
        <v>3</v>
      </c>
      <c r="V13" s="198">
        <v>6</v>
      </c>
      <c r="W13" s="198">
        <v>6</v>
      </c>
      <c r="X13" s="198">
        <v>5</v>
      </c>
      <c r="Y13" s="198">
        <v>4</v>
      </c>
      <c r="AA13" s="184">
        <f>ServiceLevel(C13,$B$10,K$10,$C$6,S13)</f>
        <v>0.95654156114080791</v>
      </c>
      <c r="AB13" s="184">
        <f>ServiceLevel(D13,$B$10,L$10,$C$6,T13)</f>
        <v>0.97033828485230655</v>
      </c>
      <c r="AC13" s="184">
        <f t="shared" ref="AC13:AG28" si="5">ServiceLevel(E13,$B$10,M$10,$C$6,U13)</f>
        <v>0.94183981391493521</v>
      </c>
      <c r="AD13" s="184">
        <f t="shared" si="5"/>
        <v>0.99965671079075702</v>
      </c>
      <c r="AE13" s="184">
        <f t="shared" si="5"/>
        <v>0.99968033511449128</v>
      </c>
      <c r="AF13" s="184">
        <f t="shared" si="5"/>
        <v>0.99906104348786617</v>
      </c>
      <c r="AG13" s="184">
        <f t="shared" si="5"/>
        <v>0.99036793511298082</v>
      </c>
      <c r="AI13" s="214">
        <f>S13-K13</f>
        <v>0</v>
      </c>
      <c r="AJ13" s="214">
        <f t="shared" ref="AJ13:AO28" si="6">T13-L13</f>
        <v>1</v>
      </c>
      <c r="AK13" s="214">
        <f t="shared" si="6"/>
        <v>0</v>
      </c>
      <c r="AL13" s="214">
        <f t="shared" si="6"/>
        <v>3</v>
      </c>
      <c r="AM13" s="214">
        <f t="shared" si="6"/>
        <v>3</v>
      </c>
      <c r="AN13" s="214">
        <f t="shared" si="6"/>
        <v>2</v>
      </c>
      <c r="AO13" s="214">
        <f t="shared" si="6"/>
        <v>1</v>
      </c>
      <c r="AP13" s="206">
        <f>B13</f>
        <v>0</v>
      </c>
      <c r="AQ13" s="213">
        <f>S13/K13-1</f>
        <v>0</v>
      </c>
      <c r="AR13" s="213">
        <f t="shared" ref="AR13:AW28" si="7">T13/L13-1</f>
        <v>0.5</v>
      </c>
      <c r="AS13" s="213">
        <f t="shared" si="7"/>
        <v>0</v>
      </c>
      <c r="AT13" s="213">
        <f t="shared" si="7"/>
        <v>1</v>
      </c>
      <c r="AU13" s="213">
        <f t="shared" si="7"/>
        <v>1</v>
      </c>
      <c r="AV13" s="213">
        <f t="shared" si="7"/>
        <v>0.66666666666666674</v>
      </c>
      <c r="AW13" s="213">
        <f t="shared" si="7"/>
        <v>0.33333333333333326</v>
      </c>
      <c r="AY13" s="186">
        <f>AA13*C13</f>
        <v>8.7045282063813509</v>
      </c>
      <c r="AZ13" s="186">
        <f t="shared" ref="AZ13:BE28" si="8">AB13*D13</f>
        <v>7.8597401073036828</v>
      </c>
      <c r="BA13" s="186">
        <f t="shared" si="8"/>
        <v>9.7009500833238338</v>
      </c>
      <c r="BB13" s="186">
        <f t="shared" si="8"/>
        <v>10.796292476540177</v>
      </c>
      <c r="BC13" s="186">
        <f t="shared" si="8"/>
        <v>10.896515652747956</v>
      </c>
      <c r="BD13" s="186">
        <f t="shared" si="8"/>
        <v>9.3911738087859415</v>
      </c>
      <c r="BE13" s="186">
        <f t="shared" si="8"/>
        <v>10.200789731663702</v>
      </c>
    </row>
    <row r="14" spans="1:57" ht="12.75" x14ac:dyDescent="0.2">
      <c r="A14" s="181">
        <f t="shared" ref="A14:A60" si="9">AVERAGE(C14:I14)</f>
        <v>7.7214285714285706</v>
      </c>
      <c r="B14" s="187">
        <f>B13+TIME(0,$B$10,0)</f>
        <v>2.0833333333333332E-2</v>
      </c>
      <c r="C14" s="135">
        <v>7.5</v>
      </c>
      <c r="D14" s="135">
        <v>6.1999999999999993</v>
      </c>
      <c r="E14" s="135">
        <v>7.7</v>
      </c>
      <c r="F14" s="135">
        <v>8.0500000000000007</v>
      </c>
      <c r="G14" s="135">
        <v>8.1</v>
      </c>
      <c r="H14" s="135">
        <v>7.8000000000000007</v>
      </c>
      <c r="I14" s="135">
        <v>8.6999999999999993</v>
      </c>
      <c r="J14" s="165">
        <v>2</v>
      </c>
      <c r="K14" s="43">
        <f t="shared" ref="K14:K60" si="10">AgentsRequired(C14,$B$10,K$10,$C$4,$C$6,$C$2,$C$8)</f>
        <v>2</v>
      </c>
      <c r="L14" s="43">
        <f t="shared" ref="L14:L60" si="11">AgentsRequired(D14,$B$10,L$10,$C$4,$C$6,$C$2,$D$8)</f>
        <v>2</v>
      </c>
      <c r="M14" s="43">
        <f t="shared" ref="M14:M60" si="12">AgentsRequired(E14,$B$10,M$10,$C$4,$C$6,$C$2,$E$8)</f>
        <v>2</v>
      </c>
      <c r="N14" s="43">
        <f t="shared" ref="N14:N60" si="13">AgentsRequired(F14,$B$10,N$10,$C$4,$C$6,$C$2,$F$8)</f>
        <v>2</v>
      </c>
      <c r="O14" s="43">
        <f t="shared" ref="O14:O60" si="14">AgentsRequired(G14,$B$10,O$10,$C$4,$C$6,$C$2,$G$8)</f>
        <v>2</v>
      </c>
      <c r="P14" s="43">
        <f t="shared" ref="P14:P60" si="15">AgentsRequired(H14,$B$10,P$10,$C$4,$C$6,$C$2,$H$8)</f>
        <v>2</v>
      </c>
      <c r="Q14" s="43">
        <f t="shared" ref="Q14:Q60" si="16">AgentsRequired(I14,$B$10,Q$10,$C$4,$C$6,$C$2,$I$8)</f>
        <v>3</v>
      </c>
      <c r="R14" s="165">
        <v>2</v>
      </c>
      <c r="S14" s="198">
        <v>3</v>
      </c>
      <c r="T14" s="198">
        <v>3</v>
      </c>
      <c r="U14" s="198">
        <v>3</v>
      </c>
      <c r="V14" s="198">
        <v>6</v>
      </c>
      <c r="W14" s="198">
        <v>6</v>
      </c>
      <c r="X14" s="198">
        <v>5</v>
      </c>
      <c r="Y14" s="198">
        <v>4</v>
      </c>
      <c r="AA14" s="184">
        <f t="shared" ref="AA14:AG60" si="17">ServiceLevel(C14,$B$10,K$10,$C$6,S14)</f>
        <v>0.96867332900123193</v>
      </c>
      <c r="AB14" s="184">
        <f t="shared" si="17"/>
        <v>0.98678543546408459</v>
      </c>
      <c r="AC14" s="184">
        <f t="shared" si="5"/>
        <v>0.96867332900123193</v>
      </c>
      <c r="AD14" s="184">
        <f t="shared" si="5"/>
        <v>0.99994040943738594</v>
      </c>
      <c r="AE14" s="184">
        <f t="shared" si="5"/>
        <v>0.99994465041608604</v>
      </c>
      <c r="AF14" s="184">
        <f t="shared" si="5"/>
        <v>0.99945347234033155</v>
      </c>
      <c r="AG14" s="184">
        <f t="shared" si="5"/>
        <v>0.99343741254832407</v>
      </c>
      <c r="AI14" s="214">
        <f t="shared" ref="AI14:AO60" si="18">S14-K14</f>
        <v>1</v>
      </c>
      <c r="AJ14" s="214">
        <f t="shared" si="6"/>
        <v>1</v>
      </c>
      <c r="AK14" s="214">
        <f t="shared" si="6"/>
        <v>1</v>
      </c>
      <c r="AL14" s="214">
        <f t="shared" si="6"/>
        <v>4</v>
      </c>
      <c r="AM14" s="214">
        <f t="shared" si="6"/>
        <v>4</v>
      </c>
      <c r="AN14" s="214">
        <f t="shared" si="6"/>
        <v>3</v>
      </c>
      <c r="AO14" s="214">
        <f t="shared" si="6"/>
        <v>1</v>
      </c>
      <c r="AP14" s="206">
        <f t="shared" ref="AP14:AP60" si="19">B14</f>
        <v>2.0833333333333332E-2</v>
      </c>
      <c r="AQ14" s="213">
        <f t="shared" ref="AQ14:AW60" si="20">S14/K14-1</f>
        <v>0.5</v>
      </c>
      <c r="AR14" s="213">
        <f t="shared" si="7"/>
        <v>0.5</v>
      </c>
      <c r="AS14" s="213">
        <f t="shared" si="7"/>
        <v>0.5</v>
      </c>
      <c r="AT14" s="213">
        <f t="shared" si="7"/>
        <v>2</v>
      </c>
      <c r="AU14" s="213">
        <f t="shared" si="7"/>
        <v>2</v>
      </c>
      <c r="AV14" s="213">
        <f t="shared" si="7"/>
        <v>1.5</v>
      </c>
      <c r="AW14" s="213">
        <f t="shared" si="7"/>
        <v>0.33333333333333326</v>
      </c>
      <c r="AY14" s="186">
        <f t="shared" ref="AY14:BE60" si="21">AA14*C14</f>
        <v>7.2650499675092393</v>
      </c>
      <c r="AZ14" s="186">
        <f t="shared" si="8"/>
        <v>6.1180696998773234</v>
      </c>
      <c r="BA14" s="186">
        <f t="shared" si="8"/>
        <v>7.4587846333094863</v>
      </c>
      <c r="BB14" s="186">
        <f t="shared" si="8"/>
        <v>8.0495202959709573</v>
      </c>
      <c r="BC14" s="186">
        <f t="shared" si="8"/>
        <v>8.0995516683702959</v>
      </c>
      <c r="BD14" s="186">
        <f t="shared" si="8"/>
        <v>7.7957370842545872</v>
      </c>
      <c r="BE14" s="186">
        <f t="shared" si="8"/>
        <v>8.6429054891704187</v>
      </c>
    </row>
    <row r="15" spans="1:57" ht="12.75" x14ac:dyDescent="0.2">
      <c r="A15" s="181">
        <f t="shared" si="9"/>
        <v>6.3142857142857149</v>
      </c>
      <c r="B15" s="187">
        <f t="shared" ref="B15:B60" si="22">B14+TIME(0,$B$10,0)</f>
        <v>4.1666666666666664E-2</v>
      </c>
      <c r="C15" s="135">
        <v>6.333333333333333</v>
      </c>
      <c r="D15" s="135">
        <v>4.833333333333333</v>
      </c>
      <c r="E15" s="135">
        <v>6.2666666666666666</v>
      </c>
      <c r="F15" s="135">
        <v>6.666666666666667</v>
      </c>
      <c r="G15" s="135">
        <v>6.4666666666666659</v>
      </c>
      <c r="H15" s="135">
        <v>6.6333333333333337</v>
      </c>
      <c r="I15" s="135">
        <v>7</v>
      </c>
      <c r="J15" s="165">
        <v>3</v>
      </c>
      <c r="K15" s="43">
        <f t="shared" si="10"/>
        <v>2</v>
      </c>
      <c r="L15" s="43">
        <f t="shared" si="11"/>
        <v>2</v>
      </c>
      <c r="M15" s="43">
        <f t="shared" si="12"/>
        <v>2</v>
      </c>
      <c r="N15" s="43">
        <f t="shared" si="13"/>
        <v>2</v>
      </c>
      <c r="O15" s="43">
        <f t="shared" si="14"/>
        <v>2</v>
      </c>
      <c r="P15" s="43">
        <f t="shared" si="15"/>
        <v>2</v>
      </c>
      <c r="Q15" s="43">
        <f t="shared" si="16"/>
        <v>2</v>
      </c>
      <c r="R15" s="165">
        <v>3</v>
      </c>
      <c r="S15" s="198">
        <v>2</v>
      </c>
      <c r="T15" s="198">
        <v>2</v>
      </c>
      <c r="U15" s="198">
        <v>2</v>
      </c>
      <c r="V15" s="198">
        <v>6</v>
      </c>
      <c r="W15" s="198">
        <v>6</v>
      </c>
      <c r="X15" s="198">
        <v>5</v>
      </c>
      <c r="Y15" s="198">
        <v>4</v>
      </c>
      <c r="AA15" s="184">
        <f t="shared" si="17"/>
        <v>0.89856662727682368</v>
      </c>
      <c r="AB15" s="184">
        <f t="shared" si="17"/>
        <v>0.93165651672170913</v>
      </c>
      <c r="AC15" s="184">
        <f t="shared" si="5"/>
        <v>0.89856662727682368</v>
      </c>
      <c r="AD15" s="184">
        <f t="shared" si="5"/>
        <v>0.99997176876674287</v>
      </c>
      <c r="AE15" s="184">
        <f t="shared" si="5"/>
        <v>0.99998903724240984</v>
      </c>
      <c r="AF15" s="184">
        <f t="shared" si="5"/>
        <v>0.99970578828091095</v>
      </c>
      <c r="AG15" s="184">
        <f t="shared" si="5"/>
        <v>0.99740279304956725</v>
      </c>
      <c r="AI15" s="214">
        <f t="shared" si="18"/>
        <v>0</v>
      </c>
      <c r="AJ15" s="214">
        <f t="shared" si="6"/>
        <v>0</v>
      </c>
      <c r="AK15" s="214">
        <f t="shared" si="6"/>
        <v>0</v>
      </c>
      <c r="AL15" s="214">
        <f t="shared" si="6"/>
        <v>4</v>
      </c>
      <c r="AM15" s="214">
        <f t="shared" si="6"/>
        <v>4</v>
      </c>
      <c r="AN15" s="214">
        <f t="shared" si="6"/>
        <v>3</v>
      </c>
      <c r="AO15" s="214">
        <f t="shared" si="6"/>
        <v>2</v>
      </c>
      <c r="AP15" s="206">
        <f t="shared" si="19"/>
        <v>4.1666666666666664E-2</v>
      </c>
      <c r="AQ15" s="213">
        <f t="shared" si="20"/>
        <v>0</v>
      </c>
      <c r="AR15" s="213">
        <f t="shared" si="7"/>
        <v>0</v>
      </c>
      <c r="AS15" s="213">
        <f t="shared" si="7"/>
        <v>0</v>
      </c>
      <c r="AT15" s="213">
        <f t="shared" si="7"/>
        <v>2</v>
      </c>
      <c r="AU15" s="213">
        <f t="shared" si="7"/>
        <v>2</v>
      </c>
      <c r="AV15" s="213">
        <f t="shared" si="7"/>
        <v>1.5</v>
      </c>
      <c r="AW15" s="213">
        <f t="shared" si="7"/>
        <v>1</v>
      </c>
      <c r="AY15" s="186">
        <f t="shared" si="21"/>
        <v>5.6909219727532161</v>
      </c>
      <c r="AZ15" s="186">
        <f t="shared" si="8"/>
        <v>4.5030064974882604</v>
      </c>
      <c r="BA15" s="186">
        <f t="shared" si="8"/>
        <v>5.6310175309347619</v>
      </c>
      <c r="BB15" s="186">
        <f t="shared" si="8"/>
        <v>6.6664784584449528</v>
      </c>
      <c r="BC15" s="186">
        <f t="shared" si="8"/>
        <v>6.4665957741675832</v>
      </c>
      <c r="BD15" s="186">
        <f t="shared" si="8"/>
        <v>6.6313817289300427</v>
      </c>
      <c r="BE15" s="186">
        <f t="shared" si="8"/>
        <v>6.9818195513469705</v>
      </c>
    </row>
    <row r="16" spans="1:57" ht="12.75" x14ac:dyDescent="0.2">
      <c r="A16" s="181">
        <f t="shared" si="9"/>
        <v>3.7952380952380946</v>
      </c>
      <c r="B16" s="187">
        <f t="shared" si="22"/>
        <v>6.25E-2</v>
      </c>
      <c r="C16" s="135">
        <v>3.8333333333333335</v>
      </c>
      <c r="D16" s="135">
        <v>2.8666666666666671</v>
      </c>
      <c r="E16" s="135">
        <v>3.7333333333333329</v>
      </c>
      <c r="F16" s="135">
        <v>4.0666666666666664</v>
      </c>
      <c r="G16" s="135">
        <v>3.2666666666666671</v>
      </c>
      <c r="H16" s="135">
        <v>4.333333333333333</v>
      </c>
      <c r="I16" s="135">
        <v>4.4666666666666659</v>
      </c>
      <c r="J16" s="165">
        <v>4</v>
      </c>
      <c r="K16" s="43">
        <f t="shared" si="10"/>
        <v>2</v>
      </c>
      <c r="L16" s="43">
        <f t="shared" si="11"/>
        <v>2</v>
      </c>
      <c r="M16" s="43">
        <f t="shared" si="12"/>
        <v>2</v>
      </c>
      <c r="N16" s="43">
        <f t="shared" si="13"/>
        <v>2</v>
      </c>
      <c r="O16" s="43">
        <f t="shared" si="14"/>
        <v>2</v>
      </c>
      <c r="P16" s="43">
        <f t="shared" si="15"/>
        <v>2</v>
      </c>
      <c r="Q16" s="43">
        <f t="shared" si="16"/>
        <v>2</v>
      </c>
      <c r="R16" s="165">
        <v>4</v>
      </c>
      <c r="S16" s="198">
        <v>2</v>
      </c>
      <c r="T16" s="198">
        <v>2</v>
      </c>
      <c r="U16" s="198">
        <v>2</v>
      </c>
      <c r="V16" s="198">
        <v>6</v>
      </c>
      <c r="W16" s="198">
        <v>6</v>
      </c>
      <c r="X16" s="198">
        <v>5</v>
      </c>
      <c r="Y16" s="198">
        <v>4</v>
      </c>
      <c r="AA16" s="184">
        <f t="shared" si="17"/>
        <v>0.95411833337686514</v>
      </c>
      <c r="AB16" s="184">
        <f t="shared" si="17"/>
        <v>0.97489518460332458</v>
      </c>
      <c r="AC16" s="184">
        <f t="shared" si="5"/>
        <v>0.95411833337686514</v>
      </c>
      <c r="AD16" s="184">
        <f t="shared" si="5"/>
        <v>0.99999884097362701</v>
      </c>
      <c r="AE16" s="184">
        <f t="shared" si="5"/>
        <v>0.9999997983108031</v>
      </c>
      <c r="AF16" s="184">
        <f t="shared" si="5"/>
        <v>0.99997920001313145</v>
      </c>
      <c r="AG16" s="184">
        <f t="shared" si="5"/>
        <v>0.99968642306597011</v>
      </c>
      <c r="AI16" s="214">
        <f t="shared" si="18"/>
        <v>0</v>
      </c>
      <c r="AJ16" s="214">
        <f t="shared" si="6"/>
        <v>0</v>
      </c>
      <c r="AK16" s="214">
        <f t="shared" si="6"/>
        <v>0</v>
      </c>
      <c r="AL16" s="214">
        <f t="shared" si="6"/>
        <v>4</v>
      </c>
      <c r="AM16" s="214">
        <f t="shared" si="6"/>
        <v>4</v>
      </c>
      <c r="AN16" s="214">
        <f t="shared" si="6"/>
        <v>3</v>
      </c>
      <c r="AO16" s="214">
        <f t="shared" si="6"/>
        <v>2</v>
      </c>
      <c r="AP16" s="206">
        <f t="shared" si="19"/>
        <v>6.25E-2</v>
      </c>
      <c r="AQ16" s="213">
        <f t="shared" si="20"/>
        <v>0</v>
      </c>
      <c r="AR16" s="213">
        <f t="shared" si="7"/>
        <v>0</v>
      </c>
      <c r="AS16" s="213">
        <f t="shared" si="7"/>
        <v>0</v>
      </c>
      <c r="AT16" s="213">
        <f t="shared" si="7"/>
        <v>2</v>
      </c>
      <c r="AU16" s="213">
        <f t="shared" si="7"/>
        <v>2</v>
      </c>
      <c r="AV16" s="213">
        <f t="shared" si="7"/>
        <v>1.5</v>
      </c>
      <c r="AW16" s="213">
        <f t="shared" si="7"/>
        <v>1</v>
      </c>
      <c r="AY16" s="186">
        <f t="shared" si="21"/>
        <v>3.6574536112779832</v>
      </c>
      <c r="AZ16" s="186">
        <f t="shared" si="8"/>
        <v>2.7946995291961976</v>
      </c>
      <c r="BA16" s="186">
        <f t="shared" si="8"/>
        <v>3.562041777940296</v>
      </c>
      <c r="BB16" s="186">
        <f t="shared" si="8"/>
        <v>4.0666619532927495</v>
      </c>
      <c r="BC16" s="186">
        <f t="shared" si="8"/>
        <v>3.2666660078152905</v>
      </c>
      <c r="BD16" s="186">
        <f t="shared" si="8"/>
        <v>4.333243200056903</v>
      </c>
      <c r="BE16" s="186">
        <f t="shared" si="8"/>
        <v>4.4652660230279988</v>
      </c>
    </row>
    <row r="17" spans="1:57" ht="12.75" x14ac:dyDescent="0.2">
      <c r="A17" s="181">
        <f t="shared" si="9"/>
        <v>2.519047619047619</v>
      </c>
      <c r="B17" s="187">
        <f t="shared" si="22"/>
        <v>8.3333333333333329E-2</v>
      </c>
      <c r="C17" s="135">
        <v>2.5666666666666664</v>
      </c>
      <c r="D17" s="135">
        <v>1.8</v>
      </c>
      <c r="E17" s="135">
        <v>2.6999999999999997</v>
      </c>
      <c r="F17" s="135">
        <v>2.9666666666666668</v>
      </c>
      <c r="G17" s="135">
        <v>2.2666666666666666</v>
      </c>
      <c r="H17" s="135">
        <v>2.6999999999999997</v>
      </c>
      <c r="I17" s="135">
        <v>2.6333333333333333</v>
      </c>
      <c r="J17" s="165">
        <v>5</v>
      </c>
      <c r="K17" s="43">
        <f t="shared" si="10"/>
        <v>2</v>
      </c>
      <c r="L17" s="43">
        <f t="shared" si="11"/>
        <v>1</v>
      </c>
      <c r="M17" s="43">
        <f t="shared" si="12"/>
        <v>2</v>
      </c>
      <c r="N17" s="43">
        <f t="shared" si="13"/>
        <v>2</v>
      </c>
      <c r="O17" s="43">
        <f t="shared" si="14"/>
        <v>1</v>
      </c>
      <c r="P17" s="43">
        <f t="shared" si="15"/>
        <v>2</v>
      </c>
      <c r="Q17" s="43">
        <f t="shared" si="16"/>
        <v>2</v>
      </c>
      <c r="R17" s="165">
        <v>5</v>
      </c>
      <c r="S17" s="198">
        <v>2</v>
      </c>
      <c r="T17" s="198">
        <v>1</v>
      </c>
      <c r="U17" s="198">
        <v>2</v>
      </c>
      <c r="V17" s="198">
        <v>4</v>
      </c>
      <c r="W17" s="198">
        <v>5</v>
      </c>
      <c r="X17" s="198">
        <v>5</v>
      </c>
      <c r="Y17" s="198">
        <v>4</v>
      </c>
      <c r="AA17" s="184">
        <f t="shared" si="17"/>
        <v>0.97388997012449918</v>
      </c>
      <c r="AB17" s="184">
        <f t="shared" si="17"/>
        <v>0.83658158419115236</v>
      </c>
      <c r="AC17" s="184">
        <f t="shared" si="5"/>
        <v>0.97388997012449918</v>
      </c>
      <c r="AD17" s="184">
        <f t="shared" si="5"/>
        <v>0.9998819979842255</v>
      </c>
      <c r="AE17" s="184">
        <f t="shared" si="5"/>
        <v>0.99999928024918228</v>
      </c>
      <c r="AF17" s="184">
        <f t="shared" si="5"/>
        <v>0.99999480733838253</v>
      </c>
      <c r="AG17" s="184">
        <f t="shared" si="5"/>
        <v>0.99989640591710482</v>
      </c>
      <c r="AI17" s="214">
        <f t="shared" si="18"/>
        <v>0</v>
      </c>
      <c r="AJ17" s="214">
        <f t="shared" si="6"/>
        <v>0</v>
      </c>
      <c r="AK17" s="214">
        <f t="shared" si="6"/>
        <v>0</v>
      </c>
      <c r="AL17" s="214">
        <f t="shared" si="6"/>
        <v>2</v>
      </c>
      <c r="AM17" s="214">
        <f t="shared" si="6"/>
        <v>4</v>
      </c>
      <c r="AN17" s="214">
        <f t="shared" si="6"/>
        <v>3</v>
      </c>
      <c r="AO17" s="214">
        <f t="shared" si="6"/>
        <v>2</v>
      </c>
      <c r="AP17" s="206">
        <f t="shared" si="19"/>
        <v>8.3333333333333329E-2</v>
      </c>
      <c r="AQ17" s="213">
        <f t="shared" si="20"/>
        <v>0</v>
      </c>
      <c r="AR17" s="213">
        <f t="shared" si="7"/>
        <v>0</v>
      </c>
      <c r="AS17" s="213">
        <f t="shared" si="7"/>
        <v>0</v>
      </c>
      <c r="AT17" s="213">
        <f t="shared" si="7"/>
        <v>1</v>
      </c>
      <c r="AU17" s="213">
        <f t="shared" si="7"/>
        <v>4</v>
      </c>
      <c r="AV17" s="213">
        <f t="shared" si="7"/>
        <v>1.5</v>
      </c>
      <c r="AW17" s="213">
        <f t="shared" si="7"/>
        <v>1</v>
      </c>
      <c r="AY17" s="186">
        <f t="shared" si="21"/>
        <v>2.4996509233195479</v>
      </c>
      <c r="AZ17" s="186">
        <f t="shared" si="8"/>
        <v>1.5058468515440744</v>
      </c>
      <c r="BA17" s="186">
        <f t="shared" si="8"/>
        <v>2.6295029193361477</v>
      </c>
      <c r="BB17" s="186">
        <f t="shared" si="8"/>
        <v>2.9663165940198692</v>
      </c>
      <c r="BC17" s="186">
        <f t="shared" si="8"/>
        <v>2.2666650352314797</v>
      </c>
      <c r="BD17" s="186">
        <f t="shared" si="8"/>
        <v>2.6999859798136328</v>
      </c>
      <c r="BE17" s="186">
        <f t="shared" si="8"/>
        <v>2.6330605355817092</v>
      </c>
    </row>
    <row r="18" spans="1:57" ht="12.75" x14ac:dyDescent="0.2">
      <c r="A18" s="181">
        <f t="shared" si="9"/>
        <v>1.7952380952380957</v>
      </c>
      <c r="B18" s="187">
        <f t="shared" si="22"/>
        <v>0.10416666666666666</v>
      </c>
      <c r="C18" s="135">
        <v>1.5333333333333334</v>
      </c>
      <c r="D18" s="135">
        <v>1.6333333333333335</v>
      </c>
      <c r="E18" s="135">
        <v>1.9000000000000001</v>
      </c>
      <c r="F18" s="135">
        <v>2.1</v>
      </c>
      <c r="G18" s="135">
        <v>1.8333333333333333</v>
      </c>
      <c r="H18" s="135">
        <v>1.7666666666666666</v>
      </c>
      <c r="I18" s="135">
        <v>1.8</v>
      </c>
      <c r="J18" s="165">
        <v>6</v>
      </c>
      <c r="K18" s="43">
        <f t="shared" si="10"/>
        <v>1</v>
      </c>
      <c r="L18" s="43">
        <f t="shared" si="11"/>
        <v>1</v>
      </c>
      <c r="M18" s="43">
        <f t="shared" si="12"/>
        <v>1</v>
      </c>
      <c r="N18" s="43">
        <f t="shared" si="13"/>
        <v>1</v>
      </c>
      <c r="O18" s="43">
        <f t="shared" si="14"/>
        <v>1</v>
      </c>
      <c r="P18" s="43">
        <f t="shared" si="15"/>
        <v>1</v>
      </c>
      <c r="Q18" s="43">
        <f t="shared" si="16"/>
        <v>1</v>
      </c>
      <c r="R18" s="165">
        <v>6</v>
      </c>
      <c r="S18" s="198">
        <v>2</v>
      </c>
      <c r="T18" s="198">
        <v>1</v>
      </c>
      <c r="U18" s="198">
        <v>2</v>
      </c>
      <c r="V18" s="198">
        <v>4</v>
      </c>
      <c r="W18" s="198">
        <v>5</v>
      </c>
      <c r="X18" s="198">
        <v>5</v>
      </c>
      <c r="Y18" s="198">
        <v>4</v>
      </c>
      <c r="AA18" s="184">
        <f t="shared" si="17"/>
        <v>0.98823506510666881</v>
      </c>
      <c r="AB18" s="184">
        <f t="shared" si="17"/>
        <v>0.83658158419115236</v>
      </c>
      <c r="AC18" s="184">
        <f t="shared" si="5"/>
        <v>0.98823506510666881</v>
      </c>
      <c r="AD18" s="184">
        <f t="shared" si="5"/>
        <v>0.99997559483786802</v>
      </c>
      <c r="AE18" s="184">
        <f t="shared" si="5"/>
        <v>0.99999928024918228</v>
      </c>
      <c r="AF18" s="184">
        <f t="shared" si="5"/>
        <v>0.99999928024918228</v>
      </c>
      <c r="AG18" s="184">
        <f t="shared" si="5"/>
        <v>0.99997861708205982</v>
      </c>
      <c r="AI18" s="214">
        <f t="shared" si="18"/>
        <v>1</v>
      </c>
      <c r="AJ18" s="214">
        <f t="shared" si="6"/>
        <v>0</v>
      </c>
      <c r="AK18" s="214">
        <f t="shared" si="6"/>
        <v>1</v>
      </c>
      <c r="AL18" s="214">
        <f t="shared" si="6"/>
        <v>3</v>
      </c>
      <c r="AM18" s="214">
        <f t="shared" si="6"/>
        <v>4</v>
      </c>
      <c r="AN18" s="214">
        <f t="shared" si="6"/>
        <v>4</v>
      </c>
      <c r="AO18" s="214">
        <f t="shared" si="6"/>
        <v>3</v>
      </c>
      <c r="AP18" s="206">
        <f t="shared" si="19"/>
        <v>0.10416666666666666</v>
      </c>
      <c r="AQ18" s="213">
        <f t="shared" si="20"/>
        <v>1</v>
      </c>
      <c r="AR18" s="213">
        <f t="shared" si="7"/>
        <v>0</v>
      </c>
      <c r="AS18" s="213">
        <f t="shared" si="7"/>
        <v>1</v>
      </c>
      <c r="AT18" s="213">
        <f t="shared" si="7"/>
        <v>3</v>
      </c>
      <c r="AU18" s="213">
        <f t="shared" si="7"/>
        <v>4</v>
      </c>
      <c r="AV18" s="213">
        <f t="shared" si="7"/>
        <v>4</v>
      </c>
      <c r="AW18" s="213">
        <f t="shared" si="7"/>
        <v>3</v>
      </c>
      <c r="AY18" s="186">
        <f t="shared" si="21"/>
        <v>1.5152937664968922</v>
      </c>
      <c r="AZ18" s="186">
        <f t="shared" si="8"/>
        <v>1.3664165875122156</v>
      </c>
      <c r="BA18" s="186">
        <f t="shared" si="8"/>
        <v>1.8776466237026708</v>
      </c>
      <c r="BB18" s="186">
        <f t="shared" si="8"/>
        <v>2.0999487491595228</v>
      </c>
      <c r="BC18" s="186">
        <f t="shared" si="8"/>
        <v>1.8333320137901674</v>
      </c>
      <c r="BD18" s="186">
        <f t="shared" si="8"/>
        <v>1.7666653951068887</v>
      </c>
      <c r="BE18" s="186">
        <f t="shared" si="8"/>
        <v>1.7999615107477078</v>
      </c>
    </row>
    <row r="19" spans="1:57" ht="12.75" x14ac:dyDescent="0.2">
      <c r="A19" s="181">
        <f t="shared" si="9"/>
        <v>1.5238095238095235</v>
      </c>
      <c r="B19" s="187">
        <f t="shared" si="22"/>
        <v>0.12499999999999999</v>
      </c>
      <c r="C19" s="135">
        <v>1.5666666666666667</v>
      </c>
      <c r="D19" s="135">
        <v>1.4333333333333336</v>
      </c>
      <c r="E19" s="135">
        <v>1.4000000000000001</v>
      </c>
      <c r="F19" s="135">
        <v>1.8666666666666665</v>
      </c>
      <c r="G19" s="135">
        <v>1.9333333333333329</v>
      </c>
      <c r="H19" s="135">
        <v>1.2666666666666666</v>
      </c>
      <c r="I19" s="135">
        <v>1.2</v>
      </c>
      <c r="J19" s="165">
        <v>7</v>
      </c>
      <c r="K19" s="43">
        <f t="shared" si="10"/>
        <v>1</v>
      </c>
      <c r="L19" s="43">
        <f t="shared" si="11"/>
        <v>1</v>
      </c>
      <c r="M19" s="43">
        <f t="shared" si="12"/>
        <v>1</v>
      </c>
      <c r="N19" s="43">
        <f t="shared" si="13"/>
        <v>1</v>
      </c>
      <c r="O19" s="43">
        <f t="shared" si="14"/>
        <v>1</v>
      </c>
      <c r="P19" s="43">
        <f t="shared" si="15"/>
        <v>1</v>
      </c>
      <c r="Q19" s="43">
        <f t="shared" si="16"/>
        <v>1</v>
      </c>
      <c r="R19" s="165">
        <v>7</v>
      </c>
      <c r="S19" s="198">
        <v>2</v>
      </c>
      <c r="T19" s="198">
        <v>1</v>
      </c>
      <c r="U19" s="198">
        <v>2</v>
      </c>
      <c r="V19" s="198">
        <v>3</v>
      </c>
      <c r="W19" s="198">
        <v>3</v>
      </c>
      <c r="X19" s="198">
        <v>3</v>
      </c>
      <c r="Y19" s="198">
        <v>4</v>
      </c>
      <c r="AA19" s="184">
        <f t="shared" si="17"/>
        <v>0.98823506510666881</v>
      </c>
      <c r="AB19" s="184">
        <f t="shared" si="17"/>
        <v>0.92096953855720964</v>
      </c>
      <c r="AC19" s="184">
        <f t="shared" si="5"/>
        <v>0.99701115044510746</v>
      </c>
      <c r="AD19" s="184">
        <f t="shared" si="5"/>
        <v>0.99937520562603976</v>
      </c>
      <c r="AE19" s="184">
        <f t="shared" si="5"/>
        <v>0.99939914465466917</v>
      </c>
      <c r="AF19" s="184">
        <f t="shared" si="5"/>
        <v>0.9999221286783706</v>
      </c>
      <c r="AG19" s="184">
        <f t="shared" si="5"/>
        <v>0.99999860241126071</v>
      </c>
      <c r="AI19" s="214">
        <f t="shared" si="18"/>
        <v>1</v>
      </c>
      <c r="AJ19" s="214">
        <f t="shared" si="6"/>
        <v>0</v>
      </c>
      <c r="AK19" s="214">
        <f t="shared" si="6"/>
        <v>1</v>
      </c>
      <c r="AL19" s="214">
        <f t="shared" si="6"/>
        <v>2</v>
      </c>
      <c r="AM19" s="214">
        <f t="shared" si="6"/>
        <v>2</v>
      </c>
      <c r="AN19" s="214">
        <f t="shared" si="6"/>
        <v>2</v>
      </c>
      <c r="AO19" s="214">
        <f t="shared" si="6"/>
        <v>3</v>
      </c>
      <c r="AP19" s="206">
        <f t="shared" si="19"/>
        <v>0.12499999999999999</v>
      </c>
      <c r="AQ19" s="213">
        <f t="shared" si="20"/>
        <v>1</v>
      </c>
      <c r="AR19" s="213">
        <f t="shared" si="7"/>
        <v>0</v>
      </c>
      <c r="AS19" s="213">
        <f t="shared" si="7"/>
        <v>1</v>
      </c>
      <c r="AT19" s="213">
        <f t="shared" si="7"/>
        <v>2</v>
      </c>
      <c r="AU19" s="213">
        <f t="shared" si="7"/>
        <v>2</v>
      </c>
      <c r="AV19" s="213">
        <f t="shared" si="7"/>
        <v>2</v>
      </c>
      <c r="AW19" s="213">
        <f t="shared" si="7"/>
        <v>3</v>
      </c>
      <c r="AY19" s="186">
        <f t="shared" si="21"/>
        <v>1.5482349353337812</v>
      </c>
      <c r="AZ19" s="186">
        <f t="shared" si="8"/>
        <v>1.3200563385986674</v>
      </c>
      <c r="BA19" s="186">
        <f t="shared" si="8"/>
        <v>1.3958156106231505</v>
      </c>
      <c r="BB19" s="186">
        <f t="shared" si="8"/>
        <v>1.8655003838352739</v>
      </c>
      <c r="BC19" s="186">
        <f t="shared" si="8"/>
        <v>1.9321716796656934</v>
      </c>
      <c r="BD19" s="186">
        <f t="shared" si="8"/>
        <v>1.2665680296592694</v>
      </c>
      <c r="BE19" s="186">
        <f t="shared" si="8"/>
        <v>1.1999983228935127</v>
      </c>
    </row>
    <row r="20" spans="1:57" ht="12.75" x14ac:dyDescent="0.2">
      <c r="A20" s="181">
        <f t="shared" si="9"/>
        <v>1.304761904761905</v>
      </c>
      <c r="B20" s="187">
        <f t="shared" si="22"/>
        <v>0.14583333333333331</v>
      </c>
      <c r="C20" s="135">
        <v>1.2</v>
      </c>
      <c r="D20" s="135">
        <v>1.5333333333333332</v>
      </c>
      <c r="E20" s="135">
        <v>1.1000000000000001</v>
      </c>
      <c r="F20" s="135">
        <v>1.7666666666666666</v>
      </c>
      <c r="G20" s="135">
        <v>1.6666666666666667</v>
      </c>
      <c r="H20" s="135">
        <v>1.0333333333333334</v>
      </c>
      <c r="I20" s="135">
        <v>0.83333333333333337</v>
      </c>
      <c r="J20" s="165">
        <v>8</v>
      </c>
      <c r="K20" s="43">
        <f t="shared" si="10"/>
        <v>1</v>
      </c>
      <c r="L20" s="43">
        <f t="shared" si="11"/>
        <v>1</v>
      </c>
      <c r="M20" s="43">
        <f t="shared" si="12"/>
        <v>1</v>
      </c>
      <c r="N20" s="43">
        <f t="shared" si="13"/>
        <v>1</v>
      </c>
      <c r="O20" s="43">
        <f t="shared" si="14"/>
        <v>1</v>
      </c>
      <c r="P20" s="43">
        <f t="shared" si="15"/>
        <v>1</v>
      </c>
      <c r="Q20" s="43">
        <f t="shared" si="16"/>
        <v>1</v>
      </c>
      <c r="R20" s="165">
        <v>8</v>
      </c>
      <c r="S20" s="198">
        <v>2</v>
      </c>
      <c r="T20" s="198">
        <v>1</v>
      </c>
      <c r="U20" s="198">
        <v>2</v>
      </c>
      <c r="V20" s="198">
        <v>3</v>
      </c>
      <c r="W20" s="198">
        <v>3</v>
      </c>
      <c r="X20" s="198">
        <v>3</v>
      </c>
      <c r="Y20" s="198">
        <v>4</v>
      </c>
      <c r="AA20" s="184">
        <f t="shared" si="17"/>
        <v>0.99701115044510746</v>
      </c>
      <c r="AB20" s="184">
        <f t="shared" si="17"/>
        <v>0.83658158419115236</v>
      </c>
      <c r="AC20" s="184">
        <f t="shared" si="5"/>
        <v>0.99701115044510746</v>
      </c>
      <c r="AD20" s="184">
        <f t="shared" si="5"/>
        <v>0.99937520562603976</v>
      </c>
      <c r="AE20" s="184">
        <f t="shared" si="5"/>
        <v>0.99939914465466917</v>
      </c>
      <c r="AF20" s="184">
        <f t="shared" si="5"/>
        <v>0.9999221286783706</v>
      </c>
      <c r="AG20" s="184">
        <f t="shared" si="5"/>
        <v>0.99999860241126071</v>
      </c>
      <c r="AI20" s="214">
        <f t="shared" si="18"/>
        <v>1</v>
      </c>
      <c r="AJ20" s="214">
        <f t="shared" si="6"/>
        <v>0</v>
      </c>
      <c r="AK20" s="214">
        <f t="shared" si="6"/>
        <v>1</v>
      </c>
      <c r="AL20" s="214">
        <f t="shared" si="6"/>
        <v>2</v>
      </c>
      <c r="AM20" s="214">
        <f t="shared" si="6"/>
        <v>2</v>
      </c>
      <c r="AN20" s="214">
        <f t="shared" si="6"/>
        <v>2</v>
      </c>
      <c r="AO20" s="214">
        <f t="shared" si="6"/>
        <v>3</v>
      </c>
      <c r="AP20" s="206">
        <f t="shared" si="19"/>
        <v>0.14583333333333331</v>
      </c>
      <c r="AQ20" s="213">
        <f t="shared" si="20"/>
        <v>1</v>
      </c>
      <c r="AR20" s="213">
        <f t="shared" si="7"/>
        <v>0</v>
      </c>
      <c r="AS20" s="213">
        <f t="shared" si="7"/>
        <v>1</v>
      </c>
      <c r="AT20" s="213">
        <f t="shared" si="7"/>
        <v>2</v>
      </c>
      <c r="AU20" s="213">
        <f t="shared" si="7"/>
        <v>2</v>
      </c>
      <c r="AV20" s="213">
        <f t="shared" si="7"/>
        <v>2</v>
      </c>
      <c r="AW20" s="213">
        <f t="shared" si="7"/>
        <v>3</v>
      </c>
      <c r="AY20" s="186">
        <f t="shared" si="21"/>
        <v>1.1964133805341288</v>
      </c>
      <c r="AZ20" s="186">
        <f t="shared" si="8"/>
        <v>1.2827584290931002</v>
      </c>
      <c r="BA20" s="186">
        <f t="shared" si="8"/>
        <v>1.0967122654896182</v>
      </c>
      <c r="BB20" s="186">
        <f t="shared" si="8"/>
        <v>1.7655628632726701</v>
      </c>
      <c r="BC20" s="186">
        <f t="shared" si="8"/>
        <v>1.6656652410911152</v>
      </c>
      <c r="BD20" s="186">
        <f t="shared" si="8"/>
        <v>1.033252866300983</v>
      </c>
      <c r="BE20" s="186">
        <f t="shared" si="8"/>
        <v>0.83333216867605064</v>
      </c>
    </row>
    <row r="21" spans="1:57" ht="12.75" x14ac:dyDescent="0.2">
      <c r="A21" s="181">
        <f t="shared" si="9"/>
        <v>1.2952380952380955</v>
      </c>
      <c r="B21" s="187">
        <f t="shared" si="22"/>
        <v>0.16666666666666666</v>
      </c>
      <c r="C21" s="135">
        <v>1.4000000000000001</v>
      </c>
      <c r="D21" s="135">
        <v>1.4000000000000001</v>
      </c>
      <c r="E21" s="135">
        <v>1.0999999999999999</v>
      </c>
      <c r="F21" s="135">
        <v>1.9000000000000001</v>
      </c>
      <c r="G21" s="135">
        <v>1.3666666666666665</v>
      </c>
      <c r="H21" s="135">
        <v>1.0333333333333334</v>
      </c>
      <c r="I21" s="135">
        <v>0.86666666666666659</v>
      </c>
      <c r="J21" s="165">
        <v>9</v>
      </c>
      <c r="K21" s="43">
        <f t="shared" si="10"/>
        <v>1</v>
      </c>
      <c r="L21" s="43">
        <f t="shared" si="11"/>
        <v>1</v>
      </c>
      <c r="M21" s="43">
        <f t="shared" si="12"/>
        <v>1</v>
      </c>
      <c r="N21" s="43">
        <f t="shared" si="13"/>
        <v>1</v>
      </c>
      <c r="O21" s="43">
        <f t="shared" si="14"/>
        <v>1</v>
      </c>
      <c r="P21" s="43">
        <f t="shared" si="15"/>
        <v>1</v>
      </c>
      <c r="Q21" s="43">
        <f t="shared" si="16"/>
        <v>1</v>
      </c>
      <c r="R21" s="165">
        <v>9</v>
      </c>
      <c r="S21" s="198">
        <v>2</v>
      </c>
      <c r="T21" s="198">
        <v>2</v>
      </c>
      <c r="U21" s="198">
        <v>2</v>
      </c>
      <c r="V21" s="198">
        <v>5</v>
      </c>
      <c r="W21" s="198">
        <v>4</v>
      </c>
      <c r="X21" s="198">
        <v>3</v>
      </c>
      <c r="Y21" s="198">
        <v>4</v>
      </c>
      <c r="AA21" s="184">
        <f t="shared" si="17"/>
        <v>0.99701115044510746</v>
      </c>
      <c r="AB21" s="184">
        <f t="shared" si="17"/>
        <v>0.99713014170895131</v>
      </c>
      <c r="AC21" s="184">
        <f t="shared" si="5"/>
        <v>0.99701115044510746</v>
      </c>
      <c r="AD21" s="184">
        <f t="shared" si="5"/>
        <v>0.99999923134920388</v>
      </c>
      <c r="AE21" s="184">
        <f t="shared" si="5"/>
        <v>0.9999984844038633</v>
      </c>
      <c r="AF21" s="184">
        <f t="shared" si="5"/>
        <v>0.9999221286783706</v>
      </c>
      <c r="AG21" s="184">
        <f t="shared" si="5"/>
        <v>0.99999860241126071</v>
      </c>
      <c r="AI21" s="214">
        <f t="shared" si="18"/>
        <v>1</v>
      </c>
      <c r="AJ21" s="214">
        <f t="shared" si="6"/>
        <v>1</v>
      </c>
      <c r="AK21" s="214">
        <f t="shared" si="6"/>
        <v>1</v>
      </c>
      <c r="AL21" s="214">
        <f t="shared" si="6"/>
        <v>4</v>
      </c>
      <c r="AM21" s="214">
        <f t="shared" si="6"/>
        <v>3</v>
      </c>
      <c r="AN21" s="214">
        <f t="shared" si="6"/>
        <v>2</v>
      </c>
      <c r="AO21" s="214">
        <f t="shared" si="6"/>
        <v>3</v>
      </c>
      <c r="AP21" s="206">
        <f t="shared" si="19"/>
        <v>0.16666666666666666</v>
      </c>
      <c r="AQ21" s="213">
        <f t="shared" si="20"/>
        <v>1</v>
      </c>
      <c r="AR21" s="213">
        <f t="shared" si="7"/>
        <v>1</v>
      </c>
      <c r="AS21" s="213">
        <f t="shared" si="7"/>
        <v>1</v>
      </c>
      <c r="AT21" s="213">
        <f t="shared" si="7"/>
        <v>4</v>
      </c>
      <c r="AU21" s="213">
        <f t="shared" si="7"/>
        <v>3</v>
      </c>
      <c r="AV21" s="213">
        <f t="shared" si="7"/>
        <v>2</v>
      </c>
      <c r="AW21" s="213">
        <f t="shared" si="7"/>
        <v>3</v>
      </c>
      <c r="AY21" s="186">
        <f t="shared" si="21"/>
        <v>1.3958156106231505</v>
      </c>
      <c r="AZ21" s="186">
        <f t="shared" si="8"/>
        <v>1.395982198392532</v>
      </c>
      <c r="BA21" s="186">
        <f t="shared" si="8"/>
        <v>1.096712265489618</v>
      </c>
      <c r="BB21" s="186">
        <f t="shared" si="8"/>
        <v>1.8999985395634875</v>
      </c>
      <c r="BC21" s="186">
        <f t="shared" si="8"/>
        <v>1.3666645953519463</v>
      </c>
      <c r="BD21" s="186">
        <f t="shared" si="8"/>
        <v>1.033252866300983</v>
      </c>
      <c r="BE21" s="186">
        <f t="shared" si="8"/>
        <v>0.86666545542309248</v>
      </c>
    </row>
    <row r="22" spans="1:57" ht="12.75" x14ac:dyDescent="0.2">
      <c r="A22" s="181">
        <f t="shared" si="9"/>
        <v>1.5952380952380949</v>
      </c>
      <c r="B22" s="187">
        <f t="shared" si="22"/>
        <v>0.1875</v>
      </c>
      <c r="C22" s="135">
        <v>1.4333333333333333</v>
      </c>
      <c r="D22" s="135">
        <v>1.7</v>
      </c>
      <c r="E22" s="135">
        <v>1.4333333333333336</v>
      </c>
      <c r="F22" s="135">
        <v>2.1333333333333333</v>
      </c>
      <c r="G22" s="135">
        <v>1.7666666666666666</v>
      </c>
      <c r="H22" s="135">
        <v>1.5</v>
      </c>
      <c r="I22" s="135">
        <v>1.2</v>
      </c>
      <c r="J22" s="165">
        <v>10</v>
      </c>
      <c r="K22" s="43">
        <f t="shared" si="10"/>
        <v>1</v>
      </c>
      <c r="L22" s="43">
        <f t="shared" si="11"/>
        <v>1</v>
      </c>
      <c r="M22" s="43">
        <f t="shared" si="12"/>
        <v>1</v>
      </c>
      <c r="N22" s="43">
        <f t="shared" si="13"/>
        <v>1</v>
      </c>
      <c r="O22" s="43">
        <f t="shared" si="14"/>
        <v>1</v>
      </c>
      <c r="P22" s="43">
        <f t="shared" si="15"/>
        <v>1</v>
      </c>
      <c r="Q22" s="43">
        <f t="shared" si="16"/>
        <v>1</v>
      </c>
      <c r="R22" s="165">
        <v>10</v>
      </c>
      <c r="S22" s="198">
        <v>2</v>
      </c>
      <c r="T22" s="198">
        <v>2</v>
      </c>
      <c r="U22" s="198">
        <v>2</v>
      </c>
      <c r="V22" s="198">
        <v>5</v>
      </c>
      <c r="W22" s="198">
        <v>4</v>
      </c>
      <c r="X22" s="198">
        <v>3</v>
      </c>
      <c r="Y22" s="198">
        <v>4</v>
      </c>
      <c r="AA22" s="184">
        <f t="shared" si="17"/>
        <v>0.99701115044510746</v>
      </c>
      <c r="AB22" s="184">
        <f t="shared" si="17"/>
        <v>0.98869535957310339</v>
      </c>
      <c r="AC22" s="184">
        <f t="shared" si="5"/>
        <v>0.99701115044510746</v>
      </c>
      <c r="AD22" s="184">
        <f t="shared" si="5"/>
        <v>0.99999923134920388</v>
      </c>
      <c r="AE22" s="184">
        <f t="shared" si="5"/>
        <v>0.99997683973309737</v>
      </c>
      <c r="AF22" s="184">
        <f t="shared" si="5"/>
        <v>0.99939914465466917</v>
      </c>
      <c r="AG22" s="184">
        <f t="shared" si="5"/>
        <v>0.99999860241126071</v>
      </c>
      <c r="AI22" s="214">
        <f t="shared" si="18"/>
        <v>1</v>
      </c>
      <c r="AJ22" s="214">
        <f t="shared" si="6"/>
        <v>1</v>
      </c>
      <c r="AK22" s="214">
        <f t="shared" si="6"/>
        <v>1</v>
      </c>
      <c r="AL22" s="214">
        <f t="shared" si="6"/>
        <v>4</v>
      </c>
      <c r="AM22" s="214">
        <f t="shared" si="6"/>
        <v>3</v>
      </c>
      <c r="AN22" s="214">
        <f t="shared" si="6"/>
        <v>2</v>
      </c>
      <c r="AO22" s="214">
        <f t="shared" si="6"/>
        <v>3</v>
      </c>
      <c r="AP22" s="206">
        <f t="shared" si="19"/>
        <v>0.1875</v>
      </c>
      <c r="AQ22" s="213">
        <f t="shared" si="20"/>
        <v>1</v>
      </c>
      <c r="AR22" s="213">
        <f t="shared" si="7"/>
        <v>1</v>
      </c>
      <c r="AS22" s="213">
        <f t="shared" si="7"/>
        <v>1</v>
      </c>
      <c r="AT22" s="213">
        <f t="shared" si="7"/>
        <v>4</v>
      </c>
      <c r="AU22" s="213">
        <f t="shared" si="7"/>
        <v>3</v>
      </c>
      <c r="AV22" s="213">
        <f t="shared" si="7"/>
        <v>2</v>
      </c>
      <c r="AW22" s="213">
        <f t="shared" si="7"/>
        <v>3</v>
      </c>
      <c r="AY22" s="186">
        <f t="shared" si="21"/>
        <v>1.4290493156379873</v>
      </c>
      <c r="AZ22" s="186">
        <f t="shared" si="8"/>
        <v>1.6807821112742758</v>
      </c>
      <c r="BA22" s="186">
        <f t="shared" si="8"/>
        <v>1.4290493156379875</v>
      </c>
      <c r="BB22" s="186">
        <f t="shared" si="8"/>
        <v>2.1333316935449682</v>
      </c>
      <c r="BC22" s="186">
        <f t="shared" si="8"/>
        <v>1.7666257501951386</v>
      </c>
      <c r="BD22" s="186">
        <f t="shared" si="8"/>
        <v>1.4990987169820038</v>
      </c>
      <c r="BE22" s="186">
        <f t="shared" si="8"/>
        <v>1.1999983228935127</v>
      </c>
    </row>
    <row r="23" spans="1:57" ht="12.75" x14ac:dyDescent="0.2">
      <c r="A23" s="181">
        <f t="shared" si="9"/>
        <v>2.6285714285714286</v>
      </c>
      <c r="B23" s="187">
        <f t="shared" si="22"/>
        <v>0.20833333333333334</v>
      </c>
      <c r="C23" s="135">
        <v>2.2333333333333329</v>
      </c>
      <c r="D23" s="135">
        <v>2.3666666666666667</v>
      </c>
      <c r="E23" s="135">
        <v>2.5333333333333337</v>
      </c>
      <c r="F23" s="135">
        <v>3.4666666666666668</v>
      </c>
      <c r="G23" s="135">
        <v>2.9</v>
      </c>
      <c r="H23" s="135">
        <v>2.4</v>
      </c>
      <c r="I23" s="135">
        <v>2.5</v>
      </c>
      <c r="J23" s="165">
        <v>11</v>
      </c>
      <c r="K23" s="43">
        <f>AgentsRequired(C23,$B$10,K$10,$C$4,$C$6,$C$2,$C$8)</f>
        <v>1</v>
      </c>
      <c r="L23" s="43">
        <f t="shared" si="11"/>
        <v>1</v>
      </c>
      <c r="M23" s="43">
        <f t="shared" si="12"/>
        <v>2</v>
      </c>
      <c r="N23" s="43">
        <f t="shared" si="13"/>
        <v>2</v>
      </c>
      <c r="O23" s="43">
        <f t="shared" si="14"/>
        <v>2</v>
      </c>
      <c r="P23" s="43">
        <f t="shared" si="15"/>
        <v>1</v>
      </c>
      <c r="Q23" s="43">
        <f t="shared" si="16"/>
        <v>1</v>
      </c>
      <c r="R23" s="165">
        <v>11</v>
      </c>
      <c r="S23" s="198">
        <v>3</v>
      </c>
      <c r="T23" s="198">
        <v>3</v>
      </c>
      <c r="U23" s="198">
        <v>3</v>
      </c>
      <c r="V23" s="198">
        <v>6</v>
      </c>
      <c r="W23" s="198">
        <v>6</v>
      </c>
      <c r="X23" s="198">
        <v>5</v>
      </c>
      <c r="Y23" s="198">
        <v>4</v>
      </c>
      <c r="AA23" s="184">
        <f t="shared" si="17"/>
        <v>0.9994108828118996</v>
      </c>
      <c r="AB23" s="184">
        <f t="shared" si="17"/>
        <v>0.99944518283736639</v>
      </c>
      <c r="AC23" s="184">
        <f t="shared" si="5"/>
        <v>0.99807898509944959</v>
      </c>
      <c r="AD23" s="184">
        <f t="shared" si="5"/>
        <v>0.99999978189663663</v>
      </c>
      <c r="AE23" s="184">
        <f t="shared" si="5"/>
        <v>0.9999997983108031</v>
      </c>
      <c r="AF23" s="184">
        <f t="shared" si="5"/>
        <v>0.99999928024918228</v>
      </c>
      <c r="AG23" s="184">
        <f t="shared" si="5"/>
        <v>0.99997861708205982</v>
      </c>
      <c r="AI23" s="214">
        <f t="shared" si="18"/>
        <v>2</v>
      </c>
      <c r="AJ23" s="214">
        <f t="shared" si="6"/>
        <v>2</v>
      </c>
      <c r="AK23" s="214">
        <f t="shared" si="6"/>
        <v>1</v>
      </c>
      <c r="AL23" s="214">
        <f t="shared" si="6"/>
        <v>4</v>
      </c>
      <c r="AM23" s="214">
        <f t="shared" si="6"/>
        <v>4</v>
      </c>
      <c r="AN23" s="214">
        <f t="shared" si="6"/>
        <v>4</v>
      </c>
      <c r="AO23" s="214">
        <f t="shared" si="6"/>
        <v>3</v>
      </c>
      <c r="AP23" s="206">
        <f t="shared" si="19"/>
        <v>0.20833333333333334</v>
      </c>
      <c r="AQ23" s="213">
        <f t="shared" si="20"/>
        <v>2</v>
      </c>
      <c r="AR23" s="213">
        <f t="shared" si="7"/>
        <v>2</v>
      </c>
      <c r="AS23" s="213">
        <f t="shared" si="7"/>
        <v>0.5</v>
      </c>
      <c r="AT23" s="213">
        <f t="shared" si="7"/>
        <v>2</v>
      </c>
      <c r="AU23" s="213">
        <f t="shared" si="7"/>
        <v>2</v>
      </c>
      <c r="AV23" s="213">
        <f t="shared" si="7"/>
        <v>4</v>
      </c>
      <c r="AW23" s="213">
        <f t="shared" si="7"/>
        <v>3</v>
      </c>
      <c r="AY23" s="186">
        <f t="shared" si="21"/>
        <v>2.2320176382799088</v>
      </c>
      <c r="AZ23" s="186">
        <f t="shared" si="8"/>
        <v>2.3653535993817671</v>
      </c>
      <c r="BA23" s="186">
        <f t="shared" si="8"/>
        <v>2.5284667622519392</v>
      </c>
      <c r="BB23" s="186">
        <f t="shared" si="8"/>
        <v>3.4666659105750073</v>
      </c>
      <c r="BC23" s="186">
        <f t="shared" si="8"/>
        <v>2.8999994151013291</v>
      </c>
      <c r="BD23" s="186">
        <f t="shared" si="8"/>
        <v>2.3999982725980376</v>
      </c>
      <c r="BE23" s="186">
        <f t="shared" si="8"/>
        <v>2.4999465427051497</v>
      </c>
    </row>
    <row r="24" spans="1:57" ht="12.75" x14ac:dyDescent="0.2">
      <c r="A24" s="181">
        <f t="shared" si="9"/>
        <v>5.8619047619047615</v>
      </c>
      <c r="B24" s="187">
        <f t="shared" si="22"/>
        <v>0.22916666666666669</v>
      </c>
      <c r="C24" s="135">
        <v>5.166666666666667</v>
      </c>
      <c r="D24" s="135">
        <v>5.6000000000000005</v>
      </c>
      <c r="E24" s="135">
        <v>6.0666666666666664</v>
      </c>
      <c r="F24" s="135">
        <v>7.0666666666666664</v>
      </c>
      <c r="G24" s="135">
        <v>6.333333333333333</v>
      </c>
      <c r="H24" s="135">
        <v>5.1333333333333329</v>
      </c>
      <c r="I24" s="135">
        <v>5.666666666666667</v>
      </c>
      <c r="J24" s="165">
        <v>12</v>
      </c>
      <c r="K24" s="43">
        <f t="shared" si="10"/>
        <v>2</v>
      </c>
      <c r="L24" s="43">
        <f t="shared" si="11"/>
        <v>2</v>
      </c>
      <c r="M24" s="43">
        <f t="shared" si="12"/>
        <v>2</v>
      </c>
      <c r="N24" s="43">
        <f t="shared" si="13"/>
        <v>2</v>
      </c>
      <c r="O24" s="43">
        <f t="shared" si="14"/>
        <v>2</v>
      </c>
      <c r="P24" s="43">
        <f t="shared" si="15"/>
        <v>2</v>
      </c>
      <c r="Q24" s="43">
        <f t="shared" si="16"/>
        <v>2</v>
      </c>
      <c r="R24" s="165">
        <v>12</v>
      </c>
      <c r="S24" s="198">
        <v>3</v>
      </c>
      <c r="T24" s="198">
        <v>3</v>
      </c>
      <c r="U24" s="198">
        <v>3</v>
      </c>
      <c r="V24" s="198">
        <v>6</v>
      </c>
      <c r="W24" s="198">
        <v>6</v>
      </c>
      <c r="X24" s="198">
        <v>5</v>
      </c>
      <c r="Y24" s="198">
        <v>4</v>
      </c>
      <c r="AA24" s="184">
        <f t="shared" si="17"/>
        <v>0.99166261101642228</v>
      </c>
      <c r="AB24" s="184">
        <f t="shared" si="17"/>
        <v>0.98678543546408459</v>
      </c>
      <c r="AC24" s="184">
        <f t="shared" si="5"/>
        <v>0.98602104633164744</v>
      </c>
      <c r="AD24" s="184">
        <f t="shared" si="5"/>
        <v>0.99997176876674287</v>
      </c>
      <c r="AE24" s="184">
        <f t="shared" si="5"/>
        <v>0.99998903724240984</v>
      </c>
      <c r="AF24" s="184">
        <f t="shared" si="5"/>
        <v>0.99993962871758102</v>
      </c>
      <c r="AG24" s="184">
        <f t="shared" si="5"/>
        <v>0.99854008031601116</v>
      </c>
      <c r="AI24" s="214">
        <f t="shared" si="18"/>
        <v>1</v>
      </c>
      <c r="AJ24" s="214">
        <f t="shared" si="6"/>
        <v>1</v>
      </c>
      <c r="AK24" s="214">
        <f t="shared" si="6"/>
        <v>1</v>
      </c>
      <c r="AL24" s="214">
        <f t="shared" si="6"/>
        <v>4</v>
      </c>
      <c r="AM24" s="214">
        <f t="shared" si="6"/>
        <v>4</v>
      </c>
      <c r="AN24" s="214">
        <f t="shared" si="6"/>
        <v>3</v>
      </c>
      <c r="AO24" s="214">
        <f t="shared" si="6"/>
        <v>2</v>
      </c>
      <c r="AP24" s="206">
        <f t="shared" si="19"/>
        <v>0.22916666666666669</v>
      </c>
      <c r="AQ24" s="213">
        <f t="shared" si="20"/>
        <v>0.5</v>
      </c>
      <c r="AR24" s="213">
        <f t="shared" si="7"/>
        <v>0.5</v>
      </c>
      <c r="AS24" s="213">
        <f t="shared" si="7"/>
        <v>0.5</v>
      </c>
      <c r="AT24" s="213">
        <f t="shared" si="7"/>
        <v>2</v>
      </c>
      <c r="AU24" s="213">
        <f t="shared" si="7"/>
        <v>2</v>
      </c>
      <c r="AV24" s="213">
        <f t="shared" si="7"/>
        <v>1.5</v>
      </c>
      <c r="AW24" s="213">
        <f t="shared" si="7"/>
        <v>1</v>
      </c>
      <c r="AY24" s="186">
        <f t="shared" si="21"/>
        <v>5.1235901569181816</v>
      </c>
      <c r="AZ24" s="186">
        <f t="shared" si="8"/>
        <v>5.5259984385988741</v>
      </c>
      <c r="BA24" s="186">
        <f t="shared" si="8"/>
        <v>5.9818610144119946</v>
      </c>
      <c r="BB24" s="186">
        <f t="shared" si="8"/>
        <v>7.0664671659516491</v>
      </c>
      <c r="BC24" s="186">
        <f t="shared" si="8"/>
        <v>6.3332639025352622</v>
      </c>
      <c r="BD24" s="186">
        <f t="shared" si="8"/>
        <v>5.1330234274169158</v>
      </c>
      <c r="BE24" s="186">
        <f t="shared" si="8"/>
        <v>5.6583937884573965</v>
      </c>
    </row>
    <row r="25" spans="1:57" ht="12.75" x14ac:dyDescent="0.2">
      <c r="A25" s="181">
        <f t="shared" si="9"/>
        <v>14.371428571428572</v>
      </c>
      <c r="B25" s="187">
        <f t="shared" si="22"/>
        <v>0.25</v>
      </c>
      <c r="C25" s="135">
        <v>13.333333333333334</v>
      </c>
      <c r="D25" s="135">
        <v>14.1</v>
      </c>
      <c r="E25" s="135">
        <v>14.866666666666667</v>
      </c>
      <c r="F25" s="135">
        <v>14.733333333333334</v>
      </c>
      <c r="G25" s="135">
        <v>15.133333333333335</v>
      </c>
      <c r="H25" s="135">
        <v>14.9</v>
      </c>
      <c r="I25" s="135">
        <v>13.533333333333333</v>
      </c>
      <c r="J25" s="165">
        <v>13</v>
      </c>
      <c r="K25" s="43">
        <f t="shared" si="10"/>
        <v>3</v>
      </c>
      <c r="L25" s="43">
        <f t="shared" si="11"/>
        <v>3</v>
      </c>
      <c r="M25" s="43">
        <f t="shared" si="12"/>
        <v>3</v>
      </c>
      <c r="N25" s="43">
        <f t="shared" si="13"/>
        <v>3</v>
      </c>
      <c r="O25" s="43">
        <f t="shared" si="14"/>
        <v>3</v>
      </c>
      <c r="P25" s="43">
        <f t="shared" si="15"/>
        <v>3</v>
      </c>
      <c r="Q25" s="43">
        <f t="shared" si="16"/>
        <v>3</v>
      </c>
      <c r="R25" s="165">
        <v>13</v>
      </c>
      <c r="S25" s="198">
        <v>3</v>
      </c>
      <c r="T25" s="198">
        <v>3</v>
      </c>
      <c r="U25" s="198">
        <v>3</v>
      </c>
      <c r="V25" s="198">
        <v>6</v>
      </c>
      <c r="W25" s="198">
        <v>6</v>
      </c>
      <c r="X25" s="198">
        <v>5</v>
      </c>
      <c r="Y25" s="198">
        <v>4</v>
      </c>
      <c r="AA25" s="184">
        <f t="shared" si="17"/>
        <v>0.8804340294312869</v>
      </c>
      <c r="AB25" s="184">
        <f t="shared" si="17"/>
        <v>0.86080808051585567</v>
      </c>
      <c r="AC25" s="184">
        <f t="shared" si="5"/>
        <v>0.82322350506359321</v>
      </c>
      <c r="AD25" s="184">
        <f t="shared" si="5"/>
        <v>0.99820350556120485</v>
      </c>
      <c r="AE25" s="184">
        <f t="shared" si="5"/>
        <v>0.99832176963451658</v>
      </c>
      <c r="AF25" s="184">
        <f t="shared" si="5"/>
        <v>0.99079900778615226</v>
      </c>
      <c r="AG25" s="184">
        <f t="shared" si="5"/>
        <v>0.96787058446015084</v>
      </c>
      <c r="AI25" s="214">
        <f t="shared" si="18"/>
        <v>0</v>
      </c>
      <c r="AJ25" s="214">
        <f t="shared" si="6"/>
        <v>0</v>
      </c>
      <c r="AK25" s="214">
        <f t="shared" si="6"/>
        <v>0</v>
      </c>
      <c r="AL25" s="214">
        <f t="shared" si="6"/>
        <v>3</v>
      </c>
      <c r="AM25" s="214">
        <f t="shared" si="6"/>
        <v>3</v>
      </c>
      <c r="AN25" s="214">
        <f t="shared" si="6"/>
        <v>2</v>
      </c>
      <c r="AO25" s="214">
        <f t="shared" si="6"/>
        <v>1</v>
      </c>
      <c r="AP25" s="206">
        <f t="shared" si="19"/>
        <v>0.25</v>
      </c>
      <c r="AQ25" s="213">
        <f t="shared" si="20"/>
        <v>0</v>
      </c>
      <c r="AR25" s="213">
        <f t="shared" si="7"/>
        <v>0</v>
      </c>
      <c r="AS25" s="213">
        <f t="shared" si="7"/>
        <v>0</v>
      </c>
      <c r="AT25" s="213">
        <f t="shared" si="7"/>
        <v>1</v>
      </c>
      <c r="AU25" s="213">
        <f t="shared" si="7"/>
        <v>1</v>
      </c>
      <c r="AV25" s="213">
        <f t="shared" si="7"/>
        <v>0.66666666666666674</v>
      </c>
      <c r="AW25" s="213">
        <f t="shared" si="7"/>
        <v>0.33333333333333326</v>
      </c>
      <c r="AY25" s="186">
        <f t="shared" si="21"/>
        <v>11.73912039241716</v>
      </c>
      <c r="AZ25" s="186">
        <f t="shared" si="8"/>
        <v>12.137393935273565</v>
      </c>
      <c r="BA25" s="186">
        <f t="shared" si="8"/>
        <v>12.23858944194542</v>
      </c>
      <c r="BB25" s="186">
        <f t="shared" si="8"/>
        <v>14.706864981935086</v>
      </c>
      <c r="BC25" s="186">
        <f t="shared" si="8"/>
        <v>15.107936113802353</v>
      </c>
      <c r="BD25" s="186">
        <f t="shared" si="8"/>
        <v>14.762905216013669</v>
      </c>
      <c r="BE25" s="186">
        <f t="shared" si="8"/>
        <v>13.098515243027375</v>
      </c>
    </row>
    <row r="26" spans="1:57" ht="12.75" x14ac:dyDescent="0.2">
      <c r="A26" s="181">
        <f t="shared" si="9"/>
        <v>27.195238095238096</v>
      </c>
      <c r="B26" s="187">
        <f t="shared" si="22"/>
        <v>0.27083333333333331</v>
      </c>
      <c r="C26" s="135">
        <v>26.100000000000005</v>
      </c>
      <c r="D26" s="135">
        <v>25.466666666666669</v>
      </c>
      <c r="E26" s="135">
        <v>26.766666666666669</v>
      </c>
      <c r="F26" s="135">
        <v>26.766666666666666</v>
      </c>
      <c r="G26" s="135">
        <v>29.966666666666669</v>
      </c>
      <c r="H26" s="135">
        <v>28.366666666666664</v>
      </c>
      <c r="I26" s="135">
        <v>26.933333333333337</v>
      </c>
      <c r="J26" s="165">
        <v>14</v>
      </c>
      <c r="K26" s="43">
        <f t="shared" si="10"/>
        <v>5</v>
      </c>
      <c r="L26" s="43">
        <f t="shared" si="11"/>
        <v>5</v>
      </c>
      <c r="M26" s="43">
        <f t="shared" si="12"/>
        <v>5</v>
      </c>
      <c r="N26" s="43">
        <f t="shared" si="13"/>
        <v>5</v>
      </c>
      <c r="O26" s="43">
        <f t="shared" si="14"/>
        <v>5</v>
      </c>
      <c r="P26" s="43">
        <f t="shared" si="15"/>
        <v>5</v>
      </c>
      <c r="Q26" s="43">
        <f t="shared" si="16"/>
        <v>5</v>
      </c>
      <c r="R26" s="165">
        <v>14</v>
      </c>
      <c r="S26" s="198">
        <v>5</v>
      </c>
      <c r="T26" s="198">
        <v>5</v>
      </c>
      <c r="U26" s="198">
        <v>5</v>
      </c>
      <c r="V26" s="198">
        <v>6</v>
      </c>
      <c r="W26" s="198">
        <v>6</v>
      </c>
      <c r="X26" s="198">
        <v>5</v>
      </c>
      <c r="Y26" s="198">
        <v>5</v>
      </c>
      <c r="AA26" s="184">
        <f t="shared" si="17"/>
        <v>0.90837901786419584</v>
      </c>
      <c r="AB26" s="184">
        <f t="shared" si="17"/>
        <v>0.92780376921865049</v>
      </c>
      <c r="AC26" s="184">
        <f t="shared" si="5"/>
        <v>0.89303325650374143</v>
      </c>
      <c r="AD26" s="184">
        <f t="shared" si="5"/>
        <v>0.96514684334647083</v>
      </c>
      <c r="AE26" s="184">
        <f t="shared" si="5"/>
        <v>0.94543351719610658</v>
      </c>
      <c r="AF26" s="184">
        <f t="shared" si="5"/>
        <v>0.87280362254262911</v>
      </c>
      <c r="AG26" s="184">
        <f t="shared" si="5"/>
        <v>0.89824889918190787</v>
      </c>
      <c r="AI26" s="214">
        <f t="shared" si="18"/>
        <v>0</v>
      </c>
      <c r="AJ26" s="214">
        <f t="shared" si="6"/>
        <v>0</v>
      </c>
      <c r="AK26" s="214">
        <f t="shared" si="6"/>
        <v>0</v>
      </c>
      <c r="AL26" s="214">
        <f t="shared" si="6"/>
        <v>1</v>
      </c>
      <c r="AM26" s="214">
        <f t="shared" si="6"/>
        <v>1</v>
      </c>
      <c r="AN26" s="214">
        <f t="shared" si="6"/>
        <v>0</v>
      </c>
      <c r="AO26" s="214">
        <f t="shared" si="6"/>
        <v>0</v>
      </c>
      <c r="AP26" s="206">
        <f t="shared" si="19"/>
        <v>0.27083333333333331</v>
      </c>
      <c r="AQ26" s="213">
        <f t="shared" si="20"/>
        <v>0</v>
      </c>
      <c r="AR26" s="213">
        <f t="shared" si="7"/>
        <v>0</v>
      </c>
      <c r="AS26" s="213">
        <f t="shared" si="7"/>
        <v>0</v>
      </c>
      <c r="AT26" s="213">
        <f t="shared" si="7"/>
        <v>0.19999999999999996</v>
      </c>
      <c r="AU26" s="213">
        <f t="shared" si="7"/>
        <v>0.19999999999999996</v>
      </c>
      <c r="AV26" s="213">
        <f t="shared" si="7"/>
        <v>0</v>
      </c>
      <c r="AW26" s="213">
        <f t="shared" si="7"/>
        <v>0</v>
      </c>
      <c r="AY26" s="186">
        <f t="shared" si="21"/>
        <v>23.708692366255516</v>
      </c>
      <c r="AZ26" s="186">
        <f t="shared" si="8"/>
        <v>23.628069322768301</v>
      </c>
      <c r="BA26" s="186">
        <f t="shared" si="8"/>
        <v>23.90352349908348</v>
      </c>
      <c r="BB26" s="186">
        <f t="shared" si="8"/>
        <v>25.833763840240536</v>
      </c>
      <c r="BC26" s="186">
        <f t="shared" si="8"/>
        <v>28.331491065309997</v>
      </c>
      <c r="BD26" s="186">
        <f t="shared" si="8"/>
        <v>24.758529426125911</v>
      </c>
      <c r="BE26" s="186">
        <f t="shared" si="8"/>
        <v>24.192837017966056</v>
      </c>
    </row>
    <row r="27" spans="1:57" ht="12.75" x14ac:dyDescent="0.2">
      <c r="A27" s="181">
        <f t="shared" si="9"/>
        <v>41.095238095238095</v>
      </c>
      <c r="B27" s="187">
        <f t="shared" si="22"/>
        <v>0.29166666666666663</v>
      </c>
      <c r="C27" s="135">
        <v>38.833333333333336</v>
      </c>
      <c r="D27" s="135">
        <v>37.6</v>
      </c>
      <c r="E27" s="135">
        <v>39.833333333333336</v>
      </c>
      <c r="F27" s="135">
        <v>39.066666666666663</v>
      </c>
      <c r="G27" s="135">
        <v>44.6</v>
      </c>
      <c r="H27" s="135">
        <v>45.300000000000004</v>
      </c>
      <c r="I27" s="135">
        <v>42.43333333333333</v>
      </c>
      <c r="J27" s="165">
        <v>15</v>
      </c>
      <c r="K27" s="43">
        <f t="shared" si="10"/>
        <v>6</v>
      </c>
      <c r="L27" s="43">
        <f t="shared" si="11"/>
        <v>6</v>
      </c>
      <c r="M27" s="43">
        <f t="shared" si="12"/>
        <v>7</v>
      </c>
      <c r="N27" s="43">
        <f t="shared" si="13"/>
        <v>7</v>
      </c>
      <c r="O27" s="43">
        <f t="shared" si="14"/>
        <v>7</v>
      </c>
      <c r="P27" s="43">
        <f t="shared" si="15"/>
        <v>7</v>
      </c>
      <c r="Q27" s="43">
        <f t="shared" si="16"/>
        <v>7</v>
      </c>
      <c r="R27" s="165">
        <v>15</v>
      </c>
      <c r="S27" s="198">
        <v>9</v>
      </c>
      <c r="T27" s="198">
        <v>10</v>
      </c>
      <c r="U27" s="198">
        <v>10</v>
      </c>
      <c r="V27" s="198">
        <v>10</v>
      </c>
      <c r="W27" s="198">
        <v>10</v>
      </c>
      <c r="X27" s="198">
        <v>8</v>
      </c>
      <c r="Y27" s="198">
        <v>7</v>
      </c>
      <c r="AA27" s="184">
        <f t="shared" si="17"/>
        <v>0.99344612944672406</v>
      </c>
      <c r="AB27" s="184">
        <f t="shared" si="17"/>
        <v>0.99871365470351414</v>
      </c>
      <c r="AC27" s="184">
        <f t="shared" si="5"/>
        <v>0.99775560405046981</v>
      </c>
      <c r="AD27" s="184">
        <f t="shared" si="5"/>
        <v>0.99786265633878579</v>
      </c>
      <c r="AE27" s="184">
        <f t="shared" si="5"/>
        <v>0.99416963579812867</v>
      </c>
      <c r="AF27" s="184">
        <f t="shared" si="5"/>
        <v>0.94677041774225845</v>
      </c>
      <c r="AG27" s="184">
        <f t="shared" si="5"/>
        <v>0.90891326032926323</v>
      </c>
      <c r="AI27" s="214">
        <f t="shared" si="18"/>
        <v>3</v>
      </c>
      <c r="AJ27" s="214">
        <f t="shared" si="6"/>
        <v>4</v>
      </c>
      <c r="AK27" s="214">
        <f t="shared" si="6"/>
        <v>3</v>
      </c>
      <c r="AL27" s="214">
        <f t="shared" si="6"/>
        <v>3</v>
      </c>
      <c r="AM27" s="214">
        <f t="shared" si="6"/>
        <v>3</v>
      </c>
      <c r="AN27" s="214">
        <f t="shared" si="6"/>
        <v>1</v>
      </c>
      <c r="AO27" s="214">
        <f t="shared" si="6"/>
        <v>0</v>
      </c>
      <c r="AP27" s="206">
        <f t="shared" si="19"/>
        <v>0.29166666666666663</v>
      </c>
      <c r="AQ27" s="213">
        <f t="shared" si="20"/>
        <v>0.5</v>
      </c>
      <c r="AR27" s="213">
        <f t="shared" si="7"/>
        <v>0.66666666666666674</v>
      </c>
      <c r="AS27" s="213">
        <f t="shared" si="7"/>
        <v>0.4285714285714286</v>
      </c>
      <c r="AT27" s="213">
        <f t="shared" si="7"/>
        <v>0.4285714285714286</v>
      </c>
      <c r="AU27" s="213">
        <f t="shared" si="7"/>
        <v>0.4285714285714286</v>
      </c>
      <c r="AV27" s="213">
        <f t="shared" si="7"/>
        <v>0.14285714285714279</v>
      </c>
      <c r="AW27" s="213">
        <f t="shared" si="7"/>
        <v>0</v>
      </c>
      <c r="AY27" s="186">
        <f t="shared" si="21"/>
        <v>38.578824693514456</v>
      </c>
      <c r="AZ27" s="186">
        <f t="shared" si="8"/>
        <v>37.551633416852134</v>
      </c>
      <c r="BA27" s="186">
        <f t="shared" si="8"/>
        <v>39.743931561343715</v>
      </c>
      <c r="BB27" s="186">
        <f t="shared" si="8"/>
        <v>38.983167774301897</v>
      </c>
      <c r="BC27" s="186">
        <f t="shared" si="8"/>
        <v>44.339965756596541</v>
      </c>
      <c r="BD27" s="186">
        <f t="shared" si="8"/>
        <v>42.88869992372431</v>
      </c>
      <c r="BE27" s="186">
        <f t="shared" si="8"/>
        <v>38.568219346638401</v>
      </c>
    </row>
    <row r="28" spans="1:57" ht="12.75" x14ac:dyDescent="0.2">
      <c r="A28" s="181">
        <f t="shared" si="9"/>
        <v>51.966666666666661</v>
      </c>
      <c r="B28" s="187">
        <f t="shared" si="22"/>
        <v>0.31249999999999994</v>
      </c>
      <c r="C28" s="135">
        <v>48.300000000000004</v>
      </c>
      <c r="D28" s="135">
        <v>45.866666666666667</v>
      </c>
      <c r="E28" s="135">
        <v>49.266666666666673</v>
      </c>
      <c r="F28" s="135">
        <v>48.133333333333326</v>
      </c>
      <c r="G28" s="135">
        <v>56.466666666666661</v>
      </c>
      <c r="H28" s="135">
        <v>56.466666666666669</v>
      </c>
      <c r="I28" s="135">
        <v>59.266666666666673</v>
      </c>
      <c r="J28" s="165">
        <v>16</v>
      </c>
      <c r="K28" s="43">
        <f t="shared" si="10"/>
        <v>8</v>
      </c>
      <c r="L28" s="43">
        <f t="shared" si="11"/>
        <v>7</v>
      </c>
      <c r="M28" s="43">
        <f t="shared" si="12"/>
        <v>8</v>
      </c>
      <c r="N28" s="43">
        <f t="shared" si="13"/>
        <v>8</v>
      </c>
      <c r="O28" s="43">
        <f t="shared" si="14"/>
        <v>10</v>
      </c>
      <c r="P28" s="43">
        <f t="shared" si="15"/>
        <v>10</v>
      </c>
      <c r="Q28" s="43">
        <f t="shared" si="16"/>
        <v>9</v>
      </c>
      <c r="R28" s="165">
        <v>16</v>
      </c>
      <c r="S28" s="198">
        <v>9</v>
      </c>
      <c r="T28" s="198">
        <v>10</v>
      </c>
      <c r="U28" s="198">
        <v>11</v>
      </c>
      <c r="V28" s="198">
        <v>10</v>
      </c>
      <c r="W28" s="198">
        <v>13</v>
      </c>
      <c r="X28" s="198">
        <v>9</v>
      </c>
      <c r="Y28" s="198">
        <v>9</v>
      </c>
      <c r="AA28" s="184">
        <f t="shared" si="17"/>
        <v>0.97296358592945842</v>
      </c>
      <c r="AB28" s="184">
        <f t="shared" si="17"/>
        <v>0.99432021348747401</v>
      </c>
      <c r="AC28" s="184">
        <f t="shared" si="5"/>
        <v>0.996650948048459</v>
      </c>
      <c r="AD28" s="184">
        <f t="shared" si="5"/>
        <v>0.98960956419023094</v>
      </c>
      <c r="AE28" s="184">
        <f t="shared" si="5"/>
        <v>0.99889736499021076</v>
      </c>
      <c r="AF28" s="184">
        <f t="shared" si="5"/>
        <v>0.92250853848208247</v>
      </c>
      <c r="AG28" s="184">
        <f t="shared" si="5"/>
        <v>0.90324266769588146</v>
      </c>
      <c r="AI28" s="214">
        <f t="shared" si="18"/>
        <v>1</v>
      </c>
      <c r="AJ28" s="214">
        <f t="shared" si="6"/>
        <v>3</v>
      </c>
      <c r="AK28" s="214">
        <f t="shared" si="6"/>
        <v>3</v>
      </c>
      <c r="AL28" s="214">
        <f t="shared" si="6"/>
        <v>2</v>
      </c>
      <c r="AM28" s="214">
        <f t="shared" si="6"/>
        <v>3</v>
      </c>
      <c r="AN28" s="214">
        <f t="shared" si="6"/>
        <v>-1</v>
      </c>
      <c r="AO28" s="214">
        <f t="shared" si="6"/>
        <v>0</v>
      </c>
      <c r="AP28" s="206">
        <f t="shared" si="19"/>
        <v>0.31249999999999994</v>
      </c>
      <c r="AQ28" s="213">
        <f t="shared" si="20"/>
        <v>0.125</v>
      </c>
      <c r="AR28" s="213">
        <f t="shared" si="7"/>
        <v>0.4285714285714286</v>
      </c>
      <c r="AS28" s="213">
        <f t="shared" si="7"/>
        <v>0.375</v>
      </c>
      <c r="AT28" s="213">
        <f t="shared" si="7"/>
        <v>0.25</v>
      </c>
      <c r="AU28" s="213">
        <f t="shared" si="7"/>
        <v>0.30000000000000004</v>
      </c>
      <c r="AV28" s="213">
        <f t="shared" si="7"/>
        <v>-9.9999999999999978E-2</v>
      </c>
      <c r="AW28" s="213">
        <f t="shared" si="7"/>
        <v>0</v>
      </c>
      <c r="AY28" s="186">
        <f t="shared" si="21"/>
        <v>46.994141200392846</v>
      </c>
      <c r="AZ28" s="186">
        <f t="shared" si="8"/>
        <v>45.60615379195881</v>
      </c>
      <c r="BA28" s="186">
        <f t="shared" si="8"/>
        <v>49.101670040520752</v>
      </c>
      <c r="BB28" s="186">
        <f t="shared" si="8"/>
        <v>47.633207023023111</v>
      </c>
      <c r="BC28" s="186">
        <f t="shared" si="8"/>
        <v>56.404404543113898</v>
      </c>
      <c r="BD28" s="186">
        <f t="shared" si="8"/>
        <v>52.090982139621595</v>
      </c>
      <c r="BE28" s="186">
        <f t="shared" si="8"/>
        <v>53.53218210544258</v>
      </c>
    </row>
    <row r="29" spans="1:57" ht="12.75" x14ac:dyDescent="0.2">
      <c r="A29" s="181">
        <f t="shared" si="9"/>
        <v>60.452380952380949</v>
      </c>
      <c r="B29" s="187">
        <f t="shared" si="22"/>
        <v>0.33333333333333326</v>
      </c>
      <c r="C29" s="135">
        <v>54.866666666666667</v>
      </c>
      <c r="D29" s="135">
        <v>55.233333333333327</v>
      </c>
      <c r="E29" s="135">
        <v>55.79999999999999</v>
      </c>
      <c r="F29" s="135">
        <v>56.9</v>
      </c>
      <c r="G29" s="135">
        <v>61.6</v>
      </c>
      <c r="H29" s="135">
        <v>67.566666666666663</v>
      </c>
      <c r="I29" s="135">
        <v>71.2</v>
      </c>
      <c r="J29" s="165">
        <v>17</v>
      </c>
      <c r="K29" s="43">
        <f t="shared" si="10"/>
        <v>10</v>
      </c>
      <c r="L29" s="43">
        <f t="shared" si="11"/>
        <v>10</v>
      </c>
      <c r="M29" s="43">
        <f t="shared" si="12"/>
        <v>9</v>
      </c>
      <c r="N29" s="43">
        <f t="shared" si="13"/>
        <v>9</v>
      </c>
      <c r="O29" s="43">
        <f t="shared" si="14"/>
        <v>11</v>
      </c>
      <c r="P29" s="43">
        <f t="shared" si="15"/>
        <v>12</v>
      </c>
      <c r="Q29" s="43">
        <f t="shared" si="16"/>
        <v>12</v>
      </c>
      <c r="R29" s="165">
        <v>17</v>
      </c>
      <c r="S29" s="198">
        <v>11</v>
      </c>
      <c r="T29" s="198">
        <v>12</v>
      </c>
      <c r="U29" s="198">
        <v>11</v>
      </c>
      <c r="V29" s="198">
        <v>11</v>
      </c>
      <c r="W29" s="198">
        <v>13</v>
      </c>
      <c r="X29" s="198">
        <v>11</v>
      </c>
      <c r="Y29" s="198">
        <v>11</v>
      </c>
      <c r="AA29" s="184">
        <f t="shared" si="17"/>
        <v>0.99138763996609691</v>
      </c>
      <c r="AB29" s="184">
        <f t="shared" si="17"/>
        <v>0.99762158257706268</v>
      </c>
      <c r="AC29" s="184">
        <f t="shared" si="17"/>
        <v>0.99004460367550551</v>
      </c>
      <c r="AD29" s="184">
        <f t="shared" si="17"/>
        <v>0.98671445244606826</v>
      </c>
      <c r="AE29" s="184">
        <f t="shared" si="17"/>
        <v>0.99707709681688594</v>
      </c>
      <c r="AF29" s="184">
        <f t="shared" si="17"/>
        <v>0.95224705056431869</v>
      </c>
      <c r="AG29" s="184">
        <f t="shared" si="17"/>
        <v>0.94211457971442725</v>
      </c>
      <c r="AI29" s="214">
        <f t="shared" si="18"/>
        <v>1</v>
      </c>
      <c r="AJ29" s="214">
        <f t="shared" si="18"/>
        <v>2</v>
      </c>
      <c r="AK29" s="214">
        <f t="shared" si="18"/>
        <v>2</v>
      </c>
      <c r="AL29" s="214">
        <f t="shared" si="18"/>
        <v>2</v>
      </c>
      <c r="AM29" s="214">
        <f t="shared" si="18"/>
        <v>2</v>
      </c>
      <c r="AN29" s="214">
        <f t="shared" si="18"/>
        <v>-1</v>
      </c>
      <c r="AO29" s="214">
        <f t="shared" si="18"/>
        <v>-1</v>
      </c>
      <c r="AP29" s="206">
        <f t="shared" si="19"/>
        <v>0.33333333333333326</v>
      </c>
      <c r="AQ29" s="213">
        <f t="shared" si="20"/>
        <v>0.10000000000000009</v>
      </c>
      <c r="AR29" s="213">
        <f t="shared" si="20"/>
        <v>0.19999999999999996</v>
      </c>
      <c r="AS29" s="213">
        <f t="shared" si="20"/>
        <v>0.22222222222222232</v>
      </c>
      <c r="AT29" s="213">
        <f t="shared" si="20"/>
        <v>0.22222222222222232</v>
      </c>
      <c r="AU29" s="213">
        <f t="shared" si="20"/>
        <v>0.18181818181818188</v>
      </c>
      <c r="AV29" s="213">
        <f t="shared" si="20"/>
        <v>-8.333333333333337E-2</v>
      </c>
      <c r="AW29" s="213">
        <f t="shared" si="20"/>
        <v>-8.333333333333337E-2</v>
      </c>
      <c r="AY29" s="186">
        <f t="shared" si="21"/>
        <v>54.394135179473182</v>
      </c>
      <c r="AZ29" s="186">
        <f t="shared" si="21"/>
        <v>55.101965411006425</v>
      </c>
      <c r="BA29" s="186">
        <f t="shared" si="21"/>
        <v>55.244488885093197</v>
      </c>
      <c r="BB29" s="186">
        <f t="shared" si="21"/>
        <v>56.144052344181283</v>
      </c>
      <c r="BC29" s="186">
        <f t="shared" si="21"/>
        <v>61.419949163920172</v>
      </c>
      <c r="BD29" s="186">
        <f t="shared" si="21"/>
        <v>64.340159049795801</v>
      </c>
      <c r="BE29" s="186">
        <f t="shared" si="21"/>
        <v>67.078558075667218</v>
      </c>
    </row>
    <row r="30" spans="1:57" ht="12.75" x14ac:dyDescent="0.2">
      <c r="A30" s="181">
        <f t="shared" si="9"/>
        <v>67.366666666666674</v>
      </c>
      <c r="B30" s="187">
        <f t="shared" si="22"/>
        <v>0.35416666666666657</v>
      </c>
      <c r="C30" s="135">
        <v>59.666666666666664</v>
      </c>
      <c r="D30" s="135">
        <v>62.1</v>
      </c>
      <c r="E30" s="135">
        <v>61.199999999999996</v>
      </c>
      <c r="F30" s="135">
        <v>64.2</v>
      </c>
      <c r="G30" s="135">
        <v>68.100000000000009</v>
      </c>
      <c r="H30" s="135">
        <v>75.2</v>
      </c>
      <c r="I30" s="135">
        <v>81.100000000000009</v>
      </c>
      <c r="J30" s="165">
        <v>18</v>
      </c>
      <c r="K30" s="43">
        <f t="shared" si="10"/>
        <v>11</v>
      </c>
      <c r="L30" s="43">
        <f t="shared" si="11"/>
        <v>11</v>
      </c>
      <c r="M30" s="43">
        <f t="shared" si="12"/>
        <v>10</v>
      </c>
      <c r="N30" s="43">
        <f t="shared" si="13"/>
        <v>11</v>
      </c>
      <c r="O30" s="43">
        <f t="shared" si="14"/>
        <v>12</v>
      </c>
      <c r="P30" s="43">
        <f t="shared" si="15"/>
        <v>13</v>
      </c>
      <c r="Q30" s="43">
        <f t="shared" si="16"/>
        <v>14</v>
      </c>
      <c r="R30" s="165">
        <v>18</v>
      </c>
      <c r="S30" s="198">
        <v>12</v>
      </c>
      <c r="T30" s="198">
        <v>12</v>
      </c>
      <c r="U30" s="198">
        <v>12</v>
      </c>
      <c r="V30" s="198">
        <v>11</v>
      </c>
      <c r="W30" s="198">
        <v>13</v>
      </c>
      <c r="X30" s="198">
        <v>12</v>
      </c>
      <c r="Y30" s="198">
        <v>13</v>
      </c>
      <c r="AA30" s="184">
        <f t="shared" si="17"/>
        <v>0.99392695000212816</v>
      </c>
      <c r="AB30" s="184">
        <f t="shared" si="17"/>
        <v>0.99314755734228799</v>
      </c>
      <c r="AC30" s="184">
        <f t="shared" si="17"/>
        <v>0.99298956489772217</v>
      </c>
      <c r="AD30" s="184">
        <f t="shared" si="17"/>
        <v>0.96714099188901548</v>
      </c>
      <c r="AE30" s="184">
        <f t="shared" si="17"/>
        <v>0.99308533252623532</v>
      </c>
      <c r="AF30" s="184">
        <f t="shared" si="17"/>
        <v>0.9579189758928941</v>
      </c>
      <c r="AG30" s="184">
        <f t="shared" si="17"/>
        <v>0.97163190523465459</v>
      </c>
      <c r="AI30" s="214">
        <f t="shared" si="18"/>
        <v>1</v>
      </c>
      <c r="AJ30" s="214">
        <f t="shared" si="18"/>
        <v>1</v>
      </c>
      <c r="AK30" s="214">
        <f t="shared" si="18"/>
        <v>2</v>
      </c>
      <c r="AL30" s="214">
        <f t="shared" si="18"/>
        <v>0</v>
      </c>
      <c r="AM30" s="214">
        <f t="shared" si="18"/>
        <v>1</v>
      </c>
      <c r="AN30" s="214">
        <f t="shared" si="18"/>
        <v>-1</v>
      </c>
      <c r="AO30" s="214">
        <f t="shared" si="18"/>
        <v>-1</v>
      </c>
      <c r="AP30" s="206">
        <f t="shared" si="19"/>
        <v>0.35416666666666657</v>
      </c>
      <c r="AQ30" s="213">
        <f t="shared" si="20"/>
        <v>9.0909090909090828E-2</v>
      </c>
      <c r="AR30" s="213">
        <f t="shared" si="20"/>
        <v>9.0909090909090828E-2</v>
      </c>
      <c r="AS30" s="213">
        <f t="shared" si="20"/>
        <v>0.19999999999999996</v>
      </c>
      <c r="AT30" s="213">
        <f t="shared" si="20"/>
        <v>0</v>
      </c>
      <c r="AU30" s="213">
        <f t="shared" si="20"/>
        <v>8.3333333333333259E-2</v>
      </c>
      <c r="AV30" s="213">
        <f t="shared" si="20"/>
        <v>-7.6923076923076872E-2</v>
      </c>
      <c r="AW30" s="213">
        <f t="shared" si="20"/>
        <v>-7.1428571428571397E-2</v>
      </c>
      <c r="AY30" s="186">
        <f t="shared" si="21"/>
        <v>59.304308016793648</v>
      </c>
      <c r="AZ30" s="186">
        <f t="shared" si="21"/>
        <v>61.674463310956085</v>
      </c>
      <c r="BA30" s="186">
        <f t="shared" si="21"/>
        <v>60.77096137174059</v>
      </c>
      <c r="BB30" s="186">
        <f t="shared" si="21"/>
        <v>62.0904516792748</v>
      </c>
      <c r="BC30" s="186">
        <f t="shared" si="21"/>
        <v>67.629111145036632</v>
      </c>
      <c r="BD30" s="186">
        <f t="shared" si="21"/>
        <v>72.035506987145638</v>
      </c>
      <c r="BE30" s="186">
        <f t="shared" si="21"/>
        <v>78.799347514530496</v>
      </c>
    </row>
    <row r="31" spans="1:57" ht="12.75" x14ac:dyDescent="0.2">
      <c r="A31" s="181">
        <f t="shared" si="9"/>
        <v>73.719047619047615</v>
      </c>
      <c r="B31" s="187">
        <f t="shared" si="22"/>
        <v>0.37499999999999989</v>
      </c>
      <c r="C31" s="135">
        <v>64.5</v>
      </c>
      <c r="D31" s="135">
        <v>70.13333333333334</v>
      </c>
      <c r="E31" s="135">
        <v>67.5</v>
      </c>
      <c r="F31" s="135">
        <v>70.533333333333317</v>
      </c>
      <c r="G31" s="135">
        <v>74.033333333333331</v>
      </c>
      <c r="H31" s="135">
        <v>82.433333333333337</v>
      </c>
      <c r="I31" s="135">
        <v>86.90000000000002</v>
      </c>
      <c r="J31" s="165">
        <v>19</v>
      </c>
      <c r="K31" s="43">
        <f t="shared" si="10"/>
        <v>11</v>
      </c>
      <c r="L31" s="43">
        <f t="shared" si="11"/>
        <v>12</v>
      </c>
      <c r="M31" s="43">
        <f t="shared" si="12"/>
        <v>12</v>
      </c>
      <c r="N31" s="43">
        <f t="shared" si="13"/>
        <v>12</v>
      </c>
      <c r="O31" s="43">
        <f t="shared" si="14"/>
        <v>13</v>
      </c>
      <c r="P31" s="43">
        <f t="shared" si="15"/>
        <v>14</v>
      </c>
      <c r="Q31" s="43">
        <f t="shared" si="16"/>
        <v>15</v>
      </c>
      <c r="R31" s="165">
        <v>19</v>
      </c>
      <c r="S31" s="198">
        <v>12</v>
      </c>
      <c r="T31" s="198">
        <v>13</v>
      </c>
      <c r="U31" s="198">
        <v>12</v>
      </c>
      <c r="V31" s="198">
        <v>11</v>
      </c>
      <c r="W31" s="198">
        <v>13</v>
      </c>
      <c r="X31" s="198">
        <v>13</v>
      </c>
      <c r="Y31" s="198">
        <v>14</v>
      </c>
      <c r="AA31" s="184">
        <f t="shared" si="17"/>
        <v>0.989400911529423</v>
      </c>
      <c r="AB31" s="184">
        <f t="shared" si="17"/>
        <v>0.99282645525595437</v>
      </c>
      <c r="AC31" s="184">
        <f t="shared" si="17"/>
        <v>0.98226787836159823</v>
      </c>
      <c r="AD31" s="184">
        <f t="shared" si="17"/>
        <v>0.92753710817267787</v>
      </c>
      <c r="AE31" s="184">
        <f t="shared" si="17"/>
        <v>0.98508352020721224</v>
      </c>
      <c r="AF31" s="184">
        <f t="shared" si="17"/>
        <v>0.96295018725189896</v>
      </c>
      <c r="AG31" s="184">
        <f t="shared" si="17"/>
        <v>0.9777501413032007</v>
      </c>
      <c r="AI31" s="214">
        <f t="shared" si="18"/>
        <v>1</v>
      </c>
      <c r="AJ31" s="214">
        <f t="shared" si="18"/>
        <v>1</v>
      </c>
      <c r="AK31" s="214">
        <f t="shared" si="18"/>
        <v>0</v>
      </c>
      <c r="AL31" s="214">
        <f t="shared" si="18"/>
        <v>-1</v>
      </c>
      <c r="AM31" s="214">
        <f t="shared" si="18"/>
        <v>0</v>
      </c>
      <c r="AN31" s="214">
        <f t="shared" si="18"/>
        <v>-1</v>
      </c>
      <c r="AO31" s="214">
        <f t="shared" si="18"/>
        <v>-1</v>
      </c>
      <c r="AP31" s="206">
        <f t="shared" si="19"/>
        <v>0.37499999999999989</v>
      </c>
      <c r="AQ31" s="213">
        <f t="shared" si="20"/>
        <v>9.0909090909090828E-2</v>
      </c>
      <c r="AR31" s="213">
        <f t="shared" si="20"/>
        <v>8.3333333333333259E-2</v>
      </c>
      <c r="AS31" s="213">
        <f t="shared" si="20"/>
        <v>0</v>
      </c>
      <c r="AT31" s="213">
        <f t="shared" si="20"/>
        <v>-8.333333333333337E-2</v>
      </c>
      <c r="AU31" s="213">
        <f t="shared" si="20"/>
        <v>0</v>
      </c>
      <c r="AV31" s="213">
        <f t="shared" si="20"/>
        <v>-7.1428571428571397E-2</v>
      </c>
      <c r="AW31" s="213">
        <f t="shared" si="20"/>
        <v>-6.6666666666666652E-2</v>
      </c>
      <c r="AY31" s="186">
        <f t="shared" si="21"/>
        <v>63.816358793647787</v>
      </c>
      <c r="AZ31" s="186">
        <f t="shared" si="21"/>
        <v>69.63022872861761</v>
      </c>
      <c r="BA31" s="186">
        <f t="shared" si="21"/>
        <v>66.303081789407884</v>
      </c>
      <c r="BB31" s="186">
        <f t="shared" si="21"/>
        <v>65.422284029779533</v>
      </c>
      <c r="BC31" s="186">
        <f t="shared" si="21"/>
        <v>72.929016612673948</v>
      </c>
      <c r="BD31" s="186">
        <f t="shared" si="21"/>
        <v>79.379193769131547</v>
      </c>
      <c r="BE31" s="186">
        <f t="shared" si="21"/>
        <v>84.966487279248156</v>
      </c>
    </row>
    <row r="32" spans="1:57" ht="12.75" x14ac:dyDescent="0.2">
      <c r="A32" s="181">
        <f t="shared" si="9"/>
        <v>78.647619047619045</v>
      </c>
      <c r="B32" s="187">
        <f t="shared" si="22"/>
        <v>0.3958333333333332</v>
      </c>
      <c r="C32" s="135">
        <v>67.8</v>
      </c>
      <c r="D32" s="135">
        <v>75.466666666666669</v>
      </c>
      <c r="E32" s="135">
        <v>75.933333333333337</v>
      </c>
      <c r="F32" s="135">
        <v>71.7</v>
      </c>
      <c r="G32" s="135">
        <v>81.733333333333334</v>
      </c>
      <c r="H32" s="135">
        <v>88.633333333333326</v>
      </c>
      <c r="I32" s="135">
        <v>89.266666666666666</v>
      </c>
      <c r="J32" s="165">
        <v>20</v>
      </c>
      <c r="K32" s="43">
        <f t="shared" si="10"/>
        <v>12</v>
      </c>
      <c r="L32" s="43">
        <f t="shared" si="11"/>
        <v>13</v>
      </c>
      <c r="M32" s="43">
        <f t="shared" si="12"/>
        <v>13</v>
      </c>
      <c r="N32" s="43">
        <f t="shared" si="13"/>
        <v>13</v>
      </c>
      <c r="O32" s="43">
        <f t="shared" si="14"/>
        <v>14</v>
      </c>
      <c r="P32" s="43">
        <f t="shared" si="15"/>
        <v>15</v>
      </c>
      <c r="Q32" s="43">
        <f t="shared" si="16"/>
        <v>15</v>
      </c>
      <c r="R32" s="165">
        <v>20</v>
      </c>
      <c r="S32" s="198">
        <v>12</v>
      </c>
      <c r="T32" s="198">
        <v>14</v>
      </c>
      <c r="U32" s="198">
        <v>12</v>
      </c>
      <c r="V32" s="198">
        <v>12</v>
      </c>
      <c r="W32" s="198">
        <v>14</v>
      </c>
      <c r="X32" s="198">
        <v>15</v>
      </c>
      <c r="Y32" s="198">
        <v>14</v>
      </c>
      <c r="AA32" s="184">
        <f t="shared" si="17"/>
        <v>0.98226787836159823</v>
      </c>
      <c r="AB32" s="184">
        <f t="shared" si="17"/>
        <v>0.99499246282835585</v>
      </c>
      <c r="AC32" s="184">
        <f t="shared" si="17"/>
        <v>0.9553335920163577</v>
      </c>
      <c r="AD32" s="184">
        <f t="shared" si="17"/>
        <v>0.96681978171345284</v>
      </c>
      <c r="AE32" s="184">
        <f t="shared" si="17"/>
        <v>0.98489476455812242</v>
      </c>
      <c r="AF32" s="184">
        <f t="shared" si="17"/>
        <v>0.98647938003765767</v>
      </c>
      <c r="AG32" s="184">
        <f t="shared" si="17"/>
        <v>0.97245052291237899</v>
      </c>
      <c r="AI32" s="214">
        <f t="shared" si="18"/>
        <v>0</v>
      </c>
      <c r="AJ32" s="214">
        <f t="shared" si="18"/>
        <v>1</v>
      </c>
      <c r="AK32" s="214">
        <f t="shared" si="18"/>
        <v>-1</v>
      </c>
      <c r="AL32" s="214">
        <f t="shared" si="18"/>
        <v>-1</v>
      </c>
      <c r="AM32" s="214">
        <f t="shared" si="18"/>
        <v>0</v>
      </c>
      <c r="AN32" s="214">
        <f t="shared" si="18"/>
        <v>0</v>
      </c>
      <c r="AO32" s="214">
        <f t="shared" si="18"/>
        <v>-1</v>
      </c>
      <c r="AP32" s="206">
        <f t="shared" si="19"/>
        <v>0.3958333333333332</v>
      </c>
      <c r="AQ32" s="213">
        <f t="shared" si="20"/>
        <v>0</v>
      </c>
      <c r="AR32" s="213">
        <f t="shared" si="20"/>
        <v>7.6923076923076872E-2</v>
      </c>
      <c r="AS32" s="213">
        <f t="shared" si="20"/>
        <v>-7.6923076923076872E-2</v>
      </c>
      <c r="AT32" s="213">
        <f t="shared" si="20"/>
        <v>-7.6923076923076872E-2</v>
      </c>
      <c r="AU32" s="213">
        <f t="shared" si="20"/>
        <v>0</v>
      </c>
      <c r="AV32" s="213">
        <f t="shared" si="20"/>
        <v>0</v>
      </c>
      <c r="AW32" s="213">
        <f t="shared" si="20"/>
        <v>-6.6666666666666652E-2</v>
      </c>
      <c r="AY32" s="186">
        <f t="shared" si="21"/>
        <v>66.59776215291636</v>
      </c>
      <c r="AZ32" s="186">
        <f t="shared" si="21"/>
        <v>75.088764528113259</v>
      </c>
      <c r="BA32" s="186">
        <f t="shared" si="21"/>
        <v>72.541664087108771</v>
      </c>
      <c r="BB32" s="186">
        <f t="shared" si="21"/>
        <v>69.320978348854567</v>
      </c>
      <c r="BC32" s="186">
        <f t="shared" si="21"/>
        <v>80.498732089883873</v>
      </c>
      <c r="BD32" s="186">
        <f t="shared" si="21"/>
        <v>87.434955717337715</v>
      </c>
      <c r="BE32" s="186">
        <f t="shared" si="21"/>
        <v>86.807416678645026</v>
      </c>
    </row>
    <row r="33" spans="1:57" ht="12.75" x14ac:dyDescent="0.2">
      <c r="A33" s="181">
        <f t="shared" si="9"/>
        <v>83.990476190476187</v>
      </c>
      <c r="B33" s="187">
        <f t="shared" si="22"/>
        <v>0.41666666666666652</v>
      </c>
      <c r="C33" s="135">
        <v>75</v>
      </c>
      <c r="D33" s="135">
        <v>79.566666666666663</v>
      </c>
      <c r="E33" s="135">
        <v>82.933333333333337</v>
      </c>
      <c r="F33" s="135">
        <v>75.5</v>
      </c>
      <c r="G33" s="135">
        <v>86.366666666666674</v>
      </c>
      <c r="H33" s="135">
        <v>94.766666666666666</v>
      </c>
      <c r="I33" s="135">
        <v>93.8</v>
      </c>
      <c r="J33" s="165">
        <v>21</v>
      </c>
      <c r="K33" s="43">
        <f t="shared" si="10"/>
        <v>13</v>
      </c>
      <c r="L33" s="43">
        <f t="shared" si="11"/>
        <v>14</v>
      </c>
      <c r="M33" s="43">
        <f t="shared" si="12"/>
        <v>14</v>
      </c>
      <c r="N33" s="43">
        <f t="shared" si="13"/>
        <v>13</v>
      </c>
      <c r="O33" s="43">
        <f t="shared" si="14"/>
        <v>15</v>
      </c>
      <c r="P33" s="43">
        <f t="shared" si="15"/>
        <v>16</v>
      </c>
      <c r="Q33" s="43">
        <f t="shared" si="16"/>
        <v>16</v>
      </c>
      <c r="R33" s="165">
        <v>21</v>
      </c>
      <c r="S33" s="198">
        <v>13</v>
      </c>
      <c r="T33" s="198">
        <v>15</v>
      </c>
      <c r="U33" s="198">
        <v>13</v>
      </c>
      <c r="V33" s="198">
        <v>12</v>
      </c>
      <c r="W33" s="198">
        <v>15</v>
      </c>
      <c r="X33" s="198">
        <v>15</v>
      </c>
      <c r="Y33" s="198">
        <v>15</v>
      </c>
      <c r="AA33" s="184">
        <f t="shared" si="17"/>
        <v>0.98406968882529722</v>
      </c>
      <c r="AB33" s="184">
        <f t="shared" si="17"/>
        <v>0.99649487981850748</v>
      </c>
      <c r="AC33" s="184">
        <f t="shared" si="17"/>
        <v>0.96090229614920741</v>
      </c>
      <c r="AD33" s="184">
        <f t="shared" si="17"/>
        <v>0.94836709835819144</v>
      </c>
      <c r="AE33" s="184">
        <f t="shared" si="17"/>
        <v>0.9904357850894423</v>
      </c>
      <c r="AF33" s="184">
        <f t="shared" si="17"/>
        <v>0.97412855558646239</v>
      </c>
      <c r="AG33" s="184">
        <f t="shared" si="17"/>
        <v>0.98053471423053529</v>
      </c>
      <c r="AI33" s="214">
        <f t="shared" si="18"/>
        <v>0</v>
      </c>
      <c r="AJ33" s="214">
        <f t="shared" si="18"/>
        <v>1</v>
      </c>
      <c r="AK33" s="214">
        <f t="shared" si="18"/>
        <v>-1</v>
      </c>
      <c r="AL33" s="214">
        <f t="shared" si="18"/>
        <v>-1</v>
      </c>
      <c r="AM33" s="214">
        <f t="shared" si="18"/>
        <v>0</v>
      </c>
      <c r="AN33" s="214">
        <f t="shared" si="18"/>
        <v>-1</v>
      </c>
      <c r="AO33" s="214">
        <f t="shared" si="18"/>
        <v>-1</v>
      </c>
      <c r="AP33" s="206">
        <f t="shared" si="19"/>
        <v>0.41666666666666652</v>
      </c>
      <c r="AQ33" s="213">
        <f t="shared" si="20"/>
        <v>0</v>
      </c>
      <c r="AR33" s="213">
        <f t="shared" si="20"/>
        <v>7.1428571428571397E-2</v>
      </c>
      <c r="AS33" s="213">
        <f t="shared" si="20"/>
        <v>-7.1428571428571397E-2</v>
      </c>
      <c r="AT33" s="213">
        <f t="shared" si="20"/>
        <v>-7.6923076923076872E-2</v>
      </c>
      <c r="AU33" s="213">
        <f t="shared" si="20"/>
        <v>0</v>
      </c>
      <c r="AV33" s="213">
        <f t="shared" si="20"/>
        <v>-6.25E-2</v>
      </c>
      <c r="AW33" s="213">
        <f t="shared" si="20"/>
        <v>-6.25E-2</v>
      </c>
      <c r="AY33" s="186">
        <f t="shared" si="21"/>
        <v>73.805226661897294</v>
      </c>
      <c r="AZ33" s="186">
        <f t="shared" si="21"/>
        <v>79.287775937559246</v>
      </c>
      <c r="BA33" s="186">
        <f t="shared" si="21"/>
        <v>79.690830427307603</v>
      </c>
      <c r="BB33" s="186">
        <f t="shared" si="21"/>
        <v>71.601715926043454</v>
      </c>
      <c r="BC33" s="186">
        <f t="shared" si="21"/>
        <v>85.540637305558178</v>
      </c>
      <c r="BD33" s="186">
        <f t="shared" si="21"/>
        <v>92.314916117743749</v>
      </c>
      <c r="BE33" s="186">
        <f t="shared" si="21"/>
        <v>91.974156194824204</v>
      </c>
    </row>
    <row r="34" spans="1:57" ht="12.75" x14ac:dyDescent="0.2">
      <c r="A34" s="181">
        <f t="shared" si="9"/>
        <v>88.804761904761918</v>
      </c>
      <c r="B34" s="187">
        <f t="shared" si="22"/>
        <v>0.43749999999999983</v>
      </c>
      <c r="C34" s="135">
        <v>79.833333333333329</v>
      </c>
      <c r="D34" s="135">
        <v>82.466666666666669</v>
      </c>
      <c r="E34" s="135">
        <v>87.8</v>
      </c>
      <c r="F34" s="135">
        <v>84.666666666666671</v>
      </c>
      <c r="G34" s="135">
        <v>91.933333333333337</v>
      </c>
      <c r="H34" s="135">
        <v>99.466666666666654</v>
      </c>
      <c r="I34" s="135">
        <v>95.466666666666654</v>
      </c>
      <c r="J34" s="165">
        <v>22</v>
      </c>
      <c r="K34" s="43">
        <f t="shared" si="10"/>
        <v>14</v>
      </c>
      <c r="L34" s="43">
        <f t="shared" si="11"/>
        <v>14</v>
      </c>
      <c r="M34" s="43">
        <f t="shared" si="12"/>
        <v>15</v>
      </c>
      <c r="N34" s="43">
        <f t="shared" si="13"/>
        <v>15</v>
      </c>
      <c r="O34" s="43">
        <f t="shared" si="14"/>
        <v>16</v>
      </c>
      <c r="P34" s="43">
        <f t="shared" si="15"/>
        <v>17</v>
      </c>
      <c r="Q34" s="43">
        <f t="shared" si="16"/>
        <v>16</v>
      </c>
      <c r="R34" s="165">
        <v>22</v>
      </c>
      <c r="S34" s="198">
        <v>13</v>
      </c>
      <c r="T34" s="198">
        <v>16</v>
      </c>
      <c r="U34" s="198">
        <v>14</v>
      </c>
      <c r="V34" s="198">
        <v>11</v>
      </c>
      <c r="W34" s="198">
        <v>15</v>
      </c>
      <c r="X34" s="198">
        <v>13</v>
      </c>
      <c r="Y34" s="198">
        <v>15</v>
      </c>
      <c r="AA34" s="184">
        <f t="shared" si="17"/>
        <v>0.97170494272538788</v>
      </c>
      <c r="AB34" s="184">
        <f t="shared" si="17"/>
        <v>0.99835571827867919</v>
      </c>
      <c r="AC34" s="184">
        <f t="shared" si="17"/>
        <v>0.97224554919277795</v>
      </c>
      <c r="AD34" s="184">
        <f t="shared" si="17"/>
        <v>0.72492664166834786</v>
      </c>
      <c r="AE34" s="184">
        <f t="shared" si="17"/>
        <v>0.9811685014729733</v>
      </c>
      <c r="AF34" s="184">
        <f t="shared" si="17"/>
        <v>0.81418403370609249</v>
      </c>
      <c r="AG34" s="184">
        <f t="shared" si="17"/>
        <v>0.97837087158601954</v>
      </c>
      <c r="AI34" s="214">
        <f t="shared" si="18"/>
        <v>-1</v>
      </c>
      <c r="AJ34" s="214">
        <f t="shared" si="18"/>
        <v>2</v>
      </c>
      <c r="AK34" s="214">
        <f t="shared" si="18"/>
        <v>-1</v>
      </c>
      <c r="AL34" s="214">
        <f t="shared" si="18"/>
        <v>-4</v>
      </c>
      <c r="AM34" s="214">
        <f t="shared" si="18"/>
        <v>-1</v>
      </c>
      <c r="AN34" s="214">
        <f t="shared" si="18"/>
        <v>-4</v>
      </c>
      <c r="AO34" s="214">
        <f t="shared" si="18"/>
        <v>-1</v>
      </c>
      <c r="AP34" s="206">
        <f t="shared" si="19"/>
        <v>0.43749999999999983</v>
      </c>
      <c r="AQ34" s="213">
        <f t="shared" si="20"/>
        <v>-7.1428571428571397E-2</v>
      </c>
      <c r="AR34" s="213">
        <f t="shared" si="20"/>
        <v>0.14285714285714279</v>
      </c>
      <c r="AS34" s="213">
        <f t="shared" si="20"/>
        <v>-6.6666666666666652E-2</v>
      </c>
      <c r="AT34" s="213">
        <f t="shared" si="20"/>
        <v>-0.26666666666666672</v>
      </c>
      <c r="AU34" s="213">
        <f t="shared" si="20"/>
        <v>-6.25E-2</v>
      </c>
      <c r="AV34" s="213">
        <f t="shared" si="20"/>
        <v>-0.23529411764705888</v>
      </c>
      <c r="AW34" s="213">
        <f t="shared" si="20"/>
        <v>-6.25E-2</v>
      </c>
      <c r="AY34" s="186">
        <f t="shared" si="21"/>
        <v>77.57444459424346</v>
      </c>
      <c r="AZ34" s="186">
        <f t="shared" si="21"/>
        <v>82.331068234048416</v>
      </c>
      <c r="BA34" s="186">
        <f t="shared" si="21"/>
        <v>85.363159219125905</v>
      </c>
      <c r="BB34" s="186">
        <f t="shared" si="21"/>
        <v>61.377122327920119</v>
      </c>
      <c r="BC34" s="186">
        <f t="shared" si="21"/>
        <v>90.20209090208202</v>
      </c>
      <c r="BD34" s="186">
        <f t="shared" si="21"/>
        <v>80.984171885965992</v>
      </c>
      <c r="BE34" s="186">
        <f t="shared" si="21"/>
        <v>93.401805874078647</v>
      </c>
    </row>
    <row r="35" spans="1:57" ht="12.75" x14ac:dyDescent="0.2">
      <c r="A35" s="181">
        <f t="shared" si="9"/>
        <v>92.51904761904764</v>
      </c>
      <c r="B35" s="187">
        <f t="shared" si="22"/>
        <v>0.45833333333333315</v>
      </c>
      <c r="C35" s="135">
        <v>84.166666666666671</v>
      </c>
      <c r="D35" s="135">
        <v>84.63333333333334</v>
      </c>
      <c r="E35" s="135">
        <v>88.533333333333346</v>
      </c>
      <c r="F35" s="135">
        <v>91.8</v>
      </c>
      <c r="G35" s="135">
        <v>95.233333333333334</v>
      </c>
      <c r="H35" s="135">
        <v>103.53333333333335</v>
      </c>
      <c r="I35" s="135">
        <v>99.733333333333334</v>
      </c>
      <c r="J35" s="165">
        <v>23</v>
      </c>
      <c r="K35" s="43">
        <f t="shared" si="10"/>
        <v>14</v>
      </c>
      <c r="L35" s="43">
        <f t="shared" si="11"/>
        <v>14</v>
      </c>
      <c r="M35" s="43">
        <f t="shared" si="12"/>
        <v>15</v>
      </c>
      <c r="N35" s="43">
        <f t="shared" si="13"/>
        <v>16</v>
      </c>
      <c r="O35" s="43">
        <f t="shared" si="14"/>
        <v>16</v>
      </c>
      <c r="P35" s="43">
        <f t="shared" si="15"/>
        <v>17</v>
      </c>
      <c r="Q35" s="43">
        <f t="shared" si="16"/>
        <v>17</v>
      </c>
      <c r="R35" s="165">
        <v>23</v>
      </c>
      <c r="S35" s="198">
        <v>16</v>
      </c>
      <c r="T35" s="198">
        <v>19</v>
      </c>
      <c r="U35" s="198">
        <v>15</v>
      </c>
      <c r="V35" s="198">
        <v>15</v>
      </c>
      <c r="W35" s="198">
        <v>16</v>
      </c>
      <c r="X35" s="198">
        <v>17</v>
      </c>
      <c r="Y35" s="198">
        <v>16</v>
      </c>
      <c r="AA35" s="184">
        <f t="shared" si="17"/>
        <v>0.99733981300574648</v>
      </c>
      <c r="AB35" s="184">
        <f t="shared" si="17"/>
        <v>0.99990300039292246</v>
      </c>
      <c r="AC35" s="184">
        <f t="shared" si="17"/>
        <v>0.98728116253076226</v>
      </c>
      <c r="AD35" s="184">
        <f t="shared" si="17"/>
        <v>0.97880117388410592</v>
      </c>
      <c r="AE35" s="184">
        <f t="shared" si="17"/>
        <v>0.98919425820982476</v>
      </c>
      <c r="AF35" s="184">
        <f t="shared" si="17"/>
        <v>0.98801874013934932</v>
      </c>
      <c r="AG35" s="184">
        <f t="shared" si="17"/>
        <v>0.98467485845447333</v>
      </c>
      <c r="AI35" s="214">
        <f t="shared" si="18"/>
        <v>2</v>
      </c>
      <c r="AJ35" s="214">
        <f t="shared" si="18"/>
        <v>5</v>
      </c>
      <c r="AK35" s="214">
        <f t="shared" si="18"/>
        <v>0</v>
      </c>
      <c r="AL35" s="214">
        <f t="shared" si="18"/>
        <v>-1</v>
      </c>
      <c r="AM35" s="214">
        <f t="shared" si="18"/>
        <v>0</v>
      </c>
      <c r="AN35" s="214">
        <f t="shared" si="18"/>
        <v>0</v>
      </c>
      <c r="AO35" s="214">
        <f t="shared" si="18"/>
        <v>-1</v>
      </c>
      <c r="AP35" s="206">
        <f t="shared" si="19"/>
        <v>0.45833333333333315</v>
      </c>
      <c r="AQ35" s="213">
        <f t="shared" si="20"/>
        <v>0.14285714285714279</v>
      </c>
      <c r="AR35" s="213">
        <f t="shared" si="20"/>
        <v>0.35714285714285721</v>
      </c>
      <c r="AS35" s="213">
        <f t="shared" si="20"/>
        <v>0</v>
      </c>
      <c r="AT35" s="213">
        <f t="shared" si="20"/>
        <v>-6.25E-2</v>
      </c>
      <c r="AU35" s="213">
        <f t="shared" si="20"/>
        <v>0</v>
      </c>
      <c r="AV35" s="213">
        <f t="shared" si="20"/>
        <v>0</v>
      </c>
      <c r="AW35" s="213">
        <f t="shared" si="20"/>
        <v>-5.8823529411764719E-2</v>
      </c>
      <c r="AY35" s="186">
        <f t="shared" si="21"/>
        <v>83.942767594650334</v>
      </c>
      <c r="AZ35" s="186">
        <f t="shared" si="21"/>
        <v>84.625123933254343</v>
      </c>
      <c r="BA35" s="186">
        <f t="shared" si="21"/>
        <v>87.407292256056834</v>
      </c>
      <c r="BB35" s="186">
        <f t="shared" si="21"/>
        <v>89.853947762560921</v>
      </c>
      <c r="BC35" s="186">
        <f t="shared" si="21"/>
        <v>94.204266523515642</v>
      </c>
      <c r="BD35" s="186">
        <f t="shared" si="21"/>
        <v>102.29287356242732</v>
      </c>
      <c r="BE35" s="186">
        <f t="shared" si="21"/>
        <v>98.204905883192808</v>
      </c>
    </row>
    <row r="36" spans="1:57" ht="12.75" x14ac:dyDescent="0.2">
      <c r="A36" s="181">
        <f t="shared" si="9"/>
        <v>96.904761904761898</v>
      </c>
      <c r="B36" s="187">
        <f t="shared" si="22"/>
        <v>0.47916666666666646</v>
      </c>
      <c r="C36" s="135">
        <v>86.433333333333337</v>
      </c>
      <c r="D36" s="135">
        <v>91.166666666666671</v>
      </c>
      <c r="E36" s="135">
        <v>92.2</v>
      </c>
      <c r="F36" s="135">
        <v>97.09999999999998</v>
      </c>
      <c r="G36" s="135">
        <v>97.8</v>
      </c>
      <c r="H36" s="135">
        <v>109.7</v>
      </c>
      <c r="I36" s="135">
        <v>103.93333333333332</v>
      </c>
      <c r="J36" s="165">
        <v>24</v>
      </c>
      <c r="K36" s="43">
        <f t="shared" si="10"/>
        <v>15</v>
      </c>
      <c r="L36" s="43">
        <f t="shared" si="11"/>
        <v>15</v>
      </c>
      <c r="M36" s="43">
        <f t="shared" si="12"/>
        <v>16</v>
      </c>
      <c r="N36" s="43">
        <f t="shared" si="13"/>
        <v>17</v>
      </c>
      <c r="O36" s="43">
        <f t="shared" si="14"/>
        <v>17</v>
      </c>
      <c r="P36" s="43">
        <f t="shared" si="15"/>
        <v>18</v>
      </c>
      <c r="Q36" s="43">
        <f t="shared" si="16"/>
        <v>17</v>
      </c>
      <c r="R36" s="165">
        <v>24</v>
      </c>
      <c r="S36" s="198">
        <v>16</v>
      </c>
      <c r="T36" s="198">
        <v>19</v>
      </c>
      <c r="U36" s="198">
        <v>15</v>
      </c>
      <c r="V36" s="198">
        <v>16</v>
      </c>
      <c r="W36" s="198">
        <v>16</v>
      </c>
      <c r="X36" s="198">
        <v>17</v>
      </c>
      <c r="Y36" s="198">
        <v>16</v>
      </c>
      <c r="AA36" s="184">
        <f t="shared" si="17"/>
        <v>0.99655069249027428</v>
      </c>
      <c r="AB36" s="184">
        <f t="shared" si="17"/>
        <v>0.99975407986010845</v>
      </c>
      <c r="AC36" s="184">
        <f t="shared" si="17"/>
        <v>0.98226689388491961</v>
      </c>
      <c r="AD36" s="184">
        <f t="shared" si="17"/>
        <v>0.98471880842491588</v>
      </c>
      <c r="AE36" s="184">
        <f t="shared" si="17"/>
        <v>0.98499240187182258</v>
      </c>
      <c r="AF36" s="184">
        <f t="shared" si="17"/>
        <v>0.97781745411223375</v>
      </c>
      <c r="AG36" s="184">
        <f t="shared" si="17"/>
        <v>0.97687596251818165</v>
      </c>
      <c r="AI36" s="214">
        <f t="shared" si="18"/>
        <v>1</v>
      </c>
      <c r="AJ36" s="214">
        <f t="shared" si="18"/>
        <v>4</v>
      </c>
      <c r="AK36" s="214">
        <f t="shared" si="18"/>
        <v>-1</v>
      </c>
      <c r="AL36" s="214">
        <f t="shared" si="18"/>
        <v>-1</v>
      </c>
      <c r="AM36" s="214">
        <f t="shared" si="18"/>
        <v>-1</v>
      </c>
      <c r="AN36" s="214">
        <f t="shared" si="18"/>
        <v>-1</v>
      </c>
      <c r="AO36" s="214">
        <f t="shared" si="18"/>
        <v>-1</v>
      </c>
      <c r="AP36" s="206">
        <f t="shared" si="19"/>
        <v>0.47916666666666646</v>
      </c>
      <c r="AQ36" s="213">
        <f t="shared" si="20"/>
        <v>6.6666666666666652E-2</v>
      </c>
      <c r="AR36" s="213">
        <f t="shared" si="20"/>
        <v>0.26666666666666661</v>
      </c>
      <c r="AS36" s="213">
        <f t="shared" si="20"/>
        <v>-6.25E-2</v>
      </c>
      <c r="AT36" s="213">
        <f t="shared" si="20"/>
        <v>-5.8823529411764719E-2</v>
      </c>
      <c r="AU36" s="213">
        <f t="shared" si="20"/>
        <v>-5.8823529411764719E-2</v>
      </c>
      <c r="AV36" s="213">
        <f t="shared" si="20"/>
        <v>-5.555555555555558E-2</v>
      </c>
      <c r="AW36" s="213">
        <f t="shared" si="20"/>
        <v>-5.8823529411764719E-2</v>
      </c>
      <c r="AY36" s="186">
        <f t="shared" si="21"/>
        <v>86.135198187576037</v>
      </c>
      <c r="AZ36" s="186">
        <f t="shared" si="21"/>
        <v>91.144246947246558</v>
      </c>
      <c r="BA36" s="186">
        <f t="shared" si="21"/>
        <v>90.56500761618959</v>
      </c>
      <c r="BB36" s="186">
        <f t="shared" si="21"/>
        <v>95.616196298059307</v>
      </c>
      <c r="BC36" s="186">
        <f t="shared" si="21"/>
        <v>96.332256903064248</v>
      </c>
      <c r="BD36" s="186">
        <f t="shared" si="21"/>
        <v>107.26657471611205</v>
      </c>
      <c r="BE36" s="186">
        <f t="shared" si="21"/>
        <v>101.52997503772301</v>
      </c>
    </row>
    <row r="37" spans="1:57" ht="12.75" x14ac:dyDescent="0.2">
      <c r="A37" s="181">
        <f t="shared" si="9"/>
        <v>99.752380952380946</v>
      </c>
      <c r="B37" s="187">
        <f t="shared" si="22"/>
        <v>0.49999999999999978</v>
      </c>
      <c r="C37" s="135">
        <v>87.600000000000009</v>
      </c>
      <c r="D37" s="135">
        <v>95.433333333333323</v>
      </c>
      <c r="E37" s="135">
        <v>95.733333333333334</v>
      </c>
      <c r="F37" s="135">
        <v>96.7</v>
      </c>
      <c r="G37" s="135">
        <v>97.433333333333337</v>
      </c>
      <c r="H37" s="135">
        <v>117.26666666666667</v>
      </c>
      <c r="I37" s="135">
        <v>108.09999999999998</v>
      </c>
      <c r="J37" s="165">
        <v>25</v>
      </c>
      <c r="K37" s="43">
        <f t="shared" si="10"/>
        <v>15</v>
      </c>
      <c r="L37" s="43">
        <f t="shared" si="11"/>
        <v>16</v>
      </c>
      <c r="M37" s="43">
        <f t="shared" si="12"/>
        <v>16</v>
      </c>
      <c r="N37" s="43">
        <f t="shared" si="13"/>
        <v>17</v>
      </c>
      <c r="O37" s="43">
        <f t="shared" si="14"/>
        <v>16</v>
      </c>
      <c r="P37" s="43">
        <f t="shared" si="15"/>
        <v>19</v>
      </c>
      <c r="Q37" s="43">
        <f t="shared" si="16"/>
        <v>18</v>
      </c>
      <c r="R37" s="165">
        <v>25</v>
      </c>
      <c r="S37" s="198">
        <v>10</v>
      </c>
      <c r="T37" s="198">
        <v>15</v>
      </c>
      <c r="U37" s="198">
        <v>13</v>
      </c>
      <c r="V37" s="198">
        <v>10</v>
      </c>
      <c r="W37" s="198">
        <v>10</v>
      </c>
      <c r="X37" s="198">
        <v>18</v>
      </c>
      <c r="Y37" s="198">
        <v>15</v>
      </c>
      <c r="AA37" s="184">
        <f t="shared" si="17"/>
        <v>0.34904936967369399</v>
      </c>
      <c r="AB37" s="184">
        <f t="shared" si="17"/>
        <v>0.97964920172813852</v>
      </c>
      <c r="AC37" s="184">
        <f t="shared" si="17"/>
        <v>0.86337416193112393</v>
      </c>
      <c r="AD37" s="184">
        <f t="shared" si="17"/>
        <v>0</v>
      </c>
      <c r="AE37" s="184">
        <f t="shared" si="17"/>
        <v>0</v>
      </c>
      <c r="AF37" s="184">
        <f t="shared" si="17"/>
        <v>0.98049096962331583</v>
      </c>
      <c r="AG37" s="184">
        <f t="shared" si="17"/>
        <v>0.92422006988163263</v>
      </c>
      <c r="AI37" s="214">
        <f t="shared" si="18"/>
        <v>-5</v>
      </c>
      <c r="AJ37" s="214">
        <f t="shared" si="18"/>
        <v>-1</v>
      </c>
      <c r="AK37" s="214">
        <f t="shared" si="18"/>
        <v>-3</v>
      </c>
      <c r="AL37" s="214">
        <f t="shared" si="18"/>
        <v>-7</v>
      </c>
      <c r="AM37" s="214">
        <f t="shared" si="18"/>
        <v>-6</v>
      </c>
      <c r="AN37" s="214">
        <f t="shared" si="18"/>
        <v>-1</v>
      </c>
      <c r="AO37" s="214">
        <f t="shared" si="18"/>
        <v>-3</v>
      </c>
      <c r="AP37" s="206">
        <f t="shared" si="19"/>
        <v>0.49999999999999978</v>
      </c>
      <c r="AQ37" s="213">
        <f t="shared" si="20"/>
        <v>-0.33333333333333337</v>
      </c>
      <c r="AR37" s="213">
        <f t="shared" si="20"/>
        <v>-6.25E-2</v>
      </c>
      <c r="AS37" s="213">
        <f t="shared" si="20"/>
        <v>-0.1875</v>
      </c>
      <c r="AT37" s="213">
        <f t="shared" si="20"/>
        <v>-0.41176470588235292</v>
      </c>
      <c r="AU37" s="213">
        <f t="shared" si="20"/>
        <v>-0.375</v>
      </c>
      <c r="AV37" s="213">
        <f t="shared" si="20"/>
        <v>-5.2631578947368474E-2</v>
      </c>
      <c r="AW37" s="213">
        <f t="shared" si="20"/>
        <v>-0.16666666666666663</v>
      </c>
      <c r="AY37" s="186">
        <f t="shared" si="21"/>
        <v>30.576724783415596</v>
      </c>
      <c r="AZ37" s="186">
        <f t="shared" si="21"/>
        <v>93.491188818255338</v>
      </c>
      <c r="BA37" s="186">
        <f t="shared" si="21"/>
        <v>82.653686435539598</v>
      </c>
      <c r="BB37" s="186">
        <f t="shared" si="21"/>
        <v>0</v>
      </c>
      <c r="BC37" s="186">
        <f t="shared" si="21"/>
        <v>0</v>
      </c>
      <c r="BD37" s="186">
        <f t="shared" si="21"/>
        <v>114.97890770449416</v>
      </c>
      <c r="BE37" s="186">
        <f t="shared" si="21"/>
        <v>99.908189554204469</v>
      </c>
    </row>
    <row r="38" spans="1:57" ht="12.75" x14ac:dyDescent="0.2">
      <c r="A38" s="181">
        <f t="shared" si="9"/>
        <v>103.79047619047618</v>
      </c>
      <c r="B38" s="187">
        <f t="shared" si="22"/>
        <v>0.52083333333333315</v>
      </c>
      <c r="C38" s="135">
        <v>90.766666666666666</v>
      </c>
      <c r="D38" s="135">
        <v>100.13333333333333</v>
      </c>
      <c r="E38" s="135">
        <v>101.2</v>
      </c>
      <c r="F38" s="135">
        <v>101.93333333333334</v>
      </c>
      <c r="G38" s="135">
        <v>96.866666666666674</v>
      </c>
      <c r="H38" s="135">
        <v>121.36666666666667</v>
      </c>
      <c r="I38" s="135">
        <v>114.26666666666667</v>
      </c>
      <c r="J38" s="165">
        <v>26</v>
      </c>
      <c r="K38" s="43">
        <f t="shared" si="10"/>
        <v>15</v>
      </c>
      <c r="L38" s="43">
        <f t="shared" si="11"/>
        <v>16</v>
      </c>
      <c r="M38" s="43">
        <f t="shared" si="12"/>
        <v>17</v>
      </c>
      <c r="N38" s="43">
        <f t="shared" si="13"/>
        <v>17</v>
      </c>
      <c r="O38" s="43">
        <f t="shared" si="14"/>
        <v>16</v>
      </c>
      <c r="P38" s="43">
        <f t="shared" si="15"/>
        <v>20</v>
      </c>
      <c r="Q38" s="43">
        <f t="shared" si="16"/>
        <v>19</v>
      </c>
      <c r="R38" s="165">
        <v>26</v>
      </c>
      <c r="S38" s="198">
        <v>15</v>
      </c>
      <c r="T38" s="198">
        <v>16</v>
      </c>
      <c r="U38" s="198">
        <v>15</v>
      </c>
      <c r="V38" s="198">
        <v>16</v>
      </c>
      <c r="W38" s="198">
        <v>15</v>
      </c>
      <c r="X38" s="198">
        <v>18</v>
      </c>
      <c r="Y38" s="198">
        <v>15</v>
      </c>
      <c r="AA38" s="184">
        <f t="shared" si="17"/>
        <v>0.98410138187536955</v>
      </c>
      <c r="AB38" s="184">
        <f t="shared" si="17"/>
        <v>0.9856380342433978</v>
      </c>
      <c r="AC38" s="184">
        <f t="shared" si="17"/>
        <v>0.95555831799243929</v>
      </c>
      <c r="AD38" s="184">
        <f t="shared" si="17"/>
        <v>0.97422853414181254</v>
      </c>
      <c r="AE38" s="184">
        <f t="shared" si="17"/>
        <v>0.96825321417971899</v>
      </c>
      <c r="AF38" s="184">
        <f t="shared" si="17"/>
        <v>0.97142900986123237</v>
      </c>
      <c r="AG38" s="184">
        <f t="shared" si="17"/>
        <v>0.87292217131166516</v>
      </c>
      <c r="AI38" s="214">
        <f t="shared" si="18"/>
        <v>0</v>
      </c>
      <c r="AJ38" s="214">
        <f t="shared" si="18"/>
        <v>0</v>
      </c>
      <c r="AK38" s="214">
        <f t="shared" si="18"/>
        <v>-2</v>
      </c>
      <c r="AL38" s="214">
        <f t="shared" si="18"/>
        <v>-1</v>
      </c>
      <c r="AM38" s="214">
        <f t="shared" si="18"/>
        <v>-1</v>
      </c>
      <c r="AN38" s="214">
        <f t="shared" si="18"/>
        <v>-2</v>
      </c>
      <c r="AO38" s="214">
        <f t="shared" si="18"/>
        <v>-4</v>
      </c>
      <c r="AP38" s="206">
        <f t="shared" si="19"/>
        <v>0.52083333333333315</v>
      </c>
      <c r="AQ38" s="213">
        <f t="shared" si="20"/>
        <v>0</v>
      </c>
      <c r="AR38" s="213">
        <f t="shared" si="20"/>
        <v>0</v>
      </c>
      <c r="AS38" s="213">
        <f t="shared" si="20"/>
        <v>-0.11764705882352944</v>
      </c>
      <c r="AT38" s="213">
        <f t="shared" si="20"/>
        <v>-5.8823529411764719E-2</v>
      </c>
      <c r="AU38" s="213">
        <f t="shared" si="20"/>
        <v>-6.25E-2</v>
      </c>
      <c r="AV38" s="213">
        <f t="shared" si="20"/>
        <v>-9.9999999999999978E-2</v>
      </c>
      <c r="AW38" s="213">
        <f t="shared" si="20"/>
        <v>-0.21052631578947367</v>
      </c>
      <c r="AY38" s="186">
        <f t="shared" si="21"/>
        <v>89.323602094887704</v>
      </c>
      <c r="AZ38" s="186">
        <f t="shared" si="21"/>
        <v>98.695221828905559</v>
      </c>
      <c r="BA38" s="186">
        <f t="shared" si="21"/>
        <v>96.702501780834865</v>
      </c>
      <c r="BB38" s="186">
        <f t="shared" si="21"/>
        <v>99.306361913522096</v>
      </c>
      <c r="BC38" s="186">
        <f t="shared" si="21"/>
        <v>93.791461346875451</v>
      </c>
      <c r="BD38" s="186">
        <f t="shared" si="21"/>
        <v>117.89910083015825</v>
      </c>
      <c r="BE38" s="186">
        <f t="shared" si="21"/>
        <v>99.745906775212944</v>
      </c>
    </row>
    <row r="39" spans="1:57" ht="13.5" customHeight="1" x14ac:dyDescent="0.2">
      <c r="A39" s="181">
        <f t="shared" si="9"/>
        <v>103.5095238095238</v>
      </c>
      <c r="B39" s="187">
        <f t="shared" si="22"/>
        <v>0.54166666666666652</v>
      </c>
      <c r="C39" s="135">
        <v>91.066666666666663</v>
      </c>
      <c r="D39" s="135">
        <v>97.800000000000011</v>
      </c>
      <c r="E39" s="135">
        <v>101.83333333333333</v>
      </c>
      <c r="F39" s="135">
        <v>104.73333333333333</v>
      </c>
      <c r="G39" s="135">
        <v>95.166666666666671</v>
      </c>
      <c r="H39" s="135">
        <v>118.43333333333334</v>
      </c>
      <c r="I39" s="135">
        <v>115.53333333333335</v>
      </c>
      <c r="J39" s="165">
        <v>27</v>
      </c>
      <c r="K39" s="43">
        <f t="shared" si="10"/>
        <v>15</v>
      </c>
      <c r="L39" s="43">
        <f t="shared" si="11"/>
        <v>16</v>
      </c>
      <c r="M39" s="43">
        <f t="shared" si="12"/>
        <v>17</v>
      </c>
      <c r="N39" s="43">
        <f t="shared" si="13"/>
        <v>18</v>
      </c>
      <c r="O39" s="43">
        <f t="shared" si="14"/>
        <v>16</v>
      </c>
      <c r="P39" s="43">
        <f t="shared" si="15"/>
        <v>20</v>
      </c>
      <c r="Q39" s="43">
        <f t="shared" si="16"/>
        <v>19</v>
      </c>
      <c r="R39" s="165">
        <v>27</v>
      </c>
      <c r="S39" s="198">
        <v>14</v>
      </c>
      <c r="T39" s="198">
        <v>15</v>
      </c>
      <c r="U39" s="198">
        <v>18</v>
      </c>
      <c r="V39" s="198">
        <v>13</v>
      </c>
      <c r="W39" s="198">
        <v>12</v>
      </c>
      <c r="X39" s="198">
        <v>24</v>
      </c>
      <c r="Y39" s="198">
        <v>20</v>
      </c>
      <c r="AA39" s="184">
        <f t="shared" si="17"/>
        <v>0.96209117456834514</v>
      </c>
      <c r="AB39" s="184">
        <f t="shared" si="17"/>
        <v>0.97228486821250504</v>
      </c>
      <c r="AC39" s="184">
        <f t="shared" si="17"/>
        <v>0.99634916411091445</v>
      </c>
      <c r="AD39" s="184">
        <f t="shared" si="17"/>
        <v>0.66710275873926372</v>
      </c>
      <c r="AE39" s="184">
        <f t="shared" si="17"/>
        <v>0.72107993830996653</v>
      </c>
      <c r="AF39" s="184">
        <f t="shared" si="17"/>
        <v>0.99990930112967213</v>
      </c>
      <c r="AG39" s="184">
        <f t="shared" si="17"/>
        <v>0.99748167394217269</v>
      </c>
      <c r="AI39" s="214">
        <f t="shared" si="18"/>
        <v>-1</v>
      </c>
      <c r="AJ39" s="214">
        <f t="shared" si="18"/>
        <v>-1</v>
      </c>
      <c r="AK39" s="214">
        <f t="shared" si="18"/>
        <v>1</v>
      </c>
      <c r="AL39" s="214">
        <f t="shared" si="18"/>
        <v>-5</v>
      </c>
      <c r="AM39" s="214">
        <f t="shared" si="18"/>
        <v>-4</v>
      </c>
      <c r="AN39" s="218">
        <f>X39-P39</f>
        <v>4</v>
      </c>
      <c r="AO39" s="214">
        <f t="shared" si="18"/>
        <v>1</v>
      </c>
      <c r="AP39" s="206">
        <f t="shared" si="19"/>
        <v>0.54166666666666652</v>
      </c>
      <c r="AQ39" s="213">
        <f t="shared" si="20"/>
        <v>-6.6666666666666652E-2</v>
      </c>
      <c r="AR39" s="213">
        <f t="shared" si="20"/>
        <v>-6.25E-2</v>
      </c>
      <c r="AS39" s="213">
        <f t="shared" si="20"/>
        <v>5.8823529411764719E-2</v>
      </c>
      <c r="AT39" s="213">
        <f t="shared" si="20"/>
        <v>-0.27777777777777779</v>
      </c>
      <c r="AU39" s="213">
        <f t="shared" si="20"/>
        <v>-0.25</v>
      </c>
      <c r="AV39" s="213">
        <f t="shared" si="20"/>
        <v>0.19999999999999996</v>
      </c>
      <c r="AW39" s="213">
        <f t="shared" si="20"/>
        <v>5.2631578947368363E-2</v>
      </c>
      <c r="AY39" s="186">
        <f t="shared" si="21"/>
        <v>87.614436297357301</v>
      </c>
      <c r="AZ39" s="186">
        <f t="shared" si="21"/>
        <v>95.089460111183001</v>
      </c>
      <c r="BA39" s="186">
        <f t="shared" si="21"/>
        <v>101.46155654529478</v>
      </c>
      <c r="BB39" s="186">
        <f t="shared" si="21"/>
        <v>69.867895598625552</v>
      </c>
      <c r="BC39" s="186">
        <f t="shared" si="21"/>
        <v>68.622774129165151</v>
      </c>
      <c r="BD39" s="186">
        <f t="shared" si="21"/>
        <v>118.42259156379085</v>
      </c>
      <c r="BE39" s="186">
        <f t="shared" si="21"/>
        <v>115.24238272945236</v>
      </c>
    </row>
    <row r="40" spans="1:57" ht="13.5" customHeight="1" x14ac:dyDescent="0.2">
      <c r="A40" s="181">
        <f t="shared" si="9"/>
        <v>102.09047619047621</v>
      </c>
      <c r="B40" s="187">
        <f t="shared" si="22"/>
        <v>0.56249999999999989</v>
      </c>
      <c r="C40" s="135">
        <v>90.966666666666654</v>
      </c>
      <c r="D40" s="135">
        <v>96.899999999999991</v>
      </c>
      <c r="E40" s="135">
        <v>98.633333333333326</v>
      </c>
      <c r="F40" s="135">
        <v>107.66666666666667</v>
      </c>
      <c r="G40" s="135">
        <v>93.833333333333329</v>
      </c>
      <c r="H40" s="135">
        <v>111.43333333333334</v>
      </c>
      <c r="I40" s="135">
        <v>115.2</v>
      </c>
      <c r="J40" s="165">
        <v>28</v>
      </c>
      <c r="K40" s="43">
        <f t="shared" si="10"/>
        <v>15</v>
      </c>
      <c r="L40" s="43">
        <f t="shared" si="11"/>
        <v>16</v>
      </c>
      <c r="M40" s="43">
        <f t="shared" si="12"/>
        <v>17</v>
      </c>
      <c r="N40" s="43">
        <f t="shared" si="13"/>
        <v>18</v>
      </c>
      <c r="O40" s="43">
        <f t="shared" si="14"/>
        <v>16</v>
      </c>
      <c r="P40" s="43">
        <f t="shared" si="15"/>
        <v>19</v>
      </c>
      <c r="Q40" s="43">
        <f t="shared" si="16"/>
        <v>19</v>
      </c>
      <c r="R40" s="165">
        <v>28</v>
      </c>
      <c r="S40" s="198">
        <v>13</v>
      </c>
      <c r="T40" s="198">
        <v>15</v>
      </c>
      <c r="U40" s="198">
        <v>18</v>
      </c>
      <c r="V40" s="198">
        <v>13</v>
      </c>
      <c r="W40" s="198">
        <v>12</v>
      </c>
      <c r="X40" s="198">
        <v>23</v>
      </c>
      <c r="Y40" s="198">
        <v>19</v>
      </c>
      <c r="AA40" s="184">
        <f t="shared" si="17"/>
        <v>0.91334870042333671</v>
      </c>
      <c r="AB40" s="184">
        <f t="shared" si="17"/>
        <v>0.97496224600807013</v>
      </c>
      <c r="AC40" s="184">
        <f t="shared" si="17"/>
        <v>0.99745291303142303</v>
      </c>
      <c r="AD40" s="184">
        <f t="shared" si="17"/>
        <v>0.57976832052070937</v>
      </c>
      <c r="AE40" s="184">
        <f t="shared" si="17"/>
        <v>0.74330940238539744</v>
      </c>
      <c r="AF40" s="184">
        <f t="shared" si="17"/>
        <v>0.99990546255915169</v>
      </c>
      <c r="AG40" s="184">
        <f t="shared" si="17"/>
        <v>0.99449599511056996</v>
      </c>
      <c r="AI40" s="214">
        <f t="shared" si="18"/>
        <v>-2</v>
      </c>
      <c r="AJ40" s="214">
        <f t="shared" si="18"/>
        <v>-1</v>
      </c>
      <c r="AK40" s="214">
        <f t="shared" si="18"/>
        <v>1</v>
      </c>
      <c r="AL40" s="214">
        <f t="shared" si="18"/>
        <v>-5</v>
      </c>
      <c r="AM40" s="214">
        <f t="shared" si="18"/>
        <v>-4</v>
      </c>
      <c r="AN40" s="214">
        <f t="shared" si="18"/>
        <v>4</v>
      </c>
      <c r="AO40" s="214">
        <f t="shared" si="18"/>
        <v>0</v>
      </c>
      <c r="AP40" s="206">
        <f t="shared" si="19"/>
        <v>0.56249999999999989</v>
      </c>
      <c r="AQ40" s="213">
        <f t="shared" si="20"/>
        <v>-0.1333333333333333</v>
      </c>
      <c r="AR40" s="213">
        <f t="shared" si="20"/>
        <v>-6.25E-2</v>
      </c>
      <c r="AS40" s="213">
        <f t="shared" si="20"/>
        <v>5.8823529411764719E-2</v>
      </c>
      <c r="AT40" s="213">
        <f t="shared" si="20"/>
        <v>-0.27777777777777779</v>
      </c>
      <c r="AU40" s="213">
        <f t="shared" si="20"/>
        <v>-0.25</v>
      </c>
      <c r="AV40" s="213">
        <f t="shared" si="20"/>
        <v>0.21052631578947367</v>
      </c>
      <c r="AW40" s="213">
        <f t="shared" si="20"/>
        <v>0</v>
      </c>
      <c r="AY40" s="186">
        <f t="shared" si="21"/>
        <v>83.084286781842849</v>
      </c>
      <c r="AZ40" s="186">
        <f t="shared" si="21"/>
        <v>94.473841638181995</v>
      </c>
      <c r="BA40" s="186">
        <f t="shared" si="21"/>
        <v>98.38210565533268</v>
      </c>
      <c r="BB40" s="186">
        <f t="shared" si="21"/>
        <v>62.421722509396375</v>
      </c>
      <c r="BC40" s="186">
        <f t="shared" si="21"/>
        <v>69.747198923829785</v>
      </c>
      <c r="BD40" s="186">
        <f t="shared" si="21"/>
        <v>111.42279871117481</v>
      </c>
      <c r="BE40" s="186">
        <f t="shared" si="21"/>
        <v>114.56593863673766</v>
      </c>
    </row>
    <row r="41" spans="1:57" ht="13.5" customHeight="1" x14ac:dyDescent="0.2">
      <c r="A41" s="181">
        <f t="shared" si="9"/>
        <v>101.16666666666666</v>
      </c>
      <c r="B41" s="187">
        <f t="shared" si="22"/>
        <v>0.58333333333333326</v>
      </c>
      <c r="C41" s="135">
        <v>91.100000000000009</v>
      </c>
      <c r="D41" s="135">
        <v>95.5</v>
      </c>
      <c r="E41" s="135">
        <v>99.566666666666677</v>
      </c>
      <c r="F41" s="135">
        <v>106.26666666666667</v>
      </c>
      <c r="G41" s="135">
        <v>95.466666666666654</v>
      </c>
      <c r="H41" s="135">
        <v>107.23333333333333</v>
      </c>
      <c r="I41" s="135">
        <v>113.03333333333335</v>
      </c>
      <c r="J41" s="165">
        <v>29</v>
      </c>
      <c r="K41" s="43">
        <f t="shared" si="10"/>
        <v>15</v>
      </c>
      <c r="L41" s="43">
        <f t="shared" si="11"/>
        <v>16</v>
      </c>
      <c r="M41" s="43">
        <f t="shared" si="12"/>
        <v>17</v>
      </c>
      <c r="N41" s="43">
        <f t="shared" si="13"/>
        <v>18</v>
      </c>
      <c r="O41" s="43">
        <f t="shared" si="14"/>
        <v>16</v>
      </c>
      <c r="P41" s="43">
        <f t="shared" si="15"/>
        <v>18</v>
      </c>
      <c r="Q41" s="43">
        <f t="shared" si="16"/>
        <v>19</v>
      </c>
      <c r="R41" s="165">
        <v>29</v>
      </c>
      <c r="S41" s="198">
        <v>15</v>
      </c>
      <c r="T41" s="198">
        <v>16</v>
      </c>
      <c r="U41" s="198">
        <v>17</v>
      </c>
      <c r="V41" s="198">
        <v>17</v>
      </c>
      <c r="W41" s="198">
        <v>15</v>
      </c>
      <c r="X41" s="198">
        <v>19</v>
      </c>
      <c r="Y41" s="198">
        <v>18</v>
      </c>
      <c r="AA41" s="184">
        <f t="shared" si="17"/>
        <v>0.98410138187536955</v>
      </c>
      <c r="AB41" s="184">
        <f t="shared" si="17"/>
        <v>0.99070237039603182</v>
      </c>
      <c r="AC41" s="184">
        <f t="shared" si="17"/>
        <v>0.99277692225065806</v>
      </c>
      <c r="AD41" s="184">
        <f t="shared" si="17"/>
        <v>0.98314395332104987</v>
      </c>
      <c r="AE41" s="184">
        <f t="shared" si="17"/>
        <v>0.97412855558646239</v>
      </c>
      <c r="AF41" s="184">
        <f t="shared" si="17"/>
        <v>0.99717993036730768</v>
      </c>
      <c r="AG41" s="184">
        <f t="shared" si="17"/>
        <v>0.98940282018171022</v>
      </c>
      <c r="AI41" s="214">
        <f t="shared" si="18"/>
        <v>0</v>
      </c>
      <c r="AJ41" s="214">
        <f t="shared" si="18"/>
        <v>0</v>
      </c>
      <c r="AK41" s="214">
        <f t="shared" si="18"/>
        <v>0</v>
      </c>
      <c r="AL41" s="214">
        <f t="shared" si="18"/>
        <v>-1</v>
      </c>
      <c r="AM41" s="214">
        <f t="shared" si="18"/>
        <v>-1</v>
      </c>
      <c r="AN41" s="214">
        <f t="shared" si="18"/>
        <v>1</v>
      </c>
      <c r="AO41" s="214">
        <f t="shared" si="18"/>
        <v>-1</v>
      </c>
      <c r="AP41" s="206">
        <f t="shared" si="19"/>
        <v>0.58333333333333326</v>
      </c>
      <c r="AQ41" s="213">
        <f t="shared" si="20"/>
        <v>0</v>
      </c>
      <c r="AR41" s="213">
        <f t="shared" si="20"/>
        <v>0</v>
      </c>
      <c r="AS41" s="213">
        <f t="shared" si="20"/>
        <v>0</v>
      </c>
      <c r="AT41" s="213">
        <f t="shared" si="20"/>
        <v>-5.555555555555558E-2</v>
      </c>
      <c r="AU41" s="213">
        <f t="shared" si="20"/>
        <v>-6.25E-2</v>
      </c>
      <c r="AV41" s="213">
        <f t="shared" si="20"/>
        <v>5.555555555555558E-2</v>
      </c>
      <c r="AW41" s="213">
        <f t="shared" si="20"/>
        <v>-5.2631578947368474E-2</v>
      </c>
      <c r="AY41" s="186">
        <f t="shared" si="21"/>
        <v>89.651635888846172</v>
      </c>
      <c r="AZ41" s="186">
        <f t="shared" si="21"/>
        <v>94.612076372821036</v>
      </c>
      <c r="BA41" s="186">
        <f t="shared" si="21"/>
        <v>98.847488892090524</v>
      </c>
      <c r="BB41" s="186">
        <f t="shared" si="21"/>
        <v>104.47543077291689</v>
      </c>
      <c r="BC41" s="186">
        <f t="shared" si="21"/>
        <v>92.996806106654262</v>
      </c>
      <c r="BD41" s="186">
        <f t="shared" si="21"/>
        <v>106.93092786638763</v>
      </c>
      <c r="BE41" s="186">
        <f t="shared" si="21"/>
        <v>111.83549877453932</v>
      </c>
    </row>
    <row r="42" spans="1:57" ht="13.5" customHeight="1" x14ac:dyDescent="0.2">
      <c r="A42" s="181">
        <f t="shared" si="9"/>
        <v>102.34285714285714</v>
      </c>
      <c r="B42" s="187">
        <f t="shared" si="22"/>
        <v>0.60416666666666663</v>
      </c>
      <c r="C42" s="135">
        <v>92.966666666666683</v>
      </c>
      <c r="D42" s="135">
        <v>96.866666666666674</v>
      </c>
      <c r="E42" s="135">
        <v>101.86666666666667</v>
      </c>
      <c r="F42" s="135">
        <v>105.60000000000001</v>
      </c>
      <c r="G42" s="135">
        <v>102.36666666666667</v>
      </c>
      <c r="H42" s="135">
        <v>105.06666666666666</v>
      </c>
      <c r="I42" s="135">
        <v>111.66666666666667</v>
      </c>
      <c r="J42" s="165">
        <v>30</v>
      </c>
      <c r="K42" s="43">
        <f t="shared" si="10"/>
        <v>16</v>
      </c>
      <c r="L42" s="43">
        <f t="shared" si="11"/>
        <v>16</v>
      </c>
      <c r="M42" s="43">
        <f t="shared" si="12"/>
        <v>17</v>
      </c>
      <c r="N42" s="43">
        <f t="shared" si="13"/>
        <v>18</v>
      </c>
      <c r="O42" s="43">
        <f t="shared" si="14"/>
        <v>17</v>
      </c>
      <c r="P42" s="43">
        <f t="shared" si="15"/>
        <v>18</v>
      </c>
      <c r="Q42" s="43">
        <f t="shared" si="16"/>
        <v>18</v>
      </c>
      <c r="R42" s="165">
        <v>30</v>
      </c>
      <c r="S42" s="198">
        <v>15</v>
      </c>
      <c r="T42" s="198">
        <v>16</v>
      </c>
      <c r="U42" s="198">
        <v>17</v>
      </c>
      <c r="V42" s="198">
        <v>17</v>
      </c>
      <c r="W42" s="198">
        <v>15</v>
      </c>
      <c r="X42" s="198">
        <v>19</v>
      </c>
      <c r="Y42" s="198">
        <v>18</v>
      </c>
      <c r="AA42" s="184">
        <f t="shared" si="17"/>
        <v>0.98025088704486818</v>
      </c>
      <c r="AB42" s="184">
        <f t="shared" si="17"/>
        <v>0.98961191270964444</v>
      </c>
      <c r="AC42" s="184">
        <f t="shared" si="17"/>
        <v>0.99097874035929834</v>
      </c>
      <c r="AD42" s="184">
        <f t="shared" si="17"/>
        <v>0.98314395332104987</v>
      </c>
      <c r="AE42" s="184">
        <f t="shared" si="17"/>
        <v>0.94823599388860702</v>
      </c>
      <c r="AF42" s="184">
        <f t="shared" si="17"/>
        <v>0.99777734206822766</v>
      </c>
      <c r="AG42" s="184">
        <f t="shared" si="17"/>
        <v>0.99044776437309157</v>
      </c>
      <c r="AI42" s="214">
        <f t="shared" si="18"/>
        <v>-1</v>
      </c>
      <c r="AJ42" s="214">
        <f t="shared" si="18"/>
        <v>0</v>
      </c>
      <c r="AK42" s="214">
        <f t="shared" si="18"/>
        <v>0</v>
      </c>
      <c r="AL42" s="214">
        <f t="shared" si="18"/>
        <v>-1</v>
      </c>
      <c r="AM42" s="214">
        <f t="shared" si="18"/>
        <v>-2</v>
      </c>
      <c r="AN42" s="214">
        <f t="shared" si="18"/>
        <v>1</v>
      </c>
      <c r="AO42" s="214">
        <f t="shared" si="18"/>
        <v>0</v>
      </c>
      <c r="AP42" s="206">
        <f t="shared" si="19"/>
        <v>0.60416666666666663</v>
      </c>
      <c r="AQ42" s="213">
        <f t="shared" si="20"/>
        <v>-6.25E-2</v>
      </c>
      <c r="AR42" s="213">
        <f t="shared" si="20"/>
        <v>0</v>
      </c>
      <c r="AS42" s="213">
        <f t="shared" si="20"/>
        <v>0</v>
      </c>
      <c r="AT42" s="213">
        <f t="shared" si="20"/>
        <v>-5.555555555555558E-2</v>
      </c>
      <c r="AU42" s="213">
        <f t="shared" si="20"/>
        <v>-0.11764705882352944</v>
      </c>
      <c r="AV42" s="213">
        <f t="shared" si="20"/>
        <v>5.555555555555558E-2</v>
      </c>
      <c r="AW42" s="213">
        <f t="shared" si="20"/>
        <v>0</v>
      </c>
      <c r="AY42" s="186">
        <f t="shared" si="21"/>
        <v>91.1306574656046</v>
      </c>
      <c r="AZ42" s="186">
        <f t="shared" si="21"/>
        <v>95.860407277807568</v>
      </c>
      <c r="BA42" s="186">
        <f t="shared" si="21"/>
        <v>100.94770101793387</v>
      </c>
      <c r="BB42" s="186">
        <f t="shared" si="21"/>
        <v>103.82000147070288</v>
      </c>
      <c r="BC42" s="186">
        <f t="shared" si="21"/>
        <v>97.06775790773041</v>
      </c>
      <c r="BD42" s="186">
        <f t="shared" si="21"/>
        <v>104.83313940663511</v>
      </c>
      <c r="BE42" s="186">
        <f t="shared" si="21"/>
        <v>110.60000035499523</v>
      </c>
    </row>
    <row r="43" spans="1:57" ht="13.5" customHeight="1" x14ac:dyDescent="0.2">
      <c r="A43" s="181">
        <f t="shared" si="9"/>
        <v>104.29523809523809</v>
      </c>
      <c r="B43" s="187">
        <f t="shared" si="22"/>
        <v>0.625</v>
      </c>
      <c r="C43" s="135">
        <v>97.7</v>
      </c>
      <c r="D43" s="135">
        <v>97.933333333333337</v>
      </c>
      <c r="E43" s="135">
        <v>106.13333333333333</v>
      </c>
      <c r="F43" s="135">
        <v>104.26666666666667</v>
      </c>
      <c r="G43" s="135">
        <v>106.03333333333335</v>
      </c>
      <c r="H43" s="135">
        <v>105.56666666666666</v>
      </c>
      <c r="I43" s="135">
        <v>112.43333333333334</v>
      </c>
      <c r="J43" s="165">
        <v>31</v>
      </c>
      <c r="K43" s="43">
        <f t="shared" si="10"/>
        <v>16</v>
      </c>
      <c r="L43" s="43">
        <f t="shared" si="11"/>
        <v>16</v>
      </c>
      <c r="M43" s="43">
        <f t="shared" si="12"/>
        <v>18</v>
      </c>
      <c r="N43" s="43">
        <f t="shared" si="13"/>
        <v>18</v>
      </c>
      <c r="O43" s="43">
        <f t="shared" si="14"/>
        <v>18</v>
      </c>
      <c r="P43" s="43">
        <f t="shared" si="15"/>
        <v>18</v>
      </c>
      <c r="Q43" s="43">
        <f t="shared" si="16"/>
        <v>18</v>
      </c>
      <c r="R43" s="165">
        <v>31</v>
      </c>
      <c r="S43" s="198">
        <v>16</v>
      </c>
      <c r="T43" s="198">
        <v>17</v>
      </c>
      <c r="U43" s="198">
        <v>18</v>
      </c>
      <c r="V43" s="198">
        <v>17</v>
      </c>
      <c r="W43" s="198">
        <v>17</v>
      </c>
      <c r="X43" s="198">
        <v>18</v>
      </c>
      <c r="Y43" s="198">
        <v>21</v>
      </c>
      <c r="AA43" s="184">
        <f t="shared" si="17"/>
        <v>0.98591776199899983</v>
      </c>
      <c r="AB43" s="184">
        <f t="shared" si="17"/>
        <v>0.99535103253239199</v>
      </c>
      <c r="AC43" s="184">
        <f t="shared" si="17"/>
        <v>0.9942261696574044</v>
      </c>
      <c r="AD43" s="184">
        <f t="shared" si="17"/>
        <v>0.98632356325997039</v>
      </c>
      <c r="AE43" s="184">
        <f t="shared" si="17"/>
        <v>0.98521267669602075</v>
      </c>
      <c r="AF43" s="184">
        <f t="shared" si="17"/>
        <v>0.99379401962163083</v>
      </c>
      <c r="AG43" s="184">
        <f t="shared" si="17"/>
        <v>0.99939139763401008</v>
      </c>
      <c r="AI43" s="214">
        <f t="shared" si="18"/>
        <v>0</v>
      </c>
      <c r="AJ43" s="214">
        <f t="shared" si="18"/>
        <v>1</v>
      </c>
      <c r="AK43" s="214">
        <f t="shared" si="18"/>
        <v>0</v>
      </c>
      <c r="AL43" s="214">
        <f t="shared" si="18"/>
        <v>-1</v>
      </c>
      <c r="AM43" s="214">
        <f t="shared" si="18"/>
        <v>-1</v>
      </c>
      <c r="AN43" s="214">
        <f t="shared" si="18"/>
        <v>0</v>
      </c>
      <c r="AO43" s="214">
        <f t="shared" si="18"/>
        <v>3</v>
      </c>
      <c r="AP43" s="206">
        <f t="shared" si="19"/>
        <v>0.625</v>
      </c>
      <c r="AQ43" s="213">
        <f t="shared" si="20"/>
        <v>0</v>
      </c>
      <c r="AR43" s="213">
        <f t="shared" si="20"/>
        <v>6.25E-2</v>
      </c>
      <c r="AS43" s="213">
        <f t="shared" si="20"/>
        <v>0</v>
      </c>
      <c r="AT43" s="213">
        <f t="shared" si="20"/>
        <v>-5.555555555555558E-2</v>
      </c>
      <c r="AU43" s="213">
        <f t="shared" si="20"/>
        <v>-5.555555555555558E-2</v>
      </c>
      <c r="AV43" s="213">
        <f t="shared" si="20"/>
        <v>0</v>
      </c>
      <c r="AW43" s="213">
        <f t="shared" si="20"/>
        <v>0.16666666666666674</v>
      </c>
      <c r="AY43" s="186">
        <f t="shared" si="21"/>
        <v>96.324165347302284</v>
      </c>
      <c r="AZ43" s="186">
        <f t="shared" si="21"/>
        <v>97.478044452672265</v>
      </c>
      <c r="BA43" s="186">
        <f t="shared" si="21"/>
        <v>105.52053747297251</v>
      </c>
      <c r="BB43" s="186">
        <f t="shared" si="21"/>
        <v>102.84067019590624</v>
      </c>
      <c r="BC43" s="186">
        <f t="shared" si="21"/>
        <v>104.46538415233475</v>
      </c>
      <c r="BD43" s="186">
        <f t="shared" si="21"/>
        <v>104.91152200472349</v>
      </c>
      <c r="BE43" s="186">
        <f t="shared" si="21"/>
        <v>112.36490614065053</v>
      </c>
    </row>
    <row r="44" spans="1:57" ht="12.75" x14ac:dyDescent="0.2">
      <c r="A44" s="181">
        <f t="shared" si="9"/>
        <v>102.61904761904762</v>
      </c>
      <c r="B44" s="187">
        <f t="shared" si="22"/>
        <v>0.64583333333333337</v>
      </c>
      <c r="C44" s="135">
        <v>96.666666666666671</v>
      </c>
      <c r="D44" s="135">
        <v>97.933333333333337</v>
      </c>
      <c r="E44" s="135">
        <v>101.60000000000001</v>
      </c>
      <c r="F44" s="135">
        <v>103.86666666666667</v>
      </c>
      <c r="G44" s="135">
        <v>104.2</v>
      </c>
      <c r="H44" s="135">
        <v>103.56666666666666</v>
      </c>
      <c r="I44" s="135">
        <v>110.5</v>
      </c>
      <c r="J44" s="165">
        <v>32</v>
      </c>
      <c r="K44" s="43">
        <f t="shared" si="10"/>
        <v>16</v>
      </c>
      <c r="L44" s="43">
        <f t="shared" si="11"/>
        <v>16</v>
      </c>
      <c r="M44" s="43">
        <f t="shared" si="12"/>
        <v>17</v>
      </c>
      <c r="N44" s="43">
        <f t="shared" si="13"/>
        <v>18</v>
      </c>
      <c r="O44" s="43">
        <f t="shared" si="14"/>
        <v>17</v>
      </c>
      <c r="P44" s="43">
        <f t="shared" si="15"/>
        <v>17</v>
      </c>
      <c r="Q44" s="43">
        <f t="shared" si="16"/>
        <v>18</v>
      </c>
      <c r="R44" s="165">
        <v>32</v>
      </c>
      <c r="S44" s="198">
        <v>16</v>
      </c>
      <c r="T44" s="198">
        <v>17</v>
      </c>
      <c r="U44" s="198">
        <v>18</v>
      </c>
      <c r="V44" s="198">
        <v>17</v>
      </c>
      <c r="W44" s="198">
        <v>17</v>
      </c>
      <c r="X44" s="198">
        <v>18</v>
      </c>
      <c r="Y44" s="198">
        <v>18</v>
      </c>
      <c r="AA44" s="184">
        <f t="shared" si="17"/>
        <v>0.98736389321292428</v>
      </c>
      <c r="AB44" s="184">
        <f t="shared" si="17"/>
        <v>0.99535103253239199</v>
      </c>
      <c r="AC44" s="184">
        <f t="shared" si="17"/>
        <v>0.99634916411091445</v>
      </c>
      <c r="AD44" s="184">
        <f t="shared" si="17"/>
        <v>0.98632356325997039</v>
      </c>
      <c r="AE44" s="184">
        <f t="shared" si="17"/>
        <v>0.98801874013934932</v>
      </c>
      <c r="AF44" s="184">
        <f t="shared" si="17"/>
        <v>0.99504672326906973</v>
      </c>
      <c r="AG44" s="184">
        <f t="shared" si="17"/>
        <v>0.99226783598611956</v>
      </c>
      <c r="AI44" s="214">
        <f t="shared" si="18"/>
        <v>0</v>
      </c>
      <c r="AJ44" s="214">
        <f t="shared" si="18"/>
        <v>1</v>
      </c>
      <c r="AK44" s="214">
        <f t="shared" si="18"/>
        <v>1</v>
      </c>
      <c r="AL44" s="214">
        <f t="shared" si="18"/>
        <v>-1</v>
      </c>
      <c r="AM44" s="214">
        <f t="shared" si="18"/>
        <v>0</v>
      </c>
      <c r="AN44" s="214">
        <f t="shared" si="18"/>
        <v>1</v>
      </c>
      <c r="AO44" s="214">
        <f t="shared" si="18"/>
        <v>0</v>
      </c>
      <c r="AP44" s="206">
        <f t="shared" si="19"/>
        <v>0.64583333333333337</v>
      </c>
      <c r="AQ44" s="213">
        <f t="shared" si="20"/>
        <v>0</v>
      </c>
      <c r="AR44" s="213">
        <f t="shared" si="20"/>
        <v>6.25E-2</v>
      </c>
      <c r="AS44" s="213">
        <f t="shared" si="20"/>
        <v>5.8823529411764719E-2</v>
      </c>
      <c r="AT44" s="213">
        <f t="shared" si="20"/>
        <v>-5.555555555555558E-2</v>
      </c>
      <c r="AU44" s="213">
        <f t="shared" si="20"/>
        <v>0</v>
      </c>
      <c r="AV44" s="213">
        <f t="shared" si="20"/>
        <v>5.8823529411764719E-2</v>
      </c>
      <c r="AW44" s="213">
        <f t="shared" si="20"/>
        <v>0</v>
      </c>
      <c r="AY44" s="186">
        <f t="shared" si="21"/>
        <v>95.445176343916017</v>
      </c>
      <c r="AZ44" s="186">
        <f t="shared" si="21"/>
        <v>97.478044452672265</v>
      </c>
      <c r="BA44" s="186">
        <f t="shared" si="21"/>
        <v>101.22907507366892</v>
      </c>
      <c r="BB44" s="186">
        <f t="shared" si="21"/>
        <v>102.44614077060227</v>
      </c>
      <c r="BC44" s="186">
        <f t="shared" si="21"/>
        <v>102.9515527225202</v>
      </c>
      <c r="BD44" s="186">
        <f t="shared" si="21"/>
        <v>103.05367230656665</v>
      </c>
      <c r="BE44" s="186">
        <f t="shared" si="21"/>
        <v>109.64559587646622</v>
      </c>
    </row>
    <row r="45" spans="1:57" ht="12.75" x14ac:dyDescent="0.2">
      <c r="A45" s="181">
        <f t="shared" si="9"/>
        <v>101.3952380952381</v>
      </c>
      <c r="B45" s="187">
        <f t="shared" si="22"/>
        <v>0.66666666666666674</v>
      </c>
      <c r="C45" s="135">
        <v>93.899999999999991</v>
      </c>
      <c r="D45" s="135">
        <v>99.766666666666666</v>
      </c>
      <c r="E45" s="135">
        <v>100.5</v>
      </c>
      <c r="F45" s="135">
        <v>104.60000000000001</v>
      </c>
      <c r="G45" s="135">
        <v>100.06666666666666</v>
      </c>
      <c r="H45" s="135">
        <v>101.73333333333333</v>
      </c>
      <c r="I45" s="135">
        <v>109.2</v>
      </c>
      <c r="J45" s="165">
        <v>33</v>
      </c>
      <c r="K45" s="43">
        <f t="shared" si="10"/>
        <v>16</v>
      </c>
      <c r="L45" s="43">
        <f t="shared" si="11"/>
        <v>16</v>
      </c>
      <c r="M45" s="43">
        <f t="shared" si="12"/>
        <v>17</v>
      </c>
      <c r="N45" s="43">
        <f t="shared" si="13"/>
        <v>18</v>
      </c>
      <c r="O45" s="43">
        <f t="shared" si="14"/>
        <v>17</v>
      </c>
      <c r="P45" s="43">
        <f t="shared" si="15"/>
        <v>17</v>
      </c>
      <c r="Q45" s="43">
        <f t="shared" si="16"/>
        <v>18</v>
      </c>
      <c r="R45" s="165">
        <v>33</v>
      </c>
      <c r="S45" s="198">
        <v>17</v>
      </c>
      <c r="T45" s="198">
        <v>16</v>
      </c>
      <c r="U45" s="198">
        <v>18</v>
      </c>
      <c r="V45" s="198">
        <v>17</v>
      </c>
      <c r="W45" s="198">
        <v>16</v>
      </c>
      <c r="X45" s="198">
        <v>23</v>
      </c>
      <c r="Y45" s="198">
        <v>22</v>
      </c>
      <c r="AA45" s="184">
        <f t="shared" si="17"/>
        <v>0.99642802011201592</v>
      </c>
      <c r="AB45" s="184">
        <f t="shared" si="17"/>
        <v>0.9856380342433978</v>
      </c>
      <c r="AC45" s="184">
        <f t="shared" si="17"/>
        <v>0.99712351120363452</v>
      </c>
      <c r="AD45" s="184">
        <f t="shared" si="17"/>
        <v>0.98480673601625379</v>
      </c>
      <c r="AE45" s="184">
        <f t="shared" si="17"/>
        <v>0.9814531635885867</v>
      </c>
      <c r="AF45" s="184">
        <f t="shared" si="17"/>
        <v>0.99997580958547272</v>
      </c>
      <c r="AG45" s="184">
        <f t="shared" si="17"/>
        <v>0.99985056266911854</v>
      </c>
      <c r="AI45" s="214">
        <f t="shared" si="18"/>
        <v>1</v>
      </c>
      <c r="AJ45" s="214">
        <f t="shared" si="18"/>
        <v>0</v>
      </c>
      <c r="AK45" s="214">
        <f t="shared" si="18"/>
        <v>1</v>
      </c>
      <c r="AL45" s="214">
        <f t="shared" si="18"/>
        <v>-1</v>
      </c>
      <c r="AM45" s="214">
        <f t="shared" si="18"/>
        <v>-1</v>
      </c>
      <c r="AN45" s="214">
        <f t="shared" si="18"/>
        <v>6</v>
      </c>
      <c r="AO45" s="214">
        <f t="shared" si="18"/>
        <v>4</v>
      </c>
      <c r="AP45" s="206">
        <f t="shared" si="19"/>
        <v>0.66666666666666674</v>
      </c>
      <c r="AQ45" s="213">
        <f t="shared" si="20"/>
        <v>6.25E-2</v>
      </c>
      <c r="AR45" s="213">
        <f t="shared" si="20"/>
        <v>0</v>
      </c>
      <c r="AS45" s="213">
        <f t="shared" si="20"/>
        <v>5.8823529411764719E-2</v>
      </c>
      <c r="AT45" s="213">
        <f t="shared" si="20"/>
        <v>-5.555555555555558E-2</v>
      </c>
      <c r="AU45" s="213">
        <f t="shared" si="20"/>
        <v>-5.8823529411764719E-2</v>
      </c>
      <c r="AV45" s="213">
        <f t="shared" si="20"/>
        <v>0.35294117647058831</v>
      </c>
      <c r="AW45" s="213">
        <f t="shared" si="20"/>
        <v>0.22222222222222232</v>
      </c>
      <c r="AY45" s="186">
        <f t="shared" si="21"/>
        <v>93.564591088518284</v>
      </c>
      <c r="AZ45" s="186">
        <f t="shared" si="21"/>
        <v>98.333821216349648</v>
      </c>
      <c r="BA45" s="186">
        <f t="shared" si="21"/>
        <v>100.21091287596526</v>
      </c>
      <c r="BB45" s="186">
        <f t="shared" si="21"/>
        <v>103.01078458730015</v>
      </c>
      <c r="BC45" s="186">
        <f t="shared" si="21"/>
        <v>98.210746569764567</v>
      </c>
      <c r="BD45" s="186">
        <f t="shared" si="21"/>
        <v>101.73087236182876</v>
      </c>
      <c r="BE45" s="186">
        <f t="shared" si="21"/>
        <v>109.18368144346775</v>
      </c>
    </row>
    <row r="46" spans="1:57" ht="13.5" customHeight="1" x14ac:dyDescent="0.2">
      <c r="A46" s="181">
        <f t="shared" si="9"/>
        <v>100.67619047619048</v>
      </c>
      <c r="B46" s="187">
        <f t="shared" si="22"/>
        <v>0.68750000000000011</v>
      </c>
      <c r="C46" s="135">
        <v>91.533333333333346</v>
      </c>
      <c r="D46" s="135">
        <v>100.66666666666667</v>
      </c>
      <c r="E46" s="135">
        <v>99.333333333333329</v>
      </c>
      <c r="F46" s="135">
        <v>105.46666666666665</v>
      </c>
      <c r="G46" s="135">
        <v>99.333333333333329</v>
      </c>
      <c r="H46" s="135">
        <v>100.76666666666667</v>
      </c>
      <c r="I46" s="135">
        <v>107.63333333333333</v>
      </c>
      <c r="J46" s="165">
        <v>34</v>
      </c>
      <c r="K46" s="43">
        <f t="shared" si="10"/>
        <v>16</v>
      </c>
      <c r="L46" s="43">
        <f t="shared" si="11"/>
        <v>17</v>
      </c>
      <c r="M46" s="43">
        <f t="shared" si="12"/>
        <v>17</v>
      </c>
      <c r="N46" s="43">
        <f t="shared" si="13"/>
        <v>18</v>
      </c>
      <c r="O46" s="43">
        <f t="shared" si="14"/>
        <v>17</v>
      </c>
      <c r="P46" s="43">
        <f t="shared" si="15"/>
        <v>17</v>
      </c>
      <c r="Q46" s="43">
        <f t="shared" si="16"/>
        <v>18</v>
      </c>
      <c r="R46" s="165">
        <v>34</v>
      </c>
      <c r="S46" s="198">
        <v>16</v>
      </c>
      <c r="T46" s="198">
        <v>17</v>
      </c>
      <c r="U46" s="198">
        <v>16</v>
      </c>
      <c r="V46" s="198">
        <v>19</v>
      </c>
      <c r="W46" s="198">
        <v>16</v>
      </c>
      <c r="X46" s="198">
        <v>26</v>
      </c>
      <c r="Y46" s="198">
        <v>25</v>
      </c>
      <c r="AA46" s="184">
        <f t="shared" si="17"/>
        <v>0.99281605462994704</v>
      </c>
      <c r="AB46" s="184">
        <f t="shared" si="17"/>
        <v>0.9934452197226632</v>
      </c>
      <c r="AC46" s="184">
        <f t="shared" si="17"/>
        <v>0.98432870565150876</v>
      </c>
      <c r="AD46" s="184">
        <f t="shared" si="17"/>
        <v>0.9974057723154468</v>
      </c>
      <c r="AE46" s="184">
        <f t="shared" si="17"/>
        <v>0.98330468839283591</v>
      </c>
      <c r="AF46" s="184">
        <f t="shared" si="17"/>
        <v>0.99999940198847226</v>
      </c>
      <c r="AG46" s="184">
        <f t="shared" si="17"/>
        <v>0.99999521114742107</v>
      </c>
      <c r="AI46" s="214">
        <f t="shared" si="18"/>
        <v>0</v>
      </c>
      <c r="AJ46" s="214">
        <f t="shared" si="18"/>
        <v>0</v>
      </c>
      <c r="AK46" s="214">
        <f t="shared" si="18"/>
        <v>-1</v>
      </c>
      <c r="AL46" s="214">
        <f t="shared" si="18"/>
        <v>1</v>
      </c>
      <c r="AM46" s="214">
        <f t="shared" si="18"/>
        <v>-1</v>
      </c>
      <c r="AN46" s="214">
        <f t="shared" si="18"/>
        <v>9</v>
      </c>
      <c r="AO46" s="214">
        <f t="shared" si="18"/>
        <v>7</v>
      </c>
      <c r="AP46" s="206">
        <f t="shared" si="19"/>
        <v>0.68750000000000011</v>
      </c>
      <c r="AQ46" s="213">
        <f t="shared" si="20"/>
        <v>0</v>
      </c>
      <c r="AR46" s="213">
        <f t="shared" si="20"/>
        <v>0</v>
      </c>
      <c r="AS46" s="213">
        <f t="shared" si="20"/>
        <v>-5.8823529411764719E-2</v>
      </c>
      <c r="AT46" s="213">
        <f t="shared" si="20"/>
        <v>5.555555555555558E-2</v>
      </c>
      <c r="AU46" s="213">
        <f t="shared" si="20"/>
        <v>-5.8823529411764719E-2</v>
      </c>
      <c r="AV46" s="213">
        <f t="shared" si="20"/>
        <v>0.52941176470588225</v>
      </c>
      <c r="AW46" s="213">
        <f t="shared" si="20"/>
        <v>0.38888888888888884</v>
      </c>
      <c r="AY46" s="186">
        <f t="shared" si="21"/>
        <v>90.875762867127833</v>
      </c>
      <c r="AZ46" s="186">
        <f t="shared" si="21"/>
        <v>100.00681878541477</v>
      </c>
      <c r="BA46" s="186">
        <f t="shared" si="21"/>
        <v>97.77665142804986</v>
      </c>
      <c r="BB46" s="186">
        <f t="shared" si="21"/>
        <v>105.19306212020244</v>
      </c>
      <c r="BC46" s="186">
        <f t="shared" si="21"/>
        <v>97.674932380355031</v>
      </c>
      <c r="BD46" s="186">
        <f t="shared" si="21"/>
        <v>100.76660640703838</v>
      </c>
      <c r="BE46" s="186">
        <f t="shared" si="21"/>
        <v>107.63281789316741</v>
      </c>
    </row>
    <row r="47" spans="1:57" ht="12.75" x14ac:dyDescent="0.2">
      <c r="A47" s="181">
        <f t="shared" si="9"/>
        <v>100.99523809523809</v>
      </c>
      <c r="B47" s="187">
        <f t="shared" si="22"/>
        <v>0.70833333333333348</v>
      </c>
      <c r="C47" s="135">
        <v>94.166666666666671</v>
      </c>
      <c r="D47" s="135">
        <v>100.66666666666667</v>
      </c>
      <c r="E47" s="135">
        <v>100.59999999999998</v>
      </c>
      <c r="F47" s="135">
        <v>103.16666666666667</v>
      </c>
      <c r="G47" s="135">
        <v>99.7</v>
      </c>
      <c r="H47" s="135">
        <v>100.83333333333333</v>
      </c>
      <c r="I47" s="135">
        <v>107.83333333333333</v>
      </c>
      <c r="J47" s="165">
        <v>35</v>
      </c>
      <c r="K47" s="43">
        <f t="shared" si="10"/>
        <v>16</v>
      </c>
      <c r="L47" s="43">
        <f t="shared" si="11"/>
        <v>17</v>
      </c>
      <c r="M47" s="43">
        <f t="shared" si="12"/>
        <v>17</v>
      </c>
      <c r="N47" s="43">
        <f t="shared" si="13"/>
        <v>17</v>
      </c>
      <c r="O47" s="43">
        <f t="shared" si="14"/>
        <v>17</v>
      </c>
      <c r="P47" s="43">
        <f t="shared" si="15"/>
        <v>17</v>
      </c>
      <c r="Q47" s="43">
        <f t="shared" si="16"/>
        <v>18</v>
      </c>
      <c r="R47" s="165">
        <v>35</v>
      </c>
      <c r="S47" s="198">
        <v>20</v>
      </c>
      <c r="T47" s="198">
        <v>19</v>
      </c>
      <c r="U47" s="198">
        <v>23</v>
      </c>
      <c r="V47" s="198">
        <v>22</v>
      </c>
      <c r="W47" s="198">
        <v>21</v>
      </c>
      <c r="X47" s="198">
        <v>19</v>
      </c>
      <c r="Y47" s="198">
        <v>17</v>
      </c>
      <c r="AA47" s="184">
        <f t="shared" si="17"/>
        <v>0.99982978633702957</v>
      </c>
      <c r="AB47" s="184">
        <f t="shared" si="17"/>
        <v>0.99902142754805201</v>
      </c>
      <c r="AC47" s="184">
        <f t="shared" si="17"/>
        <v>0.99998147361959289</v>
      </c>
      <c r="AD47" s="184">
        <f t="shared" si="17"/>
        <v>0.99989793152133954</v>
      </c>
      <c r="AE47" s="184">
        <f t="shared" si="17"/>
        <v>0.99984383347483985</v>
      </c>
      <c r="AF47" s="184">
        <f t="shared" si="17"/>
        <v>0.99864540468273255</v>
      </c>
      <c r="AG47" s="184">
        <f t="shared" si="17"/>
        <v>0.98512635053968267</v>
      </c>
      <c r="AI47" s="214">
        <f t="shared" si="18"/>
        <v>4</v>
      </c>
      <c r="AJ47" s="214">
        <f t="shared" si="18"/>
        <v>2</v>
      </c>
      <c r="AK47" s="214">
        <f t="shared" si="18"/>
        <v>6</v>
      </c>
      <c r="AL47" s="214">
        <f t="shared" si="18"/>
        <v>5</v>
      </c>
      <c r="AM47" s="214">
        <f t="shared" si="18"/>
        <v>4</v>
      </c>
      <c r="AN47" s="214">
        <f t="shared" si="18"/>
        <v>2</v>
      </c>
      <c r="AO47" s="214">
        <f t="shared" si="18"/>
        <v>-1</v>
      </c>
      <c r="AP47" s="206">
        <f t="shared" si="19"/>
        <v>0.70833333333333348</v>
      </c>
      <c r="AQ47" s="213">
        <f t="shared" si="20"/>
        <v>0.25</v>
      </c>
      <c r="AR47" s="213">
        <f t="shared" si="20"/>
        <v>0.11764705882352944</v>
      </c>
      <c r="AS47" s="213">
        <f t="shared" si="20"/>
        <v>0.35294117647058831</v>
      </c>
      <c r="AT47" s="213">
        <f t="shared" si="20"/>
        <v>0.29411764705882359</v>
      </c>
      <c r="AU47" s="213">
        <f t="shared" si="20"/>
        <v>0.23529411764705888</v>
      </c>
      <c r="AV47" s="213">
        <f t="shared" si="20"/>
        <v>0.11764705882352944</v>
      </c>
      <c r="AW47" s="213">
        <f t="shared" si="20"/>
        <v>-5.555555555555558E-2</v>
      </c>
      <c r="AY47" s="186">
        <f t="shared" si="21"/>
        <v>94.150638213403624</v>
      </c>
      <c r="AZ47" s="186">
        <f t="shared" si="21"/>
        <v>100.56815703983725</v>
      </c>
      <c r="BA47" s="186">
        <f t="shared" si="21"/>
        <v>100.59813624613102</v>
      </c>
      <c r="BB47" s="186">
        <f t="shared" si="21"/>
        <v>103.15613660195153</v>
      </c>
      <c r="BC47" s="186">
        <f t="shared" si="21"/>
        <v>99.684430197441529</v>
      </c>
      <c r="BD47" s="186">
        <f t="shared" si="21"/>
        <v>100.69674497217552</v>
      </c>
      <c r="BE47" s="186">
        <f t="shared" si="21"/>
        <v>106.22945813319578</v>
      </c>
    </row>
    <row r="48" spans="1:57" ht="13.5" customHeight="1" x14ac:dyDescent="0.2">
      <c r="A48" s="181">
        <f t="shared" si="9"/>
        <v>101.22380952380954</v>
      </c>
      <c r="B48" s="187">
        <f t="shared" si="22"/>
        <v>0.72916666666666685</v>
      </c>
      <c r="C48" s="135">
        <v>96.166666666666671</v>
      </c>
      <c r="D48" s="135">
        <v>98.733333333333334</v>
      </c>
      <c r="E48" s="135">
        <v>100.5</v>
      </c>
      <c r="F48" s="135">
        <v>101.56666666666668</v>
      </c>
      <c r="G48" s="135">
        <v>100.86666666666667</v>
      </c>
      <c r="H48" s="135">
        <v>103.36666666666667</v>
      </c>
      <c r="I48" s="135">
        <v>107.36666666666667</v>
      </c>
      <c r="J48" s="165">
        <v>36</v>
      </c>
      <c r="K48" s="43">
        <f t="shared" si="10"/>
        <v>16</v>
      </c>
      <c r="L48" s="43">
        <f t="shared" si="11"/>
        <v>16</v>
      </c>
      <c r="M48" s="43">
        <f t="shared" si="12"/>
        <v>17</v>
      </c>
      <c r="N48" s="43">
        <f t="shared" si="13"/>
        <v>17</v>
      </c>
      <c r="O48" s="43">
        <f t="shared" si="14"/>
        <v>17</v>
      </c>
      <c r="P48" s="43">
        <f t="shared" si="15"/>
        <v>17</v>
      </c>
      <c r="Q48" s="43">
        <f t="shared" si="16"/>
        <v>18</v>
      </c>
      <c r="R48" s="165">
        <v>36</v>
      </c>
      <c r="S48" s="198">
        <v>19</v>
      </c>
      <c r="T48" s="198">
        <v>16</v>
      </c>
      <c r="U48" s="198">
        <v>21</v>
      </c>
      <c r="V48" s="198">
        <v>19</v>
      </c>
      <c r="W48" s="198">
        <v>18</v>
      </c>
      <c r="X48" s="198">
        <v>18</v>
      </c>
      <c r="Y48" s="198">
        <v>17</v>
      </c>
      <c r="AA48" s="184">
        <f t="shared" si="17"/>
        <v>0.99935376227803763</v>
      </c>
      <c r="AB48" s="184">
        <f t="shared" si="17"/>
        <v>0.98708957336287484</v>
      </c>
      <c r="AC48" s="184">
        <f t="shared" si="17"/>
        <v>0.99985768913854467</v>
      </c>
      <c r="AD48" s="184">
        <f t="shared" si="17"/>
        <v>0.9982018092196725</v>
      </c>
      <c r="AE48" s="184">
        <f t="shared" si="17"/>
        <v>0.99650739554714407</v>
      </c>
      <c r="AF48" s="184">
        <f t="shared" si="17"/>
        <v>0.99558454412677988</v>
      </c>
      <c r="AG48" s="184">
        <f t="shared" si="17"/>
        <v>0.98658233818898688</v>
      </c>
      <c r="AI48" s="214">
        <f t="shared" si="18"/>
        <v>3</v>
      </c>
      <c r="AJ48" s="214">
        <f t="shared" si="18"/>
        <v>0</v>
      </c>
      <c r="AK48" s="214">
        <f t="shared" si="18"/>
        <v>4</v>
      </c>
      <c r="AL48" s="214">
        <f t="shared" si="18"/>
        <v>2</v>
      </c>
      <c r="AM48" s="214">
        <f t="shared" si="18"/>
        <v>1</v>
      </c>
      <c r="AN48" s="214">
        <f t="shared" si="18"/>
        <v>1</v>
      </c>
      <c r="AO48" s="214">
        <f t="shared" si="18"/>
        <v>-1</v>
      </c>
      <c r="AP48" s="206">
        <f t="shared" si="19"/>
        <v>0.72916666666666685</v>
      </c>
      <c r="AQ48" s="213">
        <f t="shared" si="20"/>
        <v>0.1875</v>
      </c>
      <c r="AR48" s="213">
        <f t="shared" si="20"/>
        <v>0</v>
      </c>
      <c r="AS48" s="213">
        <f t="shared" si="20"/>
        <v>0.23529411764705888</v>
      </c>
      <c r="AT48" s="213">
        <f t="shared" si="20"/>
        <v>0.11764705882352944</v>
      </c>
      <c r="AU48" s="213">
        <f t="shared" si="20"/>
        <v>5.8823529411764719E-2</v>
      </c>
      <c r="AV48" s="213">
        <f t="shared" si="20"/>
        <v>5.8823529411764719E-2</v>
      </c>
      <c r="AW48" s="213">
        <f t="shared" si="20"/>
        <v>-5.555555555555558E-2</v>
      </c>
      <c r="AY48" s="186">
        <f t="shared" si="21"/>
        <v>96.104520139071283</v>
      </c>
      <c r="AZ48" s="186">
        <f t="shared" si="21"/>
        <v>97.458643876694509</v>
      </c>
      <c r="BA48" s="186">
        <f t="shared" si="21"/>
        <v>100.48569775842374</v>
      </c>
      <c r="BB48" s="186">
        <f t="shared" si="21"/>
        <v>101.38403042307809</v>
      </c>
      <c r="BC48" s="186">
        <f t="shared" si="21"/>
        <v>100.51437929752194</v>
      </c>
      <c r="BD48" s="186">
        <f t="shared" si="21"/>
        <v>102.91025571123815</v>
      </c>
      <c r="BE48" s="186">
        <f t="shared" si="21"/>
        <v>105.92605704355756</v>
      </c>
    </row>
    <row r="49" spans="1:57" ht="12.75" x14ac:dyDescent="0.2">
      <c r="A49" s="181">
        <f t="shared" si="9"/>
        <v>100.1761904761905</v>
      </c>
      <c r="B49" s="187">
        <f t="shared" si="22"/>
        <v>0.75000000000000022</v>
      </c>
      <c r="C49" s="135">
        <v>94.266666666666666</v>
      </c>
      <c r="D49" s="135">
        <v>97.233333333333334</v>
      </c>
      <c r="E49" s="135">
        <v>101.23333333333335</v>
      </c>
      <c r="F49" s="135">
        <v>99.433333333333337</v>
      </c>
      <c r="G49" s="135">
        <v>100.03333333333335</v>
      </c>
      <c r="H49" s="135">
        <v>105.2</v>
      </c>
      <c r="I49" s="135">
        <v>103.83333333333333</v>
      </c>
      <c r="J49" s="165">
        <v>37</v>
      </c>
      <c r="K49" s="43">
        <f t="shared" si="10"/>
        <v>16</v>
      </c>
      <c r="L49" s="43">
        <f t="shared" si="11"/>
        <v>16</v>
      </c>
      <c r="M49" s="43">
        <f t="shared" si="12"/>
        <v>17</v>
      </c>
      <c r="N49" s="43">
        <f t="shared" si="13"/>
        <v>17</v>
      </c>
      <c r="O49" s="43">
        <f t="shared" si="14"/>
        <v>17</v>
      </c>
      <c r="P49" s="43">
        <f t="shared" si="15"/>
        <v>18</v>
      </c>
      <c r="Q49" s="43">
        <f t="shared" si="16"/>
        <v>17</v>
      </c>
      <c r="R49" s="165">
        <v>37</v>
      </c>
      <c r="S49" s="198">
        <v>16</v>
      </c>
      <c r="T49" s="198">
        <v>16</v>
      </c>
      <c r="U49" s="198">
        <v>18</v>
      </c>
      <c r="V49" s="198">
        <v>16</v>
      </c>
      <c r="W49" s="198">
        <v>16</v>
      </c>
      <c r="X49" s="198">
        <v>18</v>
      </c>
      <c r="Y49" s="198">
        <v>16</v>
      </c>
      <c r="AA49" s="184">
        <f t="shared" si="17"/>
        <v>0.99095260274921459</v>
      </c>
      <c r="AB49" s="184">
        <f t="shared" si="17"/>
        <v>0.98961191270964444</v>
      </c>
      <c r="AC49" s="184">
        <f t="shared" si="17"/>
        <v>0.99675680262964916</v>
      </c>
      <c r="AD49" s="184">
        <f t="shared" si="17"/>
        <v>0.98108746299368632</v>
      </c>
      <c r="AE49" s="184">
        <f t="shared" si="17"/>
        <v>0.9814531635885867</v>
      </c>
      <c r="AF49" s="184">
        <f t="shared" si="17"/>
        <v>0.99445162302813017</v>
      </c>
      <c r="AG49" s="184">
        <f t="shared" si="17"/>
        <v>0.97687596251818165</v>
      </c>
      <c r="AI49" s="214">
        <f t="shared" si="18"/>
        <v>0</v>
      </c>
      <c r="AJ49" s="214">
        <f t="shared" si="18"/>
        <v>0</v>
      </c>
      <c r="AK49" s="214">
        <f t="shared" si="18"/>
        <v>1</v>
      </c>
      <c r="AL49" s="214">
        <f t="shared" si="18"/>
        <v>-1</v>
      </c>
      <c r="AM49" s="214">
        <f t="shared" si="18"/>
        <v>-1</v>
      </c>
      <c r="AN49" s="214">
        <f t="shared" si="18"/>
        <v>0</v>
      </c>
      <c r="AO49" s="214">
        <f t="shared" si="18"/>
        <v>-1</v>
      </c>
      <c r="AP49" s="206">
        <f t="shared" si="19"/>
        <v>0.75000000000000022</v>
      </c>
      <c r="AQ49" s="213">
        <f t="shared" si="20"/>
        <v>0</v>
      </c>
      <c r="AR49" s="213">
        <f t="shared" si="20"/>
        <v>0</v>
      </c>
      <c r="AS49" s="213">
        <f t="shared" si="20"/>
        <v>5.8823529411764719E-2</v>
      </c>
      <c r="AT49" s="213">
        <f t="shared" si="20"/>
        <v>-5.8823529411764719E-2</v>
      </c>
      <c r="AU49" s="213">
        <f t="shared" si="20"/>
        <v>-5.8823529411764719E-2</v>
      </c>
      <c r="AV49" s="213">
        <f t="shared" si="20"/>
        <v>0</v>
      </c>
      <c r="AW49" s="213">
        <f t="shared" si="20"/>
        <v>-5.8823529411764719E-2</v>
      </c>
      <c r="AY49" s="186">
        <f t="shared" si="21"/>
        <v>93.413798685825967</v>
      </c>
      <c r="AZ49" s="186">
        <f t="shared" si="21"/>
        <v>96.223264979134427</v>
      </c>
      <c r="BA49" s="186">
        <f t="shared" si="21"/>
        <v>100.90501365287483</v>
      </c>
      <c r="BB49" s="186">
        <f t="shared" si="21"/>
        <v>97.552796737005551</v>
      </c>
      <c r="BC49" s="186">
        <f t="shared" si="21"/>
        <v>98.17803146431163</v>
      </c>
      <c r="BD49" s="186">
        <f t="shared" si="21"/>
        <v>104.61631074255929</v>
      </c>
      <c r="BE49" s="186">
        <f t="shared" si="21"/>
        <v>101.43228744147119</v>
      </c>
    </row>
    <row r="50" spans="1:57" ht="12.75" x14ac:dyDescent="0.2">
      <c r="A50" s="181">
        <f t="shared" si="9"/>
        <v>109.50952380952381</v>
      </c>
      <c r="B50" s="187">
        <f t="shared" si="22"/>
        <v>0.77083333333333359</v>
      </c>
      <c r="C50" s="135">
        <v>98.633333333333326</v>
      </c>
      <c r="D50" s="135">
        <v>107.8</v>
      </c>
      <c r="E50" s="135">
        <v>109.66666666666667</v>
      </c>
      <c r="F50" s="135">
        <v>110.96666666666665</v>
      </c>
      <c r="G50" s="135">
        <v>113.53333333333335</v>
      </c>
      <c r="H50" s="135">
        <v>114.59999999999998</v>
      </c>
      <c r="I50" s="135">
        <v>111.36666666666667</v>
      </c>
      <c r="J50" s="165">
        <v>38</v>
      </c>
      <c r="K50" s="43">
        <f t="shared" si="10"/>
        <v>17</v>
      </c>
      <c r="L50" s="43">
        <f t="shared" si="11"/>
        <v>18</v>
      </c>
      <c r="M50" s="43">
        <f t="shared" si="12"/>
        <v>18</v>
      </c>
      <c r="N50" s="43">
        <f t="shared" si="13"/>
        <v>19</v>
      </c>
      <c r="O50" s="43">
        <f t="shared" si="14"/>
        <v>19</v>
      </c>
      <c r="P50" s="43">
        <f t="shared" si="15"/>
        <v>19</v>
      </c>
      <c r="Q50" s="43">
        <f t="shared" si="16"/>
        <v>18</v>
      </c>
      <c r="R50" s="165">
        <v>38</v>
      </c>
      <c r="S50" s="198">
        <v>17</v>
      </c>
      <c r="T50" s="198">
        <v>18</v>
      </c>
      <c r="U50" s="198">
        <v>18</v>
      </c>
      <c r="V50" s="198">
        <v>18</v>
      </c>
      <c r="W50" s="198">
        <v>18</v>
      </c>
      <c r="X50" s="198">
        <v>19</v>
      </c>
      <c r="Y50" s="198">
        <v>18</v>
      </c>
      <c r="AA50" s="184">
        <f t="shared" si="17"/>
        <v>0.99355118679185128</v>
      </c>
      <c r="AB50" s="184">
        <f t="shared" si="17"/>
        <v>0.99421581490684741</v>
      </c>
      <c r="AC50" s="184">
        <f t="shared" si="17"/>
        <v>0.9910736813141019</v>
      </c>
      <c r="AD50" s="184">
        <f t="shared" si="17"/>
        <v>0.98777469222229086</v>
      </c>
      <c r="AE50" s="184">
        <f t="shared" si="17"/>
        <v>0.98551331474787718</v>
      </c>
      <c r="AF50" s="184">
        <f t="shared" si="17"/>
        <v>0.99309941743301955</v>
      </c>
      <c r="AG50" s="184">
        <f t="shared" si="17"/>
        <v>0.99140037823475557</v>
      </c>
      <c r="AI50" s="214">
        <f t="shared" si="18"/>
        <v>0</v>
      </c>
      <c r="AJ50" s="214">
        <f t="shared" si="18"/>
        <v>0</v>
      </c>
      <c r="AK50" s="214">
        <f t="shared" si="18"/>
        <v>0</v>
      </c>
      <c r="AL50" s="214">
        <f t="shared" si="18"/>
        <v>-1</v>
      </c>
      <c r="AM50" s="214">
        <f t="shared" si="18"/>
        <v>-1</v>
      </c>
      <c r="AN50" s="214">
        <f t="shared" si="18"/>
        <v>0</v>
      </c>
      <c r="AO50" s="214">
        <f t="shared" si="18"/>
        <v>0</v>
      </c>
      <c r="AP50" s="206">
        <f t="shared" si="19"/>
        <v>0.77083333333333359</v>
      </c>
      <c r="AQ50" s="213">
        <f t="shared" si="20"/>
        <v>0</v>
      </c>
      <c r="AR50" s="213">
        <f t="shared" si="20"/>
        <v>0</v>
      </c>
      <c r="AS50" s="213">
        <f t="shared" si="20"/>
        <v>0</v>
      </c>
      <c r="AT50" s="213">
        <f t="shared" si="20"/>
        <v>-5.2631578947368474E-2</v>
      </c>
      <c r="AU50" s="213">
        <f t="shared" si="20"/>
        <v>-5.2631578947368474E-2</v>
      </c>
      <c r="AV50" s="213">
        <f t="shared" si="20"/>
        <v>0</v>
      </c>
      <c r="AW50" s="213">
        <f t="shared" si="20"/>
        <v>0</v>
      </c>
      <c r="AY50" s="186">
        <f t="shared" si="21"/>
        <v>97.997265390569595</v>
      </c>
      <c r="AZ50" s="186">
        <f t="shared" si="21"/>
        <v>107.17646484695815</v>
      </c>
      <c r="BA50" s="186">
        <f t="shared" si="21"/>
        <v>108.68774705077985</v>
      </c>
      <c r="BB50" s="186">
        <f t="shared" si="21"/>
        <v>109.61006501360019</v>
      </c>
      <c r="BC50" s="186">
        <f t="shared" si="21"/>
        <v>111.888611667709</v>
      </c>
      <c r="BD50" s="186">
        <f t="shared" si="21"/>
        <v>113.80919323782402</v>
      </c>
      <c r="BE50" s="186">
        <f t="shared" si="21"/>
        <v>110.40895545607728</v>
      </c>
    </row>
    <row r="51" spans="1:57" ht="12.75" x14ac:dyDescent="0.2">
      <c r="A51" s="181">
        <f t="shared" si="9"/>
        <v>124.5952380952381</v>
      </c>
      <c r="B51" s="187">
        <f t="shared" si="22"/>
        <v>0.79166666666666696</v>
      </c>
      <c r="C51" s="135">
        <v>113.93333333333332</v>
      </c>
      <c r="D51" s="135">
        <v>121.86666666666667</v>
      </c>
      <c r="E51" s="135">
        <v>126.2</v>
      </c>
      <c r="F51" s="135">
        <v>129.56666666666666</v>
      </c>
      <c r="G51" s="135">
        <v>129.70000000000002</v>
      </c>
      <c r="H51" s="135">
        <v>127.2</v>
      </c>
      <c r="I51" s="135">
        <v>123.7</v>
      </c>
      <c r="J51" s="165">
        <v>39</v>
      </c>
      <c r="K51" s="43">
        <f t="shared" si="10"/>
        <v>19</v>
      </c>
      <c r="L51" s="43">
        <f t="shared" si="11"/>
        <v>20</v>
      </c>
      <c r="M51" s="43">
        <f t="shared" si="12"/>
        <v>21</v>
      </c>
      <c r="N51" s="43">
        <f t="shared" si="13"/>
        <v>22</v>
      </c>
      <c r="O51" s="43">
        <f t="shared" si="14"/>
        <v>21</v>
      </c>
      <c r="P51" s="43">
        <f t="shared" si="15"/>
        <v>21</v>
      </c>
      <c r="Q51" s="43">
        <f t="shared" si="16"/>
        <v>20</v>
      </c>
      <c r="R51" s="165">
        <v>39</v>
      </c>
      <c r="S51" s="198">
        <v>19</v>
      </c>
      <c r="T51" s="198">
        <v>20</v>
      </c>
      <c r="U51" s="198">
        <v>22</v>
      </c>
      <c r="V51" s="198">
        <v>21</v>
      </c>
      <c r="W51" s="198">
        <v>21</v>
      </c>
      <c r="X51" s="198">
        <v>21</v>
      </c>
      <c r="Y51" s="198">
        <v>19</v>
      </c>
      <c r="AA51" s="184">
        <f t="shared" si="17"/>
        <v>0.99424839569864698</v>
      </c>
      <c r="AB51" s="184">
        <f t="shared" si="17"/>
        <v>0.99551530261201937</v>
      </c>
      <c r="AC51" s="184">
        <f t="shared" si="17"/>
        <v>0.99847187243607149</v>
      </c>
      <c r="AD51" s="184">
        <f t="shared" si="17"/>
        <v>0.99288958175554287</v>
      </c>
      <c r="AE51" s="184">
        <f t="shared" si="17"/>
        <v>0.99393180411722648</v>
      </c>
      <c r="AF51" s="184">
        <f t="shared" si="17"/>
        <v>0.99555367351864132</v>
      </c>
      <c r="AG51" s="184">
        <f t="shared" si="17"/>
        <v>0.98618058618384508</v>
      </c>
      <c r="AI51" s="214">
        <f t="shared" si="18"/>
        <v>0</v>
      </c>
      <c r="AJ51" s="214">
        <f t="shared" si="18"/>
        <v>0</v>
      </c>
      <c r="AK51" s="214">
        <f t="shared" si="18"/>
        <v>1</v>
      </c>
      <c r="AL51" s="214">
        <f t="shared" si="18"/>
        <v>-1</v>
      </c>
      <c r="AM51" s="214">
        <f t="shared" si="18"/>
        <v>0</v>
      </c>
      <c r="AN51" s="214">
        <f t="shared" si="18"/>
        <v>0</v>
      </c>
      <c r="AO51" s="214">
        <f t="shared" si="18"/>
        <v>-1</v>
      </c>
      <c r="AP51" s="206">
        <f t="shared" si="19"/>
        <v>0.79166666666666696</v>
      </c>
      <c r="AQ51" s="213">
        <f t="shared" si="20"/>
        <v>0</v>
      </c>
      <c r="AR51" s="213">
        <f t="shared" si="20"/>
        <v>0</v>
      </c>
      <c r="AS51" s="213">
        <f t="shared" si="20"/>
        <v>4.7619047619047672E-2</v>
      </c>
      <c r="AT51" s="213">
        <f t="shared" si="20"/>
        <v>-4.5454545454545414E-2</v>
      </c>
      <c r="AU51" s="213">
        <f t="shared" si="20"/>
        <v>0</v>
      </c>
      <c r="AV51" s="213">
        <f t="shared" si="20"/>
        <v>0</v>
      </c>
      <c r="AW51" s="213">
        <f t="shared" si="20"/>
        <v>-5.0000000000000044E-2</v>
      </c>
      <c r="AY51" s="186">
        <f t="shared" si="21"/>
        <v>113.27803388326583</v>
      </c>
      <c r="AZ51" s="186">
        <f t="shared" si="21"/>
        <v>121.32013154498476</v>
      </c>
      <c r="BA51" s="186">
        <f t="shared" si="21"/>
        <v>126.00715030143222</v>
      </c>
      <c r="BB51" s="186">
        <f t="shared" si="21"/>
        <v>128.64539347612651</v>
      </c>
      <c r="BC51" s="186">
        <f t="shared" si="21"/>
        <v>128.91295499400428</v>
      </c>
      <c r="BD51" s="186">
        <f t="shared" si="21"/>
        <v>126.63442727157118</v>
      </c>
      <c r="BE51" s="186">
        <f t="shared" si="21"/>
        <v>121.99053851094163</v>
      </c>
    </row>
    <row r="52" spans="1:57" ht="12.75" x14ac:dyDescent="0.2">
      <c r="A52" s="181">
        <f t="shared" si="9"/>
        <v>142.63333333333335</v>
      </c>
      <c r="B52" s="187">
        <f t="shared" si="22"/>
        <v>0.81250000000000033</v>
      </c>
      <c r="C52" s="135">
        <v>131.83333333333334</v>
      </c>
      <c r="D52" s="135">
        <v>140.66666666666666</v>
      </c>
      <c r="E52" s="135">
        <v>143.96666666666667</v>
      </c>
      <c r="F52" s="135">
        <v>150.06666666666666</v>
      </c>
      <c r="G52" s="135">
        <v>147.83333333333334</v>
      </c>
      <c r="H52" s="135">
        <v>142.5</v>
      </c>
      <c r="I52" s="135">
        <v>141.56666666666666</v>
      </c>
      <c r="J52" s="165">
        <v>40</v>
      </c>
      <c r="K52" s="43">
        <f t="shared" si="10"/>
        <v>22</v>
      </c>
      <c r="L52" s="43">
        <f t="shared" si="11"/>
        <v>23</v>
      </c>
      <c r="M52" s="43">
        <f t="shared" si="12"/>
        <v>23</v>
      </c>
      <c r="N52" s="43">
        <f t="shared" si="13"/>
        <v>25</v>
      </c>
      <c r="O52" s="43">
        <f t="shared" si="14"/>
        <v>24</v>
      </c>
      <c r="P52" s="43">
        <f t="shared" si="15"/>
        <v>23</v>
      </c>
      <c r="Q52" s="43">
        <f t="shared" si="16"/>
        <v>23</v>
      </c>
      <c r="R52" s="165">
        <v>40</v>
      </c>
      <c r="S52" s="198">
        <v>22</v>
      </c>
      <c r="T52" s="198">
        <v>21</v>
      </c>
      <c r="U52" s="198">
        <v>22</v>
      </c>
      <c r="V52" s="198">
        <v>23</v>
      </c>
      <c r="W52" s="198">
        <v>22</v>
      </c>
      <c r="X52" s="198">
        <v>21</v>
      </c>
      <c r="Y52" s="198">
        <v>21</v>
      </c>
      <c r="AA52" s="184">
        <f t="shared" si="17"/>
        <v>0.99704649880393426</v>
      </c>
      <c r="AB52" s="184">
        <f t="shared" si="17"/>
        <v>0.98715736309438651</v>
      </c>
      <c r="AC52" s="184">
        <f t="shared" si="17"/>
        <v>0.99018595345336025</v>
      </c>
      <c r="AD52" s="184">
        <f t="shared" si="17"/>
        <v>0.98991542222854245</v>
      </c>
      <c r="AE52" s="184">
        <f t="shared" si="17"/>
        <v>0.98461397004458973</v>
      </c>
      <c r="AF52" s="184">
        <f t="shared" si="17"/>
        <v>0.98079904890439584</v>
      </c>
      <c r="AG52" s="184">
        <f t="shared" si="17"/>
        <v>0.98476263693314481</v>
      </c>
      <c r="AI52" s="214">
        <f t="shared" si="18"/>
        <v>0</v>
      </c>
      <c r="AJ52" s="214">
        <f t="shared" si="18"/>
        <v>-2</v>
      </c>
      <c r="AK52" s="214">
        <f t="shared" si="18"/>
        <v>-1</v>
      </c>
      <c r="AL52" s="214">
        <f t="shared" si="18"/>
        <v>-2</v>
      </c>
      <c r="AM52" s="214">
        <f t="shared" si="18"/>
        <v>-2</v>
      </c>
      <c r="AN52" s="214">
        <f t="shared" si="18"/>
        <v>-2</v>
      </c>
      <c r="AO52" s="214">
        <f t="shared" si="18"/>
        <v>-2</v>
      </c>
      <c r="AP52" s="206">
        <f t="shared" si="19"/>
        <v>0.81250000000000033</v>
      </c>
      <c r="AQ52" s="213">
        <f t="shared" si="20"/>
        <v>0</v>
      </c>
      <c r="AR52" s="213">
        <f t="shared" si="20"/>
        <v>-8.6956521739130488E-2</v>
      </c>
      <c r="AS52" s="213">
        <f t="shared" si="20"/>
        <v>-4.3478260869565188E-2</v>
      </c>
      <c r="AT52" s="213">
        <f t="shared" si="20"/>
        <v>-7.999999999999996E-2</v>
      </c>
      <c r="AU52" s="213">
        <f t="shared" si="20"/>
        <v>-8.333333333333337E-2</v>
      </c>
      <c r="AV52" s="213">
        <f t="shared" si="20"/>
        <v>-8.6956521739130488E-2</v>
      </c>
      <c r="AW52" s="213">
        <f t="shared" si="20"/>
        <v>-8.6956521739130488E-2</v>
      </c>
      <c r="AY52" s="186">
        <f t="shared" si="21"/>
        <v>131.44396342565202</v>
      </c>
      <c r="AZ52" s="186">
        <f t="shared" si="21"/>
        <v>138.86013574194368</v>
      </c>
      <c r="BA52" s="186">
        <f t="shared" si="21"/>
        <v>142.55377109883543</v>
      </c>
      <c r="BB52" s="186">
        <f t="shared" si="21"/>
        <v>148.55330769576327</v>
      </c>
      <c r="BC52" s="186">
        <f t="shared" si="21"/>
        <v>145.55876523825853</v>
      </c>
      <c r="BD52" s="186">
        <f t="shared" si="21"/>
        <v>139.76386446887642</v>
      </c>
      <c r="BE52" s="186">
        <f t="shared" si="21"/>
        <v>139.4095639685022</v>
      </c>
    </row>
    <row r="53" spans="1:57" ht="12.75" x14ac:dyDescent="0.2">
      <c r="A53" s="181">
        <f t="shared" si="9"/>
        <v>151.64285714285714</v>
      </c>
      <c r="B53" s="187">
        <f t="shared" si="22"/>
        <v>0.8333333333333337</v>
      </c>
      <c r="C53" s="135">
        <v>145.83333333333334</v>
      </c>
      <c r="D53" s="135">
        <v>148.5</v>
      </c>
      <c r="E53" s="135">
        <v>156.36666666666667</v>
      </c>
      <c r="F53" s="135">
        <v>160.33333333333334</v>
      </c>
      <c r="G53" s="135">
        <v>152.43333333333331</v>
      </c>
      <c r="H53" s="135">
        <v>149.96666666666667</v>
      </c>
      <c r="I53" s="135">
        <v>148.06666666666666</v>
      </c>
      <c r="J53" s="165">
        <v>41</v>
      </c>
      <c r="K53" s="43">
        <f t="shared" si="10"/>
        <v>24</v>
      </c>
      <c r="L53" s="43">
        <f t="shared" si="11"/>
        <v>24</v>
      </c>
      <c r="M53" s="43">
        <f t="shared" si="12"/>
        <v>25</v>
      </c>
      <c r="N53" s="43">
        <f t="shared" si="13"/>
        <v>26</v>
      </c>
      <c r="O53" s="43">
        <f t="shared" si="14"/>
        <v>25</v>
      </c>
      <c r="P53" s="43">
        <f t="shared" si="15"/>
        <v>25</v>
      </c>
      <c r="Q53" s="43">
        <f t="shared" si="16"/>
        <v>24</v>
      </c>
      <c r="R53" s="165">
        <v>41</v>
      </c>
      <c r="S53" s="198">
        <v>24</v>
      </c>
      <c r="T53" s="198">
        <v>22</v>
      </c>
      <c r="U53" s="198">
        <v>25</v>
      </c>
      <c r="V53" s="198">
        <v>24</v>
      </c>
      <c r="W53" s="198">
        <v>23</v>
      </c>
      <c r="X53" s="198">
        <v>21</v>
      </c>
      <c r="Y53" s="198">
        <v>22</v>
      </c>
      <c r="AA53" s="184">
        <f t="shared" si="17"/>
        <v>0.99765566424977636</v>
      </c>
      <c r="AB53" s="184">
        <f t="shared" si="17"/>
        <v>0.98887098963680986</v>
      </c>
      <c r="AC53" s="184">
        <f t="shared" si="17"/>
        <v>0.99717999084448428</v>
      </c>
      <c r="AD53" s="184">
        <f t="shared" si="17"/>
        <v>0.98824653401684581</v>
      </c>
      <c r="AE53" s="184">
        <f t="shared" si="17"/>
        <v>0.989715796799298</v>
      </c>
      <c r="AF53" s="184">
        <f t="shared" si="17"/>
        <v>0.9614418676300428</v>
      </c>
      <c r="AG53" s="184">
        <f t="shared" si="17"/>
        <v>0.98791623946531482</v>
      </c>
      <c r="AI53" s="214">
        <f t="shared" si="18"/>
        <v>0</v>
      </c>
      <c r="AJ53" s="214">
        <f t="shared" si="18"/>
        <v>-2</v>
      </c>
      <c r="AK53" s="214">
        <f t="shared" si="18"/>
        <v>0</v>
      </c>
      <c r="AL53" s="214">
        <f t="shared" si="18"/>
        <v>-2</v>
      </c>
      <c r="AM53" s="214">
        <f t="shared" si="18"/>
        <v>-2</v>
      </c>
      <c r="AN53" s="214">
        <f t="shared" si="18"/>
        <v>-4</v>
      </c>
      <c r="AO53" s="214">
        <f t="shared" si="18"/>
        <v>-2</v>
      </c>
      <c r="AP53" s="206">
        <f t="shared" si="19"/>
        <v>0.8333333333333337</v>
      </c>
      <c r="AQ53" s="213">
        <f t="shared" si="20"/>
        <v>0</v>
      </c>
      <c r="AR53" s="213">
        <f t="shared" si="20"/>
        <v>-8.333333333333337E-2</v>
      </c>
      <c r="AS53" s="213">
        <f t="shared" si="20"/>
        <v>0</v>
      </c>
      <c r="AT53" s="213">
        <f t="shared" si="20"/>
        <v>-7.6923076923076872E-2</v>
      </c>
      <c r="AU53" s="213">
        <f t="shared" si="20"/>
        <v>-7.999999999999996E-2</v>
      </c>
      <c r="AV53" s="213">
        <f t="shared" si="20"/>
        <v>-0.16000000000000003</v>
      </c>
      <c r="AW53" s="213">
        <f t="shared" si="20"/>
        <v>-8.333333333333337E-2</v>
      </c>
      <c r="AY53" s="186">
        <f t="shared" si="21"/>
        <v>145.49145103642573</v>
      </c>
      <c r="AZ53" s="186">
        <f t="shared" si="21"/>
        <v>146.84734196106626</v>
      </c>
      <c r="BA53" s="186">
        <f t="shared" si="21"/>
        <v>155.92571123504919</v>
      </c>
      <c r="BB53" s="186">
        <f t="shared" si="21"/>
        <v>158.4488609540343</v>
      </c>
      <c r="BC53" s="186">
        <f t="shared" si="21"/>
        <v>150.86567795877298</v>
      </c>
      <c r="BD53" s="186">
        <f t="shared" si="21"/>
        <v>144.18423208225209</v>
      </c>
      <c r="BE53" s="186">
        <f t="shared" si="21"/>
        <v>146.2774645234976</v>
      </c>
    </row>
    <row r="54" spans="1:57" ht="12.75" x14ac:dyDescent="0.2">
      <c r="A54" s="181">
        <f t="shared" si="9"/>
        <v>151.06666666666666</v>
      </c>
      <c r="B54" s="187">
        <f t="shared" si="22"/>
        <v>0.85416666666666707</v>
      </c>
      <c r="C54" s="135">
        <v>145.13333333333335</v>
      </c>
      <c r="D54" s="135">
        <v>148.93333333333331</v>
      </c>
      <c r="E54" s="135">
        <v>155.39999999999998</v>
      </c>
      <c r="F54" s="135">
        <v>160.1</v>
      </c>
      <c r="G54" s="135">
        <v>150.16666666666666</v>
      </c>
      <c r="H54" s="135">
        <v>151.36666666666667</v>
      </c>
      <c r="I54" s="135">
        <v>146.36666666666667</v>
      </c>
      <c r="J54" s="165">
        <v>42</v>
      </c>
      <c r="K54" s="43">
        <f t="shared" si="10"/>
        <v>24</v>
      </c>
      <c r="L54" s="43">
        <f t="shared" si="11"/>
        <v>24</v>
      </c>
      <c r="M54" s="43">
        <f t="shared" si="12"/>
        <v>25</v>
      </c>
      <c r="N54" s="43">
        <f t="shared" si="13"/>
        <v>26</v>
      </c>
      <c r="O54" s="43">
        <f t="shared" si="14"/>
        <v>24</v>
      </c>
      <c r="P54" s="43">
        <f t="shared" si="15"/>
        <v>26</v>
      </c>
      <c r="Q54" s="43">
        <f t="shared" si="16"/>
        <v>24</v>
      </c>
      <c r="R54" s="165">
        <v>42</v>
      </c>
      <c r="S54" s="198">
        <v>24</v>
      </c>
      <c r="T54" s="198">
        <v>22</v>
      </c>
      <c r="U54" s="198">
        <v>25</v>
      </c>
      <c r="V54" s="198">
        <v>24</v>
      </c>
      <c r="W54" s="198">
        <v>22</v>
      </c>
      <c r="X54" s="198">
        <v>20</v>
      </c>
      <c r="Y54" s="198">
        <v>22</v>
      </c>
      <c r="AA54" s="184">
        <f t="shared" si="17"/>
        <v>0.99788679876696418</v>
      </c>
      <c r="AB54" s="184">
        <f t="shared" si="17"/>
        <v>0.98780574789312203</v>
      </c>
      <c r="AC54" s="184">
        <f t="shared" si="17"/>
        <v>0.99744744597527546</v>
      </c>
      <c r="AD54" s="184">
        <f t="shared" si="17"/>
        <v>0.98824653401684581</v>
      </c>
      <c r="AE54" s="184">
        <f t="shared" si="17"/>
        <v>0.98159377360783884</v>
      </c>
      <c r="AF54" s="184">
        <f t="shared" si="17"/>
        <v>0.91495268380600359</v>
      </c>
      <c r="AG54" s="184">
        <f t="shared" si="17"/>
        <v>0.98995373772299011</v>
      </c>
      <c r="AI54" s="214">
        <f t="shared" si="18"/>
        <v>0</v>
      </c>
      <c r="AJ54" s="214">
        <f t="shared" si="18"/>
        <v>-2</v>
      </c>
      <c r="AK54" s="214">
        <f t="shared" si="18"/>
        <v>0</v>
      </c>
      <c r="AL54" s="214">
        <f t="shared" si="18"/>
        <v>-2</v>
      </c>
      <c r="AM54" s="214">
        <f t="shared" si="18"/>
        <v>-2</v>
      </c>
      <c r="AN54" s="214">
        <f t="shared" si="18"/>
        <v>-6</v>
      </c>
      <c r="AO54" s="214">
        <f t="shared" si="18"/>
        <v>-2</v>
      </c>
      <c r="AP54" s="206">
        <f t="shared" si="19"/>
        <v>0.85416666666666707</v>
      </c>
      <c r="AQ54" s="213">
        <f t="shared" si="20"/>
        <v>0</v>
      </c>
      <c r="AR54" s="213">
        <f t="shared" si="20"/>
        <v>-8.333333333333337E-2</v>
      </c>
      <c r="AS54" s="213">
        <f t="shared" si="20"/>
        <v>0</v>
      </c>
      <c r="AT54" s="213">
        <f t="shared" si="20"/>
        <v>-7.6923076923076872E-2</v>
      </c>
      <c r="AU54" s="213">
        <f t="shared" si="20"/>
        <v>-8.333333333333337E-2</v>
      </c>
      <c r="AV54" s="213">
        <f t="shared" si="20"/>
        <v>-0.23076923076923073</v>
      </c>
      <c r="AW54" s="213">
        <f t="shared" si="20"/>
        <v>-8.333333333333337E-2</v>
      </c>
      <c r="AY54" s="186">
        <f t="shared" si="21"/>
        <v>144.82663739437876</v>
      </c>
      <c r="AZ54" s="186">
        <f t="shared" si="21"/>
        <v>147.11720271954894</v>
      </c>
      <c r="BA54" s="186">
        <f t="shared" si="21"/>
        <v>155.00333310455778</v>
      </c>
      <c r="BB54" s="186">
        <f t="shared" si="21"/>
        <v>158.218270096097</v>
      </c>
      <c r="BC54" s="186">
        <f t="shared" si="21"/>
        <v>147.40266500344379</v>
      </c>
      <c r="BD54" s="186">
        <f t="shared" si="21"/>
        <v>138.49333790543542</v>
      </c>
      <c r="BE54" s="186">
        <f t="shared" si="21"/>
        <v>144.89622874472167</v>
      </c>
    </row>
    <row r="55" spans="1:57" ht="13.5" customHeight="1" x14ac:dyDescent="0.2">
      <c r="A55" s="181">
        <f t="shared" si="9"/>
        <v>141.92380952380952</v>
      </c>
      <c r="B55" s="187">
        <f t="shared" si="22"/>
        <v>0.87500000000000044</v>
      </c>
      <c r="C55" s="135">
        <v>136.23333333333332</v>
      </c>
      <c r="D55" s="135">
        <v>140.33333333333331</v>
      </c>
      <c r="E55" s="135">
        <v>147.56666666666666</v>
      </c>
      <c r="F55" s="135">
        <v>151</v>
      </c>
      <c r="G55" s="135">
        <v>138.56666666666669</v>
      </c>
      <c r="H55" s="135">
        <v>142.79999999999998</v>
      </c>
      <c r="I55" s="135">
        <v>136.96666666666667</v>
      </c>
      <c r="J55" s="165">
        <v>43</v>
      </c>
      <c r="K55" s="43">
        <f t="shared" si="10"/>
        <v>22</v>
      </c>
      <c r="L55" s="43">
        <f t="shared" si="11"/>
        <v>22</v>
      </c>
      <c r="M55" s="43">
        <f t="shared" si="12"/>
        <v>24</v>
      </c>
      <c r="N55" s="43">
        <f t="shared" si="13"/>
        <v>25</v>
      </c>
      <c r="O55" s="43">
        <f t="shared" si="14"/>
        <v>23</v>
      </c>
      <c r="P55" s="43">
        <f t="shared" si="15"/>
        <v>23</v>
      </c>
      <c r="Q55" s="43">
        <f t="shared" si="16"/>
        <v>22</v>
      </c>
      <c r="R55" s="165">
        <v>43</v>
      </c>
      <c r="S55" s="198">
        <v>22</v>
      </c>
      <c r="T55" s="198">
        <v>20</v>
      </c>
      <c r="U55" s="198">
        <v>22</v>
      </c>
      <c r="V55" s="198">
        <v>23</v>
      </c>
      <c r="W55" s="198">
        <v>21</v>
      </c>
      <c r="X55" s="198">
        <v>18</v>
      </c>
      <c r="Y55" s="198">
        <v>20</v>
      </c>
      <c r="AA55" s="184">
        <f t="shared" si="17"/>
        <v>0.99552033621648484</v>
      </c>
      <c r="AB55" s="184">
        <f t="shared" si="17"/>
        <v>0.97442366022821336</v>
      </c>
      <c r="AC55" s="184">
        <f t="shared" si="17"/>
        <v>0.98579204805088561</v>
      </c>
      <c r="AD55" s="184">
        <f t="shared" si="17"/>
        <v>0.98893629730150345</v>
      </c>
      <c r="AE55" s="184">
        <f t="shared" si="17"/>
        <v>0.98541842899969412</v>
      </c>
      <c r="AF55" s="184">
        <f t="shared" si="17"/>
        <v>0.81966247312552187</v>
      </c>
      <c r="AG55" s="184">
        <f t="shared" si="17"/>
        <v>0.97892899441028425</v>
      </c>
      <c r="AI55" s="214">
        <f t="shared" si="18"/>
        <v>0</v>
      </c>
      <c r="AJ55" s="214">
        <f t="shared" si="18"/>
        <v>-2</v>
      </c>
      <c r="AK55" s="214">
        <f t="shared" si="18"/>
        <v>-2</v>
      </c>
      <c r="AL55" s="214">
        <f t="shared" si="18"/>
        <v>-2</v>
      </c>
      <c r="AM55" s="214">
        <f t="shared" si="18"/>
        <v>-2</v>
      </c>
      <c r="AN55" s="214">
        <f t="shared" si="18"/>
        <v>-5</v>
      </c>
      <c r="AO55" s="214">
        <f t="shared" si="18"/>
        <v>-2</v>
      </c>
      <c r="AP55" s="206">
        <f t="shared" si="19"/>
        <v>0.87500000000000044</v>
      </c>
      <c r="AQ55" s="213">
        <f t="shared" si="20"/>
        <v>0</v>
      </c>
      <c r="AR55" s="213">
        <f t="shared" si="20"/>
        <v>-9.0909090909090939E-2</v>
      </c>
      <c r="AS55" s="213">
        <f t="shared" si="20"/>
        <v>-8.333333333333337E-2</v>
      </c>
      <c r="AT55" s="213">
        <f t="shared" si="20"/>
        <v>-7.999999999999996E-2</v>
      </c>
      <c r="AU55" s="213">
        <f t="shared" si="20"/>
        <v>-8.6956521739130488E-2</v>
      </c>
      <c r="AV55" s="213">
        <f t="shared" si="20"/>
        <v>-0.21739130434782605</v>
      </c>
      <c r="AW55" s="213">
        <f t="shared" si="20"/>
        <v>-9.0909090909090939E-2</v>
      </c>
      <c r="AY55" s="186">
        <f t="shared" si="21"/>
        <v>135.62305380389245</v>
      </c>
      <c r="AZ55" s="186">
        <f t="shared" si="21"/>
        <v>136.74412031869258</v>
      </c>
      <c r="BA55" s="186">
        <f t="shared" si="21"/>
        <v>145.4700465573757</v>
      </c>
      <c r="BB55" s="186">
        <f t="shared" si="21"/>
        <v>149.32938089252701</v>
      </c>
      <c r="BC55" s="186">
        <f t="shared" si="21"/>
        <v>136.54614697839096</v>
      </c>
      <c r="BD55" s="186">
        <f t="shared" si="21"/>
        <v>117.0478011623245</v>
      </c>
      <c r="BE55" s="186">
        <f t="shared" si="21"/>
        <v>134.08064126772859</v>
      </c>
    </row>
    <row r="56" spans="1:57" ht="12.75" x14ac:dyDescent="0.2">
      <c r="A56" s="181">
        <f t="shared" si="9"/>
        <v>124.77619047619048</v>
      </c>
      <c r="B56" s="187">
        <f t="shared" si="22"/>
        <v>0.89583333333333381</v>
      </c>
      <c r="C56" s="135">
        <v>117.10000000000001</v>
      </c>
      <c r="D56" s="135">
        <v>123.10000000000001</v>
      </c>
      <c r="E56" s="135">
        <v>129.26666666666668</v>
      </c>
      <c r="F56" s="135">
        <v>129.96666666666667</v>
      </c>
      <c r="G56" s="135">
        <v>123.73333333333331</v>
      </c>
      <c r="H56" s="135">
        <v>128.70000000000002</v>
      </c>
      <c r="I56" s="135">
        <v>121.56666666666666</v>
      </c>
      <c r="J56" s="165">
        <v>44</v>
      </c>
      <c r="K56" s="43">
        <f t="shared" si="10"/>
        <v>19</v>
      </c>
      <c r="L56" s="43">
        <f t="shared" si="11"/>
        <v>20</v>
      </c>
      <c r="M56" s="43">
        <f t="shared" si="12"/>
        <v>21</v>
      </c>
      <c r="N56" s="43">
        <f t="shared" si="13"/>
        <v>22</v>
      </c>
      <c r="O56" s="43">
        <f t="shared" si="14"/>
        <v>20</v>
      </c>
      <c r="P56" s="43">
        <f t="shared" si="15"/>
        <v>21</v>
      </c>
      <c r="Q56" s="43">
        <f t="shared" si="16"/>
        <v>20</v>
      </c>
      <c r="R56" s="165">
        <v>44</v>
      </c>
      <c r="S56" s="198">
        <v>21</v>
      </c>
      <c r="T56" s="198">
        <v>20</v>
      </c>
      <c r="U56" s="198">
        <v>22</v>
      </c>
      <c r="V56" s="198">
        <v>22</v>
      </c>
      <c r="W56" s="198">
        <v>21</v>
      </c>
      <c r="X56" s="198">
        <v>19</v>
      </c>
      <c r="Y56" s="198">
        <v>18</v>
      </c>
      <c r="AA56" s="184">
        <f t="shared" si="17"/>
        <v>0.99866127870453703</v>
      </c>
      <c r="AB56" s="184">
        <f t="shared" si="17"/>
        <v>0.99501560952496337</v>
      </c>
      <c r="AC56" s="184">
        <f t="shared" si="17"/>
        <v>0.99786416001517086</v>
      </c>
      <c r="AD56" s="184">
        <f t="shared" si="17"/>
        <v>0.99692170942489045</v>
      </c>
      <c r="AE56" s="184">
        <f t="shared" si="17"/>
        <v>0.99677551613918514</v>
      </c>
      <c r="AF56" s="184">
        <f t="shared" si="17"/>
        <v>0.97258289384090224</v>
      </c>
      <c r="AG56" s="184">
        <f t="shared" si="17"/>
        <v>0.97438414749186975</v>
      </c>
      <c r="AI56" s="214">
        <f t="shared" si="18"/>
        <v>2</v>
      </c>
      <c r="AJ56" s="214">
        <f t="shared" si="18"/>
        <v>0</v>
      </c>
      <c r="AK56" s="214">
        <f t="shared" si="18"/>
        <v>1</v>
      </c>
      <c r="AL56" s="214">
        <f t="shared" si="18"/>
        <v>0</v>
      </c>
      <c r="AM56" s="214">
        <f t="shared" si="18"/>
        <v>1</v>
      </c>
      <c r="AN56" s="214">
        <f t="shared" si="18"/>
        <v>-2</v>
      </c>
      <c r="AO56" s="214">
        <f t="shared" si="18"/>
        <v>-2</v>
      </c>
      <c r="AP56" s="206">
        <f t="shared" si="19"/>
        <v>0.89583333333333381</v>
      </c>
      <c r="AQ56" s="213">
        <f t="shared" si="20"/>
        <v>0.10526315789473695</v>
      </c>
      <c r="AR56" s="213">
        <f t="shared" si="20"/>
        <v>0</v>
      </c>
      <c r="AS56" s="213">
        <f t="shared" si="20"/>
        <v>4.7619047619047672E-2</v>
      </c>
      <c r="AT56" s="213">
        <f t="shared" si="20"/>
        <v>0</v>
      </c>
      <c r="AU56" s="213">
        <f t="shared" si="20"/>
        <v>5.0000000000000044E-2</v>
      </c>
      <c r="AV56" s="213">
        <f t="shared" si="20"/>
        <v>-9.5238095238095233E-2</v>
      </c>
      <c r="AW56" s="213">
        <f t="shared" si="20"/>
        <v>-9.9999999999999978E-2</v>
      </c>
      <c r="AY56" s="186">
        <f t="shared" si="21"/>
        <v>116.94323573630129</v>
      </c>
      <c r="AZ56" s="186">
        <f t="shared" si="21"/>
        <v>122.486421532523</v>
      </c>
      <c r="BA56" s="186">
        <f t="shared" si="21"/>
        <v>128.99057375129442</v>
      </c>
      <c r="BB56" s="186">
        <f t="shared" si="21"/>
        <v>129.56659150158828</v>
      </c>
      <c r="BC56" s="186">
        <f t="shared" si="21"/>
        <v>123.33435719695515</v>
      </c>
      <c r="BD56" s="186">
        <f t="shared" si="21"/>
        <v>125.17141843732414</v>
      </c>
      <c r="BE56" s="186">
        <f t="shared" si="21"/>
        <v>118.45263286342829</v>
      </c>
    </row>
    <row r="57" spans="1:57" ht="12.75" x14ac:dyDescent="0.2">
      <c r="A57" s="181">
        <f t="shared" si="9"/>
        <v>99.895238095238071</v>
      </c>
      <c r="B57" s="187">
        <f t="shared" si="22"/>
        <v>0.91666666666666718</v>
      </c>
      <c r="C57" s="135">
        <v>92.766666666666666</v>
      </c>
      <c r="D57" s="135">
        <v>99.633333333333326</v>
      </c>
      <c r="E57" s="135">
        <v>105.46666666666665</v>
      </c>
      <c r="F57" s="135">
        <v>100.56666666666666</v>
      </c>
      <c r="G57" s="135">
        <v>99.8</v>
      </c>
      <c r="H57" s="135">
        <v>102.36666666666667</v>
      </c>
      <c r="I57" s="135">
        <v>98.666666666666671</v>
      </c>
      <c r="J57" s="165">
        <v>45</v>
      </c>
      <c r="K57" s="43">
        <f t="shared" si="10"/>
        <v>16</v>
      </c>
      <c r="L57" s="43">
        <f t="shared" si="11"/>
        <v>16</v>
      </c>
      <c r="M57" s="43">
        <f t="shared" si="12"/>
        <v>17</v>
      </c>
      <c r="N57" s="43">
        <f t="shared" si="13"/>
        <v>17</v>
      </c>
      <c r="O57" s="43">
        <f t="shared" si="14"/>
        <v>17</v>
      </c>
      <c r="P57" s="43">
        <f t="shared" si="15"/>
        <v>17</v>
      </c>
      <c r="Q57" s="43">
        <f t="shared" si="16"/>
        <v>16</v>
      </c>
      <c r="R57" s="165">
        <v>45</v>
      </c>
      <c r="S57" s="198">
        <v>15</v>
      </c>
      <c r="T57" s="198">
        <v>15</v>
      </c>
      <c r="U57" s="198">
        <v>16</v>
      </c>
      <c r="V57" s="198">
        <v>16</v>
      </c>
      <c r="W57" s="198">
        <v>16</v>
      </c>
      <c r="X57" s="198">
        <v>16</v>
      </c>
      <c r="Y57" s="198">
        <v>16</v>
      </c>
      <c r="AA57" s="184">
        <f t="shared" si="17"/>
        <v>0.98025088704486818</v>
      </c>
      <c r="AB57" s="184">
        <f t="shared" si="17"/>
        <v>0.96617293035034091</v>
      </c>
      <c r="AC57" s="184">
        <f t="shared" si="17"/>
        <v>0.97106541974748606</v>
      </c>
      <c r="AD57" s="184">
        <f t="shared" si="17"/>
        <v>0.97672323857339005</v>
      </c>
      <c r="AE57" s="184">
        <f t="shared" si="17"/>
        <v>0.9814531635885867</v>
      </c>
      <c r="AF57" s="184">
        <f t="shared" si="17"/>
        <v>0.97720411099867577</v>
      </c>
      <c r="AG57" s="184">
        <f t="shared" si="17"/>
        <v>0.98621896233615425</v>
      </c>
      <c r="AI57" s="214">
        <f t="shared" si="18"/>
        <v>-1</v>
      </c>
      <c r="AJ57" s="214">
        <f t="shared" si="18"/>
        <v>-1</v>
      </c>
      <c r="AK57" s="214">
        <f t="shared" si="18"/>
        <v>-1</v>
      </c>
      <c r="AL57" s="214">
        <f t="shared" si="18"/>
        <v>-1</v>
      </c>
      <c r="AM57" s="214">
        <f t="shared" si="18"/>
        <v>-1</v>
      </c>
      <c r="AN57" s="214">
        <f t="shared" si="18"/>
        <v>-1</v>
      </c>
      <c r="AO57" s="214">
        <f t="shared" si="18"/>
        <v>0</v>
      </c>
      <c r="AP57" s="206">
        <f t="shared" si="19"/>
        <v>0.91666666666666718</v>
      </c>
      <c r="AQ57" s="213">
        <f t="shared" si="20"/>
        <v>-6.25E-2</v>
      </c>
      <c r="AR57" s="213">
        <f t="shared" si="20"/>
        <v>-6.25E-2</v>
      </c>
      <c r="AS57" s="213">
        <f t="shared" si="20"/>
        <v>-5.8823529411764719E-2</v>
      </c>
      <c r="AT57" s="213">
        <f t="shared" si="20"/>
        <v>-5.8823529411764719E-2</v>
      </c>
      <c r="AU57" s="213">
        <f t="shared" si="20"/>
        <v>-5.8823529411764719E-2</v>
      </c>
      <c r="AV57" s="213">
        <f t="shared" si="20"/>
        <v>-5.8823529411764719E-2</v>
      </c>
      <c r="AW57" s="213">
        <f t="shared" si="20"/>
        <v>0</v>
      </c>
      <c r="AY57" s="186">
        <f t="shared" si="21"/>
        <v>90.934607288195608</v>
      </c>
      <c r="AZ57" s="186">
        <f t="shared" si="21"/>
        <v>96.263029627238964</v>
      </c>
      <c r="BA57" s="186">
        <f t="shared" si="21"/>
        <v>102.41503293603485</v>
      </c>
      <c r="BB57" s="186">
        <f t="shared" si="21"/>
        <v>98.225800359197251</v>
      </c>
      <c r="BC57" s="186">
        <f t="shared" si="21"/>
        <v>97.949025726140945</v>
      </c>
      <c r="BD57" s="186">
        <f t="shared" si="21"/>
        <v>100.03312749589779</v>
      </c>
      <c r="BE57" s="186">
        <f t="shared" si="21"/>
        <v>97.306937617167222</v>
      </c>
    </row>
    <row r="58" spans="1:57" ht="12.75" x14ac:dyDescent="0.2">
      <c r="A58" s="181">
        <f t="shared" si="9"/>
        <v>73.723809523809521</v>
      </c>
      <c r="B58" s="187">
        <f t="shared" si="22"/>
        <v>0.93750000000000056</v>
      </c>
      <c r="C58" s="135">
        <v>68.166666666666671</v>
      </c>
      <c r="D58" s="135">
        <v>71.033333333333331</v>
      </c>
      <c r="E58" s="135">
        <v>77.86666666666666</v>
      </c>
      <c r="F58" s="135">
        <v>73.2</v>
      </c>
      <c r="G58" s="135">
        <v>75.066666666666677</v>
      </c>
      <c r="H58" s="135">
        <v>76.566666666666663</v>
      </c>
      <c r="I58" s="135">
        <v>74.166666666666671</v>
      </c>
      <c r="J58" s="165">
        <v>46</v>
      </c>
      <c r="K58" s="43">
        <f t="shared" si="10"/>
        <v>12</v>
      </c>
      <c r="L58" s="43">
        <f t="shared" si="11"/>
        <v>12</v>
      </c>
      <c r="M58" s="43">
        <f t="shared" si="12"/>
        <v>13</v>
      </c>
      <c r="N58" s="43">
        <f t="shared" si="13"/>
        <v>13</v>
      </c>
      <c r="O58" s="43">
        <f t="shared" si="14"/>
        <v>13</v>
      </c>
      <c r="P58" s="43">
        <f t="shared" si="15"/>
        <v>13</v>
      </c>
      <c r="Q58" s="43">
        <f t="shared" si="16"/>
        <v>13</v>
      </c>
      <c r="R58" s="165">
        <v>46</v>
      </c>
      <c r="S58" s="198">
        <v>4</v>
      </c>
      <c r="T58" s="198">
        <v>5</v>
      </c>
      <c r="U58" s="198">
        <v>5</v>
      </c>
      <c r="V58" s="198">
        <v>5</v>
      </c>
      <c r="W58" s="198">
        <v>5</v>
      </c>
      <c r="X58" s="198">
        <v>5</v>
      </c>
      <c r="Y58" s="198">
        <v>4</v>
      </c>
      <c r="AA58" s="184">
        <f t="shared" si="17"/>
        <v>0</v>
      </c>
      <c r="AB58" s="184">
        <f t="shared" si="17"/>
        <v>0</v>
      </c>
      <c r="AC58" s="184">
        <f t="shared" si="17"/>
        <v>0</v>
      </c>
      <c r="AD58" s="184">
        <f t="shared" si="17"/>
        <v>0</v>
      </c>
      <c r="AE58" s="184">
        <f t="shared" si="17"/>
        <v>0</v>
      </c>
      <c r="AF58" s="184">
        <f t="shared" si="17"/>
        <v>0</v>
      </c>
      <c r="AG58" s="184">
        <f t="shared" si="17"/>
        <v>0</v>
      </c>
      <c r="AI58" s="214">
        <f t="shared" si="18"/>
        <v>-8</v>
      </c>
      <c r="AJ58" s="214">
        <f t="shared" si="18"/>
        <v>-7</v>
      </c>
      <c r="AK58" s="214">
        <f t="shared" si="18"/>
        <v>-8</v>
      </c>
      <c r="AL58" s="214">
        <f t="shared" si="18"/>
        <v>-8</v>
      </c>
      <c r="AM58" s="214">
        <f t="shared" si="18"/>
        <v>-8</v>
      </c>
      <c r="AN58" s="214">
        <f t="shared" si="18"/>
        <v>-8</v>
      </c>
      <c r="AO58" s="214">
        <f t="shared" si="18"/>
        <v>-9</v>
      </c>
      <c r="AP58" s="206">
        <f t="shared" si="19"/>
        <v>0.93750000000000056</v>
      </c>
      <c r="AQ58" s="213">
        <f t="shared" si="20"/>
        <v>-0.66666666666666674</v>
      </c>
      <c r="AR58" s="213">
        <f t="shared" si="20"/>
        <v>-0.58333333333333326</v>
      </c>
      <c r="AS58" s="213">
        <f t="shared" si="20"/>
        <v>-0.61538461538461542</v>
      </c>
      <c r="AT58" s="213">
        <f t="shared" si="20"/>
        <v>-0.61538461538461542</v>
      </c>
      <c r="AU58" s="213">
        <f t="shared" si="20"/>
        <v>-0.61538461538461542</v>
      </c>
      <c r="AV58" s="213">
        <f t="shared" si="20"/>
        <v>-0.61538461538461542</v>
      </c>
      <c r="AW58" s="213">
        <f t="shared" si="20"/>
        <v>-0.69230769230769229</v>
      </c>
      <c r="AY58" s="186">
        <f t="shared" si="21"/>
        <v>0</v>
      </c>
      <c r="AZ58" s="186">
        <f t="shared" si="21"/>
        <v>0</v>
      </c>
      <c r="BA58" s="186">
        <f t="shared" si="21"/>
        <v>0</v>
      </c>
      <c r="BB58" s="186">
        <f t="shared" si="21"/>
        <v>0</v>
      </c>
      <c r="BC58" s="186">
        <f t="shared" si="21"/>
        <v>0</v>
      </c>
      <c r="BD58" s="186">
        <f t="shared" si="21"/>
        <v>0</v>
      </c>
      <c r="BE58" s="186">
        <f t="shared" si="21"/>
        <v>0</v>
      </c>
    </row>
    <row r="59" spans="1:57" ht="12.75" x14ac:dyDescent="0.2">
      <c r="A59" s="181">
        <f t="shared" si="9"/>
        <v>38.164285714285711</v>
      </c>
      <c r="B59" s="187">
        <f t="shared" si="22"/>
        <v>0.95833333333333393</v>
      </c>
      <c r="C59" s="135">
        <v>32.65</v>
      </c>
      <c r="D59" s="135">
        <v>36.1</v>
      </c>
      <c r="E59" s="135">
        <v>40.450000000000003</v>
      </c>
      <c r="F59" s="135">
        <v>40.9</v>
      </c>
      <c r="G59" s="135">
        <v>38.1</v>
      </c>
      <c r="H59" s="135">
        <v>40.15</v>
      </c>
      <c r="I59" s="135">
        <v>38.799999999999997</v>
      </c>
      <c r="J59" s="165">
        <v>47</v>
      </c>
      <c r="K59" s="43">
        <f t="shared" si="10"/>
        <v>6</v>
      </c>
      <c r="L59" s="43">
        <f t="shared" si="11"/>
        <v>6</v>
      </c>
      <c r="M59" s="43">
        <f t="shared" si="12"/>
        <v>7</v>
      </c>
      <c r="N59" s="43">
        <f t="shared" si="13"/>
        <v>7</v>
      </c>
      <c r="O59" s="43">
        <f t="shared" si="14"/>
        <v>6</v>
      </c>
      <c r="P59" s="43">
        <f t="shared" si="15"/>
        <v>7</v>
      </c>
      <c r="Q59" s="43">
        <f t="shared" si="16"/>
        <v>6</v>
      </c>
      <c r="R59" s="165">
        <v>47</v>
      </c>
      <c r="S59" s="198">
        <v>4</v>
      </c>
      <c r="T59" s="198">
        <v>5</v>
      </c>
      <c r="U59" s="198">
        <v>5</v>
      </c>
      <c r="V59" s="198">
        <v>5</v>
      </c>
      <c r="W59" s="198">
        <v>5</v>
      </c>
      <c r="X59" s="198">
        <v>5</v>
      </c>
      <c r="Y59" s="198">
        <v>4</v>
      </c>
      <c r="AA59" s="184">
        <f t="shared" si="17"/>
        <v>0.35642020531073298</v>
      </c>
      <c r="AB59" s="184">
        <f t="shared" si="17"/>
        <v>0.67927235975643363</v>
      </c>
      <c r="AC59" s="184">
        <f t="shared" si="17"/>
        <v>0.47402774202646258</v>
      </c>
      <c r="AD59" s="184">
        <f t="shared" si="17"/>
        <v>0.37965221700980473</v>
      </c>
      <c r="AE59" s="184">
        <f t="shared" si="17"/>
        <v>0.56264445217941284</v>
      </c>
      <c r="AF59" s="184">
        <f t="shared" si="17"/>
        <v>0.46226278136386351</v>
      </c>
      <c r="AG59" s="184">
        <f t="shared" si="17"/>
        <v>0</v>
      </c>
      <c r="AI59" s="214">
        <f t="shared" si="18"/>
        <v>-2</v>
      </c>
      <c r="AJ59" s="214">
        <f t="shared" si="18"/>
        <v>-1</v>
      </c>
      <c r="AK59" s="214">
        <f t="shared" si="18"/>
        <v>-2</v>
      </c>
      <c r="AL59" s="214">
        <f t="shared" si="18"/>
        <v>-2</v>
      </c>
      <c r="AM59" s="214">
        <f t="shared" si="18"/>
        <v>-1</v>
      </c>
      <c r="AN59" s="214">
        <f t="shared" si="18"/>
        <v>-2</v>
      </c>
      <c r="AO59" s="214">
        <f t="shared" si="18"/>
        <v>-2</v>
      </c>
      <c r="AP59" s="206">
        <f t="shared" si="19"/>
        <v>0.95833333333333393</v>
      </c>
      <c r="AQ59" s="213">
        <f t="shared" si="20"/>
        <v>-0.33333333333333337</v>
      </c>
      <c r="AR59" s="213">
        <f t="shared" si="20"/>
        <v>-0.16666666666666663</v>
      </c>
      <c r="AS59" s="213">
        <f t="shared" si="20"/>
        <v>-0.2857142857142857</v>
      </c>
      <c r="AT59" s="213">
        <f t="shared" si="20"/>
        <v>-0.2857142857142857</v>
      </c>
      <c r="AU59" s="213">
        <f t="shared" si="20"/>
        <v>-0.16666666666666663</v>
      </c>
      <c r="AV59" s="213">
        <f t="shared" si="20"/>
        <v>-0.2857142857142857</v>
      </c>
      <c r="AW59" s="213">
        <f t="shared" si="20"/>
        <v>-0.33333333333333337</v>
      </c>
      <c r="AY59" s="186">
        <f t="shared" si="21"/>
        <v>11.637119703395431</v>
      </c>
      <c r="AZ59" s="186">
        <f t="shared" si="21"/>
        <v>24.521732187207256</v>
      </c>
      <c r="BA59" s="186">
        <f t="shared" si="21"/>
        <v>19.174422164970412</v>
      </c>
      <c r="BB59" s="186">
        <f t="shared" si="21"/>
        <v>15.527775675701013</v>
      </c>
      <c r="BC59" s="186">
        <f t="shared" si="21"/>
        <v>21.436753628035628</v>
      </c>
      <c r="BD59" s="186">
        <f t="shared" si="21"/>
        <v>18.559850671759119</v>
      </c>
      <c r="BE59" s="186">
        <f t="shared" si="21"/>
        <v>0</v>
      </c>
    </row>
    <row r="60" spans="1:57" ht="13.5" thickBot="1" x14ac:dyDescent="0.25">
      <c r="A60" s="181">
        <f t="shared" si="9"/>
        <v>23.428571428571427</v>
      </c>
      <c r="B60" s="187">
        <f t="shared" si="22"/>
        <v>0.9791666666666673</v>
      </c>
      <c r="C60" s="135">
        <v>17.8</v>
      </c>
      <c r="D60" s="135">
        <v>24.3</v>
      </c>
      <c r="E60" s="135">
        <v>25</v>
      </c>
      <c r="F60" s="135">
        <v>24.35</v>
      </c>
      <c r="G60" s="135">
        <v>23.700000000000003</v>
      </c>
      <c r="H60" s="135">
        <v>24.45</v>
      </c>
      <c r="I60" s="135">
        <v>24.4</v>
      </c>
      <c r="J60" s="165">
        <v>48</v>
      </c>
      <c r="K60" s="43">
        <f t="shared" si="10"/>
        <v>4</v>
      </c>
      <c r="L60" s="43">
        <f t="shared" si="11"/>
        <v>5</v>
      </c>
      <c r="M60" s="43">
        <f t="shared" si="12"/>
        <v>5</v>
      </c>
      <c r="N60" s="43">
        <f t="shared" si="13"/>
        <v>5</v>
      </c>
      <c r="O60" s="43">
        <f t="shared" si="14"/>
        <v>5</v>
      </c>
      <c r="P60" s="43">
        <f t="shared" si="15"/>
        <v>5</v>
      </c>
      <c r="Q60" s="43">
        <f t="shared" si="16"/>
        <v>5</v>
      </c>
      <c r="R60" s="165">
        <v>48</v>
      </c>
      <c r="S60" s="198">
        <v>4</v>
      </c>
      <c r="T60" s="198">
        <v>5</v>
      </c>
      <c r="U60" s="198">
        <v>5</v>
      </c>
      <c r="V60" s="198">
        <v>5</v>
      </c>
      <c r="W60" s="198">
        <v>5</v>
      </c>
      <c r="X60" s="198">
        <v>5</v>
      </c>
      <c r="Y60" s="198">
        <v>4</v>
      </c>
      <c r="AA60" s="184">
        <f t="shared" si="17"/>
        <v>0.91915833365157895</v>
      </c>
      <c r="AB60" s="184">
        <f t="shared" si="17"/>
        <v>0.93905958566370984</v>
      </c>
      <c r="AC60" s="184">
        <f t="shared" si="17"/>
        <v>0.92204156011992122</v>
      </c>
      <c r="AD60" s="184">
        <f t="shared" si="17"/>
        <v>0.92896606933253489</v>
      </c>
      <c r="AE60" s="184">
        <f t="shared" si="17"/>
        <v>0.93244785039199873</v>
      </c>
      <c r="AF60" s="184">
        <f t="shared" si="17"/>
        <v>0.93244785039199873</v>
      </c>
      <c r="AG60" s="184">
        <f t="shared" si="17"/>
        <v>0.79158732455619829</v>
      </c>
      <c r="AI60" s="214">
        <f t="shared" si="18"/>
        <v>0</v>
      </c>
      <c r="AJ60" s="214">
        <f t="shared" si="18"/>
        <v>0</v>
      </c>
      <c r="AK60" s="214">
        <f t="shared" si="18"/>
        <v>0</v>
      </c>
      <c r="AL60" s="214">
        <f t="shared" si="18"/>
        <v>0</v>
      </c>
      <c r="AM60" s="214">
        <f t="shared" si="18"/>
        <v>0</v>
      </c>
      <c r="AN60" s="214">
        <f t="shared" si="18"/>
        <v>0</v>
      </c>
      <c r="AO60" s="214">
        <f t="shared" si="18"/>
        <v>-1</v>
      </c>
      <c r="AP60" s="206">
        <f t="shared" si="19"/>
        <v>0.9791666666666673</v>
      </c>
      <c r="AQ60" s="213">
        <f t="shared" si="20"/>
        <v>0</v>
      </c>
      <c r="AR60" s="213">
        <f t="shared" si="20"/>
        <v>0</v>
      </c>
      <c r="AS60" s="213">
        <f t="shared" si="20"/>
        <v>0</v>
      </c>
      <c r="AT60" s="213">
        <f t="shared" si="20"/>
        <v>0</v>
      </c>
      <c r="AU60" s="213">
        <f t="shared" si="20"/>
        <v>0</v>
      </c>
      <c r="AV60" s="213">
        <f t="shared" si="20"/>
        <v>0</v>
      </c>
      <c r="AW60" s="213">
        <f t="shared" si="20"/>
        <v>-0.19999999999999996</v>
      </c>
      <c r="AY60" s="186">
        <f t="shared" si="21"/>
        <v>16.361018338998107</v>
      </c>
      <c r="AZ60" s="186">
        <f t="shared" si="21"/>
        <v>22.819147931628148</v>
      </c>
      <c r="BA60" s="186">
        <f t="shared" si="21"/>
        <v>23.051039002998031</v>
      </c>
      <c r="BB60" s="186">
        <f t="shared" si="21"/>
        <v>22.620323788247227</v>
      </c>
      <c r="BC60" s="186">
        <f t="shared" si="21"/>
        <v>22.099014054290372</v>
      </c>
      <c r="BD60" s="186">
        <f t="shared" si="21"/>
        <v>22.798349942084368</v>
      </c>
      <c r="BE60" s="186">
        <f t="shared" si="21"/>
        <v>19.314730719171237</v>
      </c>
    </row>
    <row r="61" spans="1:57" ht="15.75" thickBot="1" x14ac:dyDescent="0.3">
      <c r="A61" s="188">
        <f>SUM(K61:Q61)</f>
        <v>1994.5</v>
      </c>
      <c r="B61" s="189">
        <f>SUM(C61:I61)</f>
        <v>23300.366666666665</v>
      </c>
      <c r="C61" s="257">
        <f t="shared" ref="C61:I61" si="23">SUM(C13:C60)</f>
        <v>3051.6500000000005</v>
      </c>
      <c r="D61" s="257">
        <f t="shared" si="23"/>
        <v>3201.1000000000004</v>
      </c>
      <c r="E61" s="257">
        <f t="shared" si="23"/>
        <v>3314.8166666666666</v>
      </c>
      <c r="F61" s="257">
        <f t="shared" si="23"/>
        <v>3370.2333333333327</v>
      </c>
      <c r="G61" s="257">
        <f t="shared" si="23"/>
        <v>3335.766666666666</v>
      </c>
      <c r="H61" s="257">
        <f t="shared" si="23"/>
        <v>3513.833333333333</v>
      </c>
      <c r="I61" s="257">
        <f t="shared" si="23"/>
        <v>3512.9666666666672</v>
      </c>
      <c r="K61" s="193">
        <f>SUM(K13:K60)/2</f>
        <v>264.5</v>
      </c>
      <c r="L61" s="191">
        <f t="shared" ref="L61:Q61" si="24">SUM(L13:L60)/2</f>
        <v>270.5</v>
      </c>
      <c r="M61" s="191">
        <f t="shared" si="24"/>
        <v>283.5</v>
      </c>
      <c r="N61" s="191">
        <f t="shared" si="24"/>
        <v>292.5</v>
      </c>
      <c r="O61" s="191">
        <f t="shared" si="24"/>
        <v>286</v>
      </c>
      <c r="P61" s="191">
        <f t="shared" si="24"/>
        <v>300.5</v>
      </c>
      <c r="Q61" s="192">
        <f t="shared" si="24"/>
        <v>297</v>
      </c>
      <c r="S61" s="193">
        <f>SUM(S13:S60)/2</f>
        <v>268.5</v>
      </c>
      <c r="T61" s="193">
        <f t="shared" ref="T61:Y61" si="25">SUM(T13:T60)/2</f>
        <v>278</v>
      </c>
      <c r="U61" s="193">
        <f t="shared" si="25"/>
        <v>289</v>
      </c>
      <c r="V61" s="193">
        <f t="shared" si="25"/>
        <v>295</v>
      </c>
      <c r="W61" s="193">
        <f t="shared" si="25"/>
        <v>294.5</v>
      </c>
      <c r="X61" s="193">
        <f t="shared" si="25"/>
        <v>311.5</v>
      </c>
      <c r="Y61" s="193">
        <f t="shared" si="25"/>
        <v>298</v>
      </c>
      <c r="AP61" s="21" t="s">
        <v>161</v>
      </c>
      <c r="AQ61" s="215">
        <f>COUNTIF(AQ13:AQ60,$AP$61)/48</f>
        <v>8.3333333333333329E-2</v>
      </c>
      <c r="AR61" s="216">
        <f t="shared" ref="AR61:AW61" si="26">COUNTIF(AR13:AR60,$AP$61)/48</f>
        <v>4.1666666666666664E-2</v>
      </c>
      <c r="AS61" s="216">
        <f t="shared" si="26"/>
        <v>8.3333333333333329E-2</v>
      </c>
      <c r="AT61" s="216">
        <f t="shared" si="26"/>
        <v>0.125</v>
      </c>
      <c r="AU61" s="216">
        <f t="shared" si="26"/>
        <v>0.125</v>
      </c>
      <c r="AV61" s="216">
        <f t="shared" si="26"/>
        <v>0.125</v>
      </c>
      <c r="AW61" s="217">
        <f t="shared" si="26"/>
        <v>0.10416666666666667</v>
      </c>
    </row>
    <row r="62" spans="1:57" ht="15.75" thickBot="1" x14ac:dyDescent="0.3">
      <c r="A62" s="188">
        <f>SUM(S61:Y61)</f>
        <v>2034.5</v>
      </c>
      <c r="C62" s="259">
        <v>192</v>
      </c>
      <c r="D62" s="259">
        <v>189</v>
      </c>
      <c r="E62" s="259">
        <v>192</v>
      </c>
      <c r="F62" s="259">
        <v>195</v>
      </c>
      <c r="G62" s="259">
        <v>193</v>
      </c>
      <c r="H62" s="259">
        <v>193</v>
      </c>
      <c r="I62" s="259">
        <v>190</v>
      </c>
      <c r="AP62" s="21" t="s">
        <v>164</v>
      </c>
      <c r="AQ62" s="215">
        <f>COUNTIF(AQ13:AQ60,$AP$62)/48</f>
        <v>0.29166666666666669</v>
      </c>
      <c r="AR62" s="215">
        <f t="shared" ref="AR62:AV62" si="27">COUNTIF(AR13:AR60,$AP$62)/48</f>
        <v>0.27083333333333331</v>
      </c>
      <c r="AS62" s="215">
        <f t="shared" si="27"/>
        <v>0.29166666666666669</v>
      </c>
      <c r="AT62" s="215">
        <f t="shared" si="27"/>
        <v>0.39583333333333331</v>
      </c>
      <c r="AU62" s="215">
        <f t="shared" si="27"/>
        <v>0.375</v>
      </c>
      <c r="AV62" s="215">
        <f t="shared" si="27"/>
        <v>0.39583333333333331</v>
      </c>
      <c r="AW62" s="215">
        <f>COUNTIF(AW13:AW60,$AP$62)/48</f>
        <v>0.33333333333333331</v>
      </c>
    </row>
    <row r="63" spans="1:57" x14ac:dyDescent="0.2">
      <c r="C63" s="195">
        <f>C61/$B$61</f>
        <v>0.1309700419592825</v>
      </c>
      <c r="D63" s="195">
        <f t="shared" ref="D63:I63" si="28">D61/$B$61</f>
        <v>0.13738410411281085</v>
      </c>
      <c r="E63" s="195">
        <f t="shared" si="28"/>
        <v>0.1422645709438049</v>
      </c>
      <c r="F63" s="195">
        <f t="shared" si="28"/>
        <v>0.14464293122711944</v>
      </c>
      <c r="G63" s="195">
        <f t="shared" si="28"/>
        <v>0.14316369842534665</v>
      </c>
      <c r="H63" s="195">
        <f t="shared" si="28"/>
        <v>0.15080592437028889</v>
      </c>
      <c r="I63" s="195">
        <f t="shared" si="28"/>
        <v>0.15076872896134685</v>
      </c>
      <c r="K63" s="195">
        <f>K61/$A$61</f>
        <v>0.13261469039859614</v>
      </c>
      <c r="L63" s="195">
        <f t="shared" ref="L63:Q63" si="29">L61/$A$61</f>
        <v>0.13562296314865882</v>
      </c>
      <c r="M63" s="195">
        <f t="shared" si="29"/>
        <v>0.14214088744046127</v>
      </c>
      <c r="N63" s="195">
        <f t="shared" si="29"/>
        <v>0.14665329656555529</v>
      </c>
      <c r="O63" s="195">
        <f t="shared" si="29"/>
        <v>0.14339433441965405</v>
      </c>
      <c r="P63" s="195">
        <f t="shared" si="29"/>
        <v>0.15066432689897216</v>
      </c>
      <c r="Q63" s="195">
        <f t="shared" si="29"/>
        <v>0.14890950112810228</v>
      </c>
      <c r="S63" s="195">
        <f>S61/$A$62</f>
        <v>0.13197345785205211</v>
      </c>
      <c r="T63" s="195">
        <f t="shared" ref="T63:Y63" si="30">T61/$A$62</f>
        <v>0.13664290980584912</v>
      </c>
      <c r="U63" s="195">
        <f t="shared" si="30"/>
        <v>0.14204964364708775</v>
      </c>
      <c r="V63" s="195">
        <f t="shared" si="30"/>
        <v>0.14499877119685425</v>
      </c>
      <c r="W63" s="195">
        <f t="shared" si="30"/>
        <v>0.14475301056770706</v>
      </c>
      <c r="X63" s="195">
        <f t="shared" si="30"/>
        <v>0.1531088719587122</v>
      </c>
      <c r="Y63" s="195">
        <f t="shared" si="30"/>
        <v>0.14647333497173753</v>
      </c>
    </row>
    <row r="65" spans="11:45" x14ac:dyDescent="0.2">
      <c r="K65" s="306" t="str">
        <f>"ETP HEBDO =  "&amp;A61/40</f>
        <v>ETP HEBDO =  49,8625</v>
      </c>
      <c r="L65" s="306"/>
      <c r="M65" s="306"/>
      <c r="N65" s="306"/>
      <c r="O65" s="306"/>
      <c r="P65" s="306"/>
      <c r="Q65" s="306"/>
      <c r="S65" s="307" t="str">
        <f>"ETP HEBDO =  "&amp;A62/40</f>
        <v>ETP HEBDO =  50,8625</v>
      </c>
      <c r="T65" s="307"/>
      <c r="U65" s="307"/>
      <c r="V65" s="307"/>
      <c r="W65" s="307"/>
      <c r="X65" s="307"/>
      <c r="Y65" s="307"/>
      <c r="AP65" s="165" t="s">
        <v>162</v>
      </c>
      <c r="AQ65" s="309" t="s">
        <v>149</v>
      </c>
      <c r="AR65" s="309"/>
      <c r="AS65" s="196">
        <f>COUNTIF(AI13:AO60, AP65)</f>
        <v>0</v>
      </c>
    </row>
    <row r="68" spans="11:45" x14ac:dyDescent="0.2">
      <c r="AP68" s="165" t="s">
        <v>163</v>
      </c>
      <c r="AQ68" s="305" t="s">
        <v>152</v>
      </c>
      <c r="AR68" s="305"/>
      <c r="AS68" s="196">
        <f>COUNTIF(AI13:AO60, AP68)</f>
        <v>0</v>
      </c>
    </row>
    <row r="70" spans="11:45" ht="12.75" x14ac:dyDescent="0.2">
      <c r="AP70" s="165" t="s">
        <v>161</v>
      </c>
      <c r="AQ70" s="221">
        <f>COUNTIF(AQ13:AW60,AP70)/336</f>
        <v>9.8214285714285712E-2</v>
      </c>
      <c r="AR70" s="203" t="s">
        <v>153</v>
      </c>
    </row>
    <row r="71" spans="11:45" ht="12.75" x14ac:dyDescent="0.2">
      <c r="AP71" s="21" t="s">
        <v>164</v>
      </c>
      <c r="AQ71" s="221">
        <f>COUNTIF(AQ13:AW60,AP71)/336</f>
        <v>0.33630952380952384</v>
      </c>
      <c r="AR71" s="203" t="s">
        <v>167</v>
      </c>
    </row>
  </sheetData>
  <mergeCells count="15">
    <mergeCell ref="S7:Y7"/>
    <mergeCell ref="A4:B4"/>
    <mergeCell ref="A6:B6"/>
    <mergeCell ref="A8:B8"/>
    <mergeCell ref="C11:I11"/>
    <mergeCell ref="K11:Q11"/>
    <mergeCell ref="AQ10:AW10"/>
    <mergeCell ref="AQ68:AR68"/>
    <mergeCell ref="K65:Q65"/>
    <mergeCell ref="S65:Y65"/>
    <mergeCell ref="AA11:AG11"/>
    <mergeCell ref="AI11:AO11"/>
    <mergeCell ref="AQ11:AW11"/>
    <mergeCell ref="AQ65:AR65"/>
    <mergeCell ref="S11:Y11"/>
  </mergeCells>
  <conditionalFormatting sqref="AA13:AG60">
    <cfRule type="cellIs" dxfId="1668" priority="66" operator="lessThan">
      <formula>0.8</formula>
    </cfRule>
    <cfRule type="cellIs" dxfId="1667" priority="67" operator="greaterThan">
      <formula>0.9</formula>
    </cfRule>
    <cfRule type="cellIs" dxfId="1666" priority="68" operator="between">
      <formula>0.8</formula>
      <formula>0.9</formula>
    </cfRule>
  </conditionalFormatting>
  <conditionalFormatting sqref="AQ10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60">
    <cfRule type="cellIs" dxfId="1665" priority="42" operator="between">
      <formula>-9</formula>
      <formula>-1</formula>
    </cfRule>
    <cfRule type="cellIs" dxfId="1664" priority="43" operator="between">
      <formula>1</formula>
      <formula>9</formula>
    </cfRule>
    <cfRule type="cellIs" dxfId="1663" priority="44" operator="lessThan">
      <formula>-9</formula>
    </cfRule>
    <cfRule type="cellIs" dxfId="1662" priority="45" operator="greaterThan">
      <formula>9</formula>
    </cfRule>
  </conditionalFormatting>
  <conditionalFormatting sqref="AA10:AG10">
    <cfRule type="cellIs" dxfId="1661" priority="41" operator="lessThan">
      <formula>0.8</formula>
    </cfRule>
  </conditionalFormatting>
  <conditionalFormatting sqref="U26:Y26 T56:Y60 X50:Y55 S13:S60 T50:V55 T13:Y25">
    <cfRule type="cellIs" dxfId="1660" priority="36" operator="greaterThan">
      <formula>$S$10</formula>
    </cfRule>
  </conditionalFormatting>
  <conditionalFormatting sqref="T26:T49">
    <cfRule type="cellIs" dxfId="1659" priority="35" operator="greaterThan">
      <formula>$T$10</formula>
    </cfRule>
  </conditionalFormatting>
  <conditionalFormatting sqref="U27:U49">
    <cfRule type="cellIs" dxfId="1658" priority="34" operator="greaterThan">
      <formula>$U$10</formula>
    </cfRule>
  </conditionalFormatting>
  <conditionalFormatting sqref="V27:V49">
    <cfRule type="cellIs" dxfId="1657" priority="33" operator="greaterThan">
      <formula>$V$10</formula>
    </cfRule>
  </conditionalFormatting>
  <conditionalFormatting sqref="W27:W55">
    <cfRule type="cellIs" dxfId="1656" priority="32" operator="greaterThan">
      <formula>$W$10</formula>
    </cfRule>
  </conditionalFormatting>
  <conditionalFormatting sqref="X27:X49">
    <cfRule type="cellIs" dxfId="1655" priority="31" operator="greaterThan">
      <formula>$X$10</formula>
    </cfRule>
  </conditionalFormatting>
  <conditionalFormatting sqref="Y27:Y49">
    <cfRule type="cellIs" dxfId="1654" priority="30" operator="greaterThan">
      <formula>$Y$10</formula>
    </cfRule>
  </conditionalFormatting>
  <conditionalFormatting sqref="K13:Q60">
    <cfRule type="cellIs" dxfId="1653" priority="27" operator="greaterThan">
      <formula>50</formula>
    </cfRule>
    <cfRule type="cellIs" dxfId="1652" priority="28" operator="greaterThan">
      <formula>69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K10:Q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3:AW60">
    <cfRule type="cellIs" dxfId="1651" priority="22" operator="between">
      <formula>-9</formula>
      <formula>-1</formula>
    </cfRule>
    <cfRule type="cellIs" dxfId="1650" priority="23" operator="between">
      <formula>1</formula>
      <formula>9</formula>
    </cfRule>
    <cfRule type="cellIs" dxfId="1649" priority="24" operator="lessThan">
      <formula>-9</formula>
    </cfRule>
    <cfRule type="cellIs" dxfId="1648" priority="25" operator="greaterThan">
      <formula>9</formula>
    </cfRule>
  </conditionalFormatting>
  <conditionalFormatting sqref="AQ13:AW60">
    <cfRule type="cellIs" dxfId="1647" priority="21" operator="lessThan">
      <formula>-0.1</formula>
    </cfRule>
  </conditionalFormatting>
  <conditionalFormatting sqref="AI13:AO60">
    <cfRule type="cellIs" dxfId="1646" priority="18" operator="greaterThan">
      <formula>10</formula>
    </cfRule>
    <cfRule type="cellIs" dxfId="1645" priority="19" operator="lessThan">
      <formula>-10</formula>
    </cfRule>
    <cfRule type="cellIs" dxfId="1644" priority="20" operator="lessThan">
      <formula>0</formula>
    </cfRule>
  </conditionalFormatting>
  <conditionalFormatting sqref="AQ61:AW61">
    <cfRule type="cellIs" dxfId="1643" priority="9" operator="between">
      <formula>-9</formula>
      <formula>-1</formula>
    </cfRule>
    <cfRule type="cellIs" dxfId="1642" priority="10" operator="between">
      <formula>1</formula>
      <formula>9</formula>
    </cfRule>
    <cfRule type="cellIs" dxfId="1641" priority="11" operator="lessThan">
      <formula>-9</formula>
    </cfRule>
    <cfRule type="cellIs" dxfId="1640" priority="12" operator="greaterThan">
      <formula>9</formula>
    </cfRule>
  </conditionalFormatting>
  <conditionalFormatting sqref="AS68">
    <cfRule type="cellIs" dxfId="1639" priority="8" operator="greaterThan">
      <formula>0</formula>
    </cfRule>
  </conditionalFormatting>
  <conditionalFormatting sqref="AQ70">
    <cfRule type="cellIs" dxfId="1638" priority="7" operator="greaterThan">
      <formula>0.1</formula>
    </cfRule>
  </conditionalFormatting>
  <conditionalFormatting sqref="AS65">
    <cfRule type="cellIs" dxfId="1637" priority="6" operator="greaterThan">
      <formula>0</formula>
    </cfRule>
  </conditionalFormatting>
  <conditionalFormatting sqref="AQ61:AW61">
    <cfRule type="cellIs" dxfId="1636" priority="5" operator="lessThan">
      <formula>-0.1</formula>
    </cfRule>
  </conditionalFormatting>
  <conditionalFormatting sqref="AQ61:AW61">
    <cfRule type="cellIs" dxfId="1635" priority="4" operator="greaterThan">
      <formula>0.1499</formula>
    </cfRule>
  </conditionalFormatting>
  <conditionalFormatting sqref="AQ62:AW62">
    <cfRule type="cellIs" dxfId="1634" priority="3" operator="greaterThan">
      <formula>0.2</formula>
    </cfRule>
  </conditionalFormatting>
  <conditionalFormatting sqref="AQ71">
    <cfRule type="cellIs" dxfId="1633" priority="2" operator="greaterThan">
      <formula>0.15</formula>
    </cfRule>
  </conditionalFormatting>
  <conditionalFormatting sqref="C13:I6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E30" sqref="E30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B050"/>
  </sheetPr>
  <dimension ref="A1:BE71"/>
  <sheetViews>
    <sheetView tabSelected="1" topLeftCell="A7" zoomScale="80" zoomScaleNormal="80" workbookViewId="0">
      <selection activeCell="Z9" sqref="Z9"/>
    </sheetView>
  </sheetViews>
  <sheetFormatPr baseColWidth="10" defaultRowHeight="11.25" x14ac:dyDescent="0.2"/>
  <cols>
    <col min="1" max="2" width="11.42578125" style="165"/>
    <col min="3" max="3" width="7.85546875" style="165" bestFit="1" customWidth="1"/>
    <col min="4" max="4" width="5.85546875" style="165" bestFit="1" customWidth="1"/>
    <col min="5" max="5" width="8.7109375" style="165" bestFit="1" customWidth="1"/>
    <col min="6" max="6" width="5.7109375" style="165" bestFit="1" customWidth="1"/>
    <col min="7" max="7" width="9.140625" style="165" bestFit="1" customWidth="1"/>
    <col min="8" max="8" width="7.42578125" style="165" bestFit="1" customWidth="1"/>
    <col min="9" max="9" width="8.7109375" style="165" bestFit="1" customWidth="1"/>
    <col min="10" max="10" width="12.140625" style="165" bestFit="1" customWidth="1"/>
    <col min="11" max="12" width="6.5703125" style="165" bestFit="1" customWidth="1"/>
    <col min="13" max="13" width="8.85546875" style="165" bestFit="1" customWidth="1"/>
    <col min="14" max="14" width="6.5703125" style="165" bestFit="1" customWidth="1"/>
    <col min="15" max="15" width="9.28515625" style="165" bestFit="1" customWidth="1"/>
    <col min="16" max="16" width="7.5703125" style="165" bestFit="1" customWidth="1"/>
    <col min="17" max="17" width="9.7109375" style="165" bestFit="1" customWidth="1"/>
    <col min="18" max="18" width="11.42578125" style="165"/>
    <col min="19" max="20" width="5.85546875" style="165" bestFit="1" customWidth="1"/>
    <col min="21" max="21" width="8.7109375" style="165" bestFit="1" customWidth="1"/>
    <col min="22" max="22" width="5.7109375" style="165" bestFit="1" customWidth="1"/>
    <col min="23" max="23" width="9.140625" style="165" bestFit="1" customWidth="1"/>
    <col min="24" max="24" width="7.42578125" style="165" bestFit="1" customWidth="1"/>
    <col min="25" max="25" width="9.5703125" style="165" bestFit="1" customWidth="1"/>
    <col min="26" max="26" width="11.42578125" style="165"/>
    <col min="27" max="28" width="6" style="165" hidden="1" customWidth="1"/>
    <col min="29" max="29" width="8.7109375" style="165" hidden="1" customWidth="1"/>
    <col min="30" max="30" width="6" style="165" hidden="1" customWidth="1"/>
    <col min="31" max="31" width="9.140625" style="165" hidden="1" customWidth="1"/>
    <col min="32" max="32" width="7.42578125" style="165" hidden="1" customWidth="1"/>
    <col min="33" max="33" width="9.5703125" style="165" hidden="1" customWidth="1"/>
    <col min="34" max="34" width="11.42578125" style="165"/>
    <col min="35" max="36" width="5.85546875" style="165" bestFit="1" customWidth="1"/>
    <col min="37" max="37" width="8.7109375" style="165" bestFit="1" customWidth="1"/>
    <col min="38" max="38" width="5.7109375" style="165" bestFit="1" customWidth="1"/>
    <col min="39" max="39" width="9.140625" style="165" bestFit="1" customWidth="1"/>
    <col min="40" max="40" width="7.42578125" style="165" bestFit="1" customWidth="1"/>
    <col min="41" max="41" width="9.5703125" style="165" bestFit="1" customWidth="1"/>
    <col min="42" max="42" width="11.42578125" style="165"/>
    <col min="43" max="44" width="6.5703125" style="165" bestFit="1" customWidth="1"/>
    <col min="45" max="45" width="8.85546875" style="165" bestFit="1" customWidth="1"/>
    <col min="46" max="46" width="6.5703125" style="165" bestFit="1" customWidth="1"/>
    <col min="47" max="47" width="9.28515625" style="165" bestFit="1" customWidth="1"/>
    <col min="48" max="48" width="7.5703125" style="165" bestFit="1" customWidth="1"/>
    <col min="49" max="49" width="9.5703125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C2" s="167">
        <v>0.7</v>
      </c>
      <c r="K2" s="168">
        <f>K10*C61</f>
        <v>71290.449999999983</v>
      </c>
      <c r="L2" s="168">
        <f t="shared" ref="L2:Q2" si="0">L10*D61</f>
        <v>66251.250000000015</v>
      </c>
      <c r="M2" s="168">
        <f t="shared" si="0"/>
        <v>67181.333333333343</v>
      </c>
      <c r="N2" s="168">
        <f t="shared" si="0"/>
        <v>68098</v>
      </c>
      <c r="O2" s="168">
        <f t="shared" si="0"/>
        <v>63818.883333333331</v>
      </c>
      <c r="P2" s="168">
        <f t="shared" si="0"/>
        <v>67911.333333333343</v>
      </c>
      <c r="Q2" s="168">
        <f t="shared" si="0"/>
        <v>46455.883333333324</v>
      </c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223">
        <v>1.923520547843334E-2</v>
      </c>
      <c r="D8" s="224">
        <v>2.5519111817881766E-2</v>
      </c>
      <c r="E8" s="224">
        <v>3.0652246060403947E-2</v>
      </c>
      <c r="F8" s="224">
        <v>3.4281166704333912E-2</v>
      </c>
      <c r="G8" s="224">
        <v>3.4432211117190012E-2</v>
      </c>
      <c r="H8" s="224">
        <v>1.3050781162657519E-2</v>
      </c>
      <c r="I8" s="225">
        <v>2.8095053816616755E-2</v>
      </c>
      <c r="K8" s="173"/>
      <c r="L8" s="173"/>
      <c r="M8" s="173"/>
      <c r="N8" s="173"/>
      <c r="O8" s="173"/>
      <c r="P8" s="173"/>
      <c r="Q8" s="173"/>
      <c r="S8" s="204">
        <v>8</v>
      </c>
      <c r="T8" s="204">
        <v>9</v>
      </c>
      <c r="U8" s="204">
        <v>9</v>
      </c>
      <c r="V8" s="204">
        <v>8</v>
      </c>
      <c r="W8" s="204">
        <v>9</v>
      </c>
      <c r="X8" s="204">
        <v>6</v>
      </c>
      <c r="Y8" s="204">
        <v>6</v>
      </c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 s="135">
        <f>C62</f>
        <v>231</v>
      </c>
      <c r="L10" s="135">
        <f t="shared" ref="L10:Q10" si="1">D62</f>
        <v>225</v>
      </c>
      <c r="M10" s="135">
        <f t="shared" si="1"/>
        <v>236</v>
      </c>
      <c r="N10" s="135">
        <f t="shared" si="1"/>
        <v>237</v>
      </c>
      <c r="O10" s="135">
        <f t="shared" si="1"/>
        <v>223</v>
      </c>
      <c r="P10" s="135">
        <f t="shared" si="1"/>
        <v>230</v>
      </c>
      <c r="Q10" s="135">
        <f t="shared" si="1"/>
        <v>197</v>
      </c>
      <c r="S10" s="173">
        <f>MAX(K13:K60)</f>
        <v>4</v>
      </c>
      <c r="T10" s="173">
        <f t="shared" ref="T10:Y10" si="2">MAX(L13:L60)</f>
        <v>3</v>
      </c>
      <c r="U10" s="173">
        <f t="shared" si="2"/>
        <v>3</v>
      </c>
      <c r="V10" s="173">
        <f t="shared" si="2"/>
        <v>3</v>
      </c>
      <c r="W10" s="173">
        <f t="shared" si="2"/>
        <v>3</v>
      </c>
      <c r="X10" s="173">
        <f t="shared" si="2"/>
        <v>4</v>
      </c>
      <c r="Y10" s="173">
        <f t="shared" si="2"/>
        <v>3</v>
      </c>
      <c r="AA10" s="175">
        <f>AY10/C61</f>
        <v>0.93283877988239461</v>
      </c>
      <c r="AB10" s="175">
        <f t="shared" ref="AB10:AG10" si="3">AZ10/D61</f>
        <v>0.93760191963153827</v>
      </c>
      <c r="AC10" s="175">
        <f t="shared" si="3"/>
        <v>0.93590867757505325</v>
      </c>
      <c r="AD10" s="175">
        <f t="shared" si="3"/>
        <v>0.93436689558538277</v>
      </c>
      <c r="AE10" s="175">
        <f t="shared" si="3"/>
        <v>0.95539302024323147</v>
      </c>
      <c r="AF10" s="175">
        <f t="shared" si="3"/>
        <v>0.92882219260139343</v>
      </c>
      <c r="AG10" s="175">
        <f t="shared" si="3"/>
        <v>0.96060205023207945</v>
      </c>
      <c r="AI10" s="175"/>
      <c r="AJ10" s="175"/>
      <c r="AK10" s="175"/>
      <c r="AL10" s="175"/>
      <c r="AM10" s="175"/>
      <c r="AN10" s="175"/>
      <c r="AO10" s="175"/>
      <c r="AQ10" s="302" t="s">
        <v>157</v>
      </c>
      <c r="AR10" s="303"/>
      <c r="AS10" s="303"/>
      <c r="AT10" s="303"/>
      <c r="AU10" s="303"/>
      <c r="AV10" s="303"/>
      <c r="AW10" s="304"/>
      <c r="AY10" s="177">
        <f>SUM(AY13:AY60)</f>
        <v>287.88959478470497</v>
      </c>
      <c r="AZ10" s="177">
        <f t="shared" ref="AZ10:BE10" si="4">SUM(AZ13:AZ60)</f>
        <v>276.0768852355065</v>
      </c>
      <c r="BA10" s="177">
        <f t="shared" si="4"/>
        <v>266.4220035496985</v>
      </c>
      <c r="BB10" s="177">
        <f t="shared" si="4"/>
        <v>268.47475466486662</v>
      </c>
      <c r="BC10" s="177">
        <f t="shared" si="4"/>
        <v>273.41755917660879</v>
      </c>
      <c r="BD10" s="177">
        <f t="shared" si="4"/>
        <v>274.25023273543815</v>
      </c>
      <c r="BE10" s="177">
        <f t="shared" si="4"/>
        <v>226.52597347889483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52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0.75714285714285712</v>
      </c>
      <c r="B13" s="182">
        <v>0</v>
      </c>
      <c r="C13" s="135">
        <v>0.3</v>
      </c>
      <c r="D13" s="135">
        <v>0.6</v>
      </c>
      <c r="E13" s="135">
        <v>0.6</v>
      </c>
      <c r="F13" s="135">
        <v>1.1000000000000001</v>
      </c>
      <c r="G13" s="135">
        <v>0.9</v>
      </c>
      <c r="H13" s="135">
        <v>1.1000000000000001</v>
      </c>
      <c r="I13" s="135">
        <v>0.7</v>
      </c>
      <c r="J13" s="165">
        <v>1</v>
      </c>
      <c r="K13" s="43">
        <f>AgentsRequired(C13,$B$10,K$10,$C$4,$C$6,$C$2,$C$8)</f>
        <v>0</v>
      </c>
      <c r="L13" s="43">
        <f>AgentsRequired(D13,$B$10,L$10,$C$4,$C$6,$C$2,$D$8)</f>
        <v>1</v>
      </c>
      <c r="M13" s="43">
        <f>AgentsRequired(E13,$B$10,M$10,$C$4,$C$6,$C$2,$E$8)</f>
        <v>1</v>
      </c>
      <c r="N13" s="43">
        <f>AgentsRequired(F13,$B$10,N$10,$C$4,$C$6,$C$2,$F$8)</f>
        <v>1</v>
      </c>
      <c r="O13" s="43">
        <f>AgentsRequired(G13,$B$10,O$10,$C$4,$C$6,$C$2,$G$8)</f>
        <v>1</v>
      </c>
      <c r="P13" s="43">
        <f>AgentsRequired(H13,$B$10,P$10,$C$4,$C$6,$C$2,$H$8)</f>
        <v>1</v>
      </c>
      <c r="Q13" s="43">
        <f>AgentsRequired(I13,$B$10,Q$10,$C$4,$C$6,$C$2,$I$8)</f>
        <v>1</v>
      </c>
      <c r="R13" s="165">
        <v>1</v>
      </c>
      <c r="S13" s="198">
        <v>1</v>
      </c>
      <c r="T13" s="198">
        <v>1</v>
      </c>
      <c r="U13" s="198">
        <v>1</v>
      </c>
      <c r="V13" s="198">
        <v>1</v>
      </c>
      <c r="W13" s="198">
        <v>1</v>
      </c>
      <c r="X13" s="198">
        <v>1</v>
      </c>
      <c r="Y13" s="198">
        <v>1</v>
      </c>
      <c r="AA13" s="184">
        <f>ServiceLevel(C13,$B$10,K$10,$C$6,S13)</f>
        <v>0.22874811504551329</v>
      </c>
      <c r="AB13" s="184">
        <f>ServiceLevel(D13,$B$10,L$10,$C$6,T13)</f>
        <v>0.90101380420790234</v>
      </c>
      <c r="AC13" s="184">
        <f t="shared" ref="AC13:AG28" si="5">ServiceLevel(E13,$B$10,M$10,$C$6,U13)</f>
        <v>0.8948759390744746</v>
      </c>
      <c r="AD13" s="184">
        <f t="shared" si="5"/>
        <v>0.89431718967883189</v>
      </c>
      <c r="AE13" s="184">
        <f t="shared" si="5"/>
        <v>0.90212803509425055</v>
      </c>
      <c r="AF13" s="184">
        <f t="shared" si="5"/>
        <v>0.89822582256787564</v>
      </c>
      <c r="AG13" s="184">
        <f t="shared" si="5"/>
        <v>0.9165554892320068</v>
      </c>
      <c r="AI13" s="214">
        <f>S13-K13</f>
        <v>1</v>
      </c>
      <c r="AJ13" s="214">
        <f t="shared" ref="AJ13:AO28" si="6">T13-L13</f>
        <v>0</v>
      </c>
      <c r="AK13" s="214">
        <f t="shared" si="6"/>
        <v>0</v>
      </c>
      <c r="AL13" s="214">
        <f t="shared" si="6"/>
        <v>0</v>
      </c>
      <c r="AM13" s="214">
        <f t="shared" si="6"/>
        <v>0</v>
      </c>
      <c r="AN13" s="214">
        <f t="shared" si="6"/>
        <v>0</v>
      </c>
      <c r="AO13" s="214">
        <f t="shared" si="6"/>
        <v>0</v>
      </c>
      <c r="AP13" s="206">
        <f>B13</f>
        <v>0</v>
      </c>
      <c r="AQ13" s="213" t="e">
        <f>S13/K13-1</f>
        <v>#DIV/0!</v>
      </c>
      <c r="AR13" s="213">
        <f t="shared" ref="AR13:AW28" si="7">T13/L13-1</f>
        <v>0</v>
      </c>
      <c r="AS13" s="213">
        <f t="shared" si="7"/>
        <v>0</v>
      </c>
      <c r="AT13" s="213">
        <f t="shared" si="7"/>
        <v>0</v>
      </c>
      <c r="AU13" s="213">
        <f t="shared" si="7"/>
        <v>0</v>
      </c>
      <c r="AV13" s="213">
        <f t="shared" si="7"/>
        <v>0</v>
      </c>
      <c r="AW13" s="213">
        <f t="shared" si="7"/>
        <v>0</v>
      </c>
      <c r="AY13" s="186">
        <f>AA13*C13</f>
        <v>6.8624434513653979E-2</v>
      </c>
      <c r="AZ13" s="186">
        <f t="shared" ref="AZ13:BE28" si="8">AB13*D13</f>
        <v>0.54060828252474136</v>
      </c>
      <c r="BA13" s="186">
        <f t="shared" si="8"/>
        <v>0.53692556344468478</v>
      </c>
      <c r="BB13" s="186">
        <f t="shared" si="8"/>
        <v>0.98374890864671516</v>
      </c>
      <c r="BC13" s="186">
        <f t="shared" si="8"/>
        <v>0.81191523158482548</v>
      </c>
      <c r="BD13" s="186">
        <f t="shared" si="8"/>
        <v>0.98804840482466327</v>
      </c>
      <c r="BE13" s="186">
        <f t="shared" si="8"/>
        <v>0.64158884246240477</v>
      </c>
    </row>
    <row r="14" spans="1:57" ht="12.75" x14ac:dyDescent="0.2">
      <c r="A14" s="181">
        <f t="shared" ref="A14:A60" si="9">AVERAGE(C14:I14)</f>
        <v>0.53571428571428581</v>
      </c>
      <c r="B14" s="187">
        <f>B13+TIME(0,$B$10,0)</f>
        <v>2.0833333333333332E-2</v>
      </c>
      <c r="C14" s="135">
        <v>0.25</v>
      </c>
      <c r="D14" s="135">
        <v>0.44999999999999996</v>
      </c>
      <c r="E14" s="135">
        <v>0.4</v>
      </c>
      <c r="F14" s="135">
        <v>0.70000000000000007</v>
      </c>
      <c r="G14" s="135">
        <v>0.6</v>
      </c>
      <c r="H14" s="135">
        <v>0.75</v>
      </c>
      <c r="I14" s="135">
        <v>0.6</v>
      </c>
      <c r="J14" s="165">
        <v>2</v>
      </c>
      <c r="K14" s="43">
        <f t="shared" ref="K14:K60" si="10">AgentsRequired(C14,$B$10,K$10,$C$4,$C$6,$C$2,$C$8)</f>
        <v>0</v>
      </c>
      <c r="L14" s="43">
        <f t="shared" ref="L14:L60" si="11">AgentsRequired(D14,$B$10,L$10,$C$4,$C$6,$C$2,$D$8)</f>
        <v>0</v>
      </c>
      <c r="M14" s="43">
        <f t="shared" ref="M14:M60" si="12">AgentsRequired(E14,$B$10,M$10,$C$4,$C$6,$C$2,$E$8)</f>
        <v>0</v>
      </c>
      <c r="N14" s="43">
        <f t="shared" ref="N14:N60" si="13">AgentsRequired(F14,$B$10,N$10,$C$4,$C$6,$C$2,$F$8)</f>
        <v>1</v>
      </c>
      <c r="O14" s="43">
        <f t="shared" ref="O14:O60" si="14">AgentsRequired(G14,$B$10,O$10,$C$4,$C$6,$C$2,$G$8)</f>
        <v>1</v>
      </c>
      <c r="P14" s="43">
        <f t="shared" ref="P14:P60" si="15">AgentsRequired(H14,$B$10,P$10,$C$4,$C$6,$C$2,$H$8)</f>
        <v>1</v>
      </c>
      <c r="Q14" s="43">
        <f t="shared" ref="Q14:Q60" si="16">AgentsRequired(I14,$B$10,Q$10,$C$4,$C$6,$C$2,$I$8)</f>
        <v>1</v>
      </c>
      <c r="R14" s="165">
        <v>2</v>
      </c>
      <c r="S14" s="198">
        <v>1</v>
      </c>
      <c r="T14" s="198">
        <v>1</v>
      </c>
      <c r="U14" s="198">
        <v>1</v>
      </c>
      <c r="V14" s="198">
        <v>1</v>
      </c>
      <c r="W14" s="198">
        <v>1</v>
      </c>
      <c r="X14" s="198">
        <v>1</v>
      </c>
      <c r="Y14" s="198">
        <v>1</v>
      </c>
      <c r="AA14" s="184">
        <f t="shared" ref="AA14:AG60" si="17">ServiceLevel(C14,$B$10,K$10,$C$6,S14)</f>
        <v>0.22874811504551329</v>
      </c>
      <c r="AB14" s="184">
        <f t="shared" si="17"/>
        <v>0.23407166163535131</v>
      </c>
      <c r="AC14" s="184">
        <f t="shared" si="5"/>
        <v>0.22449223857883449</v>
      </c>
      <c r="AD14" s="184">
        <f t="shared" si="5"/>
        <v>0.89431718967883189</v>
      </c>
      <c r="AE14" s="184">
        <f t="shared" si="5"/>
        <v>0.90212803509425055</v>
      </c>
      <c r="AF14" s="184">
        <f t="shared" si="5"/>
        <v>0.89822582256787564</v>
      </c>
      <c r="AG14" s="184">
        <f t="shared" si="5"/>
        <v>0.9165554892320068</v>
      </c>
      <c r="AI14" s="214">
        <f t="shared" ref="AI14:AO60" si="18">S14-K14</f>
        <v>1</v>
      </c>
      <c r="AJ14" s="214">
        <f t="shared" si="6"/>
        <v>1</v>
      </c>
      <c r="AK14" s="214">
        <f t="shared" si="6"/>
        <v>1</v>
      </c>
      <c r="AL14" s="214">
        <f t="shared" si="6"/>
        <v>0</v>
      </c>
      <c r="AM14" s="214">
        <f t="shared" si="6"/>
        <v>0</v>
      </c>
      <c r="AN14" s="214">
        <f t="shared" si="6"/>
        <v>0</v>
      </c>
      <c r="AO14" s="214">
        <f t="shared" si="6"/>
        <v>0</v>
      </c>
      <c r="AP14" s="206">
        <f t="shared" ref="AP14:AP60" si="19">B14</f>
        <v>2.0833333333333332E-2</v>
      </c>
      <c r="AQ14" s="213" t="e">
        <f t="shared" ref="AQ14:AW60" si="20">S14/K14-1</f>
        <v>#DIV/0!</v>
      </c>
      <c r="AR14" s="213" t="e">
        <f t="shared" si="7"/>
        <v>#DIV/0!</v>
      </c>
      <c r="AS14" s="213" t="e">
        <f t="shared" si="7"/>
        <v>#DIV/0!</v>
      </c>
      <c r="AT14" s="213">
        <f t="shared" si="7"/>
        <v>0</v>
      </c>
      <c r="AU14" s="213">
        <f t="shared" si="7"/>
        <v>0</v>
      </c>
      <c r="AV14" s="213">
        <f t="shared" si="7"/>
        <v>0</v>
      </c>
      <c r="AW14" s="213">
        <f t="shared" si="7"/>
        <v>0</v>
      </c>
      <c r="AY14" s="186">
        <f t="shared" ref="AY14:BE60" si="21">AA14*C14</f>
        <v>5.7187028761378322E-2</v>
      </c>
      <c r="AZ14" s="186">
        <f t="shared" si="8"/>
        <v>0.10533224773590807</v>
      </c>
      <c r="BA14" s="186">
        <f t="shared" si="8"/>
        <v>8.9796895431533796E-2</v>
      </c>
      <c r="BB14" s="186">
        <f t="shared" si="8"/>
        <v>0.62602203277518242</v>
      </c>
      <c r="BC14" s="186">
        <f t="shared" si="8"/>
        <v>0.54127682105655028</v>
      </c>
      <c r="BD14" s="186">
        <f t="shared" si="8"/>
        <v>0.67366936692590673</v>
      </c>
      <c r="BE14" s="186">
        <f t="shared" si="8"/>
        <v>0.54993329353920406</v>
      </c>
    </row>
    <row r="15" spans="1:57" ht="12.75" x14ac:dyDescent="0.2">
      <c r="A15" s="181">
        <f t="shared" si="9"/>
        <v>0.44761904761904769</v>
      </c>
      <c r="B15" s="187">
        <f t="shared" ref="B15:B60" si="22">B14+TIME(0,$B$10,0)</f>
        <v>4.1666666666666664E-2</v>
      </c>
      <c r="C15" s="135">
        <v>0.19999999999999998</v>
      </c>
      <c r="D15" s="135">
        <v>0.46666666666666662</v>
      </c>
      <c r="E15" s="135">
        <v>0.40000000000000008</v>
      </c>
      <c r="F15" s="135">
        <v>0.56666666666666676</v>
      </c>
      <c r="G15" s="135">
        <v>0.46666666666666662</v>
      </c>
      <c r="H15" s="135">
        <v>0.6</v>
      </c>
      <c r="I15" s="135">
        <v>0.43333333333333335</v>
      </c>
      <c r="J15" s="165">
        <v>3</v>
      </c>
      <c r="K15" s="43">
        <f t="shared" si="10"/>
        <v>0</v>
      </c>
      <c r="L15" s="43">
        <f t="shared" si="11"/>
        <v>0</v>
      </c>
      <c r="M15" s="43">
        <f t="shared" si="12"/>
        <v>0</v>
      </c>
      <c r="N15" s="43">
        <f t="shared" si="13"/>
        <v>1</v>
      </c>
      <c r="O15" s="43">
        <f t="shared" si="14"/>
        <v>0</v>
      </c>
      <c r="P15" s="43">
        <f t="shared" si="15"/>
        <v>1</v>
      </c>
      <c r="Q15" s="43">
        <f t="shared" si="16"/>
        <v>0</v>
      </c>
      <c r="R15" s="165">
        <v>3</v>
      </c>
      <c r="S15" s="198">
        <v>1</v>
      </c>
      <c r="T15" s="198">
        <v>1</v>
      </c>
      <c r="U15" s="198">
        <v>1</v>
      </c>
      <c r="V15" s="198">
        <v>1</v>
      </c>
      <c r="W15" s="198">
        <v>1</v>
      </c>
      <c r="X15" s="198">
        <v>1</v>
      </c>
      <c r="Y15" s="198">
        <v>1</v>
      </c>
      <c r="AA15" s="184">
        <f t="shared" si="17"/>
        <v>0.22874811504551329</v>
      </c>
      <c r="AB15" s="184">
        <f t="shared" si="17"/>
        <v>0.23407166163535131</v>
      </c>
      <c r="AC15" s="184">
        <f t="shared" si="5"/>
        <v>0.22449223857883449</v>
      </c>
      <c r="AD15" s="184">
        <f t="shared" si="5"/>
        <v>0.89431718967883189</v>
      </c>
      <c r="AE15" s="184">
        <f t="shared" si="5"/>
        <v>0.2359012895212047</v>
      </c>
      <c r="AF15" s="184">
        <f t="shared" si="5"/>
        <v>0.89822582256787564</v>
      </c>
      <c r="AG15" s="184">
        <f t="shared" si="5"/>
        <v>0.26255850882758947</v>
      </c>
      <c r="AI15" s="214">
        <f t="shared" si="18"/>
        <v>1</v>
      </c>
      <c r="AJ15" s="214">
        <f t="shared" si="6"/>
        <v>1</v>
      </c>
      <c r="AK15" s="214">
        <f t="shared" si="6"/>
        <v>1</v>
      </c>
      <c r="AL15" s="214">
        <f t="shared" si="6"/>
        <v>0</v>
      </c>
      <c r="AM15" s="214">
        <f t="shared" si="6"/>
        <v>1</v>
      </c>
      <c r="AN15" s="214">
        <f t="shared" si="6"/>
        <v>0</v>
      </c>
      <c r="AO15" s="214">
        <f t="shared" si="6"/>
        <v>1</v>
      </c>
      <c r="AP15" s="206">
        <f t="shared" si="19"/>
        <v>4.1666666666666664E-2</v>
      </c>
      <c r="AQ15" s="213" t="e">
        <f t="shared" si="20"/>
        <v>#DIV/0!</v>
      </c>
      <c r="AR15" s="213" t="e">
        <f t="shared" si="7"/>
        <v>#DIV/0!</v>
      </c>
      <c r="AS15" s="213" t="e">
        <f t="shared" si="7"/>
        <v>#DIV/0!</v>
      </c>
      <c r="AT15" s="213">
        <f t="shared" si="7"/>
        <v>0</v>
      </c>
      <c r="AU15" s="213" t="e">
        <f t="shared" si="7"/>
        <v>#DIV/0!</v>
      </c>
      <c r="AV15" s="213">
        <f t="shared" si="7"/>
        <v>0</v>
      </c>
      <c r="AW15" s="213" t="e">
        <f t="shared" si="7"/>
        <v>#DIV/0!</v>
      </c>
      <c r="AY15" s="186">
        <f t="shared" si="21"/>
        <v>4.5749623009102652E-2</v>
      </c>
      <c r="AZ15" s="186">
        <f t="shared" si="8"/>
        <v>0.10923344209649727</v>
      </c>
      <c r="BA15" s="186">
        <f t="shared" si="8"/>
        <v>8.979689543153381E-2</v>
      </c>
      <c r="BB15" s="186">
        <f t="shared" si="8"/>
        <v>0.50677974081800481</v>
      </c>
      <c r="BC15" s="186">
        <f t="shared" si="8"/>
        <v>0.11008726844322884</v>
      </c>
      <c r="BD15" s="186">
        <f t="shared" si="8"/>
        <v>0.53893549354072534</v>
      </c>
      <c r="BE15" s="186">
        <f t="shared" si="8"/>
        <v>0.11377535382528878</v>
      </c>
    </row>
    <row r="16" spans="1:57" ht="12.75" x14ac:dyDescent="0.2">
      <c r="A16" s="181">
        <f t="shared" si="9"/>
        <v>0.29523809523809524</v>
      </c>
      <c r="B16" s="187">
        <f t="shared" si="22"/>
        <v>6.25E-2</v>
      </c>
      <c r="C16" s="135">
        <v>0.13333333333333333</v>
      </c>
      <c r="D16" s="135">
        <v>0.33333333333333331</v>
      </c>
      <c r="E16" s="135">
        <v>0.3666666666666667</v>
      </c>
      <c r="F16" s="135">
        <v>0.26666666666666666</v>
      </c>
      <c r="G16" s="135">
        <v>0.26666666666666666</v>
      </c>
      <c r="H16" s="135">
        <v>0.3666666666666667</v>
      </c>
      <c r="I16" s="135">
        <v>0.33333333333333331</v>
      </c>
      <c r="J16" s="165">
        <v>4</v>
      </c>
      <c r="K16" s="43">
        <f t="shared" si="10"/>
        <v>0</v>
      </c>
      <c r="L16" s="43">
        <f t="shared" si="11"/>
        <v>0</v>
      </c>
      <c r="M16" s="43">
        <f t="shared" si="12"/>
        <v>0</v>
      </c>
      <c r="N16" s="43">
        <f t="shared" si="13"/>
        <v>0</v>
      </c>
      <c r="O16" s="43">
        <f t="shared" si="14"/>
        <v>0</v>
      </c>
      <c r="P16" s="43">
        <f t="shared" si="15"/>
        <v>0</v>
      </c>
      <c r="Q16" s="43">
        <f t="shared" si="16"/>
        <v>0</v>
      </c>
      <c r="R16" s="165">
        <v>4</v>
      </c>
      <c r="S16" s="198">
        <v>1</v>
      </c>
      <c r="T16" s="198">
        <v>1</v>
      </c>
      <c r="U16" s="198">
        <v>1</v>
      </c>
      <c r="V16" s="198">
        <v>1</v>
      </c>
      <c r="W16" s="198">
        <v>1</v>
      </c>
      <c r="X16" s="198">
        <v>1</v>
      </c>
      <c r="Y16" s="198">
        <v>1</v>
      </c>
      <c r="AA16" s="184">
        <f t="shared" si="17"/>
        <v>0.22874811504551329</v>
      </c>
      <c r="AB16" s="184">
        <f t="shared" si="17"/>
        <v>0.23407166163535131</v>
      </c>
      <c r="AC16" s="184">
        <f t="shared" si="5"/>
        <v>0.22449223857883449</v>
      </c>
      <c r="AD16" s="184">
        <f t="shared" si="5"/>
        <v>0.22365988085959754</v>
      </c>
      <c r="AE16" s="184">
        <f t="shared" si="5"/>
        <v>0.2359012895212047</v>
      </c>
      <c r="AF16" s="184">
        <f t="shared" si="5"/>
        <v>0.22961860240785414</v>
      </c>
      <c r="AG16" s="184">
        <f t="shared" si="5"/>
        <v>0.26255850882758947</v>
      </c>
      <c r="AI16" s="214">
        <f t="shared" si="18"/>
        <v>1</v>
      </c>
      <c r="AJ16" s="214">
        <f t="shared" si="6"/>
        <v>1</v>
      </c>
      <c r="AK16" s="214">
        <f t="shared" si="6"/>
        <v>1</v>
      </c>
      <c r="AL16" s="214">
        <f t="shared" si="6"/>
        <v>1</v>
      </c>
      <c r="AM16" s="214">
        <f t="shared" si="6"/>
        <v>1</v>
      </c>
      <c r="AN16" s="214">
        <f t="shared" si="6"/>
        <v>1</v>
      </c>
      <c r="AO16" s="214">
        <f t="shared" si="6"/>
        <v>1</v>
      </c>
      <c r="AP16" s="206">
        <f t="shared" si="19"/>
        <v>6.25E-2</v>
      </c>
      <c r="AQ16" s="213" t="e">
        <f t="shared" si="20"/>
        <v>#DIV/0!</v>
      </c>
      <c r="AR16" s="213" t="e">
        <f t="shared" si="7"/>
        <v>#DIV/0!</v>
      </c>
      <c r="AS16" s="213" t="e">
        <f t="shared" si="7"/>
        <v>#DIV/0!</v>
      </c>
      <c r="AT16" s="213" t="e">
        <f t="shared" si="7"/>
        <v>#DIV/0!</v>
      </c>
      <c r="AU16" s="213" t="e">
        <f t="shared" si="7"/>
        <v>#DIV/0!</v>
      </c>
      <c r="AV16" s="213" t="e">
        <f t="shared" si="7"/>
        <v>#DIV/0!</v>
      </c>
      <c r="AW16" s="213" t="e">
        <f t="shared" si="7"/>
        <v>#DIV/0!</v>
      </c>
      <c r="AY16" s="186">
        <f t="shared" si="21"/>
        <v>3.0499748672735104E-2</v>
      </c>
      <c r="AZ16" s="186">
        <f t="shared" si="8"/>
        <v>7.8023887211783771E-2</v>
      </c>
      <c r="BA16" s="186">
        <f t="shared" si="8"/>
        <v>8.2313820812239313E-2</v>
      </c>
      <c r="BB16" s="186">
        <f t="shared" si="8"/>
        <v>5.9642634895892672E-2</v>
      </c>
      <c r="BC16" s="186">
        <f t="shared" si="8"/>
        <v>6.2907010538987923E-2</v>
      </c>
      <c r="BD16" s="186">
        <f t="shared" si="8"/>
        <v>8.4193487549546531E-2</v>
      </c>
      <c r="BE16" s="186">
        <f t="shared" si="8"/>
        <v>8.7519502942529817E-2</v>
      </c>
    </row>
    <row r="17" spans="1:57" ht="12.75" x14ac:dyDescent="0.2">
      <c r="A17" s="181">
        <f t="shared" si="9"/>
        <v>0.23809523809523808</v>
      </c>
      <c r="B17" s="187">
        <f t="shared" si="22"/>
        <v>8.3333333333333329E-2</v>
      </c>
      <c r="C17" s="135">
        <v>0.16666666666666666</v>
      </c>
      <c r="D17" s="135">
        <v>0.23333333333333331</v>
      </c>
      <c r="E17" s="135">
        <v>0.3</v>
      </c>
      <c r="F17" s="135">
        <v>0.33333333333333331</v>
      </c>
      <c r="G17" s="135">
        <v>0.16666666666666666</v>
      </c>
      <c r="H17" s="135">
        <v>0.26666666666666666</v>
      </c>
      <c r="I17" s="135">
        <v>0.19999999999999998</v>
      </c>
      <c r="J17" s="165">
        <v>5</v>
      </c>
      <c r="K17" s="43">
        <f t="shared" si="10"/>
        <v>0</v>
      </c>
      <c r="L17" s="43">
        <f t="shared" si="11"/>
        <v>0</v>
      </c>
      <c r="M17" s="43">
        <f t="shared" si="12"/>
        <v>0</v>
      </c>
      <c r="N17" s="43">
        <f t="shared" si="13"/>
        <v>0</v>
      </c>
      <c r="O17" s="43">
        <f t="shared" si="14"/>
        <v>0</v>
      </c>
      <c r="P17" s="43">
        <f t="shared" si="15"/>
        <v>0</v>
      </c>
      <c r="Q17" s="43">
        <f t="shared" si="16"/>
        <v>0</v>
      </c>
      <c r="R17" s="165">
        <v>5</v>
      </c>
      <c r="S17" s="198">
        <v>0</v>
      </c>
      <c r="T17" s="198">
        <v>0</v>
      </c>
      <c r="U17" s="198">
        <v>0</v>
      </c>
      <c r="V17" s="198">
        <v>0</v>
      </c>
      <c r="W17" s="198">
        <v>0</v>
      </c>
      <c r="X17" s="198">
        <v>0</v>
      </c>
      <c r="Y17" s="198">
        <v>0</v>
      </c>
      <c r="AA17" s="184">
        <f t="shared" si="17"/>
        <v>0</v>
      </c>
      <c r="AB17" s="184">
        <f t="shared" si="17"/>
        <v>0</v>
      </c>
      <c r="AC17" s="184">
        <f t="shared" si="5"/>
        <v>0</v>
      </c>
      <c r="AD17" s="184">
        <f t="shared" si="5"/>
        <v>0</v>
      </c>
      <c r="AE17" s="184">
        <f t="shared" si="5"/>
        <v>0</v>
      </c>
      <c r="AF17" s="184">
        <f t="shared" si="5"/>
        <v>0</v>
      </c>
      <c r="AG17" s="184">
        <f t="shared" si="5"/>
        <v>0</v>
      </c>
      <c r="AI17" s="214">
        <f t="shared" si="18"/>
        <v>0</v>
      </c>
      <c r="AJ17" s="214">
        <f t="shared" si="6"/>
        <v>0</v>
      </c>
      <c r="AK17" s="214">
        <f t="shared" si="6"/>
        <v>0</v>
      </c>
      <c r="AL17" s="214">
        <f t="shared" si="6"/>
        <v>0</v>
      </c>
      <c r="AM17" s="214">
        <f t="shared" si="6"/>
        <v>0</v>
      </c>
      <c r="AN17" s="214">
        <f t="shared" si="6"/>
        <v>0</v>
      </c>
      <c r="AO17" s="214">
        <f t="shared" si="6"/>
        <v>0</v>
      </c>
      <c r="AP17" s="206">
        <f t="shared" si="19"/>
        <v>8.3333333333333329E-2</v>
      </c>
      <c r="AQ17" s="213" t="e">
        <f t="shared" si="20"/>
        <v>#DIV/0!</v>
      </c>
      <c r="AR17" s="213" t="e">
        <f t="shared" si="7"/>
        <v>#DIV/0!</v>
      </c>
      <c r="AS17" s="213" t="e">
        <f t="shared" si="7"/>
        <v>#DIV/0!</v>
      </c>
      <c r="AT17" s="213" t="e">
        <f t="shared" si="7"/>
        <v>#DIV/0!</v>
      </c>
      <c r="AU17" s="213" t="e">
        <f t="shared" si="7"/>
        <v>#DIV/0!</v>
      </c>
      <c r="AV17" s="213" t="e">
        <f t="shared" si="7"/>
        <v>#DIV/0!</v>
      </c>
      <c r="AW17" s="213" t="e">
        <f t="shared" si="7"/>
        <v>#DIV/0!</v>
      </c>
      <c r="AY17" s="186">
        <f t="shared" si="21"/>
        <v>0</v>
      </c>
      <c r="AZ17" s="186">
        <f t="shared" si="8"/>
        <v>0</v>
      </c>
      <c r="BA17" s="186">
        <f t="shared" si="8"/>
        <v>0</v>
      </c>
      <c r="BB17" s="186">
        <f t="shared" si="8"/>
        <v>0</v>
      </c>
      <c r="BC17" s="186">
        <f t="shared" si="8"/>
        <v>0</v>
      </c>
      <c r="BD17" s="186">
        <f t="shared" si="8"/>
        <v>0</v>
      </c>
      <c r="BE17" s="186">
        <f t="shared" si="8"/>
        <v>0</v>
      </c>
    </row>
    <row r="18" spans="1:57" ht="12.75" x14ac:dyDescent="0.2">
      <c r="A18" s="181">
        <f t="shared" si="9"/>
        <v>0.19047619047619047</v>
      </c>
      <c r="B18" s="187">
        <f t="shared" si="22"/>
        <v>0.10416666666666666</v>
      </c>
      <c r="C18" s="135">
        <v>0.26666666666666666</v>
      </c>
      <c r="D18" s="135">
        <v>0.10000000000000002</v>
      </c>
      <c r="E18" s="135">
        <v>0.16666666666666666</v>
      </c>
      <c r="F18" s="135">
        <v>0.26666666666666666</v>
      </c>
      <c r="G18" s="135">
        <v>0.13333333333333333</v>
      </c>
      <c r="H18" s="135">
        <v>0.19999999999999998</v>
      </c>
      <c r="I18" s="135">
        <v>0.19999999999999998</v>
      </c>
      <c r="J18" s="165">
        <v>6</v>
      </c>
      <c r="K18" s="43">
        <f t="shared" si="10"/>
        <v>0</v>
      </c>
      <c r="L18" s="43">
        <f t="shared" si="11"/>
        <v>0</v>
      </c>
      <c r="M18" s="43">
        <f t="shared" si="12"/>
        <v>0</v>
      </c>
      <c r="N18" s="43">
        <f t="shared" si="13"/>
        <v>0</v>
      </c>
      <c r="O18" s="43">
        <f t="shared" si="14"/>
        <v>0</v>
      </c>
      <c r="P18" s="43">
        <f t="shared" si="15"/>
        <v>0</v>
      </c>
      <c r="Q18" s="43">
        <f t="shared" si="16"/>
        <v>0</v>
      </c>
      <c r="R18" s="165">
        <v>6</v>
      </c>
      <c r="S18" s="198">
        <v>0</v>
      </c>
      <c r="T18" s="198">
        <v>0</v>
      </c>
      <c r="U18" s="198">
        <v>0</v>
      </c>
      <c r="V18" s="198">
        <v>0</v>
      </c>
      <c r="W18" s="198">
        <v>0</v>
      </c>
      <c r="X18" s="198">
        <v>0</v>
      </c>
      <c r="Y18" s="198">
        <v>0</v>
      </c>
      <c r="AA18" s="184">
        <f t="shared" si="17"/>
        <v>0</v>
      </c>
      <c r="AB18" s="184">
        <f t="shared" si="17"/>
        <v>0</v>
      </c>
      <c r="AC18" s="184">
        <f t="shared" si="5"/>
        <v>0</v>
      </c>
      <c r="AD18" s="184">
        <f t="shared" si="5"/>
        <v>0</v>
      </c>
      <c r="AE18" s="184">
        <f t="shared" si="5"/>
        <v>0</v>
      </c>
      <c r="AF18" s="184">
        <f t="shared" si="5"/>
        <v>0</v>
      </c>
      <c r="AG18" s="184">
        <f t="shared" si="5"/>
        <v>0</v>
      </c>
      <c r="AI18" s="214">
        <f t="shared" si="18"/>
        <v>0</v>
      </c>
      <c r="AJ18" s="214">
        <f t="shared" si="6"/>
        <v>0</v>
      </c>
      <c r="AK18" s="214">
        <f t="shared" si="6"/>
        <v>0</v>
      </c>
      <c r="AL18" s="214">
        <f t="shared" si="6"/>
        <v>0</v>
      </c>
      <c r="AM18" s="214">
        <f t="shared" si="6"/>
        <v>0</v>
      </c>
      <c r="AN18" s="214">
        <f t="shared" si="6"/>
        <v>0</v>
      </c>
      <c r="AO18" s="214">
        <f t="shared" si="6"/>
        <v>0</v>
      </c>
      <c r="AP18" s="206">
        <f t="shared" si="19"/>
        <v>0.10416666666666666</v>
      </c>
      <c r="AQ18" s="213" t="e">
        <f t="shared" si="20"/>
        <v>#DIV/0!</v>
      </c>
      <c r="AR18" s="213" t="e">
        <f t="shared" si="7"/>
        <v>#DIV/0!</v>
      </c>
      <c r="AS18" s="213" t="e">
        <f t="shared" si="7"/>
        <v>#DIV/0!</v>
      </c>
      <c r="AT18" s="213" t="e">
        <f t="shared" si="7"/>
        <v>#DIV/0!</v>
      </c>
      <c r="AU18" s="213" t="e">
        <f t="shared" si="7"/>
        <v>#DIV/0!</v>
      </c>
      <c r="AV18" s="213" t="e">
        <f t="shared" si="7"/>
        <v>#DIV/0!</v>
      </c>
      <c r="AW18" s="213" t="e">
        <f t="shared" si="7"/>
        <v>#DIV/0!</v>
      </c>
      <c r="AY18" s="186">
        <f t="shared" si="21"/>
        <v>0</v>
      </c>
      <c r="AZ18" s="186">
        <f t="shared" si="8"/>
        <v>0</v>
      </c>
      <c r="BA18" s="186">
        <f t="shared" si="8"/>
        <v>0</v>
      </c>
      <c r="BB18" s="186">
        <f t="shared" si="8"/>
        <v>0</v>
      </c>
      <c r="BC18" s="186">
        <f t="shared" si="8"/>
        <v>0</v>
      </c>
      <c r="BD18" s="186">
        <f t="shared" si="8"/>
        <v>0</v>
      </c>
      <c r="BE18" s="186">
        <f t="shared" si="8"/>
        <v>0</v>
      </c>
    </row>
    <row r="19" spans="1:57" ht="12.75" x14ac:dyDescent="0.2">
      <c r="A19" s="181">
        <f t="shared" si="9"/>
        <v>0.12857142857142856</v>
      </c>
      <c r="B19" s="187">
        <f t="shared" si="22"/>
        <v>0.12499999999999999</v>
      </c>
      <c r="C19" s="135">
        <v>0.23333333333333331</v>
      </c>
      <c r="D19" s="135">
        <v>0.13333333333333333</v>
      </c>
      <c r="E19" s="135">
        <v>0</v>
      </c>
      <c r="F19" s="135">
        <v>0.26666666666666666</v>
      </c>
      <c r="G19" s="135">
        <v>0.13333333333333333</v>
      </c>
      <c r="H19" s="135">
        <v>6.6666666666666666E-2</v>
      </c>
      <c r="I19" s="135">
        <v>6.6666666666666666E-2</v>
      </c>
      <c r="J19" s="165">
        <v>7</v>
      </c>
      <c r="K19" s="43">
        <f t="shared" si="10"/>
        <v>0</v>
      </c>
      <c r="L19" s="43">
        <f t="shared" si="11"/>
        <v>0</v>
      </c>
      <c r="M19" s="43">
        <f t="shared" si="12"/>
        <v>0</v>
      </c>
      <c r="N19" s="43">
        <f t="shared" si="13"/>
        <v>0</v>
      </c>
      <c r="O19" s="43">
        <f t="shared" si="14"/>
        <v>0</v>
      </c>
      <c r="P19" s="43">
        <f t="shared" si="15"/>
        <v>0</v>
      </c>
      <c r="Q19" s="43">
        <f t="shared" si="16"/>
        <v>0</v>
      </c>
      <c r="R19" s="165">
        <v>7</v>
      </c>
      <c r="S19" s="198">
        <v>0</v>
      </c>
      <c r="T19" s="198">
        <v>0</v>
      </c>
      <c r="U19" s="198">
        <v>0</v>
      </c>
      <c r="V19" s="198">
        <v>0</v>
      </c>
      <c r="W19" s="198">
        <v>0</v>
      </c>
      <c r="X19" s="198">
        <v>0</v>
      </c>
      <c r="Y19" s="198">
        <v>0</v>
      </c>
      <c r="AA19" s="184">
        <f t="shared" si="17"/>
        <v>0</v>
      </c>
      <c r="AB19" s="184">
        <f t="shared" si="17"/>
        <v>0</v>
      </c>
      <c r="AC19" s="184">
        <f t="shared" si="5"/>
        <v>0</v>
      </c>
      <c r="AD19" s="184">
        <f t="shared" si="5"/>
        <v>0</v>
      </c>
      <c r="AE19" s="184">
        <f t="shared" si="5"/>
        <v>0</v>
      </c>
      <c r="AF19" s="184">
        <f t="shared" si="5"/>
        <v>0</v>
      </c>
      <c r="AG19" s="184">
        <f t="shared" si="5"/>
        <v>0</v>
      </c>
      <c r="AI19" s="214">
        <f t="shared" si="18"/>
        <v>0</v>
      </c>
      <c r="AJ19" s="214">
        <f t="shared" si="6"/>
        <v>0</v>
      </c>
      <c r="AK19" s="214">
        <f t="shared" si="6"/>
        <v>0</v>
      </c>
      <c r="AL19" s="214">
        <f t="shared" si="6"/>
        <v>0</v>
      </c>
      <c r="AM19" s="214">
        <f t="shared" si="6"/>
        <v>0</v>
      </c>
      <c r="AN19" s="214">
        <f t="shared" si="6"/>
        <v>0</v>
      </c>
      <c r="AO19" s="214">
        <f t="shared" si="6"/>
        <v>0</v>
      </c>
      <c r="AP19" s="206">
        <f t="shared" si="19"/>
        <v>0.12499999999999999</v>
      </c>
      <c r="AQ19" s="213" t="e">
        <f t="shared" si="20"/>
        <v>#DIV/0!</v>
      </c>
      <c r="AR19" s="213" t="e">
        <f t="shared" si="7"/>
        <v>#DIV/0!</v>
      </c>
      <c r="AS19" s="213" t="e">
        <f t="shared" si="7"/>
        <v>#DIV/0!</v>
      </c>
      <c r="AT19" s="213" t="e">
        <f t="shared" si="7"/>
        <v>#DIV/0!</v>
      </c>
      <c r="AU19" s="213" t="e">
        <f t="shared" si="7"/>
        <v>#DIV/0!</v>
      </c>
      <c r="AV19" s="213" t="e">
        <f t="shared" si="7"/>
        <v>#DIV/0!</v>
      </c>
      <c r="AW19" s="213" t="e">
        <f t="shared" si="7"/>
        <v>#DIV/0!</v>
      </c>
      <c r="AY19" s="186">
        <f t="shared" si="21"/>
        <v>0</v>
      </c>
      <c r="AZ19" s="186">
        <f t="shared" si="8"/>
        <v>0</v>
      </c>
      <c r="BA19" s="186">
        <f t="shared" si="8"/>
        <v>0</v>
      </c>
      <c r="BB19" s="186">
        <f t="shared" si="8"/>
        <v>0</v>
      </c>
      <c r="BC19" s="186">
        <f t="shared" si="8"/>
        <v>0</v>
      </c>
      <c r="BD19" s="186">
        <f t="shared" si="8"/>
        <v>0</v>
      </c>
      <c r="BE19" s="186">
        <f t="shared" si="8"/>
        <v>0</v>
      </c>
    </row>
    <row r="20" spans="1:57" ht="12.75" x14ac:dyDescent="0.2">
      <c r="A20" s="181">
        <f t="shared" si="9"/>
        <v>0.10476190476190475</v>
      </c>
      <c r="B20" s="187">
        <f t="shared" si="22"/>
        <v>0.14583333333333331</v>
      </c>
      <c r="C20" s="135">
        <v>0.13333333333333333</v>
      </c>
      <c r="D20" s="135">
        <v>0.16666666666666666</v>
      </c>
      <c r="E20" s="135">
        <v>0</v>
      </c>
      <c r="F20" s="135">
        <v>0.13333333333333333</v>
      </c>
      <c r="G20" s="135">
        <v>0.16666666666666666</v>
      </c>
      <c r="H20" s="135">
        <v>6.6666666666666666E-2</v>
      </c>
      <c r="I20" s="135">
        <v>6.6666666666666666E-2</v>
      </c>
      <c r="J20" s="165">
        <v>8</v>
      </c>
      <c r="K20" s="43">
        <f t="shared" si="10"/>
        <v>0</v>
      </c>
      <c r="L20" s="43">
        <f t="shared" si="11"/>
        <v>0</v>
      </c>
      <c r="M20" s="43">
        <f t="shared" si="12"/>
        <v>0</v>
      </c>
      <c r="N20" s="43">
        <f t="shared" si="13"/>
        <v>0</v>
      </c>
      <c r="O20" s="43">
        <f t="shared" si="14"/>
        <v>0</v>
      </c>
      <c r="P20" s="43">
        <f t="shared" si="15"/>
        <v>0</v>
      </c>
      <c r="Q20" s="43">
        <f t="shared" si="16"/>
        <v>0</v>
      </c>
      <c r="R20" s="165">
        <v>8</v>
      </c>
      <c r="S20" s="198">
        <v>0</v>
      </c>
      <c r="T20" s="198">
        <v>0</v>
      </c>
      <c r="U20" s="198">
        <v>0</v>
      </c>
      <c r="V20" s="198">
        <v>0</v>
      </c>
      <c r="W20" s="198">
        <v>0</v>
      </c>
      <c r="X20" s="198">
        <v>0</v>
      </c>
      <c r="Y20" s="198">
        <v>0</v>
      </c>
      <c r="AA20" s="184">
        <f t="shared" si="17"/>
        <v>0</v>
      </c>
      <c r="AB20" s="184">
        <f t="shared" si="17"/>
        <v>0</v>
      </c>
      <c r="AC20" s="184">
        <f t="shared" si="5"/>
        <v>0</v>
      </c>
      <c r="AD20" s="184">
        <f t="shared" si="5"/>
        <v>0</v>
      </c>
      <c r="AE20" s="184">
        <f t="shared" si="5"/>
        <v>0</v>
      </c>
      <c r="AF20" s="184">
        <f t="shared" si="5"/>
        <v>0</v>
      </c>
      <c r="AG20" s="184">
        <f t="shared" si="5"/>
        <v>0</v>
      </c>
      <c r="AI20" s="214">
        <f t="shared" si="18"/>
        <v>0</v>
      </c>
      <c r="AJ20" s="214">
        <f t="shared" si="6"/>
        <v>0</v>
      </c>
      <c r="AK20" s="214">
        <f t="shared" si="6"/>
        <v>0</v>
      </c>
      <c r="AL20" s="214">
        <f t="shared" si="6"/>
        <v>0</v>
      </c>
      <c r="AM20" s="214">
        <f t="shared" si="6"/>
        <v>0</v>
      </c>
      <c r="AN20" s="214">
        <f t="shared" si="6"/>
        <v>0</v>
      </c>
      <c r="AO20" s="214">
        <f t="shared" si="6"/>
        <v>0</v>
      </c>
      <c r="AP20" s="206">
        <f t="shared" si="19"/>
        <v>0.14583333333333331</v>
      </c>
      <c r="AQ20" s="213" t="e">
        <f t="shared" si="20"/>
        <v>#DIV/0!</v>
      </c>
      <c r="AR20" s="213" t="e">
        <f t="shared" si="7"/>
        <v>#DIV/0!</v>
      </c>
      <c r="AS20" s="213" t="e">
        <f t="shared" si="7"/>
        <v>#DIV/0!</v>
      </c>
      <c r="AT20" s="213" t="e">
        <f t="shared" si="7"/>
        <v>#DIV/0!</v>
      </c>
      <c r="AU20" s="213" t="e">
        <f t="shared" si="7"/>
        <v>#DIV/0!</v>
      </c>
      <c r="AV20" s="213" t="e">
        <f t="shared" si="7"/>
        <v>#DIV/0!</v>
      </c>
      <c r="AW20" s="213" t="e">
        <f t="shared" si="7"/>
        <v>#DIV/0!</v>
      </c>
      <c r="AY20" s="186">
        <f t="shared" si="21"/>
        <v>0</v>
      </c>
      <c r="AZ20" s="186">
        <f t="shared" si="8"/>
        <v>0</v>
      </c>
      <c r="BA20" s="186">
        <f t="shared" si="8"/>
        <v>0</v>
      </c>
      <c r="BB20" s="186">
        <f t="shared" si="8"/>
        <v>0</v>
      </c>
      <c r="BC20" s="186">
        <f t="shared" si="8"/>
        <v>0</v>
      </c>
      <c r="BD20" s="186">
        <f t="shared" si="8"/>
        <v>0</v>
      </c>
      <c r="BE20" s="186">
        <f t="shared" si="8"/>
        <v>0</v>
      </c>
    </row>
    <row r="21" spans="1:57" ht="12.75" x14ac:dyDescent="0.2">
      <c r="A21" s="181">
        <f t="shared" si="9"/>
        <v>0.11904761904761905</v>
      </c>
      <c r="B21" s="187">
        <f t="shared" si="22"/>
        <v>0.16666666666666666</v>
      </c>
      <c r="C21" s="135">
        <v>0</v>
      </c>
      <c r="D21" s="135">
        <v>0.23333333333333331</v>
      </c>
      <c r="E21" s="135">
        <v>3.3333333333333333E-2</v>
      </c>
      <c r="F21" s="135">
        <v>0.13333333333333333</v>
      </c>
      <c r="G21" s="135">
        <v>0.3666666666666667</v>
      </c>
      <c r="H21" s="135">
        <v>3.3333333333333333E-2</v>
      </c>
      <c r="I21" s="135">
        <v>3.3333333333333333E-2</v>
      </c>
      <c r="J21" s="165">
        <v>9</v>
      </c>
      <c r="K21" s="43">
        <f t="shared" si="10"/>
        <v>0</v>
      </c>
      <c r="L21" s="43">
        <f t="shared" si="11"/>
        <v>0</v>
      </c>
      <c r="M21" s="43">
        <f t="shared" si="12"/>
        <v>0</v>
      </c>
      <c r="N21" s="43">
        <f t="shared" si="13"/>
        <v>0</v>
      </c>
      <c r="O21" s="43">
        <f t="shared" si="14"/>
        <v>0</v>
      </c>
      <c r="P21" s="43">
        <f t="shared" si="15"/>
        <v>0</v>
      </c>
      <c r="Q21" s="43">
        <f t="shared" si="16"/>
        <v>0</v>
      </c>
      <c r="R21" s="165">
        <v>9</v>
      </c>
      <c r="S21" s="198">
        <v>1</v>
      </c>
      <c r="T21" s="198">
        <v>1</v>
      </c>
      <c r="U21" s="198">
        <v>1</v>
      </c>
      <c r="V21" s="198">
        <v>1</v>
      </c>
      <c r="W21" s="198">
        <v>1</v>
      </c>
      <c r="X21" s="198">
        <v>1</v>
      </c>
      <c r="Y21" s="198">
        <v>1</v>
      </c>
      <c r="AA21" s="184">
        <f t="shared" si="17"/>
        <v>0.22874811504551329</v>
      </c>
      <c r="AB21" s="184">
        <f t="shared" si="17"/>
        <v>0.23407166163535131</v>
      </c>
      <c r="AC21" s="184">
        <f t="shared" si="5"/>
        <v>0.22449223857883449</v>
      </c>
      <c r="AD21" s="184">
        <f t="shared" si="5"/>
        <v>0.22365988085959754</v>
      </c>
      <c r="AE21" s="184">
        <f t="shared" si="5"/>
        <v>0.2359012895212047</v>
      </c>
      <c r="AF21" s="184">
        <f t="shared" si="5"/>
        <v>0.22961860240785414</v>
      </c>
      <c r="AG21" s="184">
        <f t="shared" si="5"/>
        <v>0.26255850882758947</v>
      </c>
      <c r="AI21" s="214">
        <f t="shared" si="18"/>
        <v>1</v>
      </c>
      <c r="AJ21" s="214">
        <f t="shared" si="6"/>
        <v>1</v>
      </c>
      <c r="AK21" s="214">
        <f t="shared" si="6"/>
        <v>1</v>
      </c>
      <c r="AL21" s="214">
        <f t="shared" si="6"/>
        <v>1</v>
      </c>
      <c r="AM21" s="214">
        <f t="shared" si="6"/>
        <v>1</v>
      </c>
      <c r="AN21" s="214">
        <f t="shared" si="6"/>
        <v>1</v>
      </c>
      <c r="AO21" s="214">
        <f t="shared" si="6"/>
        <v>1</v>
      </c>
      <c r="AP21" s="206">
        <f t="shared" si="19"/>
        <v>0.16666666666666666</v>
      </c>
      <c r="AQ21" s="213" t="e">
        <f t="shared" si="20"/>
        <v>#DIV/0!</v>
      </c>
      <c r="AR21" s="213" t="e">
        <f t="shared" si="7"/>
        <v>#DIV/0!</v>
      </c>
      <c r="AS21" s="213" t="e">
        <f t="shared" si="7"/>
        <v>#DIV/0!</v>
      </c>
      <c r="AT21" s="213" t="e">
        <f t="shared" si="7"/>
        <v>#DIV/0!</v>
      </c>
      <c r="AU21" s="213" t="e">
        <f t="shared" si="7"/>
        <v>#DIV/0!</v>
      </c>
      <c r="AV21" s="213" t="e">
        <f t="shared" si="7"/>
        <v>#DIV/0!</v>
      </c>
      <c r="AW21" s="213" t="e">
        <f t="shared" si="7"/>
        <v>#DIV/0!</v>
      </c>
      <c r="AY21" s="186">
        <f t="shared" si="21"/>
        <v>0</v>
      </c>
      <c r="AZ21" s="186">
        <f t="shared" si="8"/>
        <v>5.4616721048248634E-2</v>
      </c>
      <c r="BA21" s="186">
        <f t="shared" si="8"/>
        <v>7.483074619294483E-3</v>
      </c>
      <c r="BB21" s="186">
        <f t="shared" si="8"/>
        <v>2.9821317447946336E-2</v>
      </c>
      <c r="BC21" s="186">
        <f t="shared" si="8"/>
        <v>8.6497139491108405E-2</v>
      </c>
      <c r="BD21" s="186">
        <f t="shared" si="8"/>
        <v>7.653953413595138E-3</v>
      </c>
      <c r="BE21" s="186">
        <f t="shared" si="8"/>
        <v>8.7519502942529828E-3</v>
      </c>
    </row>
    <row r="22" spans="1:57" ht="12.75" x14ac:dyDescent="0.2">
      <c r="A22" s="181">
        <f t="shared" si="9"/>
        <v>0.1380952380952381</v>
      </c>
      <c r="B22" s="187">
        <f t="shared" si="22"/>
        <v>0.1875</v>
      </c>
      <c r="C22" s="135">
        <v>6.6666666666666666E-2</v>
      </c>
      <c r="D22" s="135">
        <v>0.16666666666666666</v>
      </c>
      <c r="E22" s="135">
        <v>3.3333333333333333E-2</v>
      </c>
      <c r="F22" s="135">
        <v>0.10000000000000002</v>
      </c>
      <c r="G22" s="135">
        <v>0.5</v>
      </c>
      <c r="H22" s="135">
        <v>6.6666666666666666E-2</v>
      </c>
      <c r="I22" s="135">
        <v>3.3333333333333333E-2</v>
      </c>
      <c r="J22" s="165">
        <v>10</v>
      </c>
      <c r="K22" s="43">
        <f t="shared" si="10"/>
        <v>0</v>
      </c>
      <c r="L22" s="43">
        <f t="shared" si="11"/>
        <v>0</v>
      </c>
      <c r="M22" s="43">
        <f t="shared" si="12"/>
        <v>0</v>
      </c>
      <c r="N22" s="43">
        <f t="shared" si="13"/>
        <v>0</v>
      </c>
      <c r="O22" s="43">
        <f t="shared" si="14"/>
        <v>0</v>
      </c>
      <c r="P22" s="43">
        <f t="shared" si="15"/>
        <v>0</v>
      </c>
      <c r="Q22" s="43">
        <f t="shared" si="16"/>
        <v>0</v>
      </c>
      <c r="R22" s="165">
        <v>10</v>
      </c>
      <c r="S22" s="198">
        <v>1</v>
      </c>
      <c r="T22" s="198">
        <v>1</v>
      </c>
      <c r="U22" s="198">
        <v>1</v>
      </c>
      <c r="V22" s="198">
        <v>1</v>
      </c>
      <c r="W22" s="198">
        <v>1</v>
      </c>
      <c r="X22" s="198">
        <v>1</v>
      </c>
      <c r="Y22" s="198">
        <v>1</v>
      </c>
      <c r="AA22" s="184">
        <f t="shared" si="17"/>
        <v>0.22874811504551329</v>
      </c>
      <c r="AB22" s="184">
        <f t="shared" si="17"/>
        <v>0.23407166163535131</v>
      </c>
      <c r="AC22" s="184">
        <f t="shared" si="5"/>
        <v>0.22449223857883449</v>
      </c>
      <c r="AD22" s="184">
        <f t="shared" si="5"/>
        <v>0.22365988085959754</v>
      </c>
      <c r="AE22" s="184">
        <f t="shared" si="5"/>
        <v>0.2359012895212047</v>
      </c>
      <c r="AF22" s="184">
        <f t="shared" si="5"/>
        <v>0.22961860240785414</v>
      </c>
      <c r="AG22" s="184">
        <f t="shared" si="5"/>
        <v>0.26255850882758947</v>
      </c>
      <c r="AI22" s="214">
        <f t="shared" si="18"/>
        <v>1</v>
      </c>
      <c r="AJ22" s="214">
        <f t="shared" si="6"/>
        <v>1</v>
      </c>
      <c r="AK22" s="214">
        <f t="shared" si="6"/>
        <v>1</v>
      </c>
      <c r="AL22" s="214">
        <f t="shared" si="6"/>
        <v>1</v>
      </c>
      <c r="AM22" s="214">
        <f t="shared" si="6"/>
        <v>1</v>
      </c>
      <c r="AN22" s="214">
        <f t="shared" si="6"/>
        <v>1</v>
      </c>
      <c r="AO22" s="214">
        <f t="shared" si="6"/>
        <v>1</v>
      </c>
      <c r="AP22" s="206">
        <f t="shared" si="19"/>
        <v>0.1875</v>
      </c>
      <c r="AQ22" s="213" t="e">
        <f t="shared" si="20"/>
        <v>#DIV/0!</v>
      </c>
      <c r="AR22" s="213" t="e">
        <f t="shared" si="7"/>
        <v>#DIV/0!</v>
      </c>
      <c r="AS22" s="213" t="e">
        <f t="shared" si="7"/>
        <v>#DIV/0!</v>
      </c>
      <c r="AT22" s="213" t="e">
        <f t="shared" si="7"/>
        <v>#DIV/0!</v>
      </c>
      <c r="AU22" s="213" t="e">
        <f t="shared" si="7"/>
        <v>#DIV/0!</v>
      </c>
      <c r="AV22" s="213" t="e">
        <f t="shared" si="7"/>
        <v>#DIV/0!</v>
      </c>
      <c r="AW22" s="213" t="e">
        <f t="shared" si="7"/>
        <v>#DIV/0!</v>
      </c>
      <c r="AY22" s="186">
        <f t="shared" si="21"/>
        <v>1.5249874336367552E-2</v>
      </c>
      <c r="AZ22" s="186">
        <f t="shared" si="8"/>
        <v>3.9011943605891886E-2</v>
      </c>
      <c r="BA22" s="186">
        <f t="shared" si="8"/>
        <v>7.483074619294483E-3</v>
      </c>
      <c r="BB22" s="186">
        <f t="shared" si="8"/>
        <v>2.2365988085959757E-2</v>
      </c>
      <c r="BC22" s="186">
        <f t="shared" si="8"/>
        <v>0.11795064476060235</v>
      </c>
      <c r="BD22" s="186">
        <f t="shared" si="8"/>
        <v>1.5307906827190276E-2</v>
      </c>
      <c r="BE22" s="186">
        <f t="shared" si="8"/>
        <v>8.7519502942529828E-3</v>
      </c>
    </row>
    <row r="23" spans="1:57" ht="12.75" x14ac:dyDescent="0.2">
      <c r="A23" s="181">
        <f t="shared" si="9"/>
        <v>0.27142857142857141</v>
      </c>
      <c r="B23" s="187">
        <f t="shared" si="22"/>
        <v>0.20833333333333334</v>
      </c>
      <c r="C23" s="135">
        <v>0.16666666666666666</v>
      </c>
      <c r="D23" s="135">
        <v>0.43333333333333335</v>
      </c>
      <c r="E23" s="135">
        <v>0.16666666666666666</v>
      </c>
      <c r="F23" s="135">
        <v>0.16666666666666666</v>
      </c>
      <c r="G23" s="135">
        <v>0.9</v>
      </c>
      <c r="H23" s="135">
        <v>6.6666666666666666E-2</v>
      </c>
      <c r="I23" s="135">
        <v>0</v>
      </c>
      <c r="J23" s="165">
        <v>11</v>
      </c>
      <c r="K23" s="43">
        <f>AgentsRequired(C23,$B$10,K$10,$C$4,$C$6,$C$2,$C$8)</f>
        <v>0</v>
      </c>
      <c r="L23" s="43">
        <f t="shared" si="11"/>
        <v>0</v>
      </c>
      <c r="M23" s="43">
        <f t="shared" si="12"/>
        <v>0</v>
      </c>
      <c r="N23" s="43">
        <f t="shared" si="13"/>
        <v>0</v>
      </c>
      <c r="O23" s="43">
        <f t="shared" si="14"/>
        <v>1</v>
      </c>
      <c r="P23" s="43">
        <f t="shared" si="15"/>
        <v>0</v>
      </c>
      <c r="Q23" s="43">
        <f t="shared" si="16"/>
        <v>0</v>
      </c>
      <c r="R23" s="165">
        <v>11</v>
      </c>
      <c r="S23" s="198">
        <v>1</v>
      </c>
      <c r="T23" s="198">
        <v>1</v>
      </c>
      <c r="U23" s="198">
        <v>1</v>
      </c>
      <c r="V23" s="198">
        <v>1</v>
      </c>
      <c r="W23" s="198">
        <v>1</v>
      </c>
      <c r="X23" s="198">
        <v>1</v>
      </c>
      <c r="Y23" s="198">
        <v>1</v>
      </c>
      <c r="AA23" s="184">
        <f t="shared" si="17"/>
        <v>0.22874811504551329</v>
      </c>
      <c r="AB23" s="184">
        <f t="shared" si="17"/>
        <v>0.23407166163535131</v>
      </c>
      <c r="AC23" s="184">
        <f t="shared" si="5"/>
        <v>0.22449223857883449</v>
      </c>
      <c r="AD23" s="184">
        <f t="shared" si="5"/>
        <v>0.22365988085959754</v>
      </c>
      <c r="AE23" s="184">
        <f t="shared" si="5"/>
        <v>0.90212803509425055</v>
      </c>
      <c r="AF23" s="184">
        <f t="shared" si="5"/>
        <v>0.22961860240785414</v>
      </c>
      <c r="AG23" s="184">
        <f t="shared" si="5"/>
        <v>0.26255850882758947</v>
      </c>
      <c r="AI23" s="214">
        <f t="shared" si="18"/>
        <v>1</v>
      </c>
      <c r="AJ23" s="214">
        <f t="shared" si="6"/>
        <v>1</v>
      </c>
      <c r="AK23" s="214">
        <f t="shared" si="6"/>
        <v>1</v>
      </c>
      <c r="AL23" s="214">
        <f t="shared" si="6"/>
        <v>1</v>
      </c>
      <c r="AM23" s="214">
        <f t="shared" si="6"/>
        <v>0</v>
      </c>
      <c r="AN23" s="214">
        <f t="shared" si="6"/>
        <v>1</v>
      </c>
      <c r="AO23" s="214">
        <f t="shared" si="6"/>
        <v>1</v>
      </c>
      <c r="AP23" s="206">
        <f t="shared" si="19"/>
        <v>0.20833333333333334</v>
      </c>
      <c r="AQ23" s="213" t="e">
        <f t="shared" si="20"/>
        <v>#DIV/0!</v>
      </c>
      <c r="AR23" s="213" t="e">
        <f t="shared" si="7"/>
        <v>#DIV/0!</v>
      </c>
      <c r="AS23" s="213" t="e">
        <f t="shared" si="7"/>
        <v>#DIV/0!</v>
      </c>
      <c r="AT23" s="213" t="e">
        <f t="shared" si="7"/>
        <v>#DIV/0!</v>
      </c>
      <c r="AU23" s="213">
        <f t="shared" si="7"/>
        <v>0</v>
      </c>
      <c r="AV23" s="213" t="e">
        <f t="shared" si="7"/>
        <v>#DIV/0!</v>
      </c>
      <c r="AW23" s="213" t="e">
        <f t="shared" si="7"/>
        <v>#DIV/0!</v>
      </c>
      <c r="AY23" s="186">
        <f t="shared" si="21"/>
        <v>3.8124685840918882E-2</v>
      </c>
      <c r="AZ23" s="186">
        <f t="shared" si="8"/>
        <v>0.10143105337531891</v>
      </c>
      <c r="BA23" s="186">
        <f t="shared" si="8"/>
        <v>3.7415373096472415E-2</v>
      </c>
      <c r="BB23" s="186">
        <f t="shared" si="8"/>
        <v>3.7276646809932923E-2</v>
      </c>
      <c r="BC23" s="186">
        <f t="shared" si="8"/>
        <v>0.81191523158482548</v>
      </c>
      <c r="BD23" s="186">
        <f t="shared" si="8"/>
        <v>1.5307906827190276E-2</v>
      </c>
      <c r="BE23" s="186">
        <f t="shared" si="8"/>
        <v>0</v>
      </c>
    </row>
    <row r="24" spans="1:57" ht="12.75" x14ac:dyDescent="0.2">
      <c r="A24" s="181">
        <f t="shared" si="9"/>
        <v>0.41428571428571426</v>
      </c>
      <c r="B24" s="187">
        <f t="shared" si="22"/>
        <v>0.22916666666666669</v>
      </c>
      <c r="C24" s="135">
        <v>0.43333333333333335</v>
      </c>
      <c r="D24" s="135">
        <v>0.5</v>
      </c>
      <c r="E24" s="135">
        <v>0.20000000000000004</v>
      </c>
      <c r="F24" s="135">
        <v>0.33333333333333331</v>
      </c>
      <c r="G24" s="135">
        <v>1</v>
      </c>
      <c r="H24" s="135">
        <v>0.3</v>
      </c>
      <c r="I24" s="135">
        <v>0.13333333333333333</v>
      </c>
      <c r="J24" s="165">
        <v>12</v>
      </c>
      <c r="K24" s="43">
        <f t="shared" si="10"/>
        <v>0</v>
      </c>
      <c r="L24" s="43">
        <f t="shared" si="11"/>
        <v>0</v>
      </c>
      <c r="M24" s="43">
        <f t="shared" si="12"/>
        <v>0</v>
      </c>
      <c r="N24" s="43">
        <f t="shared" si="13"/>
        <v>0</v>
      </c>
      <c r="O24" s="43">
        <f t="shared" si="14"/>
        <v>1</v>
      </c>
      <c r="P24" s="43">
        <f t="shared" si="15"/>
        <v>0</v>
      </c>
      <c r="Q24" s="43">
        <f t="shared" si="16"/>
        <v>0</v>
      </c>
      <c r="R24" s="165">
        <v>12</v>
      </c>
      <c r="S24" s="198">
        <v>1</v>
      </c>
      <c r="T24" s="198">
        <v>1</v>
      </c>
      <c r="U24" s="198">
        <v>1</v>
      </c>
      <c r="V24" s="198">
        <v>1</v>
      </c>
      <c r="W24" s="198">
        <v>1</v>
      </c>
      <c r="X24" s="198">
        <v>1</v>
      </c>
      <c r="Y24" s="198">
        <v>1</v>
      </c>
      <c r="AA24" s="184">
        <f t="shared" si="17"/>
        <v>0.22874811504551329</v>
      </c>
      <c r="AB24" s="184">
        <f t="shared" si="17"/>
        <v>0.23407166163535131</v>
      </c>
      <c r="AC24" s="184">
        <f t="shared" si="5"/>
        <v>0.22449223857883449</v>
      </c>
      <c r="AD24" s="184">
        <f t="shared" si="5"/>
        <v>0.22365988085959754</v>
      </c>
      <c r="AE24" s="184">
        <f t="shared" si="5"/>
        <v>0.90212803509425055</v>
      </c>
      <c r="AF24" s="184">
        <f t="shared" si="5"/>
        <v>0.22961860240785414</v>
      </c>
      <c r="AG24" s="184">
        <f t="shared" si="5"/>
        <v>0.26255850882758947</v>
      </c>
      <c r="AI24" s="214">
        <f t="shared" si="18"/>
        <v>1</v>
      </c>
      <c r="AJ24" s="214">
        <f t="shared" si="6"/>
        <v>1</v>
      </c>
      <c r="AK24" s="214">
        <f t="shared" si="6"/>
        <v>1</v>
      </c>
      <c r="AL24" s="214">
        <f t="shared" si="6"/>
        <v>1</v>
      </c>
      <c r="AM24" s="214">
        <f t="shared" si="6"/>
        <v>0</v>
      </c>
      <c r="AN24" s="214">
        <f t="shared" si="6"/>
        <v>1</v>
      </c>
      <c r="AO24" s="214">
        <f t="shared" si="6"/>
        <v>1</v>
      </c>
      <c r="AP24" s="206">
        <f t="shared" si="19"/>
        <v>0.22916666666666669</v>
      </c>
      <c r="AQ24" s="213" t="e">
        <f t="shared" si="20"/>
        <v>#DIV/0!</v>
      </c>
      <c r="AR24" s="213" t="e">
        <f t="shared" si="7"/>
        <v>#DIV/0!</v>
      </c>
      <c r="AS24" s="213" t="e">
        <f t="shared" si="7"/>
        <v>#DIV/0!</v>
      </c>
      <c r="AT24" s="213" t="e">
        <f t="shared" si="7"/>
        <v>#DIV/0!</v>
      </c>
      <c r="AU24" s="213">
        <f t="shared" si="7"/>
        <v>0</v>
      </c>
      <c r="AV24" s="213" t="e">
        <f t="shared" si="7"/>
        <v>#DIV/0!</v>
      </c>
      <c r="AW24" s="213" t="e">
        <f t="shared" si="7"/>
        <v>#DIV/0!</v>
      </c>
      <c r="AY24" s="186">
        <f t="shared" si="21"/>
        <v>9.9124183186389089E-2</v>
      </c>
      <c r="AZ24" s="186">
        <f t="shared" si="8"/>
        <v>0.11703583081767566</v>
      </c>
      <c r="BA24" s="186">
        <f t="shared" si="8"/>
        <v>4.4898447715766905E-2</v>
      </c>
      <c r="BB24" s="186">
        <f t="shared" si="8"/>
        <v>7.4553293619865846E-2</v>
      </c>
      <c r="BC24" s="186">
        <f t="shared" si="8"/>
        <v>0.90212803509425055</v>
      </c>
      <c r="BD24" s="186">
        <f t="shared" si="8"/>
        <v>6.8885580722356246E-2</v>
      </c>
      <c r="BE24" s="186">
        <f t="shared" si="8"/>
        <v>3.5007801177011931E-2</v>
      </c>
    </row>
    <row r="25" spans="1:57" ht="12.75" x14ac:dyDescent="0.2">
      <c r="A25" s="181">
        <f t="shared" si="9"/>
        <v>0.72857142857142854</v>
      </c>
      <c r="B25" s="187">
        <f t="shared" si="22"/>
        <v>0.25</v>
      </c>
      <c r="C25" s="135">
        <v>0.80000000000000016</v>
      </c>
      <c r="D25" s="135">
        <v>1</v>
      </c>
      <c r="E25" s="135">
        <v>0.53333333333333333</v>
      </c>
      <c r="F25" s="135">
        <v>0.6333333333333333</v>
      </c>
      <c r="G25" s="135">
        <v>1.0666666666666667</v>
      </c>
      <c r="H25" s="135">
        <v>0.70000000000000007</v>
      </c>
      <c r="I25" s="135">
        <v>0.3666666666666667</v>
      </c>
      <c r="J25" s="165">
        <v>13</v>
      </c>
      <c r="K25" s="43">
        <f t="shared" si="10"/>
        <v>1</v>
      </c>
      <c r="L25" s="43">
        <f t="shared" si="11"/>
        <v>1</v>
      </c>
      <c r="M25" s="43">
        <f t="shared" si="12"/>
        <v>1</v>
      </c>
      <c r="N25" s="43">
        <f t="shared" si="13"/>
        <v>1</v>
      </c>
      <c r="O25" s="43">
        <f t="shared" si="14"/>
        <v>1</v>
      </c>
      <c r="P25" s="43">
        <f t="shared" si="15"/>
        <v>1</v>
      </c>
      <c r="Q25" s="43">
        <f t="shared" si="16"/>
        <v>0</v>
      </c>
      <c r="R25" s="165">
        <v>13</v>
      </c>
      <c r="S25" s="198">
        <v>1</v>
      </c>
      <c r="T25" s="198">
        <v>1</v>
      </c>
      <c r="U25" s="198">
        <v>1</v>
      </c>
      <c r="V25" s="198">
        <v>1</v>
      </c>
      <c r="W25" s="198">
        <v>1</v>
      </c>
      <c r="X25" s="198">
        <v>1</v>
      </c>
      <c r="Y25" s="198">
        <v>1</v>
      </c>
      <c r="AA25" s="184">
        <f t="shared" si="17"/>
        <v>0.8976678270900359</v>
      </c>
      <c r="AB25" s="184">
        <f t="shared" si="17"/>
        <v>0.90101380420790234</v>
      </c>
      <c r="AC25" s="184">
        <f t="shared" si="5"/>
        <v>0.8948759390744746</v>
      </c>
      <c r="AD25" s="184">
        <f t="shared" si="5"/>
        <v>0.89431718967883189</v>
      </c>
      <c r="AE25" s="184">
        <f t="shared" si="5"/>
        <v>0.90212803509425055</v>
      </c>
      <c r="AF25" s="184">
        <f t="shared" si="5"/>
        <v>0.89822582256787564</v>
      </c>
      <c r="AG25" s="184">
        <f t="shared" si="5"/>
        <v>0.26255850882758947</v>
      </c>
      <c r="AI25" s="214">
        <f t="shared" si="18"/>
        <v>0</v>
      </c>
      <c r="AJ25" s="214">
        <f t="shared" si="6"/>
        <v>0</v>
      </c>
      <c r="AK25" s="214">
        <f t="shared" si="6"/>
        <v>0</v>
      </c>
      <c r="AL25" s="214">
        <f t="shared" si="6"/>
        <v>0</v>
      </c>
      <c r="AM25" s="214">
        <f t="shared" si="6"/>
        <v>0</v>
      </c>
      <c r="AN25" s="214">
        <f t="shared" si="6"/>
        <v>0</v>
      </c>
      <c r="AO25" s="214">
        <f t="shared" si="6"/>
        <v>1</v>
      </c>
      <c r="AP25" s="206">
        <f t="shared" si="19"/>
        <v>0.25</v>
      </c>
      <c r="AQ25" s="213">
        <f t="shared" si="20"/>
        <v>0</v>
      </c>
      <c r="AR25" s="213">
        <f t="shared" si="7"/>
        <v>0</v>
      </c>
      <c r="AS25" s="213">
        <f t="shared" si="7"/>
        <v>0</v>
      </c>
      <c r="AT25" s="213">
        <f t="shared" si="7"/>
        <v>0</v>
      </c>
      <c r="AU25" s="213">
        <f t="shared" si="7"/>
        <v>0</v>
      </c>
      <c r="AV25" s="213">
        <f t="shared" si="7"/>
        <v>0</v>
      </c>
      <c r="AW25" s="213" t="e">
        <f t="shared" si="7"/>
        <v>#DIV/0!</v>
      </c>
      <c r="AY25" s="186">
        <f t="shared" si="21"/>
        <v>0.71813426167202887</v>
      </c>
      <c r="AZ25" s="186">
        <f t="shared" si="8"/>
        <v>0.90101380420790234</v>
      </c>
      <c r="BA25" s="186">
        <f t="shared" si="8"/>
        <v>0.47726716750638642</v>
      </c>
      <c r="BB25" s="186">
        <f t="shared" si="8"/>
        <v>0.56640088679659351</v>
      </c>
      <c r="BC25" s="186">
        <f t="shared" si="8"/>
        <v>0.96226990410053392</v>
      </c>
      <c r="BD25" s="186">
        <f t="shared" si="8"/>
        <v>0.62875807579751297</v>
      </c>
      <c r="BE25" s="186">
        <f t="shared" si="8"/>
        <v>9.6271453236782809E-2</v>
      </c>
    </row>
    <row r="26" spans="1:57" ht="12.75" x14ac:dyDescent="0.2">
      <c r="A26" s="181">
        <f t="shared" si="9"/>
        <v>1.4285714285714286</v>
      </c>
      <c r="B26" s="187">
        <f t="shared" si="22"/>
        <v>0.27083333333333331</v>
      </c>
      <c r="C26" s="135">
        <v>1.4333333333333336</v>
      </c>
      <c r="D26" s="135">
        <v>2</v>
      </c>
      <c r="E26" s="135">
        <v>0.96666666666666667</v>
      </c>
      <c r="F26" s="135">
        <v>1.3</v>
      </c>
      <c r="G26" s="135">
        <v>1.5999999999999999</v>
      </c>
      <c r="H26" s="135">
        <v>1.5666666666666667</v>
      </c>
      <c r="I26" s="135">
        <v>1.1333333333333333</v>
      </c>
      <c r="J26" s="165">
        <v>14</v>
      </c>
      <c r="K26" s="43">
        <f t="shared" si="10"/>
        <v>1</v>
      </c>
      <c r="L26" s="43">
        <f t="shared" si="11"/>
        <v>2</v>
      </c>
      <c r="M26" s="43">
        <f t="shared" si="12"/>
        <v>1</v>
      </c>
      <c r="N26" s="43">
        <f t="shared" si="13"/>
        <v>1</v>
      </c>
      <c r="O26" s="43">
        <f t="shared" si="14"/>
        <v>2</v>
      </c>
      <c r="P26" s="43">
        <f t="shared" si="15"/>
        <v>2</v>
      </c>
      <c r="Q26" s="43">
        <f t="shared" si="16"/>
        <v>1</v>
      </c>
      <c r="R26" s="165">
        <v>14</v>
      </c>
      <c r="S26" s="198">
        <v>1</v>
      </c>
      <c r="T26" s="198">
        <v>1</v>
      </c>
      <c r="U26" s="198">
        <v>1</v>
      </c>
      <c r="V26" s="198">
        <v>1</v>
      </c>
      <c r="W26" s="198">
        <v>1</v>
      </c>
      <c r="X26" s="198">
        <v>1</v>
      </c>
      <c r="Y26" s="198">
        <v>1</v>
      </c>
      <c r="AA26" s="184">
        <f t="shared" si="17"/>
        <v>0.8976678270900359</v>
      </c>
      <c r="AB26" s="184">
        <f t="shared" si="17"/>
        <v>0.79531731173050457</v>
      </c>
      <c r="AC26" s="184">
        <f t="shared" si="5"/>
        <v>0.8948759390744746</v>
      </c>
      <c r="AD26" s="184">
        <f t="shared" si="5"/>
        <v>0.89431718967883189</v>
      </c>
      <c r="AE26" s="184">
        <f t="shared" si="5"/>
        <v>0.79762130746794724</v>
      </c>
      <c r="AF26" s="184">
        <f t="shared" si="5"/>
        <v>0.78955235054212636</v>
      </c>
      <c r="AG26" s="184">
        <f t="shared" si="5"/>
        <v>0.9165554892320068</v>
      </c>
      <c r="AI26" s="214">
        <f t="shared" si="18"/>
        <v>0</v>
      </c>
      <c r="AJ26" s="214">
        <f t="shared" si="6"/>
        <v>-1</v>
      </c>
      <c r="AK26" s="214">
        <f t="shared" si="6"/>
        <v>0</v>
      </c>
      <c r="AL26" s="214">
        <f t="shared" si="6"/>
        <v>0</v>
      </c>
      <c r="AM26" s="214">
        <f t="shared" si="6"/>
        <v>-1</v>
      </c>
      <c r="AN26" s="214">
        <f t="shared" si="6"/>
        <v>-1</v>
      </c>
      <c r="AO26" s="214">
        <f t="shared" si="6"/>
        <v>0</v>
      </c>
      <c r="AP26" s="206">
        <f t="shared" si="19"/>
        <v>0.27083333333333331</v>
      </c>
      <c r="AQ26" s="213">
        <f t="shared" si="20"/>
        <v>0</v>
      </c>
      <c r="AR26" s="213">
        <f t="shared" si="7"/>
        <v>-0.5</v>
      </c>
      <c r="AS26" s="213">
        <f t="shared" si="7"/>
        <v>0</v>
      </c>
      <c r="AT26" s="213">
        <f t="shared" si="7"/>
        <v>0</v>
      </c>
      <c r="AU26" s="213">
        <f t="shared" si="7"/>
        <v>-0.5</v>
      </c>
      <c r="AV26" s="213">
        <f t="shared" si="7"/>
        <v>-0.5</v>
      </c>
      <c r="AW26" s="213">
        <f t="shared" si="7"/>
        <v>0</v>
      </c>
      <c r="AY26" s="186">
        <f t="shared" si="21"/>
        <v>1.2866572188290517</v>
      </c>
      <c r="AZ26" s="186">
        <f t="shared" si="8"/>
        <v>1.5906346234610091</v>
      </c>
      <c r="BA26" s="186">
        <f t="shared" si="8"/>
        <v>0.86504674110532542</v>
      </c>
      <c r="BB26" s="186">
        <f t="shared" si="8"/>
        <v>1.1626123465824816</v>
      </c>
      <c r="BC26" s="186">
        <f t="shared" si="8"/>
        <v>1.2761940919487156</v>
      </c>
      <c r="BD26" s="186">
        <f t="shared" si="8"/>
        <v>1.2369653491826647</v>
      </c>
      <c r="BE26" s="186">
        <f t="shared" si="8"/>
        <v>1.0387628877962745</v>
      </c>
    </row>
    <row r="27" spans="1:57" ht="12.75" x14ac:dyDescent="0.2">
      <c r="A27" s="181">
        <f t="shared" si="9"/>
        <v>2.4</v>
      </c>
      <c r="B27" s="187">
        <f t="shared" si="22"/>
        <v>0.29166666666666663</v>
      </c>
      <c r="C27" s="135">
        <v>2.7666666666666671</v>
      </c>
      <c r="D27" s="135">
        <v>3.1999999999999997</v>
      </c>
      <c r="E27" s="135">
        <v>1.8333333333333333</v>
      </c>
      <c r="F27" s="135">
        <v>2.1666666666666665</v>
      </c>
      <c r="G27" s="135">
        <v>2.4333333333333331</v>
      </c>
      <c r="H27" s="135">
        <v>2.3333333333333335</v>
      </c>
      <c r="I27" s="135">
        <v>2.0666666666666669</v>
      </c>
      <c r="J27" s="165">
        <v>15</v>
      </c>
      <c r="K27" s="43">
        <f t="shared" si="10"/>
        <v>2</v>
      </c>
      <c r="L27" s="43">
        <f t="shared" si="11"/>
        <v>2</v>
      </c>
      <c r="M27" s="43">
        <f t="shared" si="12"/>
        <v>2</v>
      </c>
      <c r="N27" s="43">
        <f t="shared" si="13"/>
        <v>2</v>
      </c>
      <c r="O27" s="43">
        <f t="shared" si="14"/>
        <v>2</v>
      </c>
      <c r="P27" s="43">
        <f t="shared" si="15"/>
        <v>2</v>
      </c>
      <c r="Q27" s="43">
        <f t="shared" si="16"/>
        <v>1</v>
      </c>
      <c r="R27" s="165">
        <v>15</v>
      </c>
      <c r="S27" s="198">
        <v>1</v>
      </c>
      <c r="T27" s="198">
        <v>3</v>
      </c>
      <c r="U27" s="198">
        <v>3</v>
      </c>
      <c r="V27" s="198">
        <v>3</v>
      </c>
      <c r="W27" s="198">
        <v>3</v>
      </c>
      <c r="X27" s="198">
        <v>4</v>
      </c>
      <c r="Y27" s="198">
        <v>4</v>
      </c>
      <c r="AA27" s="184">
        <f t="shared" si="17"/>
        <v>0.67183941580135131</v>
      </c>
      <c r="AB27" s="184">
        <f t="shared" si="17"/>
        <v>0.99657264744315743</v>
      </c>
      <c r="AC27" s="184">
        <f t="shared" si="5"/>
        <v>0.99873705830512516</v>
      </c>
      <c r="AD27" s="184">
        <f t="shared" si="5"/>
        <v>0.99871771882324512</v>
      </c>
      <c r="AE27" s="184">
        <f t="shared" si="5"/>
        <v>0.99897140353457659</v>
      </c>
      <c r="AF27" s="184">
        <f t="shared" si="5"/>
        <v>0.99994464058116128</v>
      </c>
      <c r="AG27" s="184">
        <f t="shared" si="5"/>
        <v>0.99997430049457592</v>
      </c>
      <c r="AI27" s="214">
        <f t="shared" si="18"/>
        <v>-1</v>
      </c>
      <c r="AJ27" s="214">
        <f t="shared" si="6"/>
        <v>1</v>
      </c>
      <c r="AK27" s="214">
        <f t="shared" si="6"/>
        <v>1</v>
      </c>
      <c r="AL27" s="214">
        <f t="shared" si="6"/>
        <v>1</v>
      </c>
      <c r="AM27" s="214">
        <f t="shared" si="6"/>
        <v>1</v>
      </c>
      <c r="AN27" s="214">
        <f t="shared" si="6"/>
        <v>2</v>
      </c>
      <c r="AO27" s="214">
        <f t="shared" si="6"/>
        <v>3</v>
      </c>
      <c r="AP27" s="206">
        <f t="shared" si="19"/>
        <v>0.29166666666666663</v>
      </c>
      <c r="AQ27" s="213">
        <f t="shared" si="20"/>
        <v>-0.5</v>
      </c>
      <c r="AR27" s="213">
        <f t="shared" si="7"/>
        <v>0.5</v>
      </c>
      <c r="AS27" s="213">
        <f t="shared" si="7"/>
        <v>0.5</v>
      </c>
      <c r="AT27" s="213">
        <f t="shared" si="7"/>
        <v>0.5</v>
      </c>
      <c r="AU27" s="213">
        <f t="shared" si="7"/>
        <v>0.5</v>
      </c>
      <c r="AV27" s="213">
        <f t="shared" si="7"/>
        <v>1</v>
      </c>
      <c r="AW27" s="213">
        <f t="shared" si="7"/>
        <v>3</v>
      </c>
      <c r="AY27" s="186">
        <f t="shared" si="21"/>
        <v>1.8587557170504057</v>
      </c>
      <c r="AZ27" s="186">
        <f t="shared" si="8"/>
        <v>3.1890324718181033</v>
      </c>
      <c r="BA27" s="186">
        <f t="shared" si="8"/>
        <v>1.8310179402260627</v>
      </c>
      <c r="BB27" s="186">
        <f t="shared" si="8"/>
        <v>2.1638883907836974</v>
      </c>
      <c r="BC27" s="186">
        <f t="shared" si="8"/>
        <v>2.4308304152674696</v>
      </c>
      <c r="BD27" s="186">
        <f t="shared" si="8"/>
        <v>2.333204161356043</v>
      </c>
      <c r="BE27" s="186">
        <f t="shared" si="8"/>
        <v>2.0666135543554569</v>
      </c>
    </row>
    <row r="28" spans="1:57" ht="12.75" x14ac:dyDescent="0.2">
      <c r="A28" s="181">
        <f t="shared" si="9"/>
        <v>3.6476190476190475</v>
      </c>
      <c r="B28" s="187">
        <f t="shared" si="22"/>
        <v>0.31249999999999994</v>
      </c>
      <c r="C28" s="135">
        <v>4.333333333333333</v>
      </c>
      <c r="D28" s="135">
        <v>5.3</v>
      </c>
      <c r="E28" s="135">
        <v>3.0333333333333332</v>
      </c>
      <c r="F28" s="135">
        <v>2.9</v>
      </c>
      <c r="G28" s="135">
        <v>3.7000000000000006</v>
      </c>
      <c r="H28" s="135">
        <v>3.2666666666666671</v>
      </c>
      <c r="I28" s="135">
        <v>3</v>
      </c>
      <c r="J28" s="165">
        <v>16</v>
      </c>
      <c r="K28" s="43">
        <f t="shared" si="10"/>
        <v>2</v>
      </c>
      <c r="L28" s="43">
        <f t="shared" si="11"/>
        <v>2</v>
      </c>
      <c r="M28" s="43">
        <f t="shared" si="12"/>
        <v>2</v>
      </c>
      <c r="N28" s="43">
        <f t="shared" si="13"/>
        <v>2</v>
      </c>
      <c r="O28" s="43">
        <f t="shared" si="14"/>
        <v>2</v>
      </c>
      <c r="P28" s="43">
        <f t="shared" si="15"/>
        <v>2</v>
      </c>
      <c r="Q28" s="43">
        <f t="shared" si="16"/>
        <v>2</v>
      </c>
      <c r="R28" s="165">
        <v>16</v>
      </c>
      <c r="S28" s="198">
        <v>2</v>
      </c>
      <c r="T28" s="198">
        <v>3</v>
      </c>
      <c r="U28" s="198">
        <v>3</v>
      </c>
      <c r="V28" s="198">
        <v>3</v>
      </c>
      <c r="W28" s="198">
        <v>3</v>
      </c>
      <c r="X28" s="198">
        <v>4</v>
      </c>
      <c r="Y28" s="198">
        <v>4</v>
      </c>
      <c r="AA28" s="184">
        <f t="shared" si="17"/>
        <v>0.92873976521071422</v>
      </c>
      <c r="AB28" s="184">
        <f t="shared" si="17"/>
        <v>0.98542345533386388</v>
      </c>
      <c r="AC28" s="184">
        <f t="shared" si="5"/>
        <v>0.99594117299835938</v>
      </c>
      <c r="AD28" s="184">
        <f t="shared" si="5"/>
        <v>0.99588036290368576</v>
      </c>
      <c r="AE28" s="184">
        <f t="shared" si="5"/>
        <v>0.9924604090766127</v>
      </c>
      <c r="AF28" s="184">
        <f t="shared" si="5"/>
        <v>0.99973599434789595</v>
      </c>
      <c r="AG28" s="184">
        <f t="shared" si="5"/>
        <v>0.99987583798610158</v>
      </c>
      <c r="AI28" s="214">
        <f t="shared" si="18"/>
        <v>0</v>
      </c>
      <c r="AJ28" s="214">
        <f t="shared" si="6"/>
        <v>1</v>
      </c>
      <c r="AK28" s="214">
        <f t="shared" si="6"/>
        <v>1</v>
      </c>
      <c r="AL28" s="214">
        <f t="shared" si="6"/>
        <v>1</v>
      </c>
      <c r="AM28" s="214">
        <f t="shared" si="6"/>
        <v>1</v>
      </c>
      <c r="AN28" s="214">
        <f t="shared" si="6"/>
        <v>2</v>
      </c>
      <c r="AO28" s="214">
        <f t="shared" si="6"/>
        <v>2</v>
      </c>
      <c r="AP28" s="206">
        <f t="shared" si="19"/>
        <v>0.31249999999999994</v>
      </c>
      <c r="AQ28" s="213">
        <f t="shared" si="20"/>
        <v>0</v>
      </c>
      <c r="AR28" s="213">
        <f t="shared" si="7"/>
        <v>0.5</v>
      </c>
      <c r="AS28" s="213">
        <f t="shared" si="7"/>
        <v>0.5</v>
      </c>
      <c r="AT28" s="213">
        <f t="shared" si="7"/>
        <v>0.5</v>
      </c>
      <c r="AU28" s="213">
        <f t="shared" si="7"/>
        <v>0.5</v>
      </c>
      <c r="AV28" s="213">
        <f t="shared" si="7"/>
        <v>1</v>
      </c>
      <c r="AW28" s="213">
        <f t="shared" si="7"/>
        <v>1</v>
      </c>
      <c r="AY28" s="186">
        <f t="shared" si="21"/>
        <v>4.0245389825797613</v>
      </c>
      <c r="AZ28" s="186">
        <f t="shared" si="8"/>
        <v>5.2227443132694784</v>
      </c>
      <c r="BA28" s="186">
        <f t="shared" si="8"/>
        <v>3.0210215580950233</v>
      </c>
      <c r="BB28" s="186">
        <f t="shared" si="8"/>
        <v>2.8880530524206884</v>
      </c>
      <c r="BC28" s="186">
        <f t="shared" si="8"/>
        <v>3.6721035135834676</v>
      </c>
      <c r="BD28" s="186">
        <f t="shared" si="8"/>
        <v>3.2658042482031271</v>
      </c>
      <c r="BE28" s="186">
        <f t="shared" si="8"/>
        <v>2.9996275139583046</v>
      </c>
    </row>
    <row r="29" spans="1:57" ht="12.75" x14ac:dyDescent="0.2">
      <c r="A29" s="181">
        <f t="shared" si="9"/>
        <v>4.9952380952380953</v>
      </c>
      <c r="B29" s="187">
        <f t="shared" si="22"/>
        <v>0.33333333333333326</v>
      </c>
      <c r="C29" s="135">
        <v>6.2</v>
      </c>
      <c r="D29" s="135">
        <v>6.2</v>
      </c>
      <c r="E29" s="135">
        <v>4.5666666666666664</v>
      </c>
      <c r="F29" s="135">
        <v>3.6333333333333333</v>
      </c>
      <c r="G29" s="135">
        <v>5.5333333333333341</v>
      </c>
      <c r="H29" s="135">
        <v>5</v>
      </c>
      <c r="I29" s="135">
        <v>3.8333333333333335</v>
      </c>
      <c r="J29" s="165">
        <v>17</v>
      </c>
      <c r="K29" s="43">
        <f t="shared" si="10"/>
        <v>2</v>
      </c>
      <c r="L29" s="43">
        <f t="shared" si="11"/>
        <v>2</v>
      </c>
      <c r="M29" s="43">
        <f t="shared" si="12"/>
        <v>2</v>
      </c>
      <c r="N29" s="43">
        <f t="shared" si="13"/>
        <v>2</v>
      </c>
      <c r="O29" s="43">
        <f t="shared" si="14"/>
        <v>2</v>
      </c>
      <c r="P29" s="43">
        <f t="shared" si="15"/>
        <v>2</v>
      </c>
      <c r="Q29" s="43">
        <f t="shared" si="16"/>
        <v>2</v>
      </c>
      <c r="R29" s="165">
        <v>17</v>
      </c>
      <c r="S29" s="198">
        <v>3</v>
      </c>
      <c r="T29" s="198">
        <v>3</v>
      </c>
      <c r="U29" s="198">
        <v>4</v>
      </c>
      <c r="V29" s="198">
        <v>3</v>
      </c>
      <c r="W29" s="198">
        <v>4</v>
      </c>
      <c r="X29" s="198">
        <v>4</v>
      </c>
      <c r="Y29" s="198">
        <v>4</v>
      </c>
      <c r="AA29" s="184">
        <f t="shared" si="17"/>
        <v>0.97355381148877806</v>
      </c>
      <c r="AB29" s="184">
        <f t="shared" si="17"/>
        <v>0.97578772193702823</v>
      </c>
      <c r="AC29" s="184">
        <f t="shared" si="17"/>
        <v>0.99795873020584014</v>
      </c>
      <c r="AD29" s="184">
        <f t="shared" si="17"/>
        <v>0.99068429032067584</v>
      </c>
      <c r="AE29" s="184">
        <f t="shared" si="17"/>
        <v>0.99690766831789335</v>
      </c>
      <c r="AF29" s="184">
        <f t="shared" si="17"/>
        <v>0.99818560636741771</v>
      </c>
      <c r="AG29" s="184">
        <f t="shared" si="17"/>
        <v>0.99962518057890504</v>
      </c>
      <c r="AI29" s="214">
        <f t="shared" si="18"/>
        <v>1</v>
      </c>
      <c r="AJ29" s="214">
        <f t="shared" si="18"/>
        <v>1</v>
      </c>
      <c r="AK29" s="214">
        <f t="shared" si="18"/>
        <v>2</v>
      </c>
      <c r="AL29" s="214">
        <f t="shared" si="18"/>
        <v>1</v>
      </c>
      <c r="AM29" s="214">
        <f t="shared" si="18"/>
        <v>2</v>
      </c>
      <c r="AN29" s="214">
        <f t="shared" si="18"/>
        <v>2</v>
      </c>
      <c r="AO29" s="214">
        <f t="shared" si="18"/>
        <v>2</v>
      </c>
      <c r="AP29" s="206">
        <f t="shared" si="19"/>
        <v>0.33333333333333326</v>
      </c>
      <c r="AQ29" s="213">
        <f t="shared" si="20"/>
        <v>0.5</v>
      </c>
      <c r="AR29" s="213">
        <f t="shared" si="20"/>
        <v>0.5</v>
      </c>
      <c r="AS29" s="213">
        <f t="shared" si="20"/>
        <v>1</v>
      </c>
      <c r="AT29" s="213">
        <f t="shared" si="20"/>
        <v>0.5</v>
      </c>
      <c r="AU29" s="213">
        <f t="shared" si="20"/>
        <v>1</v>
      </c>
      <c r="AV29" s="213">
        <f t="shared" si="20"/>
        <v>1</v>
      </c>
      <c r="AW29" s="213">
        <f t="shared" si="20"/>
        <v>1</v>
      </c>
      <c r="AY29" s="186">
        <f t="shared" si="21"/>
        <v>6.0360336312304241</v>
      </c>
      <c r="AZ29" s="186">
        <f t="shared" si="21"/>
        <v>6.0498838760095754</v>
      </c>
      <c r="BA29" s="186">
        <f t="shared" si="21"/>
        <v>4.557344867940003</v>
      </c>
      <c r="BB29" s="186">
        <f t="shared" si="21"/>
        <v>3.5994862548317887</v>
      </c>
      <c r="BC29" s="186">
        <f t="shared" si="21"/>
        <v>5.5162224313590107</v>
      </c>
      <c r="BD29" s="186">
        <f t="shared" si="21"/>
        <v>4.9909280318370888</v>
      </c>
      <c r="BE29" s="186">
        <f t="shared" si="21"/>
        <v>3.8318965255524695</v>
      </c>
    </row>
    <row r="30" spans="1:57" ht="12.75" x14ac:dyDescent="0.2">
      <c r="A30" s="181">
        <f t="shared" si="9"/>
        <v>6.3190476190476188</v>
      </c>
      <c r="B30" s="187">
        <f t="shared" si="22"/>
        <v>0.35416666666666657</v>
      </c>
      <c r="C30" s="135">
        <v>7.1333333333333329</v>
      </c>
      <c r="D30" s="135">
        <v>7.666666666666667</v>
      </c>
      <c r="E30" s="135">
        <v>6.2333333333333334</v>
      </c>
      <c r="F30" s="135">
        <v>4.7666666666666666</v>
      </c>
      <c r="G30" s="135">
        <v>6.9000000000000012</v>
      </c>
      <c r="H30" s="135">
        <v>7.0333333333333341</v>
      </c>
      <c r="I30" s="135">
        <v>4.5</v>
      </c>
      <c r="J30" s="165">
        <v>18</v>
      </c>
      <c r="K30" s="43">
        <f t="shared" si="10"/>
        <v>3</v>
      </c>
      <c r="L30" s="43">
        <f t="shared" si="11"/>
        <v>3</v>
      </c>
      <c r="M30" s="43">
        <f t="shared" si="12"/>
        <v>2</v>
      </c>
      <c r="N30" s="43">
        <f t="shared" si="13"/>
        <v>2</v>
      </c>
      <c r="O30" s="43">
        <f t="shared" si="14"/>
        <v>2</v>
      </c>
      <c r="P30" s="43">
        <f t="shared" si="15"/>
        <v>3</v>
      </c>
      <c r="Q30" s="43">
        <f t="shared" si="16"/>
        <v>2</v>
      </c>
      <c r="R30" s="165">
        <v>18</v>
      </c>
      <c r="S30" s="198">
        <v>3</v>
      </c>
      <c r="T30" s="198">
        <v>3</v>
      </c>
      <c r="U30" s="198">
        <v>4</v>
      </c>
      <c r="V30" s="198">
        <v>3</v>
      </c>
      <c r="W30" s="198">
        <v>4</v>
      </c>
      <c r="X30" s="198">
        <v>4</v>
      </c>
      <c r="Y30" s="198">
        <v>4</v>
      </c>
      <c r="AA30" s="184">
        <f t="shared" si="17"/>
        <v>0.95961786613167566</v>
      </c>
      <c r="AB30" s="184">
        <f t="shared" si="17"/>
        <v>0.94666852549908798</v>
      </c>
      <c r="AC30" s="184">
        <f t="shared" si="17"/>
        <v>0.9960059669844592</v>
      </c>
      <c r="AD30" s="184">
        <f t="shared" si="17"/>
        <v>0.98260497475469621</v>
      </c>
      <c r="AE30" s="184">
        <f t="shared" si="17"/>
        <v>0.99456220886066815</v>
      </c>
      <c r="AF30" s="184">
        <f t="shared" si="17"/>
        <v>0.99375895925836777</v>
      </c>
      <c r="AG30" s="184">
        <f t="shared" si="17"/>
        <v>0.99962518057890504</v>
      </c>
      <c r="AI30" s="214">
        <f t="shared" si="18"/>
        <v>0</v>
      </c>
      <c r="AJ30" s="214">
        <f t="shared" si="18"/>
        <v>0</v>
      </c>
      <c r="AK30" s="214">
        <f t="shared" si="18"/>
        <v>2</v>
      </c>
      <c r="AL30" s="214">
        <f t="shared" si="18"/>
        <v>1</v>
      </c>
      <c r="AM30" s="214">
        <f t="shared" si="18"/>
        <v>2</v>
      </c>
      <c r="AN30" s="214">
        <f t="shared" si="18"/>
        <v>1</v>
      </c>
      <c r="AO30" s="214">
        <f t="shared" si="18"/>
        <v>2</v>
      </c>
      <c r="AP30" s="206">
        <f t="shared" si="19"/>
        <v>0.35416666666666657</v>
      </c>
      <c r="AQ30" s="213">
        <f t="shared" si="20"/>
        <v>0</v>
      </c>
      <c r="AR30" s="213">
        <f t="shared" si="20"/>
        <v>0</v>
      </c>
      <c r="AS30" s="213">
        <f t="shared" si="20"/>
        <v>1</v>
      </c>
      <c r="AT30" s="213">
        <f t="shared" si="20"/>
        <v>0.5</v>
      </c>
      <c r="AU30" s="213">
        <f t="shared" si="20"/>
        <v>1</v>
      </c>
      <c r="AV30" s="213">
        <f t="shared" si="20"/>
        <v>0.33333333333333326</v>
      </c>
      <c r="AW30" s="213">
        <f t="shared" si="20"/>
        <v>1</v>
      </c>
      <c r="AY30" s="186">
        <f t="shared" si="21"/>
        <v>6.8452741117392861</v>
      </c>
      <c r="AZ30" s="186">
        <f t="shared" si="21"/>
        <v>7.2577920288263416</v>
      </c>
      <c r="BA30" s="186">
        <f t="shared" si="21"/>
        <v>6.2084371942031291</v>
      </c>
      <c r="BB30" s="186">
        <f t="shared" si="21"/>
        <v>4.6837503796640521</v>
      </c>
      <c r="BC30" s="186">
        <f t="shared" si="21"/>
        <v>6.8624792411386117</v>
      </c>
      <c r="BD30" s="186">
        <f t="shared" si="21"/>
        <v>6.9894380134505205</v>
      </c>
      <c r="BE30" s="186">
        <f t="shared" si="21"/>
        <v>4.4983133126050729</v>
      </c>
    </row>
    <row r="31" spans="1:57" ht="12.75" x14ac:dyDescent="0.2">
      <c r="A31" s="181">
        <f t="shared" si="9"/>
        <v>7.7238095238095239</v>
      </c>
      <c r="B31" s="187">
        <f t="shared" si="22"/>
        <v>0.37499999999999989</v>
      </c>
      <c r="C31" s="135">
        <v>8.5</v>
      </c>
      <c r="D31" s="135">
        <v>8.7333333333333325</v>
      </c>
      <c r="E31" s="135">
        <v>7.4666666666666659</v>
      </c>
      <c r="F31" s="135">
        <v>5.8999999999999995</v>
      </c>
      <c r="G31" s="135">
        <v>8.3666666666666671</v>
      </c>
      <c r="H31" s="135">
        <v>9.4</v>
      </c>
      <c r="I31" s="135">
        <v>5.7</v>
      </c>
      <c r="J31" s="165">
        <v>19</v>
      </c>
      <c r="K31" s="43">
        <f t="shared" si="10"/>
        <v>3</v>
      </c>
      <c r="L31" s="43">
        <f t="shared" si="11"/>
        <v>3</v>
      </c>
      <c r="M31" s="43">
        <f t="shared" si="12"/>
        <v>3</v>
      </c>
      <c r="N31" s="43">
        <f t="shared" si="13"/>
        <v>2</v>
      </c>
      <c r="O31" s="43">
        <f t="shared" si="14"/>
        <v>3</v>
      </c>
      <c r="P31" s="43">
        <f t="shared" si="15"/>
        <v>3</v>
      </c>
      <c r="Q31" s="43">
        <f t="shared" si="16"/>
        <v>2</v>
      </c>
      <c r="R31" s="165">
        <v>19</v>
      </c>
      <c r="S31" s="198">
        <v>3</v>
      </c>
      <c r="T31" s="198">
        <v>4</v>
      </c>
      <c r="U31" s="198">
        <v>4</v>
      </c>
      <c r="V31" s="198">
        <v>4</v>
      </c>
      <c r="W31" s="198">
        <v>4</v>
      </c>
      <c r="X31" s="198">
        <v>4</v>
      </c>
      <c r="Y31" s="198">
        <v>4</v>
      </c>
      <c r="AA31" s="184">
        <f t="shared" si="17"/>
        <v>0.94192394661640388</v>
      </c>
      <c r="AB31" s="184">
        <f t="shared" si="17"/>
        <v>0.98603026925627935</v>
      </c>
      <c r="AC31" s="184">
        <f t="shared" si="17"/>
        <v>0.99300787929754086</v>
      </c>
      <c r="AD31" s="184">
        <f t="shared" si="17"/>
        <v>0.99592976446984838</v>
      </c>
      <c r="AE31" s="184">
        <f t="shared" si="17"/>
        <v>0.99118333447444207</v>
      </c>
      <c r="AF31" s="184">
        <f t="shared" si="17"/>
        <v>0.98464473633339133</v>
      </c>
      <c r="AG31" s="184">
        <f t="shared" si="17"/>
        <v>0.99826401680408405</v>
      </c>
      <c r="AI31" s="214">
        <f t="shared" si="18"/>
        <v>0</v>
      </c>
      <c r="AJ31" s="214">
        <f t="shared" si="18"/>
        <v>1</v>
      </c>
      <c r="AK31" s="214">
        <f t="shared" si="18"/>
        <v>1</v>
      </c>
      <c r="AL31" s="214">
        <f t="shared" si="18"/>
        <v>2</v>
      </c>
      <c r="AM31" s="214">
        <f t="shared" si="18"/>
        <v>1</v>
      </c>
      <c r="AN31" s="214">
        <f t="shared" si="18"/>
        <v>1</v>
      </c>
      <c r="AO31" s="214">
        <f t="shared" si="18"/>
        <v>2</v>
      </c>
      <c r="AP31" s="206">
        <f t="shared" si="19"/>
        <v>0.37499999999999989</v>
      </c>
      <c r="AQ31" s="213">
        <f t="shared" si="20"/>
        <v>0</v>
      </c>
      <c r="AR31" s="213">
        <f t="shared" si="20"/>
        <v>0.33333333333333326</v>
      </c>
      <c r="AS31" s="213">
        <f t="shared" si="20"/>
        <v>0.33333333333333326</v>
      </c>
      <c r="AT31" s="213">
        <f t="shared" si="20"/>
        <v>1</v>
      </c>
      <c r="AU31" s="213">
        <f t="shared" si="20"/>
        <v>0.33333333333333326</v>
      </c>
      <c r="AV31" s="213">
        <f t="shared" si="20"/>
        <v>0.33333333333333326</v>
      </c>
      <c r="AW31" s="213">
        <f t="shared" si="20"/>
        <v>1</v>
      </c>
      <c r="AY31" s="186">
        <f t="shared" si="21"/>
        <v>8.0063535462394331</v>
      </c>
      <c r="AZ31" s="186">
        <f t="shared" si="21"/>
        <v>8.611331018171505</v>
      </c>
      <c r="BA31" s="186">
        <f t="shared" si="21"/>
        <v>7.4144588320883047</v>
      </c>
      <c r="BB31" s="186">
        <f t="shared" si="21"/>
        <v>5.8759856103721049</v>
      </c>
      <c r="BC31" s="186">
        <f t="shared" si="21"/>
        <v>8.2929005651028316</v>
      </c>
      <c r="BD31" s="186">
        <f t="shared" si="21"/>
        <v>9.2556605215338781</v>
      </c>
      <c r="BE31" s="186">
        <f t="shared" si="21"/>
        <v>5.6901048957832794</v>
      </c>
    </row>
    <row r="32" spans="1:57" ht="12.75" x14ac:dyDescent="0.2">
      <c r="A32" s="181">
        <f t="shared" si="9"/>
        <v>8.9428571428571431</v>
      </c>
      <c r="B32" s="187">
        <f t="shared" si="22"/>
        <v>0.3958333333333332</v>
      </c>
      <c r="C32" s="135">
        <v>9.8333333333333339</v>
      </c>
      <c r="D32" s="135">
        <v>9.8333333333333339</v>
      </c>
      <c r="E32" s="135">
        <v>8.6666666666666661</v>
      </c>
      <c r="F32" s="135">
        <v>7.6333333333333329</v>
      </c>
      <c r="G32" s="135">
        <v>9.3666666666666671</v>
      </c>
      <c r="H32" s="135">
        <v>10.899999999999999</v>
      </c>
      <c r="I32" s="135">
        <v>6.3666666666666671</v>
      </c>
      <c r="J32" s="165">
        <v>20</v>
      </c>
      <c r="K32" s="43">
        <f t="shared" si="10"/>
        <v>3</v>
      </c>
      <c r="L32" s="43">
        <f t="shared" si="11"/>
        <v>3</v>
      </c>
      <c r="M32" s="43">
        <f t="shared" si="12"/>
        <v>3</v>
      </c>
      <c r="N32" s="43">
        <f t="shared" si="13"/>
        <v>3</v>
      </c>
      <c r="O32" s="43">
        <f t="shared" si="14"/>
        <v>3</v>
      </c>
      <c r="P32" s="43">
        <f t="shared" si="15"/>
        <v>3</v>
      </c>
      <c r="Q32" s="43">
        <f t="shared" si="16"/>
        <v>2</v>
      </c>
      <c r="R32" s="165">
        <v>20</v>
      </c>
      <c r="S32" s="198">
        <v>3</v>
      </c>
      <c r="T32" s="198">
        <v>4</v>
      </c>
      <c r="U32" s="198">
        <v>4</v>
      </c>
      <c r="V32" s="198">
        <v>4</v>
      </c>
      <c r="W32" s="198">
        <v>4</v>
      </c>
      <c r="X32" s="198">
        <v>4</v>
      </c>
      <c r="Y32" s="198">
        <v>4</v>
      </c>
      <c r="AA32" s="184">
        <f t="shared" si="17"/>
        <v>0.89411567465362163</v>
      </c>
      <c r="AB32" s="184">
        <f t="shared" si="17"/>
        <v>0.97972231740197757</v>
      </c>
      <c r="AC32" s="184">
        <f t="shared" si="17"/>
        <v>0.98286328837450276</v>
      </c>
      <c r="AD32" s="184">
        <f t="shared" si="17"/>
        <v>0.98850414154044053</v>
      </c>
      <c r="AE32" s="184">
        <f t="shared" si="17"/>
        <v>0.98655990308228469</v>
      </c>
      <c r="AF32" s="184">
        <f t="shared" si="17"/>
        <v>0.96897229316097233</v>
      </c>
      <c r="AG32" s="184">
        <f t="shared" si="17"/>
        <v>0.99826401680408405</v>
      </c>
      <c r="AI32" s="214">
        <f t="shared" si="18"/>
        <v>0</v>
      </c>
      <c r="AJ32" s="214">
        <f t="shared" si="18"/>
        <v>1</v>
      </c>
      <c r="AK32" s="214">
        <f t="shared" si="18"/>
        <v>1</v>
      </c>
      <c r="AL32" s="214">
        <f t="shared" si="18"/>
        <v>1</v>
      </c>
      <c r="AM32" s="214">
        <f t="shared" si="18"/>
        <v>1</v>
      </c>
      <c r="AN32" s="214">
        <f t="shared" si="18"/>
        <v>1</v>
      </c>
      <c r="AO32" s="214">
        <f t="shared" si="18"/>
        <v>2</v>
      </c>
      <c r="AP32" s="206">
        <f t="shared" si="19"/>
        <v>0.3958333333333332</v>
      </c>
      <c r="AQ32" s="213">
        <f t="shared" si="20"/>
        <v>0</v>
      </c>
      <c r="AR32" s="213">
        <f t="shared" si="20"/>
        <v>0.33333333333333326</v>
      </c>
      <c r="AS32" s="213">
        <f t="shared" si="20"/>
        <v>0.33333333333333326</v>
      </c>
      <c r="AT32" s="213">
        <f t="shared" si="20"/>
        <v>0.33333333333333326</v>
      </c>
      <c r="AU32" s="213">
        <f t="shared" si="20"/>
        <v>0.33333333333333326</v>
      </c>
      <c r="AV32" s="213">
        <f t="shared" si="20"/>
        <v>0.33333333333333326</v>
      </c>
      <c r="AW32" s="213">
        <f t="shared" si="20"/>
        <v>1</v>
      </c>
      <c r="AY32" s="186">
        <f t="shared" si="21"/>
        <v>8.7921374674272794</v>
      </c>
      <c r="AZ32" s="186">
        <f t="shared" si="21"/>
        <v>9.6339361211194472</v>
      </c>
      <c r="BA32" s="186">
        <f t="shared" si="21"/>
        <v>8.5181484992456902</v>
      </c>
      <c r="BB32" s="186">
        <f t="shared" si="21"/>
        <v>7.5455816137586957</v>
      </c>
      <c r="BC32" s="186">
        <f t="shared" si="21"/>
        <v>9.2407777588707329</v>
      </c>
      <c r="BD32" s="186">
        <f t="shared" si="21"/>
        <v>10.561797995454597</v>
      </c>
      <c r="BE32" s="186">
        <f t="shared" si="21"/>
        <v>6.3556142403193352</v>
      </c>
    </row>
    <row r="33" spans="1:57" ht="12.75" x14ac:dyDescent="0.2">
      <c r="A33" s="181">
        <f t="shared" si="9"/>
        <v>10.238095238095237</v>
      </c>
      <c r="B33" s="187">
        <f t="shared" si="22"/>
        <v>0.41666666666666652</v>
      </c>
      <c r="C33" s="135">
        <v>11.033333333333331</v>
      </c>
      <c r="D33" s="135">
        <v>10.766666666666666</v>
      </c>
      <c r="E33" s="135">
        <v>10.333333333333334</v>
      </c>
      <c r="F33" s="135">
        <v>8.2999999999999989</v>
      </c>
      <c r="G33" s="135">
        <v>11.333333333333334</v>
      </c>
      <c r="H33" s="135">
        <v>12.366666666666667</v>
      </c>
      <c r="I33" s="135">
        <v>7.5333333333333323</v>
      </c>
      <c r="J33" s="165">
        <v>21</v>
      </c>
      <c r="K33" s="43">
        <f t="shared" si="10"/>
        <v>3</v>
      </c>
      <c r="L33" s="43">
        <f t="shared" si="11"/>
        <v>3</v>
      </c>
      <c r="M33" s="43">
        <f t="shared" si="12"/>
        <v>3</v>
      </c>
      <c r="N33" s="43">
        <f t="shared" si="13"/>
        <v>3</v>
      </c>
      <c r="O33" s="43">
        <f t="shared" si="14"/>
        <v>3</v>
      </c>
      <c r="P33" s="43">
        <f t="shared" si="15"/>
        <v>3</v>
      </c>
      <c r="Q33" s="43">
        <f t="shared" si="16"/>
        <v>2</v>
      </c>
      <c r="R33" s="165">
        <v>21</v>
      </c>
      <c r="S33" s="198">
        <v>3</v>
      </c>
      <c r="T33" s="198">
        <v>4</v>
      </c>
      <c r="U33" s="198">
        <v>4</v>
      </c>
      <c r="V33" s="198">
        <v>4</v>
      </c>
      <c r="W33" s="198">
        <v>4</v>
      </c>
      <c r="X33" s="198">
        <v>4</v>
      </c>
      <c r="Y33" s="198">
        <v>4</v>
      </c>
      <c r="AA33" s="184">
        <f t="shared" si="17"/>
        <v>0.86346970517473176</v>
      </c>
      <c r="AB33" s="184">
        <f t="shared" si="17"/>
        <v>0.97168718093706175</v>
      </c>
      <c r="AC33" s="184">
        <f t="shared" si="17"/>
        <v>0.97520850996149888</v>
      </c>
      <c r="AD33" s="184">
        <f t="shared" si="17"/>
        <v>0.98850414154044053</v>
      </c>
      <c r="AE33" s="184">
        <f t="shared" si="17"/>
        <v>0.97272769335890985</v>
      </c>
      <c r="AF33" s="184">
        <f t="shared" si="17"/>
        <v>0.95809356894832443</v>
      </c>
      <c r="AG33" s="184">
        <f t="shared" si="17"/>
        <v>0.99496096398320555</v>
      </c>
      <c r="AI33" s="214">
        <f t="shared" si="18"/>
        <v>0</v>
      </c>
      <c r="AJ33" s="214">
        <f t="shared" si="18"/>
        <v>1</v>
      </c>
      <c r="AK33" s="214">
        <f t="shared" si="18"/>
        <v>1</v>
      </c>
      <c r="AL33" s="214">
        <f t="shared" si="18"/>
        <v>1</v>
      </c>
      <c r="AM33" s="214">
        <f t="shared" si="18"/>
        <v>1</v>
      </c>
      <c r="AN33" s="214">
        <f t="shared" si="18"/>
        <v>1</v>
      </c>
      <c r="AO33" s="214">
        <f t="shared" si="18"/>
        <v>2</v>
      </c>
      <c r="AP33" s="206">
        <f t="shared" si="19"/>
        <v>0.41666666666666652</v>
      </c>
      <c r="AQ33" s="213">
        <f t="shared" si="20"/>
        <v>0</v>
      </c>
      <c r="AR33" s="213">
        <f t="shared" si="20"/>
        <v>0.33333333333333326</v>
      </c>
      <c r="AS33" s="213">
        <f t="shared" si="20"/>
        <v>0.33333333333333326</v>
      </c>
      <c r="AT33" s="213">
        <f t="shared" si="20"/>
        <v>0.33333333333333326</v>
      </c>
      <c r="AU33" s="213">
        <f t="shared" si="20"/>
        <v>0.33333333333333326</v>
      </c>
      <c r="AV33" s="213">
        <f t="shared" si="20"/>
        <v>0.33333333333333326</v>
      </c>
      <c r="AW33" s="213">
        <f t="shared" si="20"/>
        <v>1</v>
      </c>
      <c r="AY33" s="186">
        <f t="shared" si="21"/>
        <v>9.5269490804278725</v>
      </c>
      <c r="AZ33" s="186">
        <f t="shared" si="21"/>
        <v>10.461831981422364</v>
      </c>
      <c r="BA33" s="186">
        <f t="shared" si="21"/>
        <v>10.077154602935488</v>
      </c>
      <c r="BB33" s="186">
        <f t="shared" si="21"/>
        <v>8.2045843747856555</v>
      </c>
      <c r="BC33" s="186">
        <f t="shared" si="21"/>
        <v>11.024247191400979</v>
      </c>
      <c r="BD33" s="186">
        <f t="shared" si="21"/>
        <v>11.848423802660946</v>
      </c>
      <c r="BE33" s="186">
        <f t="shared" si="21"/>
        <v>7.4953725953401475</v>
      </c>
    </row>
    <row r="34" spans="1:57" ht="12.75" x14ac:dyDescent="0.2">
      <c r="A34" s="181">
        <f t="shared" si="9"/>
        <v>11.157142857142857</v>
      </c>
      <c r="B34" s="187">
        <f t="shared" si="22"/>
        <v>0.43749999999999983</v>
      </c>
      <c r="C34" s="135">
        <v>11.799999999999999</v>
      </c>
      <c r="D34" s="135">
        <v>10.633333333333335</v>
      </c>
      <c r="E34" s="135">
        <v>11.300000000000002</v>
      </c>
      <c r="F34" s="135">
        <v>10.566666666666665</v>
      </c>
      <c r="G34" s="135">
        <v>12.866666666666665</v>
      </c>
      <c r="H34" s="135">
        <v>12.566666666666668</v>
      </c>
      <c r="I34" s="135">
        <v>8.3666666666666671</v>
      </c>
      <c r="J34" s="165">
        <v>22</v>
      </c>
      <c r="K34" s="43">
        <f t="shared" si="10"/>
        <v>3</v>
      </c>
      <c r="L34" s="43">
        <f t="shared" si="11"/>
        <v>3</v>
      </c>
      <c r="M34" s="43">
        <f t="shared" si="12"/>
        <v>3</v>
      </c>
      <c r="N34" s="43">
        <f t="shared" si="13"/>
        <v>3</v>
      </c>
      <c r="O34" s="43">
        <f t="shared" si="14"/>
        <v>3</v>
      </c>
      <c r="P34" s="43">
        <f t="shared" si="15"/>
        <v>4</v>
      </c>
      <c r="Q34" s="43">
        <f t="shared" si="16"/>
        <v>2</v>
      </c>
      <c r="R34" s="165">
        <v>22</v>
      </c>
      <c r="S34" s="198">
        <v>3</v>
      </c>
      <c r="T34" s="198">
        <v>4</v>
      </c>
      <c r="U34" s="198">
        <v>4</v>
      </c>
      <c r="V34" s="198">
        <v>4</v>
      </c>
      <c r="W34" s="198">
        <v>4</v>
      </c>
      <c r="X34" s="198">
        <v>4</v>
      </c>
      <c r="Y34" s="198">
        <v>4</v>
      </c>
      <c r="AA34" s="184">
        <f t="shared" si="17"/>
        <v>0.82798939007543682</v>
      </c>
      <c r="AB34" s="184">
        <f t="shared" si="17"/>
        <v>0.97168718093706175</v>
      </c>
      <c r="AC34" s="184">
        <f t="shared" si="17"/>
        <v>0.96549577460977254</v>
      </c>
      <c r="AD34" s="184">
        <f t="shared" si="17"/>
        <v>0.96489274336537612</v>
      </c>
      <c r="AE34" s="184">
        <f t="shared" si="17"/>
        <v>0.95136199021017487</v>
      </c>
      <c r="AF34" s="184">
        <f t="shared" si="17"/>
        <v>0.94487814821447114</v>
      </c>
      <c r="AG34" s="184">
        <f t="shared" si="17"/>
        <v>0.99496096398320555</v>
      </c>
      <c r="AI34" s="214">
        <f t="shared" si="18"/>
        <v>0</v>
      </c>
      <c r="AJ34" s="214">
        <f t="shared" si="18"/>
        <v>1</v>
      </c>
      <c r="AK34" s="214">
        <f t="shared" si="18"/>
        <v>1</v>
      </c>
      <c r="AL34" s="214">
        <f t="shared" si="18"/>
        <v>1</v>
      </c>
      <c r="AM34" s="214">
        <f t="shared" si="18"/>
        <v>1</v>
      </c>
      <c r="AN34" s="214">
        <f t="shared" si="18"/>
        <v>0</v>
      </c>
      <c r="AO34" s="214">
        <f t="shared" si="18"/>
        <v>2</v>
      </c>
      <c r="AP34" s="206">
        <f t="shared" si="19"/>
        <v>0.43749999999999983</v>
      </c>
      <c r="AQ34" s="213">
        <f t="shared" si="20"/>
        <v>0</v>
      </c>
      <c r="AR34" s="213">
        <f t="shared" si="20"/>
        <v>0.33333333333333326</v>
      </c>
      <c r="AS34" s="213">
        <f t="shared" si="20"/>
        <v>0.33333333333333326</v>
      </c>
      <c r="AT34" s="213">
        <f t="shared" si="20"/>
        <v>0.33333333333333326</v>
      </c>
      <c r="AU34" s="213">
        <f t="shared" si="20"/>
        <v>0.33333333333333326</v>
      </c>
      <c r="AV34" s="213">
        <f t="shared" si="20"/>
        <v>0</v>
      </c>
      <c r="AW34" s="213">
        <f t="shared" si="20"/>
        <v>1</v>
      </c>
      <c r="AY34" s="186">
        <f t="shared" si="21"/>
        <v>9.7702748028901532</v>
      </c>
      <c r="AZ34" s="186">
        <f t="shared" si="21"/>
        <v>10.332273690630759</v>
      </c>
      <c r="BA34" s="186">
        <f t="shared" si="21"/>
        <v>10.910102253090432</v>
      </c>
      <c r="BB34" s="186">
        <f t="shared" si="21"/>
        <v>10.195699988227473</v>
      </c>
      <c r="BC34" s="186">
        <f t="shared" si="21"/>
        <v>12.240857607370915</v>
      </c>
      <c r="BD34" s="186">
        <f t="shared" si="21"/>
        <v>11.873968729228523</v>
      </c>
      <c r="BE34" s="186">
        <f t="shared" si="21"/>
        <v>8.3245067319928197</v>
      </c>
    </row>
    <row r="35" spans="1:57" ht="12.75" x14ac:dyDescent="0.2">
      <c r="A35" s="181">
        <f t="shared" si="9"/>
        <v>11.376190476190475</v>
      </c>
      <c r="B35" s="187">
        <f t="shared" si="22"/>
        <v>0.45833333333333315</v>
      </c>
      <c r="C35" s="135">
        <v>12.066666666666668</v>
      </c>
      <c r="D35" s="135">
        <v>10.700000000000001</v>
      </c>
      <c r="E35" s="135">
        <v>11.299999999999999</v>
      </c>
      <c r="F35" s="135">
        <v>11.133333333333333</v>
      </c>
      <c r="G35" s="135">
        <v>12.799999999999999</v>
      </c>
      <c r="H35" s="135">
        <v>12.733333333333334</v>
      </c>
      <c r="I35" s="135">
        <v>8.8999999999999986</v>
      </c>
      <c r="J35" s="165">
        <v>23</v>
      </c>
      <c r="K35" s="43">
        <f t="shared" si="10"/>
        <v>3</v>
      </c>
      <c r="L35" s="43">
        <f t="shared" si="11"/>
        <v>3</v>
      </c>
      <c r="M35" s="43">
        <f t="shared" si="12"/>
        <v>3</v>
      </c>
      <c r="N35" s="43">
        <f t="shared" si="13"/>
        <v>3</v>
      </c>
      <c r="O35" s="43">
        <f t="shared" si="14"/>
        <v>3</v>
      </c>
      <c r="P35" s="43">
        <f t="shared" si="15"/>
        <v>4</v>
      </c>
      <c r="Q35" s="43">
        <f t="shared" si="16"/>
        <v>3</v>
      </c>
      <c r="R35" s="165">
        <v>23</v>
      </c>
      <c r="S35" s="198">
        <v>3</v>
      </c>
      <c r="T35" s="198">
        <v>4</v>
      </c>
      <c r="U35" s="198">
        <v>4</v>
      </c>
      <c r="V35" s="198">
        <v>4</v>
      </c>
      <c r="W35" s="198">
        <v>4</v>
      </c>
      <c r="X35" s="198">
        <v>5</v>
      </c>
      <c r="Y35" s="198">
        <v>4</v>
      </c>
      <c r="AA35" s="184">
        <f t="shared" si="17"/>
        <v>0.82798939007543682</v>
      </c>
      <c r="AB35" s="184">
        <f t="shared" si="17"/>
        <v>0.97168718093706175</v>
      </c>
      <c r="AC35" s="184">
        <f t="shared" si="17"/>
        <v>0.96549577460977254</v>
      </c>
      <c r="AD35" s="184">
        <f t="shared" si="17"/>
        <v>0.96489274336537612</v>
      </c>
      <c r="AE35" s="184">
        <f t="shared" si="17"/>
        <v>0.95136199021017487</v>
      </c>
      <c r="AF35" s="184">
        <f t="shared" si="17"/>
        <v>0.98748901889377638</v>
      </c>
      <c r="AG35" s="184">
        <f t="shared" si="17"/>
        <v>0.99225290408240929</v>
      </c>
      <c r="AI35" s="214">
        <f t="shared" si="18"/>
        <v>0</v>
      </c>
      <c r="AJ35" s="214">
        <f t="shared" si="18"/>
        <v>1</v>
      </c>
      <c r="AK35" s="214">
        <f t="shared" si="18"/>
        <v>1</v>
      </c>
      <c r="AL35" s="214">
        <f t="shared" si="18"/>
        <v>1</v>
      </c>
      <c r="AM35" s="214">
        <f t="shared" si="18"/>
        <v>1</v>
      </c>
      <c r="AN35" s="214">
        <f t="shared" si="18"/>
        <v>1</v>
      </c>
      <c r="AO35" s="214">
        <f t="shared" si="18"/>
        <v>1</v>
      </c>
      <c r="AP35" s="206">
        <f t="shared" si="19"/>
        <v>0.45833333333333315</v>
      </c>
      <c r="AQ35" s="213">
        <f t="shared" si="20"/>
        <v>0</v>
      </c>
      <c r="AR35" s="213">
        <f t="shared" si="20"/>
        <v>0.33333333333333326</v>
      </c>
      <c r="AS35" s="213">
        <f t="shared" si="20"/>
        <v>0.33333333333333326</v>
      </c>
      <c r="AT35" s="213">
        <f t="shared" si="20"/>
        <v>0.33333333333333326</v>
      </c>
      <c r="AU35" s="213">
        <f t="shared" si="20"/>
        <v>0.33333333333333326</v>
      </c>
      <c r="AV35" s="213">
        <f t="shared" si="20"/>
        <v>0.25</v>
      </c>
      <c r="AW35" s="213">
        <f t="shared" si="20"/>
        <v>0.33333333333333326</v>
      </c>
      <c r="AY35" s="186">
        <f t="shared" si="21"/>
        <v>9.991071973576938</v>
      </c>
      <c r="AZ35" s="186">
        <f t="shared" si="21"/>
        <v>10.397052836026562</v>
      </c>
      <c r="BA35" s="186">
        <f t="shared" si="21"/>
        <v>10.910102253090429</v>
      </c>
      <c r="BB35" s="186">
        <f t="shared" si="21"/>
        <v>10.742472542801186</v>
      </c>
      <c r="BC35" s="186">
        <f t="shared" si="21"/>
        <v>12.177433474690238</v>
      </c>
      <c r="BD35" s="186">
        <f t="shared" si="21"/>
        <v>12.574026840580753</v>
      </c>
      <c r="BE35" s="186">
        <f t="shared" si="21"/>
        <v>8.8310508463334418</v>
      </c>
    </row>
    <row r="36" spans="1:57" ht="12.75" x14ac:dyDescent="0.2">
      <c r="A36" s="181">
        <f t="shared" si="9"/>
        <v>11.242857142857144</v>
      </c>
      <c r="B36" s="187">
        <f t="shared" si="22"/>
        <v>0.47916666666666646</v>
      </c>
      <c r="C36" s="135">
        <v>12.533333333333333</v>
      </c>
      <c r="D36" s="135">
        <v>11.1</v>
      </c>
      <c r="E36" s="135">
        <v>10.466666666666667</v>
      </c>
      <c r="F36" s="135">
        <v>11.766666666666666</v>
      </c>
      <c r="G36" s="135">
        <v>11.1</v>
      </c>
      <c r="H36" s="135">
        <v>13.200000000000001</v>
      </c>
      <c r="I36" s="135">
        <v>8.5333333333333332</v>
      </c>
      <c r="J36" s="165">
        <v>24</v>
      </c>
      <c r="K36" s="43">
        <f t="shared" si="10"/>
        <v>4</v>
      </c>
      <c r="L36" s="43">
        <f t="shared" si="11"/>
        <v>3</v>
      </c>
      <c r="M36" s="43">
        <f t="shared" si="12"/>
        <v>3</v>
      </c>
      <c r="N36" s="43">
        <f t="shared" si="13"/>
        <v>3</v>
      </c>
      <c r="O36" s="43">
        <f t="shared" si="14"/>
        <v>3</v>
      </c>
      <c r="P36" s="43">
        <f t="shared" si="15"/>
        <v>4</v>
      </c>
      <c r="Q36" s="43">
        <f t="shared" si="16"/>
        <v>3</v>
      </c>
      <c r="R36" s="165">
        <v>24</v>
      </c>
      <c r="S36" s="198">
        <v>4</v>
      </c>
      <c r="T36" s="198">
        <v>4</v>
      </c>
      <c r="U36" s="198">
        <v>4</v>
      </c>
      <c r="V36" s="198">
        <v>4</v>
      </c>
      <c r="W36" s="198">
        <v>4</v>
      </c>
      <c r="X36" s="198">
        <v>5</v>
      </c>
      <c r="Y36" s="198">
        <v>4</v>
      </c>
      <c r="AA36" s="184">
        <f t="shared" si="17"/>
        <v>0.9439092079621666</v>
      </c>
      <c r="AB36" s="184">
        <f t="shared" si="17"/>
        <v>0.97168718093706175</v>
      </c>
      <c r="AC36" s="184">
        <f t="shared" si="17"/>
        <v>0.97520850996149888</v>
      </c>
      <c r="AD36" s="184">
        <f t="shared" si="17"/>
        <v>0.95267584000371142</v>
      </c>
      <c r="AE36" s="184">
        <f t="shared" si="17"/>
        <v>0.97272769335890985</v>
      </c>
      <c r="AF36" s="184">
        <f t="shared" si="17"/>
        <v>0.98748901889377638</v>
      </c>
      <c r="AG36" s="184">
        <f t="shared" si="17"/>
        <v>0.99225290408240929</v>
      </c>
      <c r="AI36" s="214">
        <f t="shared" si="18"/>
        <v>0</v>
      </c>
      <c r="AJ36" s="214">
        <f t="shared" si="18"/>
        <v>1</v>
      </c>
      <c r="AK36" s="214">
        <f t="shared" si="18"/>
        <v>1</v>
      </c>
      <c r="AL36" s="214">
        <f t="shared" si="18"/>
        <v>1</v>
      </c>
      <c r="AM36" s="214">
        <f t="shared" si="18"/>
        <v>1</v>
      </c>
      <c r="AN36" s="214">
        <f t="shared" si="18"/>
        <v>1</v>
      </c>
      <c r="AO36" s="214">
        <f t="shared" si="18"/>
        <v>1</v>
      </c>
      <c r="AP36" s="206">
        <f t="shared" si="19"/>
        <v>0.47916666666666646</v>
      </c>
      <c r="AQ36" s="213">
        <f t="shared" si="20"/>
        <v>0</v>
      </c>
      <c r="AR36" s="213">
        <f t="shared" si="20"/>
        <v>0.33333333333333326</v>
      </c>
      <c r="AS36" s="213">
        <f t="shared" si="20"/>
        <v>0.33333333333333326</v>
      </c>
      <c r="AT36" s="213">
        <f t="shared" si="20"/>
        <v>0.33333333333333326</v>
      </c>
      <c r="AU36" s="213">
        <f t="shared" si="20"/>
        <v>0.33333333333333326</v>
      </c>
      <c r="AV36" s="213">
        <f t="shared" si="20"/>
        <v>0.25</v>
      </c>
      <c r="AW36" s="213">
        <f t="shared" si="20"/>
        <v>0.33333333333333326</v>
      </c>
      <c r="AY36" s="186">
        <f t="shared" si="21"/>
        <v>11.830328739792488</v>
      </c>
      <c r="AZ36" s="186">
        <f t="shared" si="21"/>
        <v>10.785727708401385</v>
      </c>
      <c r="BA36" s="186">
        <f t="shared" si="21"/>
        <v>10.207182404263689</v>
      </c>
      <c r="BB36" s="186">
        <f t="shared" si="21"/>
        <v>11.209819050710337</v>
      </c>
      <c r="BC36" s="186">
        <f t="shared" si="21"/>
        <v>10.797277396283899</v>
      </c>
      <c r="BD36" s="186">
        <f t="shared" si="21"/>
        <v>13.03485504939785</v>
      </c>
      <c r="BE36" s="186">
        <f t="shared" si="21"/>
        <v>8.4672247815032264</v>
      </c>
    </row>
    <row r="37" spans="1:57" ht="12.75" x14ac:dyDescent="0.2">
      <c r="A37" s="181">
        <f t="shared" si="9"/>
        <v>10.87142857142857</v>
      </c>
      <c r="B37" s="187">
        <f t="shared" si="22"/>
        <v>0.49999999999999978</v>
      </c>
      <c r="C37" s="135">
        <v>12.133333333333333</v>
      </c>
      <c r="D37" s="135">
        <v>11.4</v>
      </c>
      <c r="E37" s="135">
        <v>10.200000000000001</v>
      </c>
      <c r="F37" s="135">
        <v>10.5</v>
      </c>
      <c r="G37" s="135">
        <v>10.233333333333334</v>
      </c>
      <c r="H37" s="135">
        <v>13.6</v>
      </c>
      <c r="I37" s="135">
        <v>8.0333333333333332</v>
      </c>
      <c r="J37" s="165">
        <v>25</v>
      </c>
      <c r="K37" s="43">
        <f t="shared" si="10"/>
        <v>3</v>
      </c>
      <c r="L37" s="43">
        <f t="shared" si="11"/>
        <v>3</v>
      </c>
      <c r="M37" s="43">
        <f t="shared" si="12"/>
        <v>3</v>
      </c>
      <c r="N37" s="43">
        <f t="shared" si="13"/>
        <v>3</v>
      </c>
      <c r="O37" s="43">
        <f t="shared" si="14"/>
        <v>3</v>
      </c>
      <c r="P37" s="43">
        <f t="shared" si="15"/>
        <v>4</v>
      </c>
      <c r="Q37" s="43">
        <f t="shared" si="16"/>
        <v>2</v>
      </c>
      <c r="R37" s="165">
        <v>25</v>
      </c>
      <c r="S37" s="198">
        <v>4</v>
      </c>
      <c r="T37" s="198">
        <v>5</v>
      </c>
      <c r="U37" s="198">
        <v>5</v>
      </c>
      <c r="V37" s="198">
        <v>4</v>
      </c>
      <c r="W37" s="198">
        <v>5</v>
      </c>
      <c r="X37" s="198">
        <v>5</v>
      </c>
      <c r="Y37" s="198">
        <v>3</v>
      </c>
      <c r="AA37" s="184">
        <f t="shared" si="17"/>
        <v>0.95734550943536345</v>
      </c>
      <c r="AB37" s="184">
        <f t="shared" si="17"/>
        <v>0.99457262686255388</v>
      </c>
      <c r="AC37" s="184">
        <f t="shared" si="17"/>
        <v>0.99538634683811189</v>
      </c>
      <c r="AD37" s="184">
        <f t="shared" si="17"/>
        <v>0.97476794627572283</v>
      </c>
      <c r="AE37" s="184">
        <f t="shared" si="17"/>
        <v>0.99659701723158867</v>
      </c>
      <c r="AF37" s="184">
        <f t="shared" si="17"/>
        <v>0.98287785571879704</v>
      </c>
      <c r="AG37" s="184">
        <f t="shared" si="17"/>
        <v>0.965776441705121</v>
      </c>
      <c r="AI37" s="214">
        <f t="shared" si="18"/>
        <v>1</v>
      </c>
      <c r="AJ37" s="214">
        <f t="shared" si="18"/>
        <v>2</v>
      </c>
      <c r="AK37" s="214">
        <f t="shared" si="18"/>
        <v>2</v>
      </c>
      <c r="AL37" s="214">
        <f t="shared" si="18"/>
        <v>1</v>
      </c>
      <c r="AM37" s="214">
        <f t="shared" si="18"/>
        <v>2</v>
      </c>
      <c r="AN37" s="214">
        <f t="shared" si="18"/>
        <v>1</v>
      </c>
      <c r="AO37" s="214">
        <f t="shared" si="18"/>
        <v>1</v>
      </c>
      <c r="AP37" s="206">
        <f t="shared" si="19"/>
        <v>0.49999999999999978</v>
      </c>
      <c r="AQ37" s="213">
        <f t="shared" si="20"/>
        <v>0.33333333333333326</v>
      </c>
      <c r="AR37" s="213">
        <f t="shared" si="20"/>
        <v>0.66666666666666674</v>
      </c>
      <c r="AS37" s="213">
        <f t="shared" si="20"/>
        <v>0.66666666666666674</v>
      </c>
      <c r="AT37" s="213">
        <f t="shared" si="20"/>
        <v>0.33333333333333326</v>
      </c>
      <c r="AU37" s="213">
        <f t="shared" si="20"/>
        <v>0.66666666666666674</v>
      </c>
      <c r="AV37" s="213">
        <f t="shared" si="20"/>
        <v>0.25</v>
      </c>
      <c r="AW37" s="213">
        <f t="shared" si="20"/>
        <v>0.5</v>
      </c>
      <c r="AY37" s="186">
        <f t="shared" si="21"/>
        <v>11.615792181149077</v>
      </c>
      <c r="AZ37" s="186">
        <f t="shared" si="21"/>
        <v>11.338127946233115</v>
      </c>
      <c r="BA37" s="186">
        <f t="shared" si="21"/>
        <v>10.152940737748743</v>
      </c>
      <c r="BB37" s="186">
        <f t="shared" si="21"/>
        <v>10.235063435895089</v>
      </c>
      <c r="BC37" s="186">
        <f t="shared" si="21"/>
        <v>10.198509476336591</v>
      </c>
      <c r="BD37" s="186">
        <f t="shared" si="21"/>
        <v>13.36713883777564</v>
      </c>
      <c r="BE37" s="186">
        <f t="shared" si="21"/>
        <v>7.7584040816978055</v>
      </c>
    </row>
    <row r="38" spans="1:57" ht="12.75" x14ac:dyDescent="0.2">
      <c r="A38" s="181">
        <f t="shared" si="9"/>
        <v>10.914285714285715</v>
      </c>
      <c r="B38" s="187">
        <f t="shared" si="22"/>
        <v>0.52083333333333315</v>
      </c>
      <c r="C38" s="135">
        <v>12.333333333333334</v>
      </c>
      <c r="D38" s="135">
        <v>11.9</v>
      </c>
      <c r="E38" s="135">
        <v>10.966666666666669</v>
      </c>
      <c r="F38" s="135">
        <v>10.333333333333334</v>
      </c>
      <c r="G38" s="135">
        <v>9.6</v>
      </c>
      <c r="H38" s="135">
        <v>13.066666666666668</v>
      </c>
      <c r="I38" s="135">
        <v>8.2000000000000011</v>
      </c>
      <c r="J38" s="165">
        <v>26</v>
      </c>
      <c r="K38" s="43">
        <f t="shared" si="10"/>
        <v>3</v>
      </c>
      <c r="L38" s="43">
        <f t="shared" si="11"/>
        <v>3</v>
      </c>
      <c r="M38" s="43">
        <f t="shared" si="12"/>
        <v>3</v>
      </c>
      <c r="N38" s="43">
        <f t="shared" si="13"/>
        <v>3</v>
      </c>
      <c r="O38" s="43">
        <f t="shared" si="14"/>
        <v>3</v>
      </c>
      <c r="P38" s="43">
        <f t="shared" si="15"/>
        <v>4</v>
      </c>
      <c r="Q38" s="43">
        <f t="shared" si="16"/>
        <v>2</v>
      </c>
      <c r="R38" s="165">
        <v>26</v>
      </c>
      <c r="S38" s="198">
        <v>4</v>
      </c>
      <c r="T38" s="198">
        <v>5</v>
      </c>
      <c r="U38" s="198">
        <v>5</v>
      </c>
      <c r="V38" s="198">
        <v>4</v>
      </c>
      <c r="W38" s="198">
        <v>5</v>
      </c>
      <c r="X38" s="198">
        <v>5</v>
      </c>
      <c r="Y38" s="198">
        <v>3</v>
      </c>
      <c r="AA38" s="184">
        <f t="shared" si="17"/>
        <v>0.95734550943536345</v>
      </c>
      <c r="AB38" s="184">
        <f t="shared" si="17"/>
        <v>0.99208043302079651</v>
      </c>
      <c r="AC38" s="184">
        <f t="shared" si="17"/>
        <v>0.99301712589693436</v>
      </c>
      <c r="AD38" s="184">
        <f t="shared" si="17"/>
        <v>0.97476794627572283</v>
      </c>
      <c r="AE38" s="184">
        <f t="shared" si="17"/>
        <v>0.99659701723158867</v>
      </c>
      <c r="AF38" s="184">
        <f t="shared" si="17"/>
        <v>0.98748901889377638</v>
      </c>
      <c r="AG38" s="184">
        <f t="shared" si="17"/>
        <v>0.965776441705121</v>
      </c>
      <c r="AI38" s="214">
        <f t="shared" si="18"/>
        <v>1</v>
      </c>
      <c r="AJ38" s="214">
        <f t="shared" si="18"/>
        <v>2</v>
      </c>
      <c r="AK38" s="214">
        <f t="shared" si="18"/>
        <v>2</v>
      </c>
      <c r="AL38" s="214">
        <f t="shared" si="18"/>
        <v>1</v>
      </c>
      <c r="AM38" s="214">
        <f t="shared" si="18"/>
        <v>2</v>
      </c>
      <c r="AN38" s="214">
        <f t="shared" si="18"/>
        <v>1</v>
      </c>
      <c r="AO38" s="214">
        <f t="shared" si="18"/>
        <v>1</v>
      </c>
      <c r="AP38" s="206">
        <f t="shared" si="19"/>
        <v>0.52083333333333315</v>
      </c>
      <c r="AQ38" s="213">
        <f t="shared" si="20"/>
        <v>0.33333333333333326</v>
      </c>
      <c r="AR38" s="213">
        <f t="shared" si="20"/>
        <v>0.66666666666666674</v>
      </c>
      <c r="AS38" s="213">
        <f t="shared" si="20"/>
        <v>0.66666666666666674</v>
      </c>
      <c r="AT38" s="213">
        <f t="shared" si="20"/>
        <v>0.33333333333333326</v>
      </c>
      <c r="AU38" s="213">
        <f t="shared" si="20"/>
        <v>0.66666666666666674</v>
      </c>
      <c r="AV38" s="213">
        <f t="shared" si="20"/>
        <v>0.25</v>
      </c>
      <c r="AW38" s="213">
        <f t="shared" si="20"/>
        <v>0.5</v>
      </c>
      <c r="AY38" s="186">
        <f t="shared" si="21"/>
        <v>11.80726128303615</v>
      </c>
      <c r="AZ38" s="186">
        <f t="shared" si="21"/>
        <v>11.805757152947479</v>
      </c>
      <c r="BA38" s="186">
        <f t="shared" si="21"/>
        <v>10.890087814003049</v>
      </c>
      <c r="BB38" s="186">
        <f t="shared" si="21"/>
        <v>10.072602111515803</v>
      </c>
      <c r="BC38" s="186">
        <f t="shared" si="21"/>
        <v>9.5673313654232501</v>
      </c>
      <c r="BD38" s="186">
        <f t="shared" si="21"/>
        <v>12.90318984687868</v>
      </c>
      <c r="BE38" s="186">
        <f t="shared" si="21"/>
        <v>7.9193668219819928</v>
      </c>
    </row>
    <row r="39" spans="1:57" ht="14.25" customHeight="1" x14ac:dyDescent="0.2">
      <c r="A39" s="181">
        <f t="shared" si="9"/>
        <v>10.814285714285715</v>
      </c>
      <c r="B39" s="187">
        <f t="shared" si="22"/>
        <v>0.54166666666666652</v>
      </c>
      <c r="C39" s="135">
        <v>12.366666666666665</v>
      </c>
      <c r="D39" s="135">
        <v>11.033333333333333</v>
      </c>
      <c r="E39" s="135">
        <v>11.166666666666666</v>
      </c>
      <c r="F39" s="135">
        <v>10.433333333333334</v>
      </c>
      <c r="G39" s="135">
        <v>9.9666666666666668</v>
      </c>
      <c r="H39" s="135">
        <v>11.766666666666666</v>
      </c>
      <c r="I39" s="135">
        <v>8.9666666666666668</v>
      </c>
      <c r="J39" s="165">
        <v>27</v>
      </c>
      <c r="K39" s="43">
        <f t="shared" si="10"/>
        <v>3</v>
      </c>
      <c r="L39" s="43">
        <f t="shared" si="11"/>
        <v>3</v>
      </c>
      <c r="M39" s="43">
        <f t="shared" si="12"/>
        <v>3</v>
      </c>
      <c r="N39" s="43">
        <f t="shared" si="13"/>
        <v>3</v>
      </c>
      <c r="O39" s="43">
        <f t="shared" si="14"/>
        <v>3</v>
      </c>
      <c r="P39" s="43">
        <f t="shared" si="15"/>
        <v>3</v>
      </c>
      <c r="Q39" s="43">
        <f t="shared" si="16"/>
        <v>3</v>
      </c>
      <c r="R39" s="165">
        <v>27</v>
      </c>
      <c r="S39" s="198">
        <v>5</v>
      </c>
      <c r="T39" s="198">
        <v>3</v>
      </c>
      <c r="U39" s="198">
        <v>4</v>
      </c>
      <c r="V39" s="198">
        <v>4</v>
      </c>
      <c r="W39" s="198">
        <v>5</v>
      </c>
      <c r="X39" s="198">
        <v>3</v>
      </c>
      <c r="Y39" s="198">
        <v>3</v>
      </c>
      <c r="AA39" s="184">
        <f t="shared" si="17"/>
        <v>0.99091335653799884</v>
      </c>
      <c r="AB39" s="184">
        <f t="shared" si="17"/>
        <v>0.87413268409086797</v>
      </c>
      <c r="AC39" s="184">
        <f t="shared" si="17"/>
        <v>0.96549577460977254</v>
      </c>
      <c r="AD39" s="184">
        <f t="shared" si="17"/>
        <v>0.97476794627572283</v>
      </c>
      <c r="AE39" s="184">
        <f t="shared" si="17"/>
        <v>0.99659701723158867</v>
      </c>
      <c r="AF39" s="184">
        <f t="shared" si="17"/>
        <v>0.83023699924275929</v>
      </c>
      <c r="AG39" s="184">
        <f t="shared" si="17"/>
        <v>0.95258169389538305</v>
      </c>
      <c r="AI39" s="214">
        <f t="shared" si="18"/>
        <v>2</v>
      </c>
      <c r="AJ39" s="214">
        <f t="shared" si="18"/>
        <v>0</v>
      </c>
      <c r="AK39" s="214">
        <f t="shared" si="18"/>
        <v>1</v>
      </c>
      <c r="AL39" s="214">
        <f t="shared" si="18"/>
        <v>1</v>
      </c>
      <c r="AM39" s="214">
        <f t="shared" si="18"/>
        <v>2</v>
      </c>
      <c r="AN39" s="218">
        <f>X39-P39</f>
        <v>0</v>
      </c>
      <c r="AO39" s="214">
        <f t="shared" si="18"/>
        <v>0</v>
      </c>
      <c r="AP39" s="206">
        <f t="shared" si="19"/>
        <v>0.54166666666666652</v>
      </c>
      <c r="AQ39" s="213">
        <f t="shared" si="20"/>
        <v>0.66666666666666674</v>
      </c>
      <c r="AR39" s="213">
        <f t="shared" si="20"/>
        <v>0</v>
      </c>
      <c r="AS39" s="213">
        <f t="shared" si="20"/>
        <v>0.33333333333333326</v>
      </c>
      <c r="AT39" s="213">
        <f t="shared" si="20"/>
        <v>0.33333333333333326</v>
      </c>
      <c r="AU39" s="213">
        <f t="shared" si="20"/>
        <v>0.66666666666666674</v>
      </c>
      <c r="AV39" s="213">
        <f t="shared" si="20"/>
        <v>0</v>
      </c>
      <c r="AW39" s="213">
        <f t="shared" si="20"/>
        <v>0</v>
      </c>
      <c r="AY39" s="186">
        <f t="shared" si="21"/>
        <v>12.254295175853251</v>
      </c>
      <c r="AZ39" s="186">
        <f t="shared" si="21"/>
        <v>9.6445972811359102</v>
      </c>
      <c r="BA39" s="186">
        <f t="shared" si="21"/>
        <v>10.781369483142459</v>
      </c>
      <c r="BB39" s="186">
        <f t="shared" si="21"/>
        <v>10.170078906143376</v>
      </c>
      <c r="BC39" s="186">
        <f t="shared" si="21"/>
        <v>9.9327502717415008</v>
      </c>
      <c r="BD39" s="186">
        <f t="shared" si="21"/>
        <v>9.7691220244231332</v>
      </c>
      <c r="BE39" s="186">
        <f t="shared" si="21"/>
        <v>8.5414825219286019</v>
      </c>
    </row>
    <row r="40" spans="1:57" ht="13.5" customHeight="1" x14ac:dyDescent="0.2">
      <c r="A40" s="181">
        <f t="shared" si="9"/>
        <v>10.8</v>
      </c>
      <c r="B40" s="187">
        <f t="shared" si="22"/>
        <v>0.56249999999999989</v>
      </c>
      <c r="C40" s="135">
        <v>12.533333333333331</v>
      </c>
      <c r="D40" s="135">
        <v>10.9</v>
      </c>
      <c r="E40" s="135">
        <v>11.066666666666668</v>
      </c>
      <c r="F40" s="135">
        <v>11.433333333333335</v>
      </c>
      <c r="G40" s="135">
        <v>9.5333333333333332</v>
      </c>
      <c r="H40" s="135">
        <v>10.866666666666667</v>
      </c>
      <c r="I40" s="135">
        <v>9.2666666666666675</v>
      </c>
      <c r="J40" s="165">
        <v>28</v>
      </c>
      <c r="K40" s="43">
        <f t="shared" si="10"/>
        <v>4</v>
      </c>
      <c r="L40" s="43">
        <f t="shared" si="11"/>
        <v>3</v>
      </c>
      <c r="M40" s="43">
        <f t="shared" si="12"/>
        <v>3</v>
      </c>
      <c r="N40" s="43">
        <f t="shared" si="13"/>
        <v>3</v>
      </c>
      <c r="O40" s="43">
        <f t="shared" si="14"/>
        <v>3</v>
      </c>
      <c r="P40" s="43">
        <f t="shared" si="15"/>
        <v>3</v>
      </c>
      <c r="Q40" s="43">
        <f t="shared" si="16"/>
        <v>3</v>
      </c>
      <c r="R40" s="165">
        <v>28</v>
      </c>
      <c r="S40" s="198">
        <v>5</v>
      </c>
      <c r="T40" s="198">
        <v>3</v>
      </c>
      <c r="U40" s="198">
        <v>4</v>
      </c>
      <c r="V40" s="198">
        <v>4</v>
      </c>
      <c r="W40" s="198">
        <v>5</v>
      </c>
      <c r="X40" s="198">
        <v>3</v>
      </c>
      <c r="Y40" s="198">
        <v>3</v>
      </c>
      <c r="AA40" s="184">
        <f t="shared" si="17"/>
        <v>0.98720795882293855</v>
      </c>
      <c r="AB40" s="184">
        <f t="shared" si="17"/>
        <v>0.87413268409086797</v>
      </c>
      <c r="AC40" s="184">
        <f t="shared" si="17"/>
        <v>0.96549577460977254</v>
      </c>
      <c r="AD40" s="184">
        <f t="shared" si="17"/>
        <v>0.96489274336537612</v>
      </c>
      <c r="AE40" s="184">
        <f t="shared" si="17"/>
        <v>0.99659701723158867</v>
      </c>
      <c r="AF40" s="184">
        <f t="shared" si="17"/>
        <v>0.8652794661680091</v>
      </c>
      <c r="AG40" s="184">
        <f t="shared" si="17"/>
        <v>0.95258169389538305</v>
      </c>
      <c r="AI40" s="214">
        <f t="shared" si="18"/>
        <v>1</v>
      </c>
      <c r="AJ40" s="214">
        <f t="shared" si="18"/>
        <v>0</v>
      </c>
      <c r="AK40" s="214">
        <f t="shared" si="18"/>
        <v>1</v>
      </c>
      <c r="AL40" s="214">
        <f t="shared" si="18"/>
        <v>1</v>
      </c>
      <c r="AM40" s="214">
        <f t="shared" si="18"/>
        <v>2</v>
      </c>
      <c r="AN40" s="214">
        <f t="shared" si="18"/>
        <v>0</v>
      </c>
      <c r="AO40" s="214">
        <f t="shared" si="18"/>
        <v>0</v>
      </c>
      <c r="AP40" s="206">
        <f t="shared" si="19"/>
        <v>0.56249999999999989</v>
      </c>
      <c r="AQ40" s="213">
        <f t="shared" si="20"/>
        <v>0.25</v>
      </c>
      <c r="AR40" s="213">
        <f t="shared" si="20"/>
        <v>0</v>
      </c>
      <c r="AS40" s="213">
        <f t="shared" si="20"/>
        <v>0.33333333333333326</v>
      </c>
      <c r="AT40" s="213">
        <f t="shared" si="20"/>
        <v>0.33333333333333326</v>
      </c>
      <c r="AU40" s="213">
        <f t="shared" si="20"/>
        <v>0.66666666666666674</v>
      </c>
      <c r="AV40" s="213">
        <f t="shared" si="20"/>
        <v>0</v>
      </c>
      <c r="AW40" s="213">
        <f t="shared" si="20"/>
        <v>0</v>
      </c>
      <c r="AY40" s="186">
        <f t="shared" si="21"/>
        <v>12.373006417247495</v>
      </c>
      <c r="AZ40" s="186">
        <f t="shared" si="21"/>
        <v>9.5280462565904607</v>
      </c>
      <c r="BA40" s="186">
        <f t="shared" si="21"/>
        <v>10.684819905681485</v>
      </c>
      <c r="BB40" s="186">
        <f t="shared" si="21"/>
        <v>11.031940365810803</v>
      </c>
      <c r="BC40" s="186">
        <f t="shared" si="21"/>
        <v>9.5008915642744789</v>
      </c>
      <c r="BD40" s="186">
        <f t="shared" si="21"/>
        <v>9.4027035323590322</v>
      </c>
      <c r="BE40" s="186">
        <f t="shared" si="21"/>
        <v>8.8272570300972166</v>
      </c>
    </row>
    <row r="41" spans="1:57" ht="13.5" customHeight="1" x14ac:dyDescent="0.2">
      <c r="A41" s="181">
        <f t="shared" si="9"/>
        <v>10.519047619047617</v>
      </c>
      <c r="B41" s="187">
        <f t="shared" si="22"/>
        <v>0.58333333333333326</v>
      </c>
      <c r="C41" s="135">
        <v>11.6</v>
      </c>
      <c r="D41" s="135">
        <v>10.200000000000001</v>
      </c>
      <c r="E41" s="135">
        <v>10.700000000000001</v>
      </c>
      <c r="F41" s="135">
        <v>11.799999999999999</v>
      </c>
      <c r="G41" s="135">
        <v>10.5</v>
      </c>
      <c r="H41" s="135">
        <v>9.9666666666666668</v>
      </c>
      <c r="I41" s="135">
        <v>8.8666666666666654</v>
      </c>
      <c r="J41" s="165">
        <v>29</v>
      </c>
      <c r="K41" s="43">
        <f t="shared" si="10"/>
        <v>3</v>
      </c>
      <c r="L41" s="43">
        <f t="shared" si="11"/>
        <v>3</v>
      </c>
      <c r="M41" s="43">
        <f t="shared" si="12"/>
        <v>3</v>
      </c>
      <c r="N41" s="43">
        <f t="shared" si="13"/>
        <v>3</v>
      </c>
      <c r="O41" s="43">
        <f t="shared" si="14"/>
        <v>3</v>
      </c>
      <c r="P41" s="43">
        <f t="shared" si="15"/>
        <v>3</v>
      </c>
      <c r="Q41" s="43">
        <f t="shared" si="16"/>
        <v>3</v>
      </c>
      <c r="R41" s="165">
        <v>29</v>
      </c>
      <c r="S41" s="198">
        <v>6</v>
      </c>
      <c r="T41" s="198">
        <v>5</v>
      </c>
      <c r="U41" s="198">
        <v>5</v>
      </c>
      <c r="V41" s="198">
        <v>6</v>
      </c>
      <c r="W41" s="198">
        <v>6</v>
      </c>
      <c r="X41" s="198">
        <v>4</v>
      </c>
      <c r="Y41" s="198">
        <v>4</v>
      </c>
      <c r="AA41" s="184">
        <f t="shared" si="17"/>
        <v>0.99832288969117233</v>
      </c>
      <c r="AB41" s="184">
        <f t="shared" si="17"/>
        <v>0.99642818848673098</v>
      </c>
      <c r="AC41" s="184">
        <f t="shared" si="17"/>
        <v>0.99301712589693436</v>
      </c>
      <c r="AD41" s="184">
        <f t="shared" si="17"/>
        <v>0.99802742675697442</v>
      </c>
      <c r="AE41" s="184">
        <f t="shared" si="17"/>
        <v>0.99949079688214904</v>
      </c>
      <c r="AF41" s="184">
        <f t="shared" si="17"/>
        <v>0.97774524944992447</v>
      </c>
      <c r="AG41" s="184">
        <f t="shared" si="17"/>
        <v>0.99225290408240929</v>
      </c>
      <c r="AI41" s="214">
        <f t="shared" si="18"/>
        <v>3</v>
      </c>
      <c r="AJ41" s="214">
        <f t="shared" si="18"/>
        <v>2</v>
      </c>
      <c r="AK41" s="214">
        <f t="shared" si="18"/>
        <v>2</v>
      </c>
      <c r="AL41" s="214">
        <f t="shared" si="18"/>
        <v>3</v>
      </c>
      <c r="AM41" s="214">
        <f t="shared" si="18"/>
        <v>3</v>
      </c>
      <c r="AN41" s="214">
        <f t="shared" si="18"/>
        <v>1</v>
      </c>
      <c r="AO41" s="214">
        <f t="shared" si="18"/>
        <v>1</v>
      </c>
      <c r="AP41" s="206">
        <f t="shared" si="19"/>
        <v>0.58333333333333326</v>
      </c>
      <c r="AQ41" s="213">
        <f t="shared" si="20"/>
        <v>1</v>
      </c>
      <c r="AR41" s="213">
        <f t="shared" si="20"/>
        <v>0.66666666666666674</v>
      </c>
      <c r="AS41" s="213">
        <f t="shared" si="20"/>
        <v>0.66666666666666674</v>
      </c>
      <c r="AT41" s="213">
        <f t="shared" si="20"/>
        <v>1</v>
      </c>
      <c r="AU41" s="213">
        <f t="shared" si="20"/>
        <v>1</v>
      </c>
      <c r="AV41" s="213">
        <f t="shared" si="20"/>
        <v>0.33333333333333326</v>
      </c>
      <c r="AW41" s="213">
        <f t="shared" si="20"/>
        <v>0.33333333333333326</v>
      </c>
      <c r="AY41" s="186">
        <f t="shared" si="21"/>
        <v>11.5805455204176</v>
      </c>
      <c r="AZ41" s="186">
        <f t="shared" si="21"/>
        <v>10.163567522564657</v>
      </c>
      <c r="BA41" s="186">
        <f t="shared" si="21"/>
        <v>10.625283247097199</v>
      </c>
      <c r="BB41" s="186">
        <f t="shared" si="21"/>
        <v>11.776723635732298</v>
      </c>
      <c r="BC41" s="186">
        <f t="shared" si="21"/>
        <v>10.494653367262565</v>
      </c>
      <c r="BD41" s="186">
        <f t="shared" si="21"/>
        <v>9.7448609861842481</v>
      </c>
      <c r="BE41" s="186">
        <f t="shared" si="21"/>
        <v>8.7979757495306945</v>
      </c>
    </row>
    <row r="42" spans="1:57" ht="13.5" customHeight="1" x14ac:dyDescent="0.2">
      <c r="A42" s="181">
        <f t="shared" si="9"/>
        <v>10.490476190476189</v>
      </c>
      <c r="B42" s="187">
        <f t="shared" si="22"/>
        <v>0.60416666666666663</v>
      </c>
      <c r="C42" s="135">
        <v>10.733333333333334</v>
      </c>
      <c r="D42" s="135">
        <v>11</v>
      </c>
      <c r="E42" s="135">
        <v>10.299999999999999</v>
      </c>
      <c r="F42" s="135">
        <v>12.133333333333335</v>
      </c>
      <c r="G42" s="135">
        <v>10.633333333333333</v>
      </c>
      <c r="H42" s="135">
        <v>9.5666666666666664</v>
      </c>
      <c r="I42" s="135">
        <v>9.0666666666666664</v>
      </c>
      <c r="J42" s="165">
        <v>30</v>
      </c>
      <c r="K42" s="43">
        <f t="shared" si="10"/>
        <v>3</v>
      </c>
      <c r="L42" s="43">
        <f t="shared" si="11"/>
        <v>3</v>
      </c>
      <c r="M42" s="43">
        <f t="shared" si="12"/>
        <v>3</v>
      </c>
      <c r="N42" s="43">
        <f t="shared" si="13"/>
        <v>3</v>
      </c>
      <c r="O42" s="43">
        <f t="shared" si="14"/>
        <v>3</v>
      </c>
      <c r="P42" s="43">
        <f t="shared" si="15"/>
        <v>3</v>
      </c>
      <c r="Q42" s="43">
        <f t="shared" si="16"/>
        <v>3</v>
      </c>
      <c r="R42" s="165">
        <v>30</v>
      </c>
      <c r="S42" s="198">
        <v>6</v>
      </c>
      <c r="T42" s="198">
        <v>6</v>
      </c>
      <c r="U42" s="198">
        <v>5</v>
      </c>
      <c r="V42" s="198">
        <v>6</v>
      </c>
      <c r="W42" s="198">
        <v>6</v>
      </c>
      <c r="X42" s="198">
        <v>4</v>
      </c>
      <c r="Y42" s="198">
        <v>4</v>
      </c>
      <c r="AA42" s="184">
        <f t="shared" si="17"/>
        <v>0.99893629285540808</v>
      </c>
      <c r="AB42" s="184">
        <f t="shared" si="17"/>
        <v>0.99910324166449771</v>
      </c>
      <c r="AC42" s="184">
        <f t="shared" si="17"/>
        <v>0.99538634683811189</v>
      </c>
      <c r="AD42" s="184">
        <f t="shared" si="17"/>
        <v>0.99802742675697442</v>
      </c>
      <c r="AE42" s="184">
        <f t="shared" si="17"/>
        <v>0.99915405371480359</v>
      </c>
      <c r="AF42" s="184">
        <f t="shared" si="17"/>
        <v>0.97774524944992447</v>
      </c>
      <c r="AG42" s="184">
        <f t="shared" si="17"/>
        <v>0.99225290408240929</v>
      </c>
      <c r="AI42" s="214">
        <f t="shared" si="18"/>
        <v>3</v>
      </c>
      <c r="AJ42" s="214">
        <f t="shared" si="18"/>
        <v>3</v>
      </c>
      <c r="AK42" s="214">
        <f t="shared" si="18"/>
        <v>2</v>
      </c>
      <c r="AL42" s="214">
        <f t="shared" si="18"/>
        <v>3</v>
      </c>
      <c r="AM42" s="214">
        <f t="shared" si="18"/>
        <v>3</v>
      </c>
      <c r="AN42" s="214">
        <f t="shared" si="18"/>
        <v>1</v>
      </c>
      <c r="AO42" s="214">
        <f t="shared" si="18"/>
        <v>1</v>
      </c>
      <c r="AP42" s="206">
        <f t="shared" si="19"/>
        <v>0.60416666666666663</v>
      </c>
      <c r="AQ42" s="213">
        <f t="shared" si="20"/>
        <v>1</v>
      </c>
      <c r="AR42" s="213">
        <f t="shared" si="20"/>
        <v>1</v>
      </c>
      <c r="AS42" s="213">
        <f t="shared" si="20"/>
        <v>0.66666666666666674</v>
      </c>
      <c r="AT42" s="213">
        <f t="shared" si="20"/>
        <v>1</v>
      </c>
      <c r="AU42" s="213">
        <f t="shared" si="20"/>
        <v>1</v>
      </c>
      <c r="AV42" s="213">
        <f t="shared" si="20"/>
        <v>0.33333333333333326</v>
      </c>
      <c r="AW42" s="213">
        <f t="shared" si="20"/>
        <v>0.33333333333333326</v>
      </c>
      <c r="AY42" s="186">
        <f t="shared" si="21"/>
        <v>10.721916209981382</v>
      </c>
      <c r="AZ42" s="186">
        <f t="shared" si="21"/>
        <v>10.990135658309475</v>
      </c>
      <c r="BA42" s="186">
        <f t="shared" si="21"/>
        <v>10.252479372432552</v>
      </c>
      <c r="BB42" s="186">
        <f t="shared" si="21"/>
        <v>12.109399444651292</v>
      </c>
      <c r="BC42" s="186">
        <f t="shared" si="21"/>
        <v>10.624338104500744</v>
      </c>
      <c r="BD42" s="186">
        <f t="shared" si="21"/>
        <v>9.3537628864042777</v>
      </c>
      <c r="BE42" s="186">
        <f t="shared" si="21"/>
        <v>8.9964263303471768</v>
      </c>
    </row>
    <row r="43" spans="1:57" ht="13.5" customHeight="1" x14ac:dyDescent="0.2">
      <c r="A43" s="181">
        <f t="shared" si="9"/>
        <v>10.433333333333334</v>
      </c>
      <c r="B43" s="187">
        <f t="shared" si="22"/>
        <v>0.625</v>
      </c>
      <c r="C43" s="135">
        <v>10.633333333333333</v>
      </c>
      <c r="D43" s="135">
        <v>10.5</v>
      </c>
      <c r="E43" s="135">
        <v>11.433333333333332</v>
      </c>
      <c r="F43" s="135">
        <v>11.333333333333334</v>
      </c>
      <c r="G43" s="135">
        <v>11.333333333333334</v>
      </c>
      <c r="H43" s="135">
        <v>9.1666666666666661</v>
      </c>
      <c r="I43" s="135">
        <v>8.6333333333333329</v>
      </c>
      <c r="J43" s="165">
        <v>31</v>
      </c>
      <c r="K43" s="43">
        <f t="shared" si="10"/>
        <v>3</v>
      </c>
      <c r="L43" s="43">
        <f t="shared" si="11"/>
        <v>3</v>
      </c>
      <c r="M43" s="43">
        <f t="shared" si="12"/>
        <v>3</v>
      </c>
      <c r="N43" s="43">
        <f t="shared" si="13"/>
        <v>3</v>
      </c>
      <c r="O43" s="43">
        <f t="shared" si="14"/>
        <v>3</v>
      </c>
      <c r="P43" s="43">
        <f t="shared" si="15"/>
        <v>3</v>
      </c>
      <c r="Q43" s="43">
        <f t="shared" si="16"/>
        <v>3</v>
      </c>
      <c r="R43" s="165">
        <v>31</v>
      </c>
      <c r="S43" s="198">
        <v>4</v>
      </c>
      <c r="T43" s="198">
        <v>4</v>
      </c>
      <c r="U43" s="198">
        <v>4</v>
      </c>
      <c r="V43" s="198">
        <v>4</v>
      </c>
      <c r="W43" s="198">
        <v>4</v>
      </c>
      <c r="X43" s="198">
        <v>5</v>
      </c>
      <c r="Y43" s="198">
        <v>6</v>
      </c>
      <c r="AA43" s="184">
        <f t="shared" si="17"/>
        <v>0.96840959024428086</v>
      </c>
      <c r="AB43" s="184">
        <f t="shared" si="17"/>
        <v>0.97972231740197757</v>
      </c>
      <c r="AC43" s="184">
        <f t="shared" si="17"/>
        <v>0.96549577460977254</v>
      </c>
      <c r="AD43" s="184">
        <f t="shared" si="17"/>
        <v>0.96489274336537612</v>
      </c>
      <c r="AE43" s="184">
        <f t="shared" si="17"/>
        <v>0.97272769335890985</v>
      </c>
      <c r="AF43" s="184">
        <f t="shared" si="17"/>
        <v>0.99747632342182735</v>
      </c>
      <c r="AG43" s="184">
        <f t="shared" si="17"/>
        <v>0.9998769642186387</v>
      </c>
      <c r="AI43" s="214">
        <f t="shared" si="18"/>
        <v>1</v>
      </c>
      <c r="AJ43" s="214">
        <f t="shared" si="18"/>
        <v>1</v>
      </c>
      <c r="AK43" s="214">
        <f t="shared" si="18"/>
        <v>1</v>
      </c>
      <c r="AL43" s="214">
        <f t="shared" si="18"/>
        <v>1</v>
      </c>
      <c r="AM43" s="214">
        <f t="shared" si="18"/>
        <v>1</v>
      </c>
      <c r="AN43" s="214">
        <f t="shared" si="18"/>
        <v>2</v>
      </c>
      <c r="AO43" s="214">
        <f t="shared" si="18"/>
        <v>3</v>
      </c>
      <c r="AP43" s="206">
        <f t="shared" si="19"/>
        <v>0.625</v>
      </c>
      <c r="AQ43" s="213">
        <f t="shared" si="20"/>
        <v>0.33333333333333326</v>
      </c>
      <c r="AR43" s="213">
        <f t="shared" si="20"/>
        <v>0.33333333333333326</v>
      </c>
      <c r="AS43" s="213">
        <f t="shared" si="20"/>
        <v>0.33333333333333326</v>
      </c>
      <c r="AT43" s="213">
        <f t="shared" si="20"/>
        <v>0.33333333333333326</v>
      </c>
      <c r="AU43" s="213">
        <f t="shared" si="20"/>
        <v>0.33333333333333326</v>
      </c>
      <c r="AV43" s="213">
        <f t="shared" si="20"/>
        <v>0.66666666666666674</v>
      </c>
      <c r="AW43" s="213">
        <f t="shared" si="20"/>
        <v>1</v>
      </c>
      <c r="AY43" s="186">
        <f t="shared" si="21"/>
        <v>10.297421976264186</v>
      </c>
      <c r="AZ43" s="186">
        <f t="shared" si="21"/>
        <v>10.287084332720765</v>
      </c>
      <c r="BA43" s="186">
        <f t="shared" si="21"/>
        <v>11.038835023038398</v>
      </c>
      <c r="BB43" s="186">
        <f t="shared" si="21"/>
        <v>10.935451091474263</v>
      </c>
      <c r="BC43" s="186">
        <f t="shared" si="21"/>
        <v>11.024247191400979</v>
      </c>
      <c r="BD43" s="186">
        <f t="shared" si="21"/>
        <v>9.1435329647000838</v>
      </c>
      <c r="BE43" s="186">
        <f t="shared" si="21"/>
        <v>8.6322711244209138</v>
      </c>
    </row>
    <row r="44" spans="1:57" ht="12.75" x14ac:dyDescent="0.2">
      <c r="A44" s="181">
        <f t="shared" si="9"/>
        <v>10.499999999999998</v>
      </c>
      <c r="B44" s="187">
        <f t="shared" si="22"/>
        <v>0.64583333333333337</v>
      </c>
      <c r="C44" s="135">
        <v>11.033333333333333</v>
      </c>
      <c r="D44" s="135">
        <v>11.366666666666667</v>
      </c>
      <c r="E44" s="135">
        <v>11.299999999999999</v>
      </c>
      <c r="F44" s="135">
        <v>10.633333333333333</v>
      </c>
      <c r="G44" s="135">
        <v>10.799999999999999</v>
      </c>
      <c r="H44" s="135">
        <v>9.1</v>
      </c>
      <c r="I44" s="135">
        <v>9.2666666666666657</v>
      </c>
      <c r="J44" s="165">
        <v>32</v>
      </c>
      <c r="K44" s="43">
        <f t="shared" si="10"/>
        <v>3</v>
      </c>
      <c r="L44" s="43">
        <f t="shared" si="11"/>
        <v>3</v>
      </c>
      <c r="M44" s="43">
        <f t="shared" si="12"/>
        <v>3</v>
      </c>
      <c r="N44" s="43">
        <f t="shared" si="13"/>
        <v>3</v>
      </c>
      <c r="O44" s="43">
        <f t="shared" si="14"/>
        <v>3</v>
      </c>
      <c r="P44" s="43">
        <f t="shared" si="15"/>
        <v>3</v>
      </c>
      <c r="Q44" s="43">
        <f t="shared" si="16"/>
        <v>3</v>
      </c>
      <c r="R44" s="165">
        <v>32</v>
      </c>
      <c r="S44" s="198">
        <v>4</v>
      </c>
      <c r="T44" s="198">
        <v>4</v>
      </c>
      <c r="U44" s="198">
        <v>4</v>
      </c>
      <c r="V44" s="198">
        <v>4</v>
      </c>
      <c r="W44" s="198">
        <v>4</v>
      </c>
      <c r="X44" s="198">
        <v>5</v>
      </c>
      <c r="Y44" s="198">
        <v>6</v>
      </c>
      <c r="AA44" s="184">
        <f t="shared" si="17"/>
        <v>0.96840959024428086</v>
      </c>
      <c r="AB44" s="184">
        <f t="shared" si="17"/>
        <v>0.97168718093706175</v>
      </c>
      <c r="AC44" s="184">
        <f t="shared" si="17"/>
        <v>0.96549577460977254</v>
      </c>
      <c r="AD44" s="184">
        <f t="shared" si="17"/>
        <v>0.96489274336537612</v>
      </c>
      <c r="AE44" s="184">
        <f t="shared" si="17"/>
        <v>0.97272769335890985</v>
      </c>
      <c r="AF44" s="184">
        <f t="shared" si="17"/>
        <v>0.99747632342182735</v>
      </c>
      <c r="AG44" s="184">
        <f t="shared" si="17"/>
        <v>0.9998769642186387</v>
      </c>
      <c r="AI44" s="214">
        <f t="shared" si="18"/>
        <v>1</v>
      </c>
      <c r="AJ44" s="214">
        <f t="shared" si="18"/>
        <v>1</v>
      </c>
      <c r="AK44" s="214">
        <f t="shared" si="18"/>
        <v>1</v>
      </c>
      <c r="AL44" s="214">
        <f t="shared" si="18"/>
        <v>1</v>
      </c>
      <c r="AM44" s="214">
        <f t="shared" si="18"/>
        <v>1</v>
      </c>
      <c r="AN44" s="214">
        <f t="shared" si="18"/>
        <v>2</v>
      </c>
      <c r="AO44" s="214">
        <f t="shared" si="18"/>
        <v>3</v>
      </c>
      <c r="AP44" s="206">
        <f t="shared" si="19"/>
        <v>0.64583333333333337</v>
      </c>
      <c r="AQ44" s="213">
        <f t="shared" si="20"/>
        <v>0.33333333333333326</v>
      </c>
      <c r="AR44" s="213">
        <f t="shared" si="20"/>
        <v>0.33333333333333326</v>
      </c>
      <c r="AS44" s="213">
        <f t="shared" si="20"/>
        <v>0.33333333333333326</v>
      </c>
      <c r="AT44" s="213">
        <f t="shared" si="20"/>
        <v>0.33333333333333326</v>
      </c>
      <c r="AU44" s="213">
        <f t="shared" si="20"/>
        <v>0.33333333333333326</v>
      </c>
      <c r="AV44" s="213">
        <f t="shared" si="20"/>
        <v>0.66666666666666674</v>
      </c>
      <c r="AW44" s="213">
        <f t="shared" si="20"/>
        <v>1</v>
      </c>
      <c r="AY44" s="186">
        <f t="shared" si="21"/>
        <v>10.684785812361898</v>
      </c>
      <c r="AZ44" s="186">
        <f t="shared" si="21"/>
        <v>11.044844289984603</v>
      </c>
      <c r="BA44" s="186">
        <f t="shared" si="21"/>
        <v>10.910102253090429</v>
      </c>
      <c r="BB44" s="186">
        <f t="shared" si="21"/>
        <v>10.260026171118499</v>
      </c>
      <c r="BC44" s="186">
        <f t="shared" si="21"/>
        <v>10.505459088276226</v>
      </c>
      <c r="BD44" s="186">
        <f t="shared" si="21"/>
        <v>9.0770345431386286</v>
      </c>
      <c r="BE44" s="186">
        <f t="shared" si="21"/>
        <v>9.2655265350927181</v>
      </c>
    </row>
    <row r="45" spans="1:57" ht="12.75" x14ac:dyDescent="0.2">
      <c r="A45" s="181">
        <f t="shared" si="9"/>
        <v>10.514285714285714</v>
      </c>
      <c r="B45" s="187">
        <f t="shared" si="22"/>
        <v>0.66666666666666674</v>
      </c>
      <c r="C45" s="135">
        <v>11.466666666666667</v>
      </c>
      <c r="D45" s="135">
        <v>11.199999999999998</v>
      </c>
      <c r="E45" s="135">
        <v>11.4</v>
      </c>
      <c r="F45" s="135">
        <v>10.166666666666666</v>
      </c>
      <c r="G45" s="135">
        <v>10.733333333333334</v>
      </c>
      <c r="H45" s="135">
        <v>9.4666666666666668</v>
      </c>
      <c r="I45" s="135">
        <v>9.1666666666666661</v>
      </c>
      <c r="J45" s="165">
        <v>33</v>
      </c>
      <c r="K45" s="43">
        <f t="shared" si="10"/>
        <v>3</v>
      </c>
      <c r="L45" s="43">
        <f t="shared" si="11"/>
        <v>3</v>
      </c>
      <c r="M45" s="43">
        <f t="shared" si="12"/>
        <v>3</v>
      </c>
      <c r="N45" s="43">
        <f t="shared" si="13"/>
        <v>3</v>
      </c>
      <c r="O45" s="43">
        <f t="shared" si="14"/>
        <v>3</v>
      </c>
      <c r="P45" s="43">
        <f t="shared" si="15"/>
        <v>3</v>
      </c>
      <c r="Q45" s="43">
        <f t="shared" si="16"/>
        <v>3</v>
      </c>
      <c r="R45" s="165">
        <v>33</v>
      </c>
      <c r="S45" s="198">
        <v>5</v>
      </c>
      <c r="T45" s="198">
        <v>5</v>
      </c>
      <c r="U45" s="198">
        <v>4</v>
      </c>
      <c r="V45" s="198">
        <v>4</v>
      </c>
      <c r="W45" s="198">
        <v>6</v>
      </c>
      <c r="X45" s="198">
        <v>3</v>
      </c>
      <c r="Y45" s="198">
        <v>5</v>
      </c>
      <c r="AA45" s="184">
        <f t="shared" si="17"/>
        <v>0.99375974783196586</v>
      </c>
      <c r="AB45" s="184">
        <f t="shared" si="17"/>
        <v>0.99457262686255388</v>
      </c>
      <c r="AC45" s="184">
        <f t="shared" si="17"/>
        <v>0.96549577460977254</v>
      </c>
      <c r="AD45" s="184">
        <f t="shared" si="17"/>
        <v>0.97476794627572283</v>
      </c>
      <c r="AE45" s="184">
        <f t="shared" si="17"/>
        <v>0.99915405371480359</v>
      </c>
      <c r="AF45" s="184">
        <f t="shared" si="17"/>
        <v>0.92127151458775292</v>
      </c>
      <c r="AG45" s="184">
        <f t="shared" si="17"/>
        <v>0.99894230189476618</v>
      </c>
      <c r="AI45" s="214">
        <f t="shared" si="18"/>
        <v>2</v>
      </c>
      <c r="AJ45" s="214">
        <f t="shared" si="18"/>
        <v>2</v>
      </c>
      <c r="AK45" s="214">
        <f t="shared" si="18"/>
        <v>1</v>
      </c>
      <c r="AL45" s="214">
        <f t="shared" si="18"/>
        <v>1</v>
      </c>
      <c r="AM45" s="214">
        <f t="shared" si="18"/>
        <v>3</v>
      </c>
      <c r="AN45" s="214">
        <f t="shared" si="18"/>
        <v>0</v>
      </c>
      <c r="AO45" s="214">
        <f t="shared" si="18"/>
        <v>2</v>
      </c>
      <c r="AP45" s="206">
        <f t="shared" si="19"/>
        <v>0.66666666666666674</v>
      </c>
      <c r="AQ45" s="213">
        <f t="shared" si="20"/>
        <v>0.66666666666666674</v>
      </c>
      <c r="AR45" s="213">
        <f t="shared" si="20"/>
        <v>0.66666666666666674</v>
      </c>
      <c r="AS45" s="213">
        <f t="shared" si="20"/>
        <v>0.33333333333333326</v>
      </c>
      <c r="AT45" s="213">
        <f t="shared" si="20"/>
        <v>0.33333333333333326</v>
      </c>
      <c r="AU45" s="213">
        <f t="shared" si="20"/>
        <v>1</v>
      </c>
      <c r="AV45" s="213">
        <f t="shared" si="20"/>
        <v>0</v>
      </c>
      <c r="AW45" s="213">
        <f t="shared" si="20"/>
        <v>0.66666666666666674</v>
      </c>
      <c r="AY45" s="186">
        <f t="shared" si="21"/>
        <v>11.395111775139876</v>
      </c>
      <c r="AZ45" s="186">
        <f t="shared" si="21"/>
        <v>11.139213420860601</v>
      </c>
      <c r="BA45" s="186">
        <f t="shared" si="21"/>
        <v>11.006651830551407</v>
      </c>
      <c r="BB45" s="186">
        <f t="shared" si="21"/>
        <v>9.9101407871365144</v>
      </c>
      <c r="BC45" s="186">
        <f t="shared" si="21"/>
        <v>10.724253509872225</v>
      </c>
      <c r="BD45" s="186">
        <f t="shared" si="21"/>
        <v>8.7213703380973939</v>
      </c>
      <c r="BE45" s="186">
        <f t="shared" si="21"/>
        <v>9.1569711007020231</v>
      </c>
    </row>
    <row r="46" spans="1:57" ht="13.5" customHeight="1" x14ac:dyDescent="0.2">
      <c r="A46" s="181">
        <f t="shared" si="9"/>
        <v>10.547619047619047</v>
      </c>
      <c r="B46" s="187">
        <f t="shared" si="22"/>
        <v>0.68750000000000011</v>
      </c>
      <c r="C46" s="135">
        <v>11.466666666666667</v>
      </c>
      <c r="D46" s="135">
        <v>11.6</v>
      </c>
      <c r="E46" s="135">
        <v>10.133333333333333</v>
      </c>
      <c r="F46" s="135">
        <v>10.4</v>
      </c>
      <c r="G46" s="135">
        <v>10.033333333333333</v>
      </c>
      <c r="H46" s="135">
        <v>10.033333333333333</v>
      </c>
      <c r="I46" s="135">
        <v>10.166666666666666</v>
      </c>
      <c r="J46" s="165">
        <v>34</v>
      </c>
      <c r="K46" s="43">
        <f t="shared" si="10"/>
        <v>3</v>
      </c>
      <c r="L46" s="43">
        <f t="shared" si="11"/>
        <v>3</v>
      </c>
      <c r="M46" s="43">
        <f t="shared" si="12"/>
        <v>3</v>
      </c>
      <c r="N46" s="43">
        <f t="shared" si="13"/>
        <v>3</v>
      </c>
      <c r="O46" s="43">
        <f t="shared" si="14"/>
        <v>3</v>
      </c>
      <c r="P46" s="43">
        <f t="shared" si="15"/>
        <v>3</v>
      </c>
      <c r="Q46" s="43">
        <f t="shared" si="16"/>
        <v>3</v>
      </c>
      <c r="R46" s="165">
        <v>34</v>
      </c>
      <c r="S46" s="198">
        <v>5</v>
      </c>
      <c r="T46" s="198">
        <v>4</v>
      </c>
      <c r="U46" s="198">
        <v>4</v>
      </c>
      <c r="V46" s="198">
        <v>4</v>
      </c>
      <c r="W46" s="198">
        <v>6</v>
      </c>
      <c r="X46" s="198">
        <v>3</v>
      </c>
      <c r="Y46" s="198">
        <v>5</v>
      </c>
      <c r="AA46" s="184">
        <f t="shared" si="17"/>
        <v>0.99375974783196586</v>
      </c>
      <c r="AB46" s="184">
        <f t="shared" si="17"/>
        <v>0.96170645797270726</v>
      </c>
      <c r="AC46" s="184">
        <f t="shared" si="17"/>
        <v>0.97520850996149888</v>
      </c>
      <c r="AD46" s="184">
        <f t="shared" si="17"/>
        <v>0.97476794627572283</v>
      </c>
      <c r="AE46" s="184">
        <f t="shared" si="17"/>
        <v>0.99949079688214904</v>
      </c>
      <c r="AF46" s="184">
        <f t="shared" si="17"/>
        <v>0.89554041181598931</v>
      </c>
      <c r="AG46" s="184">
        <f t="shared" si="17"/>
        <v>0.99829375002286536</v>
      </c>
      <c r="AI46" s="214">
        <f t="shared" si="18"/>
        <v>2</v>
      </c>
      <c r="AJ46" s="214">
        <f t="shared" si="18"/>
        <v>1</v>
      </c>
      <c r="AK46" s="214">
        <f t="shared" si="18"/>
        <v>1</v>
      </c>
      <c r="AL46" s="214">
        <f t="shared" si="18"/>
        <v>1</v>
      </c>
      <c r="AM46" s="214">
        <f t="shared" si="18"/>
        <v>3</v>
      </c>
      <c r="AN46" s="214">
        <f t="shared" si="18"/>
        <v>0</v>
      </c>
      <c r="AO46" s="214">
        <f t="shared" si="18"/>
        <v>2</v>
      </c>
      <c r="AP46" s="206">
        <f t="shared" si="19"/>
        <v>0.68750000000000011</v>
      </c>
      <c r="AQ46" s="213">
        <f t="shared" si="20"/>
        <v>0.66666666666666674</v>
      </c>
      <c r="AR46" s="213">
        <f t="shared" si="20"/>
        <v>0.33333333333333326</v>
      </c>
      <c r="AS46" s="213">
        <f t="shared" si="20"/>
        <v>0.33333333333333326</v>
      </c>
      <c r="AT46" s="213">
        <f t="shared" si="20"/>
        <v>0.33333333333333326</v>
      </c>
      <c r="AU46" s="213">
        <f t="shared" si="20"/>
        <v>1</v>
      </c>
      <c r="AV46" s="213">
        <f t="shared" si="20"/>
        <v>0</v>
      </c>
      <c r="AW46" s="213">
        <f t="shared" si="20"/>
        <v>0.66666666666666674</v>
      </c>
      <c r="AY46" s="186">
        <f t="shared" si="21"/>
        <v>11.395111775139876</v>
      </c>
      <c r="AZ46" s="186">
        <f t="shared" si="21"/>
        <v>11.155794912483405</v>
      </c>
      <c r="BA46" s="186">
        <f t="shared" si="21"/>
        <v>9.8821129009431878</v>
      </c>
      <c r="BB46" s="186">
        <f t="shared" si="21"/>
        <v>10.137586641267518</v>
      </c>
      <c r="BC46" s="186">
        <f t="shared" si="21"/>
        <v>10.028224328717561</v>
      </c>
      <c r="BD46" s="186">
        <f t="shared" si="21"/>
        <v>8.9852554652204262</v>
      </c>
      <c r="BE46" s="186">
        <f t="shared" si="21"/>
        <v>10.149319791899131</v>
      </c>
    </row>
    <row r="47" spans="1:57" ht="12.75" x14ac:dyDescent="0.2">
      <c r="A47" s="181">
        <f t="shared" si="9"/>
        <v>10.9</v>
      </c>
      <c r="B47" s="187">
        <f t="shared" si="22"/>
        <v>0.70833333333333348</v>
      </c>
      <c r="C47" s="135">
        <v>11.733333333333334</v>
      </c>
      <c r="D47" s="135">
        <v>10.833333333333334</v>
      </c>
      <c r="E47" s="135">
        <v>10.799999999999999</v>
      </c>
      <c r="F47" s="135">
        <v>10.966666666666667</v>
      </c>
      <c r="G47" s="135">
        <v>10.9</v>
      </c>
      <c r="H47" s="135">
        <v>11.200000000000001</v>
      </c>
      <c r="I47" s="135">
        <v>9.8666666666666654</v>
      </c>
      <c r="J47" s="165">
        <v>35</v>
      </c>
      <c r="K47" s="43">
        <f t="shared" si="10"/>
        <v>3</v>
      </c>
      <c r="L47" s="43">
        <f t="shared" si="11"/>
        <v>3</v>
      </c>
      <c r="M47" s="43">
        <f t="shared" si="12"/>
        <v>3</v>
      </c>
      <c r="N47" s="43">
        <f t="shared" si="13"/>
        <v>3</v>
      </c>
      <c r="O47" s="43">
        <f t="shared" si="14"/>
        <v>3</v>
      </c>
      <c r="P47" s="43">
        <f t="shared" si="15"/>
        <v>3</v>
      </c>
      <c r="Q47" s="43">
        <f t="shared" si="16"/>
        <v>3</v>
      </c>
      <c r="R47" s="165">
        <v>35</v>
      </c>
      <c r="S47" s="198">
        <v>5</v>
      </c>
      <c r="T47" s="198">
        <v>4</v>
      </c>
      <c r="U47" s="198">
        <v>3</v>
      </c>
      <c r="V47" s="198">
        <v>4</v>
      </c>
      <c r="W47" s="198">
        <v>4</v>
      </c>
      <c r="X47" s="198">
        <v>3</v>
      </c>
      <c r="Y47" s="198">
        <v>3</v>
      </c>
      <c r="AA47" s="184">
        <f t="shared" si="17"/>
        <v>0.99091335653799884</v>
      </c>
      <c r="AB47" s="184">
        <f t="shared" si="17"/>
        <v>0.97168718093706175</v>
      </c>
      <c r="AC47" s="184">
        <f t="shared" si="17"/>
        <v>0.85422561450092704</v>
      </c>
      <c r="AD47" s="184">
        <f t="shared" si="17"/>
        <v>0.96489274336537612</v>
      </c>
      <c r="AE47" s="184">
        <f t="shared" si="17"/>
        <v>0.97272769335890985</v>
      </c>
      <c r="AF47" s="184">
        <f t="shared" si="17"/>
        <v>0.8652794661680091</v>
      </c>
      <c r="AG47" s="184">
        <f t="shared" si="17"/>
        <v>0.93661511660236063</v>
      </c>
      <c r="AI47" s="214">
        <f t="shared" si="18"/>
        <v>2</v>
      </c>
      <c r="AJ47" s="214">
        <f t="shared" si="18"/>
        <v>1</v>
      </c>
      <c r="AK47" s="214">
        <f t="shared" si="18"/>
        <v>0</v>
      </c>
      <c r="AL47" s="214">
        <f t="shared" si="18"/>
        <v>1</v>
      </c>
      <c r="AM47" s="214">
        <f t="shared" si="18"/>
        <v>1</v>
      </c>
      <c r="AN47" s="214">
        <f t="shared" si="18"/>
        <v>0</v>
      </c>
      <c r="AO47" s="214">
        <f t="shared" si="18"/>
        <v>0</v>
      </c>
      <c r="AP47" s="206">
        <f t="shared" si="19"/>
        <v>0.70833333333333348</v>
      </c>
      <c r="AQ47" s="213">
        <f t="shared" si="20"/>
        <v>0.66666666666666674</v>
      </c>
      <c r="AR47" s="213">
        <f t="shared" si="20"/>
        <v>0.33333333333333326</v>
      </c>
      <c r="AS47" s="213">
        <f t="shared" si="20"/>
        <v>0</v>
      </c>
      <c r="AT47" s="213">
        <f t="shared" si="20"/>
        <v>0.33333333333333326</v>
      </c>
      <c r="AU47" s="213">
        <f t="shared" si="20"/>
        <v>0.33333333333333326</v>
      </c>
      <c r="AV47" s="213">
        <f t="shared" si="20"/>
        <v>0</v>
      </c>
      <c r="AW47" s="213">
        <f t="shared" si="20"/>
        <v>0</v>
      </c>
      <c r="AY47" s="186">
        <f t="shared" si="21"/>
        <v>11.62671671671252</v>
      </c>
      <c r="AZ47" s="186">
        <f t="shared" si="21"/>
        <v>10.526611126818169</v>
      </c>
      <c r="BA47" s="186">
        <f t="shared" si="21"/>
        <v>9.2256366366100107</v>
      </c>
      <c r="BB47" s="186">
        <f t="shared" si="21"/>
        <v>10.581657085573624</v>
      </c>
      <c r="BC47" s="186">
        <f t="shared" si="21"/>
        <v>10.602731857612119</v>
      </c>
      <c r="BD47" s="186">
        <f t="shared" si="21"/>
        <v>9.6911300210817028</v>
      </c>
      <c r="BE47" s="186">
        <f t="shared" si="21"/>
        <v>9.241269150476624</v>
      </c>
    </row>
    <row r="48" spans="1:57" ht="13.5" customHeight="1" x14ac:dyDescent="0.2">
      <c r="A48" s="181">
        <f t="shared" si="9"/>
        <v>10.761904761904763</v>
      </c>
      <c r="B48" s="187">
        <f t="shared" si="22"/>
        <v>0.72916666666666685</v>
      </c>
      <c r="C48" s="135">
        <v>11.033333333333333</v>
      </c>
      <c r="D48" s="135">
        <v>10.800000000000002</v>
      </c>
      <c r="E48" s="135">
        <v>11.299999999999999</v>
      </c>
      <c r="F48" s="135">
        <v>11.1</v>
      </c>
      <c r="G48" s="135">
        <v>11.333333333333334</v>
      </c>
      <c r="H48" s="135">
        <v>10.800000000000002</v>
      </c>
      <c r="I48" s="135">
        <v>8.9666666666666668</v>
      </c>
      <c r="J48" s="165">
        <v>36</v>
      </c>
      <c r="K48" s="43">
        <f t="shared" si="10"/>
        <v>3</v>
      </c>
      <c r="L48" s="43">
        <f t="shared" si="11"/>
        <v>3</v>
      </c>
      <c r="M48" s="43">
        <f t="shared" si="12"/>
        <v>3</v>
      </c>
      <c r="N48" s="43">
        <f t="shared" si="13"/>
        <v>3</v>
      </c>
      <c r="O48" s="43">
        <f t="shared" si="14"/>
        <v>3</v>
      </c>
      <c r="P48" s="43">
        <f t="shared" si="15"/>
        <v>3</v>
      </c>
      <c r="Q48" s="43">
        <f t="shared" si="16"/>
        <v>3</v>
      </c>
      <c r="R48" s="165">
        <v>36</v>
      </c>
      <c r="S48" s="198">
        <v>4</v>
      </c>
      <c r="T48" s="198">
        <v>4</v>
      </c>
      <c r="U48" s="198">
        <v>3</v>
      </c>
      <c r="V48" s="198">
        <v>4</v>
      </c>
      <c r="W48" s="198">
        <v>4</v>
      </c>
      <c r="X48" s="198">
        <v>3</v>
      </c>
      <c r="Y48" s="198">
        <v>3</v>
      </c>
      <c r="AA48" s="184">
        <f t="shared" si="17"/>
        <v>0.96840959024428086</v>
      </c>
      <c r="AB48" s="184">
        <f t="shared" si="17"/>
        <v>0.97168718093706175</v>
      </c>
      <c r="AC48" s="184">
        <f t="shared" si="17"/>
        <v>0.85422561450092704</v>
      </c>
      <c r="AD48" s="184">
        <f t="shared" si="17"/>
        <v>0.96489274336537612</v>
      </c>
      <c r="AE48" s="184">
        <f t="shared" si="17"/>
        <v>0.97272769335890985</v>
      </c>
      <c r="AF48" s="184">
        <f t="shared" si="17"/>
        <v>0.8652794661680091</v>
      </c>
      <c r="AG48" s="184">
        <f t="shared" si="17"/>
        <v>0.95258169389538305</v>
      </c>
      <c r="AI48" s="214">
        <f t="shared" si="18"/>
        <v>1</v>
      </c>
      <c r="AJ48" s="214">
        <f t="shared" si="18"/>
        <v>1</v>
      </c>
      <c r="AK48" s="214">
        <f t="shared" si="18"/>
        <v>0</v>
      </c>
      <c r="AL48" s="214">
        <f t="shared" si="18"/>
        <v>1</v>
      </c>
      <c r="AM48" s="214">
        <f t="shared" si="18"/>
        <v>1</v>
      </c>
      <c r="AN48" s="214">
        <f t="shared" si="18"/>
        <v>0</v>
      </c>
      <c r="AO48" s="214">
        <f t="shared" si="18"/>
        <v>0</v>
      </c>
      <c r="AP48" s="206">
        <f t="shared" si="19"/>
        <v>0.72916666666666685</v>
      </c>
      <c r="AQ48" s="213">
        <f t="shared" si="20"/>
        <v>0.33333333333333326</v>
      </c>
      <c r="AR48" s="213">
        <f t="shared" si="20"/>
        <v>0.33333333333333326</v>
      </c>
      <c r="AS48" s="213">
        <f t="shared" si="20"/>
        <v>0</v>
      </c>
      <c r="AT48" s="213">
        <f t="shared" si="20"/>
        <v>0.33333333333333326</v>
      </c>
      <c r="AU48" s="213">
        <f t="shared" si="20"/>
        <v>0.33333333333333326</v>
      </c>
      <c r="AV48" s="213">
        <f t="shared" si="20"/>
        <v>0</v>
      </c>
      <c r="AW48" s="213">
        <f t="shared" si="20"/>
        <v>0</v>
      </c>
      <c r="AY48" s="186">
        <f t="shared" si="21"/>
        <v>10.684785812361898</v>
      </c>
      <c r="AZ48" s="186">
        <f t="shared" si="21"/>
        <v>10.494221554120269</v>
      </c>
      <c r="BA48" s="186">
        <f t="shared" si="21"/>
        <v>9.6527494438604755</v>
      </c>
      <c r="BB48" s="186">
        <f t="shared" si="21"/>
        <v>10.710309451355675</v>
      </c>
      <c r="BC48" s="186">
        <f t="shared" si="21"/>
        <v>11.024247191400979</v>
      </c>
      <c r="BD48" s="186">
        <f t="shared" si="21"/>
        <v>9.3450182346144999</v>
      </c>
      <c r="BE48" s="186">
        <f t="shared" si="21"/>
        <v>8.5414825219286019</v>
      </c>
    </row>
    <row r="49" spans="1:57" ht="12.75" x14ac:dyDescent="0.2">
      <c r="A49" s="181">
        <f t="shared" si="9"/>
        <v>9.9142857142857128</v>
      </c>
      <c r="B49" s="187">
        <f t="shared" si="22"/>
        <v>0.75000000000000022</v>
      </c>
      <c r="C49" s="135">
        <v>10.366666666666667</v>
      </c>
      <c r="D49" s="135">
        <v>10.033333333333333</v>
      </c>
      <c r="E49" s="135">
        <v>11.1</v>
      </c>
      <c r="F49" s="135">
        <v>10.799999999999999</v>
      </c>
      <c r="G49" s="135">
        <v>10.333333333333334</v>
      </c>
      <c r="H49" s="135">
        <v>9.5333333333333332</v>
      </c>
      <c r="I49" s="135">
        <v>7.2333333333333334</v>
      </c>
      <c r="J49" s="165">
        <v>37</v>
      </c>
      <c r="K49" s="43">
        <f t="shared" si="10"/>
        <v>3</v>
      </c>
      <c r="L49" s="43">
        <f t="shared" si="11"/>
        <v>3</v>
      </c>
      <c r="M49" s="43">
        <f t="shared" si="12"/>
        <v>3</v>
      </c>
      <c r="N49" s="43">
        <f t="shared" si="13"/>
        <v>3</v>
      </c>
      <c r="O49" s="43">
        <f t="shared" si="14"/>
        <v>3</v>
      </c>
      <c r="P49" s="43">
        <f t="shared" si="15"/>
        <v>3</v>
      </c>
      <c r="Q49" s="43">
        <f t="shared" si="16"/>
        <v>2</v>
      </c>
      <c r="R49" s="165">
        <v>37</v>
      </c>
      <c r="S49" s="198">
        <v>4</v>
      </c>
      <c r="T49" s="198">
        <v>3</v>
      </c>
      <c r="U49" s="198">
        <v>3</v>
      </c>
      <c r="V49" s="198">
        <v>3</v>
      </c>
      <c r="W49" s="198">
        <v>4</v>
      </c>
      <c r="X49" s="198">
        <v>3</v>
      </c>
      <c r="Y49" s="198">
        <v>3</v>
      </c>
      <c r="AA49" s="184">
        <f t="shared" si="17"/>
        <v>0.97733503044138248</v>
      </c>
      <c r="AB49" s="184">
        <f t="shared" si="17"/>
        <v>0.90250480639411446</v>
      </c>
      <c r="AC49" s="184">
        <f t="shared" si="17"/>
        <v>0.85422561450092704</v>
      </c>
      <c r="AD49" s="184">
        <f t="shared" si="17"/>
        <v>0.85233778465596388</v>
      </c>
      <c r="AE49" s="184">
        <f t="shared" si="17"/>
        <v>0.98047908313717502</v>
      </c>
      <c r="AF49" s="184">
        <f t="shared" si="17"/>
        <v>0.89554041181598931</v>
      </c>
      <c r="AG49" s="184">
        <f t="shared" si="17"/>
        <v>0.97640584797566599</v>
      </c>
      <c r="AI49" s="214">
        <f t="shared" si="18"/>
        <v>1</v>
      </c>
      <c r="AJ49" s="214">
        <f t="shared" si="18"/>
        <v>0</v>
      </c>
      <c r="AK49" s="214">
        <f t="shared" si="18"/>
        <v>0</v>
      </c>
      <c r="AL49" s="214">
        <f t="shared" si="18"/>
        <v>0</v>
      </c>
      <c r="AM49" s="214">
        <f t="shared" si="18"/>
        <v>1</v>
      </c>
      <c r="AN49" s="214">
        <f t="shared" si="18"/>
        <v>0</v>
      </c>
      <c r="AO49" s="214">
        <f t="shared" si="18"/>
        <v>1</v>
      </c>
      <c r="AP49" s="206">
        <f t="shared" si="19"/>
        <v>0.75000000000000022</v>
      </c>
      <c r="AQ49" s="213">
        <f t="shared" si="20"/>
        <v>0.33333333333333326</v>
      </c>
      <c r="AR49" s="213">
        <f t="shared" si="20"/>
        <v>0</v>
      </c>
      <c r="AS49" s="213">
        <f t="shared" si="20"/>
        <v>0</v>
      </c>
      <c r="AT49" s="213">
        <f t="shared" si="20"/>
        <v>0</v>
      </c>
      <c r="AU49" s="213">
        <f t="shared" si="20"/>
        <v>0.33333333333333326</v>
      </c>
      <c r="AV49" s="213">
        <f t="shared" si="20"/>
        <v>0</v>
      </c>
      <c r="AW49" s="213">
        <f t="shared" si="20"/>
        <v>0.5</v>
      </c>
      <c r="AY49" s="186">
        <f t="shared" si="21"/>
        <v>10.131706482242333</v>
      </c>
      <c r="AZ49" s="186">
        <f t="shared" si="21"/>
        <v>9.0551315574876146</v>
      </c>
      <c r="BA49" s="186">
        <f t="shared" si="21"/>
        <v>9.4819043209602896</v>
      </c>
      <c r="BB49" s="186">
        <f t="shared" si="21"/>
        <v>9.2052480742844089</v>
      </c>
      <c r="BC49" s="186">
        <f t="shared" si="21"/>
        <v>10.131617192417476</v>
      </c>
      <c r="BD49" s="186">
        <f t="shared" si="21"/>
        <v>8.5374852593124313</v>
      </c>
      <c r="BE49" s="186">
        <f t="shared" si="21"/>
        <v>7.0626689670239839</v>
      </c>
    </row>
    <row r="50" spans="1:57" ht="12.75" x14ac:dyDescent="0.2">
      <c r="A50" s="181">
        <f t="shared" si="9"/>
        <v>8.6238095238095251</v>
      </c>
      <c r="B50" s="187">
        <f t="shared" si="22"/>
        <v>0.77083333333333359</v>
      </c>
      <c r="C50" s="135">
        <v>9.0666666666666682</v>
      </c>
      <c r="D50" s="135">
        <v>9.3999999999999986</v>
      </c>
      <c r="E50" s="135">
        <v>9.5</v>
      </c>
      <c r="F50" s="135">
        <v>10.1</v>
      </c>
      <c r="G50" s="135">
        <v>8.3666666666666671</v>
      </c>
      <c r="H50" s="135">
        <v>7.833333333333333</v>
      </c>
      <c r="I50" s="135">
        <v>6.1000000000000005</v>
      </c>
      <c r="J50" s="165">
        <v>38</v>
      </c>
      <c r="K50" s="43">
        <f t="shared" si="10"/>
        <v>3</v>
      </c>
      <c r="L50" s="43">
        <f t="shared" si="11"/>
        <v>3</v>
      </c>
      <c r="M50" s="43">
        <f t="shared" si="12"/>
        <v>3</v>
      </c>
      <c r="N50" s="43">
        <f t="shared" si="13"/>
        <v>3</v>
      </c>
      <c r="O50" s="43">
        <f t="shared" si="14"/>
        <v>3</v>
      </c>
      <c r="P50" s="43">
        <f t="shared" si="15"/>
        <v>3</v>
      </c>
      <c r="Q50" s="43">
        <f t="shared" si="16"/>
        <v>2</v>
      </c>
      <c r="R50" s="165">
        <v>38</v>
      </c>
      <c r="S50" s="198">
        <v>4</v>
      </c>
      <c r="T50" s="198">
        <v>3</v>
      </c>
      <c r="U50" s="198">
        <v>3</v>
      </c>
      <c r="V50" s="198">
        <v>3</v>
      </c>
      <c r="W50" s="198">
        <v>4</v>
      </c>
      <c r="X50" s="198">
        <v>3</v>
      </c>
      <c r="Y50" s="198">
        <v>3</v>
      </c>
      <c r="AA50" s="184">
        <f t="shared" si="17"/>
        <v>0.98435693058021378</v>
      </c>
      <c r="AB50" s="184">
        <f t="shared" si="17"/>
        <v>0.92660012434752492</v>
      </c>
      <c r="AC50" s="184">
        <f t="shared" si="17"/>
        <v>0.88683270310724605</v>
      </c>
      <c r="AD50" s="184">
        <f t="shared" si="17"/>
        <v>0.8853442584014275</v>
      </c>
      <c r="AE50" s="184">
        <f t="shared" si="17"/>
        <v>0.99118333447444207</v>
      </c>
      <c r="AF50" s="184">
        <f t="shared" si="17"/>
        <v>0.94273085459469808</v>
      </c>
      <c r="AG50" s="184">
        <f t="shared" si="17"/>
        <v>0.9846873603889712</v>
      </c>
      <c r="AI50" s="214">
        <f t="shared" si="18"/>
        <v>1</v>
      </c>
      <c r="AJ50" s="214">
        <f t="shared" si="18"/>
        <v>0</v>
      </c>
      <c r="AK50" s="214">
        <f t="shared" si="18"/>
        <v>0</v>
      </c>
      <c r="AL50" s="214">
        <f t="shared" si="18"/>
        <v>0</v>
      </c>
      <c r="AM50" s="214">
        <f t="shared" si="18"/>
        <v>1</v>
      </c>
      <c r="AN50" s="214">
        <f t="shared" si="18"/>
        <v>0</v>
      </c>
      <c r="AO50" s="214">
        <f t="shared" si="18"/>
        <v>1</v>
      </c>
      <c r="AP50" s="206">
        <f t="shared" si="19"/>
        <v>0.77083333333333359</v>
      </c>
      <c r="AQ50" s="213">
        <f t="shared" si="20"/>
        <v>0.33333333333333326</v>
      </c>
      <c r="AR50" s="213">
        <f t="shared" si="20"/>
        <v>0</v>
      </c>
      <c r="AS50" s="213">
        <f t="shared" si="20"/>
        <v>0</v>
      </c>
      <c r="AT50" s="213">
        <f t="shared" si="20"/>
        <v>0</v>
      </c>
      <c r="AU50" s="213">
        <f t="shared" si="20"/>
        <v>0.33333333333333326</v>
      </c>
      <c r="AV50" s="213">
        <f t="shared" si="20"/>
        <v>0</v>
      </c>
      <c r="AW50" s="213">
        <f t="shared" si="20"/>
        <v>0.5</v>
      </c>
      <c r="AY50" s="186">
        <f t="shared" si="21"/>
        <v>8.9248361705939399</v>
      </c>
      <c r="AZ50" s="186">
        <f t="shared" si="21"/>
        <v>8.7100411688667325</v>
      </c>
      <c r="BA50" s="186">
        <f t="shared" si="21"/>
        <v>8.4249106795188382</v>
      </c>
      <c r="BB50" s="186">
        <f t="shared" si="21"/>
        <v>8.9419770098544173</v>
      </c>
      <c r="BC50" s="186">
        <f t="shared" si="21"/>
        <v>8.2929005651028316</v>
      </c>
      <c r="BD50" s="186">
        <f t="shared" si="21"/>
        <v>7.3847250276584679</v>
      </c>
      <c r="BE50" s="186">
        <f t="shared" si="21"/>
        <v>6.006592898372725</v>
      </c>
    </row>
    <row r="51" spans="1:57" ht="12.75" x14ac:dyDescent="0.2">
      <c r="A51" s="181">
        <f t="shared" si="9"/>
        <v>8.038095238095238</v>
      </c>
      <c r="B51" s="187">
        <f t="shared" si="22"/>
        <v>0.79166666666666696</v>
      </c>
      <c r="C51" s="135">
        <v>9.5333333333333332</v>
      </c>
      <c r="D51" s="135">
        <v>8.0333333333333332</v>
      </c>
      <c r="E51" s="135">
        <v>8.5333333333333332</v>
      </c>
      <c r="F51" s="135">
        <v>9.4</v>
      </c>
      <c r="G51" s="135">
        <v>6.8999999999999995</v>
      </c>
      <c r="H51" s="135">
        <v>7.5666666666666673</v>
      </c>
      <c r="I51" s="135">
        <v>6.3</v>
      </c>
      <c r="J51" s="165">
        <v>39</v>
      </c>
      <c r="K51" s="43">
        <f t="shared" si="10"/>
        <v>3</v>
      </c>
      <c r="L51" s="43">
        <f t="shared" si="11"/>
        <v>3</v>
      </c>
      <c r="M51" s="43">
        <f t="shared" si="12"/>
        <v>3</v>
      </c>
      <c r="N51" s="43">
        <f t="shared" si="13"/>
        <v>3</v>
      </c>
      <c r="O51" s="43">
        <f t="shared" si="14"/>
        <v>2</v>
      </c>
      <c r="P51" s="43">
        <f t="shared" si="15"/>
        <v>3</v>
      </c>
      <c r="Q51" s="43">
        <f t="shared" si="16"/>
        <v>2</v>
      </c>
      <c r="R51" s="165">
        <v>39</v>
      </c>
      <c r="S51" s="198">
        <v>4</v>
      </c>
      <c r="T51" s="198">
        <v>3</v>
      </c>
      <c r="U51" s="198">
        <v>3</v>
      </c>
      <c r="V51" s="198">
        <v>3</v>
      </c>
      <c r="W51" s="198">
        <v>4</v>
      </c>
      <c r="X51" s="198">
        <v>3</v>
      </c>
      <c r="Y51" s="198">
        <v>3</v>
      </c>
      <c r="AA51" s="184">
        <f t="shared" si="17"/>
        <v>0.97733503044138248</v>
      </c>
      <c r="AB51" s="184">
        <f t="shared" si="17"/>
        <v>0.94666852549908798</v>
      </c>
      <c r="AC51" s="184">
        <f t="shared" si="17"/>
        <v>0.91459906845473382</v>
      </c>
      <c r="AD51" s="184">
        <f t="shared" si="17"/>
        <v>0.91345745145371782</v>
      </c>
      <c r="AE51" s="184">
        <f t="shared" si="17"/>
        <v>0.99456220886066815</v>
      </c>
      <c r="AF51" s="184">
        <f t="shared" si="17"/>
        <v>0.94273085459469808</v>
      </c>
      <c r="AG51" s="184">
        <f t="shared" si="17"/>
        <v>0.9846873603889712</v>
      </c>
      <c r="AI51" s="214">
        <f t="shared" si="18"/>
        <v>1</v>
      </c>
      <c r="AJ51" s="214">
        <f t="shared" si="18"/>
        <v>0</v>
      </c>
      <c r="AK51" s="214">
        <f t="shared" si="18"/>
        <v>0</v>
      </c>
      <c r="AL51" s="214">
        <f t="shared" si="18"/>
        <v>0</v>
      </c>
      <c r="AM51" s="214">
        <f t="shared" si="18"/>
        <v>2</v>
      </c>
      <c r="AN51" s="214">
        <f t="shared" si="18"/>
        <v>0</v>
      </c>
      <c r="AO51" s="214">
        <f t="shared" si="18"/>
        <v>1</v>
      </c>
      <c r="AP51" s="206">
        <f t="shared" si="19"/>
        <v>0.79166666666666696</v>
      </c>
      <c r="AQ51" s="213">
        <f t="shared" si="20"/>
        <v>0.33333333333333326</v>
      </c>
      <c r="AR51" s="213">
        <f t="shared" si="20"/>
        <v>0</v>
      </c>
      <c r="AS51" s="213">
        <f t="shared" si="20"/>
        <v>0</v>
      </c>
      <c r="AT51" s="213">
        <f t="shared" si="20"/>
        <v>0</v>
      </c>
      <c r="AU51" s="213">
        <f t="shared" si="20"/>
        <v>1</v>
      </c>
      <c r="AV51" s="213">
        <f t="shared" si="20"/>
        <v>0</v>
      </c>
      <c r="AW51" s="213">
        <f t="shared" si="20"/>
        <v>0.5</v>
      </c>
      <c r="AY51" s="186">
        <f t="shared" si="21"/>
        <v>9.3172606235411788</v>
      </c>
      <c r="AZ51" s="186">
        <f t="shared" si="21"/>
        <v>7.6049038215093399</v>
      </c>
      <c r="BA51" s="186">
        <f t="shared" si="21"/>
        <v>7.8045787174803953</v>
      </c>
      <c r="BB51" s="186">
        <f t="shared" si="21"/>
        <v>8.5865000436649481</v>
      </c>
      <c r="BC51" s="186">
        <f t="shared" si="21"/>
        <v>6.86247924113861</v>
      </c>
      <c r="BD51" s="186">
        <f t="shared" si="21"/>
        <v>7.1333301330998831</v>
      </c>
      <c r="BE51" s="186">
        <f t="shared" si="21"/>
        <v>6.203530370450518</v>
      </c>
    </row>
    <row r="52" spans="1:57" ht="12.75" x14ac:dyDescent="0.2">
      <c r="A52" s="181">
        <f t="shared" si="9"/>
        <v>7.8904761904761909</v>
      </c>
      <c r="B52" s="187">
        <f t="shared" si="22"/>
        <v>0.81250000000000033</v>
      </c>
      <c r="C52" s="135">
        <v>9.3333333333333339</v>
      </c>
      <c r="D52" s="135">
        <v>7.5333333333333341</v>
      </c>
      <c r="E52" s="135">
        <v>8</v>
      </c>
      <c r="F52" s="135">
        <v>8.5</v>
      </c>
      <c r="G52" s="135">
        <v>7.0999999999999988</v>
      </c>
      <c r="H52" s="135">
        <v>7.666666666666667</v>
      </c>
      <c r="I52" s="135">
        <v>7.0999999999999988</v>
      </c>
      <c r="J52" s="165">
        <v>40</v>
      </c>
      <c r="K52" s="43">
        <f t="shared" si="10"/>
        <v>3</v>
      </c>
      <c r="L52" s="43">
        <f t="shared" si="11"/>
        <v>3</v>
      </c>
      <c r="M52" s="43">
        <f t="shared" si="12"/>
        <v>3</v>
      </c>
      <c r="N52" s="43">
        <f t="shared" si="13"/>
        <v>3</v>
      </c>
      <c r="O52" s="43">
        <f t="shared" si="14"/>
        <v>2</v>
      </c>
      <c r="P52" s="43">
        <f t="shared" si="15"/>
        <v>3</v>
      </c>
      <c r="Q52" s="43">
        <f t="shared" si="16"/>
        <v>2</v>
      </c>
      <c r="R52" s="165">
        <v>40</v>
      </c>
      <c r="S52" s="198">
        <v>4</v>
      </c>
      <c r="T52" s="198">
        <v>3</v>
      </c>
      <c r="U52" s="198">
        <v>3</v>
      </c>
      <c r="V52" s="198">
        <v>3</v>
      </c>
      <c r="W52" s="198">
        <v>4</v>
      </c>
      <c r="X52" s="198">
        <v>3</v>
      </c>
      <c r="Y52" s="198">
        <v>3</v>
      </c>
      <c r="AA52" s="184">
        <f t="shared" si="17"/>
        <v>0.98435693058021378</v>
      </c>
      <c r="AB52" s="184">
        <f t="shared" si="17"/>
        <v>0.94666852549908798</v>
      </c>
      <c r="AC52" s="184">
        <f t="shared" si="17"/>
        <v>0.9377922188515353</v>
      </c>
      <c r="AD52" s="184">
        <f t="shared" si="17"/>
        <v>0.93694639899046139</v>
      </c>
      <c r="AE52" s="184">
        <f t="shared" si="17"/>
        <v>0.99456220886066815</v>
      </c>
      <c r="AF52" s="184">
        <f t="shared" si="17"/>
        <v>0.94273085459469808</v>
      </c>
      <c r="AG52" s="184">
        <f t="shared" si="17"/>
        <v>0.97640584797566599</v>
      </c>
      <c r="AI52" s="214">
        <f t="shared" si="18"/>
        <v>1</v>
      </c>
      <c r="AJ52" s="214">
        <f t="shared" si="18"/>
        <v>0</v>
      </c>
      <c r="AK52" s="214">
        <f t="shared" si="18"/>
        <v>0</v>
      </c>
      <c r="AL52" s="214">
        <f t="shared" si="18"/>
        <v>0</v>
      </c>
      <c r="AM52" s="214">
        <f t="shared" si="18"/>
        <v>2</v>
      </c>
      <c r="AN52" s="214">
        <f t="shared" si="18"/>
        <v>0</v>
      </c>
      <c r="AO52" s="214">
        <f t="shared" si="18"/>
        <v>1</v>
      </c>
      <c r="AP52" s="206">
        <f t="shared" si="19"/>
        <v>0.81250000000000033</v>
      </c>
      <c r="AQ52" s="213">
        <f t="shared" si="20"/>
        <v>0.33333333333333326</v>
      </c>
      <c r="AR52" s="213">
        <f t="shared" si="20"/>
        <v>0</v>
      </c>
      <c r="AS52" s="213">
        <f t="shared" si="20"/>
        <v>0</v>
      </c>
      <c r="AT52" s="213">
        <f t="shared" si="20"/>
        <v>0</v>
      </c>
      <c r="AU52" s="213">
        <f t="shared" si="20"/>
        <v>1</v>
      </c>
      <c r="AV52" s="213">
        <f t="shared" si="20"/>
        <v>0</v>
      </c>
      <c r="AW52" s="213">
        <f t="shared" si="20"/>
        <v>0.5</v>
      </c>
      <c r="AY52" s="186">
        <f t="shared" si="21"/>
        <v>9.1873313520819959</v>
      </c>
      <c r="AZ52" s="186">
        <f t="shared" si="21"/>
        <v>7.1315695587597965</v>
      </c>
      <c r="BA52" s="186">
        <f t="shared" si="21"/>
        <v>7.5023377508122824</v>
      </c>
      <c r="BB52" s="186">
        <f t="shared" si="21"/>
        <v>7.9640443914189216</v>
      </c>
      <c r="BC52" s="186">
        <f t="shared" si="21"/>
        <v>7.0613916829107426</v>
      </c>
      <c r="BD52" s="186">
        <f t="shared" si="21"/>
        <v>7.2276032185593522</v>
      </c>
      <c r="BE52" s="186">
        <f t="shared" si="21"/>
        <v>6.9324815206272277</v>
      </c>
    </row>
    <row r="53" spans="1:57" ht="12.75" x14ac:dyDescent="0.2">
      <c r="A53" s="181">
        <f t="shared" si="9"/>
        <v>7.761904761904761</v>
      </c>
      <c r="B53" s="187">
        <f t="shared" si="22"/>
        <v>0.8333333333333337</v>
      </c>
      <c r="C53" s="135">
        <v>9.0333333333333332</v>
      </c>
      <c r="D53" s="135">
        <v>7.1333333333333329</v>
      </c>
      <c r="E53" s="135">
        <v>7.8666666666666671</v>
      </c>
      <c r="F53" s="135">
        <v>8.2999999999999989</v>
      </c>
      <c r="G53" s="135">
        <v>6.5333333333333341</v>
      </c>
      <c r="H53" s="135">
        <v>8</v>
      </c>
      <c r="I53" s="135">
        <v>7.4666666666666659</v>
      </c>
      <c r="J53" s="165">
        <v>41</v>
      </c>
      <c r="K53" s="43">
        <f t="shared" si="10"/>
        <v>3</v>
      </c>
      <c r="L53" s="43">
        <f t="shared" si="11"/>
        <v>2</v>
      </c>
      <c r="M53" s="43">
        <f t="shared" si="12"/>
        <v>3</v>
      </c>
      <c r="N53" s="43">
        <f t="shared" si="13"/>
        <v>3</v>
      </c>
      <c r="O53" s="43">
        <f t="shared" si="14"/>
        <v>2</v>
      </c>
      <c r="P53" s="43">
        <f t="shared" si="15"/>
        <v>3</v>
      </c>
      <c r="Q53" s="43">
        <f t="shared" si="16"/>
        <v>2</v>
      </c>
      <c r="R53" s="165">
        <v>41</v>
      </c>
      <c r="S53" s="198">
        <v>4</v>
      </c>
      <c r="T53" s="198">
        <v>3</v>
      </c>
      <c r="U53" s="198">
        <v>3</v>
      </c>
      <c r="V53" s="198">
        <v>3</v>
      </c>
      <c r="W53" s="198">
        <v>4</v>
      </c>
      <c r="X53" s="198">
        <v>3</v>
      </c>
      <c r="Y53" s="198">
        <v>3</v>
      </c>
      <c r="AA53" s="184">
        <f t="shared" si="17"/>
        <v>0.98435693058021378</v>
      </c>
      <c r="AB53" s="184">
        <f t="shared" si="17"/>
        <v>0.96297129216183941</v>
      </c>
      <c r="AC53" s="184">
        <f t="shared" si="17"/>
        <v>0.9377922188515353</v>
      </c>
      <c r="AD53" s="184">
        <f t="shared" si="17"/>
        <v>0.93694639899046139</v>
      </c>
      <c r="AE53" s="184">
        <f t="shared" si="17"/>
        <v>0.99456220886066815</v>
      </c>
      <c r="AF53" s="184">
        <f t="shared" si="17"/>
        <v>0.94273085459469808</v>
      </c>
      <c r="AG53" s="184">
        <f t="shared" si="17"/>
        <v>0.97640584797566599</v>
      </c>
      <c r="AI53" s="214">
        <f t="shared" si="18"/>
        <v>1</v>
      </c>
      <c r="AJ53" s="214">
        <f t="shared" si="18"/>
        <v>1</v>
      </c>
      <c r="AK53" s="214">
        <f t="shared" si="18"/>
        <v>0</v>
      </c>
      <c r="AL53" s="214">
        <f t="shared" si="18"/>
        <v>0</v>
      </c>
      <c r="AM53" s="214">
        <f t="shared" si="18"/>
        <v>2</v>
      </c>
      <c r="AN53" s="214">
        <f t="shared" si="18"/>
        <v>0</v>
      </c>
      <c r="AO53" s="214">
        <f t="shared" si="18"/>
        <v>1</v>
      </c>
      <c r="AP53" s="206">
        <f t="shared" si="19"/>
        <v>0.8333333333333337</v>
      </c>
      <c r="AQ53" s="213">
        <f t="shared" si="20"/>
        <v>0.33333333333333326</v>
      </c>
      <c r="AR53" s="213">
        <f t="shared" si="20"/>
        <v>0.5</v>
      </c>
      <c r="AS53" s="213">
        <f t="shared" si="20"/>
        <v>0</v>
      </c>
      <c r="AT53" s="213">
        <f t="shared" si="20"/>
        <v>0</v>
      </c>
      <c r="AU53" s="213">
        <f t="shared" si="20"/>
        <v>1</v>
      </c>
      <c r="AV53" s="213">
        <f t="shared" si="20"/>
        <v>0</v>
      </c>
      <c r="AW53" s="213">
        <f t="shared" si="20"/>
        <v>0.5</v>
      </c>
      <c r="AY53" s="186">
        <f t="shared" si="21"/>
        <v>8.892024272907932</v>
      </c>
      <c r="AZ53" s="186">
        <f t="shared" si="21"/>
        <v>6.8691952174211206</v>
      </c>
      <c r="BA53" s="186">
        <f t="shared" si="21"/>
        <v>7.3772987882987451</v>
      </c>
      <c r="BB53" s="186">
        <f t="shared" si="21"/>
        <v>7.7766551116208289</v>
      </c>
      <c r="BC53" s="186">
        <f t="shared" si="21"/>
        <v>6.497806431223033</v>
      </c>
      <c r="BD53" s="186">
        <f t="shared" si="21"/>
        <v>7.5418468367575846</v>
      </c>
      <c r="BE53" s="186">
        <f t="shared" si="21"/>
        <v>7.2904969982183054</v>
      </c>
    </row>
    <row r="54" spans="1:57" ht="12.75" x14ac:dyDescent="0.2">
      <c r="A54" s="181">
        <f t="shared" si="9"/>
        <v>7.1904761904761907</v>
      </c>
      <c r="B54" s="187">
        <f t="shared" si="22"/>
        <v>0.85416666666666707</v>
      </c>
      <c r="C54" s="135">
        <v>8</v>
      </c>
      <c r="D54" s="135">
        <v>6.6000000000000005</v>
      </c>
      <c r="E54" s="135">
        <v>7.7</v>
      </c>
      <c r="F54" s="135">
        <v>7.7333333333333334</v>
      </c>
      <c r="G54" s="135">
        <v>6</v>
      </c>
      <c r="H54" s="135">
        <v>7.4666666666666659</v>
      </c>
      <c r="I54" s="135">
        <v>6.833333333333333</v>
      </c>
      <c r="J54" s="165">
        <v>42</v>
      </c>
      <c r="K54" s="43">
        <f t="shared" si="10"/>
        <v>3</v>
      </c>
      <c r="L54" s="43">
        <f t="shared" si="11"/>
        <v>2</v>
      </c>
      <c r="M54" s="43">
        <f t="shared" si="12"/>
        <v>3</v>
      </c>
      <c r="N54" s="43">
        <f t="shared" si="13"/>
        <v>3</v>
      </c>
      <c r="O54" s="43">
        <f t="shared" si="14"/>
        <v>2</v>
      </c>
      <c r="P54" s="43">
        <f t="shared" si="15"/>
        <v>3</v>
      </c>
      <c r="Q54" s="43">
        <f t="shared" si="16"/>
        <v>2</v>
      </c>
      <c r="R54" s="165">
        <v>42</v>
      </c>
      <c r="S54" s="198">
        <v>4</v>
      </c>
      <c r="T54" s="198">
        <v>3</v>
      </c>
      <c r="U54" s="198">
        <v>3</v>
      </c>
      <c r="V54" s="198">
        <v>3</v>
      </c>
      <c r="W54" s="198">
        <v>4</v>
      </c>
      <c r="X54" s="198">
        <v>3</v>
      </c>
      <c r="Y54" s="198">
        <v>3</v>
      </c>
      <c r="AA54" s="184">
        <f t="shared" si="17"/>
        <v>0.98971196736827394</v>
      </c>
      <c r="AB54" s="184">
        <f t="shared" si="17"/>
        <v>0.96297129216183941</v>
      </c>
      <c r="AC54" s="184">
        <f t="shared" si="17"/>
        <v>0.9377922188515353</v>
      </c>
      <c r="AD54" s="184">
        <f t="shared" si="17"/>
        <v>0.93694639899046139</v>
      </c>
      <c r="AE54" s="184">
        <f t="shared" si="17"/>
        <v>0.99690766831789335</v>
      </c>
      <c r="AF54" s="184">
        <f t="shared" si="17"/>
        <v>0.96018862334745159</v>
      </c>
      <c r="AG54" s="184">
        <f t="shared" si="17"/>
        <v>0.97640584797566599</v>
      </c>
      <c r="AI54" s="214">
        <f t="shared" si="18"/>
        <v>1</v>
      </c>
      <c r="AJ54" s="214">
        <f t="shared" si="18"/>
        <v>1</v>
      </c>
      <c r="AK54" s="214">
        <f t="shared" si="18"/>
        <v>0</v>
      </c>
      <c r="AL54" s="214">
        <f t="shared" si="18"/>
        <v>0</v>
      </c>
      <c r="AM54" s="214">
        <f t="shared" si="18"/>
        <v>2</v>
      </c>
      <c r="AN54" s="214">
        <f t="shared" si="18"/>
        <v>0</v>
      </c>
      <c r="AO54" s="214">
        <f t="shared" si="18"/>
        <v>1</v>
      </c>
      <c r="AP54" s="206">
        <f t="shared" si="19"/>
        <v>0.85416666666666707</v>
      </c>
      <c r="AQ54" s="213">
        <f t="shared" si="20"/>
        <v>0.33333333333333326</v>
      </c>
      <c r="AR54" s="213">
        <f t="shared" si="20"/>
        <v>0.5</v>
      </c>
      <c r="AS54" s="213">
        <f t="shared" si="20"/>
        <v>0</v>
      </c>
      <c r="AT54" s="213">
        <f t="shared" si="20"/>
        <v>0</v>
      </c>
      <c r="AU54" s="213">
        <f t="shared" si="20"/>
        <v>1</v>
      </c>
      <c r="AV54" s="213">
        <f t="shared" si="20"/>
        <v>0</v>
      </c>
      <c r="AW54" s="213">
        <f t="shared" si="20"/>
        <v>0.5</v>
      </c>
      <c r="AY54" s="186">
        <f t="shared" si="21"/>
        <v>7.9176957389461915</v>
      </c>
      <c r="AZ54" s="186">
        <f t="shared" si="21"/>
        <v>6.3556105282681408</v>
      </c>
      <c r="BA54" s="186">
        <f t="shared" si="21"/>
        <v>7.2210000851568221</v>
      </c>
      <c r="BB54" s="186">
        <f t="shared" si="21"/>
        <v>7.2457188188595678</v>
      </c>
      <c r="BC54" s="186">
        <f t="shared" si="21"/>
        <v>5.9814460099073603</v>
      </c>
      <c r="BD54" s="186">
        <f t="shared" si="21"/>
        <v>7.1694083876609715</v>
      </c>
      <c r="BE54" s="186">
        <f t="shared" si="21"/>
        <v>6.6721066278337169</v>
      </c>
    </row>
    <row r="55" spans="1:57" ht="13.5" customHeight="1" x14ac:dyDescent="0.2">
      <c r="A55" s="181">
        <f t="shared" si="9"/>
        <v>6.3619047619047624</v>
      </c>
      <c r="B55" s="187">
        <f t="shared" si="22"/>
        <v>0.87500000000000044</v>
      </c>
      <c r="C55" s="135">
        <v>7.166666666666667</v>
      </c>
      <c r="D55" s="135">
        <v>5.3666666666666663</v>
      </c>
      <c r="E55" s="135">
        <v>6.8999999999999995</v>
      </c>
      <c r="F55" s="135">
        <v>7.1000000000000005</v>
      </c>
      <c r="G55" s="135">
        <v>5.0666666666666664</v>
      </c>
      <c r="H55" s="135">
        <v>6.7333333333333334</v>
      </c>
      <c r="I55" s="135">
        <v>6.2</v>
      </c>
      <c r="J55" s="165">
        <v>43</v>
      </c>
      <c r="K55" s="43">
        <f t="shared" si="10"/>
        <v>3</v>
      </c>
      <c r="L55" s="43">
        <f t="shared" si="11"/>
        <v>2</v>
      </c>
      <c r="M55" s="43">
        <f t="shared" si="12"/>
        <v>3</v>
      </c>
      <c r="N55" s="43">
        <f t="shared" si="13"/>
        <v>3</v>
      </c>
      <c r="O55" s="43">
        <f t="shared" si="14"/>
        <v>2</v>
      </c>
      <c r="P55" s="43">
        <f t="shared" si="15"/>
        <v>3</v>
      </c>
      <c r="Q55" s="43">
        <f t="shared" si="16"/>
        <v>2</v>
      </c>
      <c r="R55" s="165">
        <v>43</v>
      </c>
      <c r="S55" s="198">
        <v>3</v>
      </c>
      <c r="T55" s="198">
        <v>2</v>
      </c>
      <c r="U55" s="198">
        <v>3</v>
      </c>
      <c r="V55" s="198">
        <v>3</v>
      </c>
      <c r="W55" s="198">
        <v>2</v>
      </c>
      <c r="X55" s="198">
        <v>3</v>
      </c>
      <c r="Y55" s="198">
        <v>3</v>
      </c>
      <c r="AA55" s="184">
        <f t="shared" si="17"/>
        <v>0.95961786613167566</v>
      </c>
      <c r="AB55" s="184">
        <f t="shared" si="17"/>
        <v>0.89686895534427957</v>
      </c>
      <c r="AC55" s="184">
        <f t="shared" si="17"/>
        <v>0.95669259826835051</v>
      </c>
      <c r="AD55" s="184">
        <f t="shared" si="17"/>
        <v>0.95609320475335013</v>
      </c>
      <c r="AE55" s="184">
        <f t="shared" si="17"/>
        <v>0.89896382888726112</v>
      </c>
      <c r="AF55" s="184">
        <f t="shared" si="17"/>
        <v>0.96018862334745159</v>
      </c>
      <c r="AG55" s="184">
        <f t="shared" si="17"/>
        <v>0.9846873603889712</v>
      </c>
      <c r="AI55" s="214">
        <f t="shared" si="18"/>
        <v>0</v>
      </c>
      <c r="AJ55" s="214">
        <f t="shared" si="18"/>
        <v>0</v>
      </c>
      <c r="AK55" s="214">
        <f t="shared" si="18"/>
        <v>0</v>
      </c>
      <c r="AL55" s="214">
        <f t="shared" si="18"/>
        <v>0</v>
      </c>
      <c r="AM55" s="214">
        <f t="shared" si="18"/>
        <v>0</v>
      </c>
      <c r="AN55" s="214">
        <f t="shared" si="18"/>
        <v>0</v>
      </c>
      <c r="AO55" s="214">
        <f t="shared" si="18"/>
        <v>1</v>
      </c>
      <c r="AP55" s="206">
        <f t="shared" si="19"/>
        <v>0.87500000000000044</v>
      </c>
      <c r="AQ55" s="213">
        <f t="shared" si="20"/>
        <v>0</v>
      </c>
      <c r="AR55" s="213">
        <f t="shared" si="20"/>
        <v>0</v>
      </c>
      <c r="AS55" s="213">
        <f t="shared" si="20"/>
        <v>0</v>
      </c>
      <c r="AT55" s="213">
        <f t="shared" si="20"/>
        <v>0</v>
      </c>
      <c r="AU55" s="213">
        <f t="shared" si="20"/>
        <v>0</v>
      </c>
      <c r="AV55" s="213">
        <f t="shared" si="20"/>
        <v>0</v>
      </c>
      <c r="AW55" s="213">
        <f t="shared" si="20"/>
        <v>0.5</v>
      </c>
      <c r="AY55" s="186">
        <f t="shared" si="21"/>
        <v>6.8772613739436759</v>
      </c>
      <c r="AZ55" s="186">
        <f t="shared" si="21"/>
        <v>4.8131967270142999</v>
      </c>
      <c r="BA55" s="186">
        <f t="shared" si="21"/>
        <v>6.6011789280516178</v>
      </c>
      <c r="BB55" s="186">
        <f t="shared" si="21"/>
        <v>6.7882617537487864</v>
      </c>
      <c r="BC55" s="186">
        <f t="shared" si="21"/>
        <v>4.5547500663621232</v>
      </c>
      <c r="BD55" s="186">
        <f t="shared" si="21"/>
        <v>6.4652700638728406</v>
      </c>
      <c r="BE55" s="186">
        <f t="shared" si="21"/>
        <v>6.105061634411622</v>
      </c>
    </row>
    <row r="56" spans="1:57" ht="12.75" x14ac:dyDescent="0.2">
      <c r="A56" s="181">
        <f t="shared" si="9"/>
        <v>5.4476190476190478</v>
      </c>
      <c r="B56" s="187">
        <f t="shared" si="22"/>
        <v>0.89583333333333381</v>
      </c>
      <c r="C56" s="135">
        <v>6.2666666666666657</v>
      </c>
      <c r="D56" s="135">
        <v>4.8</v>
      </c>
      <c r="E56" s="135">
        <v>5.3</v>
      </c>
      <c r="F56" s="135">
        <v>5.833333333333333</v>
      </c>
      <c r="G56" s="135">
        <v>4.6333333333333329</v>
      </c>
      <c r="H56" s="135">
        <v>5.5999999999999988</v>
      </c>
      <c r="I56" s="135">
        <v>5.7</v>
      </c>
      <c r="J56" s="165">
        <v>44</v>
      </c>
      <c r="K56" s="43">
        <f t="shared" si="10"/>
        <v>2</v>
      </c>
      <c r="L56" s="43">
        <f t="shared" si="11"/>
        <v>2</v>
      </c>
      <c r="M56" s="43">
        <f t="shared" si="12"/>
        <v>2</v>
      </c>
      <c r="N56" s="43">
        <f t="shared" si="13"/>
        <v>2</v>
      </c>
      <c r="O56" s="43">
        <f t="shared" si="14"/>
        <v>2</v>
      </c>
      <c r="P56" s="43">
        <f t="shared" si="15"/>
        <v>2</v>
      </c>
      <c r="Q56" s="43">
        <f t="shared" si="16"/>
        <v>2</v>
      </c>
      <c r="R56" s="165">
        <v>44</v>
      </c>
      <c r="S56" s="198">
        <v>2</v>
      </c>
      <c r="T56" s="198">
        <v>2</v>
      </c>
      <c r="U56" s="198">
        <v>2</v>
      </c>
      <c r="V56" s="198">
        <v>2</v>
      </c>
      <c r="W56" s="198">
        <v>2</v>
      </c>
      <c r="X56" s="198">
        <v>2</v>
      </c>
      <c r="Y56" s="198">
        <v>3</v>
      </c>
      <c r="AA56" s="184">
        <f t="shared" si="17"/>
        <v>0.84449188588938862</v>
      </c>
      <c r="AB56" s="184">
        <f t="shared" si="17"/>
        <v>0.89686895534427957</v>
      </c>
      <c r="AC56" s="184">
        <f t="shared" si="17"/>
        <v>0.88502105381766982</v>
      </c>
      <c r="AD56" s="184">
        <f t="shared" si="17"/>
        <v>0.8353305877139594</v>
      </c>
      <c r="AE56" s="184">
        <f t="shared" si="17"/>
        <v>0.89896382888726112</v>
      </c>
      <c r="AF56" s="184">
        <f t="shared" si="17"/>
        <v>0.84599784575080883</v>
      </c>
      <c r="AG56" s="184">
        <f t="shared" si="17"/>
        <v>0.9846873603889712</v>
      </c>
      <c r="AI56" s="214">
        <f t="shared" si="18"/>
        <v>0</v>
      </c>
      <c r="AJ56" s="214">
        <f t="shared" si="18"/>
        <v>0</v>
      </c>
      <c r="AK56" s="214">
        <f t="shared" si="18"/>
        <v>0</v>
      </c>
      <c r="AL56" s="214">
        <f t="shared" si="18"/>
        <v>0</v>
      </c>
      <c r="AM56" s="214">
        <f t="shared" si="18"/>
        <v>0</v>
      </c>
      <c r="AN56" s="214">
        <f t="shared" si="18"/>
        <v>0</v>
      </c>
      <c r="AO56" s="214">
        <f t="shared" si="18"/>
        <v>1</v>
      </c>
      <c r="AP56" s="206">
        <f t="shared" si="19"/>
        <v>0.89583333333333381</v>
      </c>
      <c r="AQ56" s="213">
        <f t="shared" si="20"/>
        <v>0</v>
      </c>
      <c r="AR56" s="213">
        <f t="shared" si="20"/>
        <v>0</v>
      </c>
      <c r="AS56" s="213">
        <f t="shared" si="20"/>
        <v>0</v>
      </c>
      <c r="AT56" s="213">
        <f t="shared" si="20"/>
        <v>0</v>
      </c>
      <c r="AU56" s="213">
        <f t="shared" si="20"/>
        <v>0</v>
      </c>
      <c r="AV56" s="213">
        <f t="shared" si="20"/>
        <v>0</v>
      </c>
      <c r="AW56" s="213">
        <f t="shared" si="20"/>
        <v>0.5</v>
      </c>
      <c r="AY56" s="186">
        <f t="shared" si="21"/>
        <v>5.2921491515735015</v>
      </c>
      <c r="AZ56" s="186">
        <f t="shared" si="21"/>
        <v>4.3049709856525418</v>
      </c>
      <c r="BA56" s="186">
        <f t="shared" si="21"/>
        <v>4.6906115852336496</v>
      </c>
      <c r="BB56" s="186">
        <f t="shared" si="21"/>
        <v>4.8727617616647629</v>
      </c>
      <c r="BC56" s="186">
        <f t="shared" si="21"/>
        <v>4.1651990738443097</v>
      </c>
      <c r="BD56" s="186">
        <f t="shared" si="21"/>
        <v>4.7375879362045286</v>
      </c>
      <c r="BE56" s="186">
        <f t="shared" si="21"/>
        <v>5.6127179542171364</v>
      </c>
    </row>
    <row r="57" spans="1:57" ht="12.75" x14ac:dyDescent="0.2">
      <c r="A57" s="181">
        <f t="shared" si="9"/>
        <v>4.4238095238095241</v>
      </c>
      <c r="B57" s="187">
        <f t="shared" si="22"/>
        <v>0.91666666666666718</v>
      </c>
      <c r="C57" s="135">
        <v>4.5999999999999996</v>
      </c>
      <c r="D57" s="135">
        <v>4.3666666666666671</v>
      </c>
      <c r="E57" s="135">
        <v>3.8333333333333335</v>
      </c>
      <c r="F57" s="135">
        <v>4.5</v>
      </c>
      <c r="G57" s="135">
        <v>4.6999999999999993</v>
      </c>
      <c r="H57" s="135">
        <v>4.1000000000000005</v>
      </c>
      <c r="I57" s="135">
        <v>4.8666666666666671</v>
      </c>
      <c r="J57" s="165">
        <v>45</v>
      </c>
      <c r="K57" s="43">
        <f t="shared" si="10"/>
        <v>2</v>
      </c>
      <c r="L57" s="43">
        <f t="shared" si="11"/>
        <v>2</v>
      </c>
      <c r="M57" s="43">
        <f t="shared" si="12"/>
        <v>2</v>
      </c>
      <c r="N57" s="43">
        <f t="shared" si="13"/>
        <v>2</v>
      </c>
      <c r="O57" s="43">
        <f t="shared" si="14"/>
        <v>2</v>
      </c>
      <c r="P57" s="43">
        <f t="shared" si="15"/>
        <v>2</v>
      </c>
      <c r="Q57" s="43">
        <f t="shared" si="16"/>
        <v>2</v>
      </c>
      <c r="R57" s="165">
        <v>45</v>
      </c>
      <c r="S57" s="198">
        <v>1</v>
      </c>
      <c r="T57" s="198">
        <v>1</v>
      </c>
      <c r="U57" s="198">
        <v>1</v>
      </c>
      <c r="V57" s="198">
        <v>1</v>
      </c>
      <c r="W57" s="198">
        <v>1</v>
      </c>
      <c r="X57" s="198">
        <v>1</v>
      </c>
      <c r="Y57" s="198">
        <v>1</v>
      </c>
      <c r="AA57" s="184">
        <f t="shared" si="17"/>
        <v>0.41536053097533754</v>
      </c>
      <c r="AB57" s="184">
        <f t="shared" si="17"/>
        <v>0.56241334047852631</v>
      </c>
      <c r="AC57" s="184">
        <f t="shared" si="17"/>
        <v>0.53527978030038714</v>
      </c>
      <c r="AD57" s="184">
        <f t="shared" si="17"/>
        <v>0.53280972597016063</v>
      </c>
      <c r="AE57" s="184">
        <f t="shared" si="17"/>
        <v>0.44084238643850493</v>
      </c>
      <c r="AF57" s="184">
        <f t="shared" si="17"/>
        <v>0.55008855556378111</v>
      </c>
      <c r="AG57" s="184">
        <f t="shared" si="17"/>
        <v>0.52326865460635485</v>
      </c>
      <c r="AI57" s="214">
        <f t="shared" si="18"/>
        <v>-1</v>
      </c>
      <c r="AJ57" s="214">
        <f t="shared" si="18"/>
        <v>-1</v>
      </c>
      <c r="AK57" s="214">
        <f t="shared" si="18"/>
        <v>-1</v>
      </c>
      <c r="AL57" s="214">
        <f t="shared" si="18"/>
        <v>-1</v>
      </c>
      <c r="AM57" s="214">
        <f t="shared" si="18"/>
        <v>-1</v>
      </c>
      <c r="AN57" s="214">
        <f t="shared" si="18"/>
        <v>-1</v>
      </c>
      <c r="AO57" s="214">
        <f t="shared" si="18"/>
        <v>-1</v>
      </c>
      <c r="AP57" s="206">
        <f t="shared" si="19"/>
        <v>0.91666666666666718</v>
      </c>
      <c r="AQ57" s="213">
        <f t="shared" si="20"/>
        <v>-0.5</v>
      </c>
      <c r="AR57" s="213">
        <f t="shared" si="20"/>
        <v>-0.5</v>
      </c>
      <c r="AS57" s="213">
        <f t="shared" si="20"/>
        <v>-0.5</v>
      </c>
      <c r="AT57" s="213">
        <f t="shared" si="20"/>
        <v>-0.5</v>
      </c>
      <c r="AU57" s="213">
        <f t="shared" si="20"/>
        <v>-0.5</v>
      </c>
      <c r="AV57" s="213">
        <f t="shared" si="20"/>
        <v>-0.5</v>
      </c>
      <c r="AW57" s="213">
        <f t="shared" si="20"/>
        <v>-0.5</v>
      </c>
      <c r="AY57" s="186">
        <f t="shared" si="21"/>
        <v>1.9106584424865525</v>
      </c>
      <c r="AZ57" s="186">
        <f t="shared" si="21"/>
        <v>2.4558715867562317</v>
      </c>
      <c r="BA57" s="186">
        <f t="shared" si="21"/>
        <v>2.0519058244848174</v>
      </c>
      <c r="BB57" s="186">
        <f t="shared" si="21"/>
        <v>2.3976437668657229</v>
      </c>
      <c r="BC57" s="186">
        <f t="shared" si="21"/>
        <v>2.0719592162609728</v>
      </c>
      <c r="BD57" s="186">
        <f t="shared" si="21"/>
        <v>2.255363077811503</v>
      </c>
      <c r="BE57" s="186">
        <f t="shared" si="21"/>
        <v>2.5465741190842603</v>
      </c>
    </row>
    <row r="58" spans="1:57" ht="12.75" x14ac:dyDescent="0.2">
      <c r="A58" s="181">
        <f t="shared" si="9"/>
        <v>3.6095238095238096</v>
      </c>
      <c r="B58" s="187">
        <f t="shared" si="22"/>
        <v>0.93750000000000056</v>
      </c>
      <c r="C58" s="135">
        <v>3.1999999999999997</v>
      </c>
      <c r="D58" s="135">
        <v>3.7999999999999994</v>
      </c>
      <c r="E58" s="135">
        <v>3</v>
      </c>
      <c r="F58" s="135">
        <v>4.2666666666666666</v>
      </c>
      <c r="G58" s="135">
        <v>4.2333333333333334</v>
      </c>
      <c r="H58" s="135">
        <v>3.3666666666666667</v>
      </c>
      <c r="I58" s="135">
        <v>3.4000000000000004</v>
      </c>
      <c r="J58" s="165">
        <v>46</v>
      </c>
      <c r="K58" s="43">
        <f t="shared" si="10"/>
        <v>2</v>
      </c>
      <c r="L58" s="43">
        <f t="shared" si="11"/>
        <v>2</v>
      </c>
      <c r="M58" s="43">
        <f t="shared" si="12"/>
        <v>2</v>
      </c>
      <c r="N58" s="43">
        <f t="shared" si="13"/>
        <v>2</v>
      </c>
      <c r="O58" s="43">
        <f t="shared" si="14"/>
        <v>2</v>
      </c>
      <c r="P58" s="43">
        <f t="shared" si="15"/>
        <v>2</v>
      </c>
      <c r="Q58" s="43">
        <f t="shared" si="16"/>
        <v>2</v>
      </c>
      <c r="R58" s="165">
        <v>46</v>
      </c>
      <c r="S58" s="198">
        <v>1</v>
      </c>
      <c r="T58" s="198">
        <v>1</v>
      </c>
      <c r="U58" s="198">
        <v>1</v>
      </c>
      <c r="V58" s="198">
        <v>1</v>
      </c>
      <c r="W58" s="198">
        <v>1</v>
      </c>
      <c r="X58" s="198">
        <v>1</v>
      </c>
      <c r="Y58" s="198">
        <v>1</v>
      </c>
      <c r="AA58" s="184">
        <f t="shared" si="17"/>
        <v>0.67183941580135131</v>
      </c>
      <c r="AB58" s="184">
        <f t="shared" si="17"/>
        <v>0.56241334047852631</v>
      </c>
      <c r="AC58" s="184">
        <f t="shared" si="17"/>
        <v>0.66288634096524968</v>
      </c>
      <c r="AD58" s="184">
        <f t="shared" si="17"/>
        <v>0.53280972597016063</v>
      </c>
      <c r="AE58" s="184">
        <f t="shared" si="17"/>
        <v>0.56733900276498106</v>
      </c>
      <c r="AF58" s="184">
        <f t="shared" si="17"/>
        <v>0.67362880536263026</v>
      </c>
      <c r="AG58" s="184">
        <f t="shared" si="17"/>
        <v>0.73240869784043461</v>
      </c>
      <c r="AI58" s="214">
        <f t="shared" si="18"/>
        <v>-1</v>
      </c>
      <c r="AJ58" s="214">
        <f t="shared" si="18"/>
        <v>-1</v>
      </c>
      <c r="AK58" s="214">
        <f t="shared" si="18"/>
        <v>-1</v>
      </c>
      <c r="AL58" s="214">
        <f t="shared" si="18"/>
        <v>-1</v>
      </c>
      <c r="AM58" s="214">
        <f t="shared" si="18"/>
        <v>-1</v>
      </c>
      <c r="AN58" s="214">
        <f t="shared" si="18"/>
        <v>-1</v>
      </c>
      <c r="AO58" s="214">
        <f t="shared" si="18"/>
        <v>-1</v>
      </c>
      <c r="AP58" s="206">
        <f t="shared" si="19"/>
        <v>0.93750000000000056</v>
      </c>
      <c r="AQ58" s="213">
        <f t="shared" si="20"/>
        <v>-0.5</v>
      </c>
      <c r="AR58" s="213">
        <f t="shared" si="20"/>
        <v>-0.5</v>
      </c>
      <c r="AS58" s="213">
        <f t="shared" si="20"/>
        <v>-0.5</v>
      </c>
      <c r="AT58" s="213">
        <f t="shared" si="20"/>
        <v>-0.5</v>
      </c>
      <c r="AU58" s="213">
        <f t="shared" si="20"/>
        <v>-0.5</v>
      </c>
      <c r="AV58" s="213">
        <f t="shared" si="20"/>
        <v>-0.5</v>
      </c>
      <c r="AW58" s="213">
        <f t="shared" si="20"/>
        <v>-0.5</v>
      </c>
      <c r="AY58" s="186">
        <f t="shared" si="21"/>
        <v>2.1498861305643242</v>
      </c>
      <c r="AZ58" s="186">
        <f t="shared" si="21"/>
        <v>2.1371706938183999</v>
      </c>
      <c r="BA58" s="186">
        <f t="shared" si="21"/>
        <v>1.988659022895749</v>
      </c>
      <c r="BB58" s="186">
        <f t="shared" si="21"/>
        <v>2.2733214974726854</v>
      </c>
      <c r="BC58" s="186">
        <f t="shared" si="21"/>
        <v>2.4017351117050865</v>
      </c>
      <c r="BD58" s="186">
        <f t="shared" si="21"/>
        <v>2.2678836447208552</v>
      </c>
      <c r="BE58" s="186">
        <f t="shared" si="21"/>
        <v>2.4901895726574779</v>
      </c>
    </row>
    <row r="59" spans="1:57" ht="12.75" x14ac:dyDescent="0.2">
      <c r="A59" s="181">
        <f t="shared" si="9"/>
        <v>2.1214285714285714</v>
      </c>
      <c r="B59" s="187">
        <f t="shared" si="22"/>
        <v>0.95833333333333393</v>
      </c>
      <c r="C59" s="135">
        <v>1.5</v>
      </c>
      <c r="D59" s="135">
        <v>1.7999999999999998</v>
      </c>
      <c r="E59" s="135">
        <v>2</v>
      </c>
      <c r="F59" s="135">
        <v>3.05</v>
      </c>
      <c r="G59" s="135">
        <v>2.4000000000000004</v>
      </c>
      <c r="H59" s="135">
        <v>2.2999999999999998</v>
      </c>
      <c r="I59" s="135">
        <v>1.8</v>
      </c>
      <c r="J59" s="165">
        <v>47</v>
      </c>
      <c r="K59" s="43">
        <f t="shared" si="10"/>
        <v>2</v>
      </c>
      <c r="L59" s="43">
        <f t="shared" si="11"/>
        <v>2</v>
      </c>
      <c r="M59" s="43">
        <f t="shared" si="12"/>
        <v>2</v>
      </c>
      <c r="N59" s="43">
        <f t="shared" si="13"/>
        <v>2</v>
      </c>
      <c r="O59" s="43">
        <f t="shared" si="14"/>
        <v>2</v>
      </c>
      <c r="P59" s="43">
        <f t="shared" si="15"/>
        <v>2</v>
      </c>
      <c r="Q59" s="43">
        <f t="shared" si="16"/>
        <v>1</v>
      </c>
      <c r="R59" s="165">
        <v>47</v>
      </c>
      <c r="S59" s="198">
        <v>1</v>
      </c>
      <c r="T59" s="198">
        <v>1</v>
      </c>
      <c r="U59" s="198">
        <v>1</v>
      </c>
      <c r="V59" s="198">
        <v>1</v>
      </c>
      <c r="W59" s="198">
        <v>1</v>
      </c>
      <c r="X59" s="198">
        <v>1</v>
      </c>
      <c r="Y59" s="198">
        <v>1</v>
      </c>
      <c r="AA59" s="184">
        <f t="shared" si="17"/>
        <v>0.78839853294632412</v>
      </c>
      <c r="AB59" s="184">
        <f t="shared" si="17"/>
        <v>0.79531731173050457</v>
      </c>
      <c r="AC59" s="184">
        <f t="shared" si="17"/>
        <v>0.78262549419279204</v>
      </c>
      <c r="AD59" s="184">
        <f t="shared" si="17"/>
        <v>0.6610945337273042</v>
      </c>
      <c r="AE59" s="184">
        <f t="shared" si="17"/>
        <v>0.79762130746794724</v>
      </c>
      <c r="AF59" s="184">
        <f t="shared" si="17"/>
        <v>0.78955235054212636</v>
      </c>
      <c r="AG59" s="184">
        <f t="shared" si="17"/>
        <v>0.82745425613488199</v>
      </c>
      <c r="AI59" s="214">
        <f t="shared" si="18"/>
        <v>-1</v>
      </c>
      <c r="AJ59" s="214">
        <f t="shared" si="18"/>
        <v>-1</v>
      </c>
      <c r="AK59" s="214">
        <f t="shared" si="18"/>
        <v>-1</v>
      </c>
      <c r="AL59" s="214">
        <f t="shared" si="18"/>
        <v>-1</v>
      </c>
      <c r="AM59" s="214">
        <f t="shared" si="18"/>
        <v>-1</v>
      </c>
      <c r="AN59" s="214">
        <f t="shared" si="18"/>
        <v>-1</v>
      </c>
      <c r="AO59" s="214">
        <f t="shared" si="18"/>
        <v>0</v>
      </c>
      <c r="AP59" s="206">
        <f t="shared" si="19"/>
        <v>0.95833333333333393</v>
      </c>
      <c r="AQ59" s="213">
        <f t="shared" si="20"/>
        <v>-0.5</v>
      </c>
      <c r="AR59" s="213">
        <f t="shared" si="20"/>
        <v>-0.5</v>
      </c>
      <c r="AS59" s="213">
        <f t="shared" si="20"/>
        <v>-0.5</v>
      </c>
      <c r="AT59" s="213">
        <f t="shared" si="20"/>
        <v>-0.5</v>
      </c>
      <c r="AU59" s="213">
        <f t="shared" si="20"/>
        <v>-0.5</v>
      </c>
      <c r="AV59" s="213">
        <f t="shared" si="20"/>
        <v>-0.5</v>
      </c>
      <c r="AW59" s="213">
        <f t="shared" si="20"/>
        <v>0</v>
      </c>
      <c r="AY59" s="186">
        <f t="shared" si="21"/>
        <v>1.1825977994194861</v>
      </c>
      <c r="AZ59" s="186">
        <f t="shared" si="21"/>
        <v>1.431571161114908</v>
      </c>
      <c r="BA59" s="186">
        <f t="shared" si="21"/>
        <v>1.5652509883855841</v>
      </c>
      <c r="BB59" s="186">
        <f t="shared" si="21"/>
        <v>2.0163383278682776</v>
      </c>
      <c r="BC59" s="186">
        <f t="shared" si="21"/>
        <v>1.9142911379230736</v>
      </c>
      <c r="BD59" s="186">
        <f t="shared" si="21"/>
        <v>1.8159704062468904</v>
      </c>
      <c r="BE59" s="186">
        <f t="shared" si="21"/>
        <v>1.4894176610427876</v>
      </c>
    </row>
    <row r="60" spans="1:57" ht="13.5" thickBot="1" x14ac:dyDescent="0.25">
      <c r="A60" s="181">
        <f t="shared" si="9"/>
        <v>1.3285714285714287</v>
      </c>
      <c r="B60" s="187">
        <f t="shared" si="22"/>
        <v>0.9791666666666673</v>
      </c>
      <c r="C60" s="135">
        <v>0.7</v>
      </c>
      <c r="D60" s="135">
        <v>1.9</v>
      </c>
      <c r="E60" s="135">
        <v>0.79999999999999993</v>
      </c>
      <c r="F60" s="135">
        <v>1.45</v>
      </c>
      <c r="G60" s="135">
        <v>1.65</v>
      </c>
      <c r="H60" s="135">
        <v>1.5499999999999998</v>
      </c>
      <c r="I60" s="135">
        <v>1.25</v>
      </c>
      <c r="J60" s="165">
        <v>48</v>
      </c>
      <c r="K60" s="43">
        <f t="shared" si="10"/>
        <v>1</v>
      </c>
      <c r="L60" s="43">
        <f t="shared" si="11"/>
        <v>2</v>
      </c>
      <c r="M60" s="43">
        <f t="shared" si="12"/>
        <v>1</v>
      </c>
      <c r="N60" s="43">
        <f t="shared" si="13"/>
        <v>1</v>
      </c>
      <c r="O60" s="43">
        <f t="shared" si="14"/>
        <v>2</v>
      </c>
      <c r="P60" s="43">
        <f t="shared" si="15"/>
        <v>2</v>
      </c>
      <c r="Q60" s="43">
        <f t="shared" si="16"/>
        <v>1</v>
      </c>
      <c r="R60" s="165">
        <v>48</v>
      </c>
      <c r="S60" s="198">
        <v>1</v>
      </c>
      <c r="T60" s="198">
        <v>1</v>
      </c>
      <c r="U60" s="198">
        <v>1</v>
      </c>
      <c r="V60" s="198">
        <v>1</v>
      </c>
      <c r="W60" s="198">
        <v>1</v>
      </c>
      <c r="X60" s="198">
        <v>1</v>
      </c>
      <c r="Y60" s="198">
        <v>1</v>
      </c>
      <c r="AA60" s="184">
        <f t="shared" si="17"/>
        <v>0.8976678270900359</v>
      </c>
      <c r="AB60" s="184">
        <f t="shared" si="17"/>
        <v>0.79531731173050457</v>
      </c>
      <c r="AC60" s="184">
        <f t="shared" si="17"/>
        <v>0.8948759390744746</v>
      </c>
      <c r="AD60" s="184">
        <f t="shared" si="17"/>
        <v>0.89431718967883189</v>
      </c>
      <c r="AE60" s="184">
        <f t="shared" si="17"/>
        <v>0.79762130746794724</v>
      </c>
      <c r="AF60" s="184">
        <f t="shared" si="17"/>
        <v>0.78955235054212636</v>
      </c>
      <c r="AG60" s="184">
        <f t="shared" si="17"/>
        <v>0.9165554892320068</v>
      </c>
      <c r="AI60" s="214">
        <f t="shared" si="18"/>
        <v>0</v>
      </c>
      <c r="AJ60" s="214">
        <f t="shared" si="18"/>
        <v>-1</v>
      </c>
      <c r="AK60" s="214">
        <f t="shared" si="18"/>
        <v>0</v>
      </c>
      <c r="AL60" s="214">
        <f t="shared" si="18"/>
        <v>0</v>
      </c>
      <c r="AM60" s="214">
        <f t="shared" si="18"/>
        <v>-1</v>
      </c>
      <c r="AN60" s="214">
        <f t="shared" si="18"/>
        <v>-1</v>
      </c>
      <c r="AO60" s="214">
        <f t="shared" si="18"/>
        <v>0</v>
      </c>
      <c r="AP60" s="206">
        <f t="shared" si="19"/>
        <v>0.9791666666666673</v>
      </c>
      <c r="AQ60" s="213">
        <f t="shared" si="20"/>
        <v>0</v>
      </c>
      <c r="AR60" s="213">
        <f t="shared" si="20"/>
        <v>-0.5</v>
      </c>
      <c r="AS60" s="213">
        <f t="shared" si="20"/>
        <v>0</v>
      </c>
      <c r="AT60" s="213">
        <f t="shared" si="20"/>
        <v>0</v>
      </c>
      <c r="AU60" s="213">
        <f t="shared" si="20"/>
        <v>-0.5</v>
      </c>
      <c r="AV60" s="213">
        <f t="shared" si="20"/>
        <v>-0.5</v>
      </c>
      <c r="AW60" s="213">
        <f t="shared" si="20"/>
        <v>0</v>
      </c>
      <c r="AY60" s="186">
        <f t="shared" si="21"/>
        <v>0.62836747896302514</v>
      </c>
      <c r="AZ60" s="186">
        <f t="shared" si="21"/>
        <v>1.5111028922879586</v>
      </c>
      <c r="BA60" s="186">
        <f t="shared" si="21"/>
        <v>0.71590075125957964</v>
      </c>
      <c r="BB60" s="186">
        <f t="shared" si="21"/>
        <v>1.2967599250343063</v>
      </c>
      <c r="BC60" s="186">
        <f t="shared" si="21"/>
        <v>1.3160751573221128</v>
      </c>
      <c r="BD60" s="186">
        <f t="shared" si="21"/>
        <v>1.2238061433402958</v>
      </c>
      <c r="BE60" s="186">
        <f t="shared" si="21"/>
        <v>1.1456943615400086</v>
      </c>
    </row>
    <row r="61" spans="1:57" ht="15.75" thickBot="1" x14ac:dyDescent="0.3">
      <c r="A61" s="188">
        <f>SUM(K61:Q61)</f>
        <v>331.5</v>
      </c>
      <c r="B61" s="189">
        <f>SUM(C61:I61)</f>
        <v>1992.3333333333333</v>
      </c>
      <c r="C61" s="257">
        <f t="shared" ref="C61:I61" si="23">SUM(C13:C60)</f>
        <v>308.61666666666662</v>
      </c>
      <c r="D61" s="257">
        <f t="shared" si="23"/>
        <v>294.45000000000005</v>
      </c>
      <c r="E61" s="257">
        <f t="shared" si="23"/>
        <v>284.66666666666669</v>
      </c>
      <c r="F61" s="257">
        <f t="shared" si="23"/>
        <v>287.33333333333331</v>
      </c>
      <c r="G61" s="257">
        <f t="shared" si="23"/>
        <v>286.18333333333334</v>
      </c>
      <c r="H61" s="257">
        <f t="shared" si="23"/>
        <v>295.26666666666671</v>
      </c>
      <c r="I61" s="257">
        <f t="shared" si="23"/>
        <v>235.81666666666663</v>
      </c>
      <c r="K61" s="193">
        <f>SUM(K13:K60)/2</f>
        <v>48.5</v>
      </c>
      <c r="L61" s="191">
        <f t="shared" ref="L61:Q61" si="24">SUM(L13:L60)/2</f>
        <v>47.5</v>
      </c>
      <c r="M61" s="191">
        <f t="shared" si="24"/>
        <v>47.5</v>
      </c>
      <c r="N61" s="191">
        <f t="shared" si="24"/>
        <v>48</v>
      </c>
      <c r="O61" s="191">
        <f t="shared" si="24"/>
        <v>47.5</v>
      </c>
      <c r="P61" s="191">
        <f t="shared" si="24"/>
        <v>52.5</v>
      </c>
      <c r="Q61" s="192">
        <f t="shared" si="24"/>
        <v>40</v>
      </c>
      <c r="S61" s="193">
        <f>SUM(S13:S60)/2</f>
        <v>64</v>
      </c>
      <c r="T61" s="193">
        <f t="shared" ref="T61:Y61" si="25">SUM(T13:T60)/2</f>
        <v>62</v>
      </c>
      <c r="U61" s="193">
        <f t="shared" si="25"/>
        <v>62.5</v>
      </c>
      <c r="V61" s="193">
        <f t="shared" si="25"/>
        <v>62.5</v>
      </c>
      <c r="W61" s="193">
        <f t="shared" si="25"/>
        <v>70</v>
      </c>
      <c r="X61" s="193">
        <f t="shared" si="25"/>
        <v>62.5</v>
      </c>
      <c r="Y61" s="193">
        <f t="shared" si="25"/>
        <v>63</v>
      </c>
      <c r="AP61" s="21" t="s">
        <v>161</v>
      </c>
      <c r="AQ61" s="215">
        <f>COUNTIF(AQ13:AQ60,$AP$61)/48</f>
        <v>8.3333333333333329E-2</v>
      </c>
      <c r="AR61" s="216">
        <f t="shared" ref="AR61:AW61" si="26">COUNTIF(AR13:AR60,$AP$61)/48</f>
        <v>0.10416666666666667</v>
      </c>
      <c r="AS61" s="216">
        <f t="shared" si="26"/>
        <v>6.25E-2</v>
      </c>
      <c r="AT61" s="216">
        <f t="shared" si="26"/>
        <v>6.25E-2</v>
      </c>
      <c r="AU61" s="216">
        <f t="shared" si="26"/>
        <v>0.10416666666666667</v>
      </c>
      <c r="AV61" s="216">
        <f t="shared" si="26"/>
        <v>0.10416666666666667</v>
      </c>
      <c r="AW61" s="217">
        <f t="shared" si="26"/>
        <v>4.1666666666666664E-2</v>
      </c>
    </row>
    <row r="62" spans="1:57" ht="15.75" thickBot="1" x14ac:dyDescent="0.3">
      <c r="A62" s="188">
        <f>SUM(S61:Y61)</f>
        <v>446.5</v>
      </c>
      <c r="C62" s="258">
        <v>231</v>
      </c>
      <c r="D62" s="258">
        <v>225</v>
      </c>
      <c r="E62" s="258">
        <v>236</v>
      </c>
      <c r="F62" s="258">
        <v>237</v>
      </c>
      <c r="G62" s="258">
        <v>223</v>
      </c>
      <c r="H62" s="258">
        <v>230</v>
      </c>
      <c r="I62" s="258">
        <v>197</v>
      </c>
      <c r="AP62" s="21" t="s">
        <v>164</v>
      </c>
      <c r="AQ62" s="215">
        <f>COUNTIF(AQ13:AQ60,$AP$62)/48</f>
        <v>0.39583333333333331</v>
      </c>
      <c r="AR62" s="215">
        <f t="shared" ref="AR62:AV62" si="27">COUNTIF(AR13:AR60,$AP$62)/48</f>
        <v>0.4375</v>
      </c>
      <c r="AS62" s="215">
        <f t="shared" si="27"/>
        <v>0.41666666666666669</v>
      </c>
      <c r="AT62" s="215">
        <f t="shared" si="27"/>
        <v>0.45833333333333331</v>
      </c>
      <c r="AU62" s="215">
        <f t="shared" si="27"/>
        <v>0.58333333333333337</v>
      </c>
      <c r="AV62" s="215">
        <f t="shared" si="27"/>
        <v>0.3125</v>
      </c>
      <c r="AW62" s="215">
        <f>COUNTIF(AW13:AW60,$AP$62)/48</f>
        <v>0.54166666666666663</v>
      </c>
    </row>
    <row r="63" spans="1:57" x14ac:dyDescent="0.2">
      <c r="C63" s="195">
        <f>C61/$B$61</f>
        <v>0.15490212481177845</v>
      </c>
      <c r="D63" s="195">
        <f t="shared" ref="D63:I63" si="28">D61/$B$61</f>
        <v>0.1477915342144889</v>
      </c>
      <c r="E63" s="195">
        <f t="shared" si="28"/>
        <v>0.14288104400200771</v>
      </c>
      <c r="F63" s="195">
        <f t="shared" si="28"/>
        <v>0.14421950811443868</v>
      </c>
      <c r="G63" s="195">
        <f t="shared" si="28"/>
        <v>0.14364229546595284</v>
      </c>
      <c r="H63" s="195">
        <f t="shared" si="28"/>
        <v>0.1482014388489209</v>
      </c>
      <c r="I63" s="195">
        <f t="shared" si="28"/>
        <v>0.11836205454241257</v>
      </c>
      <c r="K63" s="195">
        <f>K61/$A$61</f>
        <v>0.14630467571644043</v>
      </c>
      <c r="L63" s="195">
        <f t="shared" ref="L63:Q63" si="29">L61/$A$61</f>
        <v>0.14328808446455504</v>
      </c>
      <c r="M63" s="195">
        <f t="shared" si="29"/>
        <v>0.14328808446455504</v>
      </c>
      <c r="N63" s="195">
        <f t="shared" si="29"/>
        <v>0.14479638009049775</v>
      </c>
      <c r="O63" s="195">
        <f t="shared" si="29"/>
        <v>0.14328808446455504</v>
      </c>
      <c r="P63" s="195">
        <f t="shared" si="29"/>
        <v>0.15837104072398189</v>
      </c>
      <c r="Q63" s="195">
        <f t="shared" si="29"/>
        <v>0.12066365007541478</v>
      </c>
      <c r="S63" s="195">
        <f>S61/$A$62</f>
        <v>0.14333706606942889</v>
      </c>
      <c r="T63" s="195">
        <f t="shared" ref="T63:Y63" si="30">T61/$A$62</f>
        <v>0.13885778275475924</v>
      </c>
      <c r="U63" s="195">
        <f t="shared" si="30"/>
        <v>0.13997760358342665</v>
      </c>
      <c r="V63" s="195">
        <f t="shared" si="30"/>
        <v>0.13997760358342665</v>
      </c>
      <c r="W63" s="195">
        <f t="shared" si="30"/>
        <v>0.15677491601343785</v>
      </c>
      <c r="X63" s="195">
        <f t="shared" si="30"/>
        <v>0.13997760358342665</v>
      </c>
      <c r="Y63" s="195">
        <f t="shared" si="30"/>
        <v>0.14109742441209405</v>
      </c>
    </row>
    <row r="65" spans="11:45" x14ac:dyDescent="0.2">
      <c r="K65" s="306" t="str">
        <f>"ETP HEBDO =  "&amp;A61/40</f>
        <v>ETP HEBDO =  8,2875</v>
      </c>
      <c r="L65" s="306"/>
      <c r="M65" s="306"/>
      <c r="N65" s="306"/>
      <c r="O65" s="306"/>
      <c r="P65" s="306"/>
      <c r="Q65" s="306"/>
      <c r="S65" s="307" t="str">
        <f>"ETP HEBDO =  "&amp;A62/40</f>
        <v>ETP HEBDO =  11,1625</v>
      </c>
      <c r="T65" s="307"/>
      <c r="U65" s="307"/>
      <c r="V65" s="307"/>
      <c r="W65" s="307"/>
      <c r="X65" s="307"/>
      <c r="Y65" s="307"/>
      <c r="AP65" s="165" t="s">
        <v>162</v>
      </c>
      <c r="AQ65" s="309" t="s">
        <v>149</v>
      </c>
      <c r="AR65" s="309"/>
      <c r="AS65" s="196">
        <f>COUNTIF(AI13:AO60, AP65)</f>
        <v>0</v>
      </c>
    </row>
    <row r="68" spans="11:45" x14ac:dyDescent="0.2">
      <c r="AP68" s="165" t="s">
        <v>163</v>
      </c>
      <c r="AQ68" s="305" t="s">
        <v>152</v>
      </c>
      <c r="AR68" s="305"/>
      <c r="AS68" s="196">
        <f>COUNTIF(AI13:AO60, AP68)</f>
        <v>0</v>
      </c>
    </row>
    <row r="70" spans="11:45" ht="12.75" x14ac:dyDescent="0.2">
      <c r="AP70" s="165" t="s">
        <v>161</v>
      </c>
      <c r="AQ70" s="221">
        <f>COUNTIF(AQ13:AW60,AP70)/336</f>
        <v>8.0357142857142863E-2</v>
      </c>
      <c r="AR70" s="203" t="s">
        <v>153</v>
      </c>
    </row>
    <row r="71" spans="11:45" ht="12.75" x14ac:dyDescent="0.2">
      <c r="AP71" s="21" t="s">
        <v>164</v>
      </c>
      <c r="AQ71" s="221">
        <f>COUNTIF(AQ13:AW60,AP71)/336</f>
        <v>0.44940476190476192</v>
      </c>
      <c r="AR71" s="203" t="s">
        <v>167</v>
      </c>
    </row>
  </sheetData>
  <mergeCells count="15">
    <mergeCell ref="S7:Y7"/>
    <mergeCell ref="A4:B4"/>
    <mergeCell ref="A6:B6"/>
    <mergeCell ref="A8:B8"/>
    <mergeCell ref="C11:I11"/>
    <mergeCell ref="K11:Q11"/>
    <mergeCell ref="AQ10:AW10"/>
    <mergeCell ref="AQ68:AR68"/>
    <mergeCell ref="K65:Q65"/>
    <mergeCell ref="S65:Y65"/>
    <mergeCell ref="AA11:AG11"/>
    <mergeCell ref="AI11:AO11"/>
    <mergeCell ref="AQ11:AW11"/>
    <mergeCell ref="AQ65:AR65"/>
    <mergeCell ref="S11:Y11"/>
  </mergeCells>
  <conditionalFormatting sqref="AA13:AG60">
    <cfRule type="cellIs" dxfId="1632" priority="70" operator="lessThan">
      <formula>0.8</formula>
    </cfRule>
    <cfRule type="cellIs" dxfId="1631" priority="71" operator="greaterThan">
      <formula>0.9</formula>
    </cfRule>
    <cfRule type="cellIs" dxfId="1630" priority="72" operator="between">
      <formula>0.8</formula>
      <formula>0.9</formula>
    </cfRule>
  </conditionalFormatting>
  <conditionalFormatting sqref="AQ10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60">
    <cfRule type="cellIs" dxfId="1629" priority="44" operator="between">
      <formula>-9</formula>
      <formula>-1</formula>
    </cfRule>
    <cfRule type="cellIs" dxfId="1628" priority="45" operator="between">
      <formula>1</formula>
      <formula>9</formula>
    </cfRule>
    <cfRule type="cellIs" dxfId="1627" priority="46" operator="lessThan">
      <formula>-9</formula>
    </cfRule>
    <cfRule type="cellIs" dxfId="1626" priority="47" operator="greaterThan">
      <formula>9</formula>
    </cfRule>
  </conditionalFormatting>
  <conditionalFormatting sqref="AA10:AG10">
    <cfRule type="cellIs" dxfId="1625" priority="43" operator="lessThan">
      <formula>0.8</formula>
    </cfRule>
  </conditionalFormatting>
  <conditionalFormatting sqref="K10:Q1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Q60">
    <cfRule type="cellIs" dxfId="1624" priority="27" operator="greaterThan">
      <formula>50</formula>
    </cfRule>
    <cfRule type="cellIs" dxfId="1623" priority="28" operator="greaterThan">
      <formula>69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Q13:AW60">
    <cfRule type="cellIs" dxfId="1622" priority="23" operator="between">
      <formula>-9</formula>
      <formula>-1</formula>
    </cfRule>
    <cfRule type="cellIs" dxfId="1621" priority="24" operator="between">
      <formula>1</formula>
      <formula>9</formula>
    </cfRule>
    <cfRule type="cellIs" dxfId="1620" priority="25" operator="lessThan">
      <formula>-9</formula>
    </cfRule>
    <cfRule type="cellIs" dxfId="1619" priority="26" operator="greaterThan">
      <formula>9</formula>
    </cfRule>
  </conditionalFormatting>
  <conditionalFormatting sqref="AQ13:AW60">
    <cfRule type="cellIs" dxfId="1618" priority="22" operator="lessThan">
      <formula>-0.1</formula>
    </cfRule>
  </conditionalFormatting>
  <conditionalFormatting sqref="AI13:AO60">
    <cfRule type="cellIs" dxfId="1617" priority="19" operator="greaterThan">
      <formula>10</formula>
    </cfRule>
    <cfRule type="cellIs" dxfId="1616" priority="20" operator="lessThan">
      <formula>-10</formula>
    </cfRule>
    <cfRule type="cellIs" dxfId="1615" priority="21" operator="lessThan">
      <formula>0</formula>
    </cfRule>
  </conditionalFormatting>
  <conditionalFormatting sqref="AQ61:AW61">
    <cfRule type="cellIs" dxfId="1614" priority="9" operator="between">
      <formula>-9</formula>
      <formula>-1</formula>
    </cfRule>
    <cfRule type="cellIs" dxfId="1613" priority="10" operator="between">
      <formula>1</formula>
      <formula>9</formula>
    </cfRule>
    <cfRule type="cellIs" dxfId="1612" priority="11" operator="lessThan">
      <formula>-9</formula>
    </cfRule>
    <cfRule type="cellIs" dxfId="1611" priority="12" operator="greaterThan">
      <formula>9</formula>
    </cfRule>
  </conditionalFormatting>
  <conditionalFormatting sqref="AS68">
    <cfRule type="cellIs" dxfId="1610" priority="8" operator="greaterThan">
      <formula>0</formula>
    </cfRule>
  </conditionalFormatting>
  <conditionalFormatting sqref="AQ70">
    <cfRule type="cellIs" dxfId="1609" priority="7" operator="greaterThan">
      <formula>0.1</formula>
    </cfRule>
  </conditionalFormatting>
  <conditionalFormatting sqref="AS65">
    <cfRule type="cellIs" dxfId="1608" priority="6" operator="greaterThan">
      <formula>0</formula>
    </cfRule>
  </conditionalFormatting>
  <conditionalFormatting sqref="AQ61:AW61">
    <cfRule type="cellIs" dxfId="1607" priority="5" operator="lessThan">
      <formula>-0.1</formula>
    </cfRule>
  </conditionalFormatting>
  <conditionalFormatting sqref="AQ61:AW61">
    <cfRule type="cellIs" dxfId="1606" priority="4" operator="greaterThan">
      <formula>0.1499</formula>
    </cfRule>
  </conditionalFormatting>
  <conditionalFormatting sqref="AQ62:AW62">
    <cfRule type="cellIs" dxfId="1605" priority="3" operator="greaterThan">
      <formula>0.2</formula>
    </cfRule>
  </conditionalFormatting>
  <conditionalFormatting sqref="AQ71">
    <cfRule type="cellIs" dxfId="1604" priority="2" operator="greaterThan">
      <formula>0.15</formula>
    </cfRule>
  </conditionalFormatting>
  <conditionalFormatting sqref="C13:I6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30" sqref="G30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2060"/>
  </sheetPr>
  <dimension ref="A1:BE70"/>
  <sheetViews>
    <sheetView topLeftCell="P25" zoomScale="80" zoomScaleNormal="80" workbookViewId="0">
      <selection activeCell="BI69" sqref="BI69"/>
    </sheetView>
  </sheetViews>
  <sheetFormatPr baseColWidth="10" defaultRowHeight="11.25" x14ac:dyDescent="0.2"/>
  <cols>
    <col min="1" max="2" width="11.42578125" style="165"/>
    <col min="3" max="8" width="9.140625" style="165" bestFit="1" customWidth="1"/>
    <col min="9" max="9" width="9.5703125" style="165" bestFit="1" customWidth="1"/>
    <col min="10" max="10" width="12.140625" style="165" bestFit="1" customWidth="1"/>
    <col min="11" max="12" width="5.85546875" style="165" bestFit="1" customWidth="1"/>
    <col min="13" max="13" width="8.7109375" style="165" bestFit="1" customWidth="1"/>
    <col min="14" max="14" width="5.7109375" style="165" bestFit="1" customWidth="1"/>
    <col min="15" max="15" width="9.140625" style="165" bestFit="1" customWidth="1"/>
    <col min="16" max="16" width="7.42578125" style="165" bestFit="1" customWidth="1"/>
    <col min="17" max="17" width="9.5703125" style="165" bestFit="1" customWidth="1"/>
    <col min="18" max="18" width="11.42578125" style="165"/>
    <col min="19" max="19" width="7.7109375" style="165" bestFit="1" customWidth="1"/>
    <col min="20" max="20" width="5.85546875" style="165" bestFit="1" customWidth="1"/>
    <col min="21" max="21" width="8.7109375" style="165" bestFit="1" customWidth="1"/>
    <col min="22" max="22" width="5.7109375" style="165" bestFit="1" customWidth="1"/>
    <col min="23" max="23" width="9.140625" style="165" bestFit="1" customWidth="1"/>
    <col min="24" max="24" width="7.42578125" style="165" bestFit="1" customWidth="1"/>
    <col min="25" max="25" width="9.5703125" style="165" bestFit="1" customWidth="1"/>
    <col min="26" max="26" width="11.42578125" style="165"/>
    <col min="27" max="28" width="6" style="165" bestFit="1" customWidth="1"/>
    <col min="29" max="29" width="8.7109375" style="165" bestFit="1" customWidth="1"/>
    <col min="30" max="30" width="6" style="165" bestFit="1" customWidth="1"/>
    <col min="31" max="31" width="9.140625" style="165" bestFit="1" customWidth="1"/>
    <col min="32" max="32" width="7.42578125" style="165" bestFit="1" customWidth="1"/>
    <col min="33" max="33" width="9.5703125" style="165" bestFit="1" customWidth="1"/>
    <col min="34" max="34" width="11.42578125" style="165"/>
    <col min="35" max="36" width="5.85546875" style="165" bestFit="1" customWidth="1"/>
    <col min="37" max="37" width="8.7109375" style="165" bestFit="1" customWidth="1"/>
    <col min="38" max="38" width="5.7109375" style="165" bestFit="1" customWidth="1"/>
    <col min="39" max="39" width="9.140625" style="165" bestFit="1" customWidth="1"/>
    <col min="40" max="40" width="7.42578125" style="165" bestFit="1" customWidth="1"/>
    <col min="41" max="41" width="9.5703125" style="165" bestFit="1" customWidth="1"/>
    <col min="42" max="42" width="11.42578125" style="165"/>
    <col min="43" max="44" width="5.85546875" style="165" bestFit="1" customWidth="1"/>
    <col min="45" max="45" width="8.7109375" style="165" bestFit="1" customWidth="1"/>
    <col min="46" max="46" width="5.7109375" style="165" bestFit="1" customWidth="1"/>
    <col min="47" max="47" width="9.140625" style="165" bestFit="1" customWidth="1"/>
    <col min="48" max="48" width="7.42578125" style="165" bestFit="1" customWidth="1"/>
    <col min="49" max="49" width="9.5703125" style="165" customWidth="1"/>
    <col min="50" max="50" width="11.42578125" style="165"/>
    <col min="51" max="57" width="7.42578125" style="165" hidden="1" customWidth="1"/>
    <col min="58" max="16384" width="11.42578125" style="165"/>
  </cols>
  <sheetData>
    <row r="1" spans="1:57" ht="12" thickBot="1" x14ac:dyDescent="0.25"/>
    <row r="2" spans="1:57" ht="12" thickBot="1" x14ac:dyDescent="0.25">
      <c r="A2" s="166" t="s">
        <v>126</v>
      </c>
      <c r="C2" s="167">
        <v>0.7</v>
      </c>
      <c r="K2" s="199"/>
      <c r="L2" s="199"/>
      <c r="M2" s="199"/>
      <c r="N2" s="199"/>
      <c r="O2" s="199"/>
      <c r="P2" s="199"/>
      <c r="Q2" s="199"/>
    </row>
    <row r="3" spans="1:57" ht="12" thickBot="1" x14ac:dyDescent="0.25"/>
    <row r="4" spans="1:57" ht="12" thickBot="1" x14ac:dyDescent="0.25">
      <c r="A4" s="311" t="s">
        <v>132</v>
      </c>
      <c r="B4" s="311"/>
      <c r="C4" s="167">
        <v>0.8</v>
      </c>
    </row>
    <row r="5" spans="1:57" ht="12" thickBot="1" x14ac:dyDescent="0.25">
      <c r="C5" s="170"/>
      <c r="H5" s="165" t="s">
        <v>133</v>
      </c>
    </row>
    <row r="6" spans="1:57" ht="12" thickBot="1" x14ac:dyDescent="0.25">
      <c r="A6" s="311" t="s">
        <v>134</v>
      </c>
      <c r="B6" s="311"/>
      <c r="C6" s="171">
        <v>60</v>
      </c>
    </row>
    <row r="7" spans="1:57" ht="13.5" thickBot="1" x14ac:dyDescent="0.25">
      <c r="C7" s="170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1" t="s">
        <v>135</v>
      </c>
      <c r="B8" s="311"/>
      <c r="C8" s="201">
        <v>5.0180171618324949E-2</v>
      </c>
      <c r="D8" s="197">
        <v>5.1894313151225717E-3</v>
      </c>
      <c r="E8" s="197">
        <v>1.9842898709188234E-2</v>
      </c>
      <c r="F8" s="197">
        <v>3.4053486025315341E-4</v>
      </c>
      <c r="G8" s="197">
        <v>5.1380058095869159E-3</v>
      </c>
      <c r="H8" s="197">
        <v>2.9766427916518203E-2</v>
      </c>
      <c r="I8" s="197">
        <v>2.7372167612161505E-2</v>
      </c>
      <c r="K8" s="173"/>
      <c r="L8" s="173"/>
      <c r="M8" s="173"/>
      <c r="N8" s="173"/>
      <c r="O8" s="173"/>
      <c r="P8" s="173"/>
      <c r="Q8" s="173"/>
      <c r="S8" s="204">
        <f>FR!S8+FFD!S8+'8911'!S8+EN_PIG!S8</f>
        <v>8</v>
      </c>
      <c r="T8" s="204">
        <f>FR!T8+FFD!T8+'8911'!T8+EN_PIG!T8</f>
        <v>9</v>
      </c>
      <c r="U8" s="204">
        <f>FR!U8+FFD!U8+'8911'!U8+EN_PIG!U8</f>
        <v>9</v>
      </c>
      <c r="V8" s="204">
        <f>FR!V8+FFD!V8+'8911'!V8+EN_PIG!V8</f>
        <v>8</v>
      </c>
      <c r="W8" s="204">
        <f>FR!W8+FFD!W8+'8911'!W8+EN_PIG!W8</f>
        <v>9</v>
      </c>
      <c r="X8" s="204">
        <f>FR!X8+FFD!X8+'8911'!X8+EN_PIG!X8</f>
        <v>6</v>
      </c>
      <c r="Y8" s="204">
        <f>FR!Y8+FFD!Y8+'8911'!Y8+EN_PIG!Y8</f>
        <v>6</v>
      </c>
    </row>
    <row r="9" spans="1:57" ht="12" thickBot="1" x14ac:dyDescent="0.25">
      <c r="S9" s="173"/>
      <c r="T9" s="173"/>
      <c r="U9" s="173"/>
      <c r="V9" s="173"/>
      <c r="W9" s="173"/>
      <c r="X9" s="173"/>
      <c r="Y9" s="173"/>
    </row>
    <row r="10" spans="1:57" ht="13.5" thickBot="1" x14ac:dyDescent="0.25">
      <c r="A10" s="169" t="s">
        <v>136</v>
      </c>
      <c r="B10" s="171">
        <v>30</v>
      </c>
      <c r="C10" s="165" t="s">
        <v>17</v>
      </c>
      <c r="J10" s="174" t="s">
        <v>137</v>
      </c>
      <c r="K10">
        <v>217</v>
      </c>
      <c r="L10">
        <v>216</v>
      </c>
      <c r="M10">
        <v>217</v>
      </c>
      <c r="N10">
        <v>217</v>
      </c>
      <c r="O10">
        <v>217</v>
      </c>
      <c r="P10">
        <v>212</v>
      </c>
      <c r="Q10">
        <v>202</v>
      </c>
      <c r="S10" s="173">
        <f>MAX(K13:K60)</f>
        <v>53</v>
      </c>
      <c r="T10" s="173">
        <f t="shared" ref="T10:Y10" si="0">MAX(L13:L60)</f>
        <v>53</v>
      </c>
      <c r="U10" s="173">
        <f t="shared" si="0"/>
        <v>54</v>
      </c>
      <c r="V10" s="173">
        <f t="shared" si="0"/>
        <v>55</v>
      </c>
      <c r="W10" s="173">
        <f t="shared" si="0"/>
        <v>52</v>
      </c>
      <c r="X10" s="173">
        <f t="shared" si="0"/>
        <v>53</v>
      </c>
      <c r="Y10" s="173">
        <f t="shared" si="0"/>
        <v>43</v>
      </c>
      <c r="AA10" s="175">
        <f>AY10/C61</f>
        <v>0.98332269773508385</v>
      </c>
      <c r="AB10" s="175">
        <f t="shared" ref="AB10:AG10" si="1">AZ10/D61</f>
        <v>0.9943173007904903</v>
      </c>
      <c r="AC10" s="175">
        <f t="shared" si="1"/>
        <v>0.99509616975850967</v>
      </c>
      <c r="AD10" s="175">
        <f t="shared" si="1"/>
        <v>0.99653420637040258</v>
      </c>
      <c r="AE10" s="175">
        <f t="shared" si="1"/>
        <v>0.99845874833445336</v>
      </c>
      <c r="AF10" s="175">
        <f t="shared" si="1"/>
        <v>0.99778122774008282</v>
      </c>
      <c r="AG10" s="175">
        <f t="shared" si="1"/>
        <v>0.9929005192011896</v>
      </c>
      <c r="AI10" s="175"/>
      <c r="AJ10" s="175"/>
      <c r="AK10" s="175"/>
      <c r="AL10" s="175"/>
      <c r="AM10" s="175"/>
      <c r="AN10" s="175"/>
      <c r="AO10" s="175"/>
      <c r="AQ10" s="176"/>
      <c r="AR10" s="176"/>
      <c r="AS10" s="176"/>
      <c r="AT10" s="176"/>
      <c r="AU10" s="176"/>
      <c r="AV10" s="176"/>
      <c r="AW10" s="176"/>
      <c r="AY10" s="177">
        <f>SUM(AY13:AY60)</f>
        <v>8126.1787740827331</v>
      </c>
      <c r="AZ10" s="177">
        <f t="shared" ref="AZ10:BE10" si="2">SUM(AZ13:AZ60)</f>
        <v>8172.29389519704</v>
      </c>
      <c r="BA10" s="177">
        <f t="shared" si="2"/>
        <v>8326.9647485392088</v>
      </c>
      <c r="BB10" s="177">
        <f t="shared" si="2"/>
        <v>8219.4141341430804</v>
      </c>
      <c r="BC10" s="177">
        <f t="shared" si="2"/>
        <v>8333.1367135993478</v>
      </c>
      <c r="BD10" s="177">
        <f t="shared" si="2"/>
        <v>8214.7328479841017</v>
      </c>
      <c r="BE10" s="177">
        <f t="shared" si="2"/>
        <v>7068.4587961932684</v>
      </c>
    </row>
    <row r="11" spans="1:57" ht="24" customHeight="1" x14ac:dyDescent="0.2">
      <c r="C11" s="308" t="s">
        <v>18</v>
      </c>
      <c r="D11" s="308"/>
      <c r="E11" s="308"/>
      <c r="F11" s="308"/>
      <c r="G11" s="308"/>
      <c r="H11" s="308"/>
      <c r="I11" s="308"/>
      <c r="K11" s="308" t="s">
        <v>12</v>
      </c>
      <c r="L11" s="308"/>
      <c r="M11" s="308"/>
      <c r="N11" s="308"/>
      <c r="O11" s="308"/>
      <c r="P11" s="308"/>
      <c r="Q11" s="308"/>
      <c r="S11" s="308" t="s">
        <v>44</v>
      </c>
      <c r="T11" s="308"/>
      <c r="U11" s="308"/>
      <c r="V11" s="308"/>
      <c r="W11" s="308"/>
      <c r="X11" s="308"/>
      <c r="Y11" s="308"/>
      <c r="AA11" s="308" t="s">
        <v>11</v>
      </c>
      <c r="AB11" s="308"/>
      <c r="AC11" s="308"/>
      <c r="AD11" s="308"/>
      <c r="AE11" s="308"/>
      <c r="AF11" s="308"/>
      <c r="AG11" s="308"/>
      <c r="AI11" s="308" t="s">
        <v>52</v>
      </c>
      <c r="AJ11" s="308"/>
      <c r="AK11" s="308"/>
      <c r="AL11" s="308"/>
      <c r="AM11" s="308"/>
      <c r="AN11" s="308"/>
      <c r="AO11" s="308"/>
      <c r="AQ11" s="308" t="s">
        <v>45</v>
      </c>
      <c r="AR11" s="308"/>
      <c r="AS11" s="308"/>
      <c r="AT11" s="308"/>
      <c r="AU11" s="308"/>
      <c r="AV11" s="308"/>
      <c r="AW11" s="308"/>
    </row>
    <row r="12" spans="1:57" ht="22.5" x14ac:dyDescent="0.2">
      <c r="B12" s="178" t="s">
        <v>138</v>
      </c>
      <c r="C12" s="179" t="s">
        <v>139</v>
      </c>
      <c r="D12" s="179" t="s">
        <v>140</v>
      </c>
      <c r="E12" s="179" t="s">
        <v>141</v>
      </c>
      <c r="F12" s="179" t="s">
        <v>142</v>
      </c>
      <c r="G12" s="179" t="s">
        <v>143</v>
      </c>
      <c r="H12" s="179" t="s">
        <v>144</v>
      </c>
      <c r="I12" s="179" t="s">
        <v>145</v>
      </c>
      <c r="K12" s="180" t="s">
        <v>139</v>
      </c>
      <c r="L12" s="180" t="s">
        <v>140</v>
      </c>
      <c r="M12" s="180" t="s">
        <v>141</v>
      </c>
      <c r="N12" s="180" t="s">
        <v>142</v>
      </c>
      <c r="O12" s="180" t="s">
        <v>143</v>
      </c>
      <c r="P12" s="180" t="s">
        <v>144</v>
      </c>
      <c r="Q12" s="180" t="s">
        <v>145</v>
      </c>
      <c r="S12" s="180" t="s">
        <v>139</v>
      </c>
      <c r="T12" s="180" t="s">
        <v>140</v>
      </c>
      <c r="U12" s="180" t="s">
        <v>141</v>
      </c>
      <c r="V12" s="180" t="s">
        <v>142</v>
      </c>
      <c r="W12" s="180" t="s">
        <v>143</v>
      </c>
      <c r="X12" s="180" t="s">
        <v>144</v>
      </c>
      <c r="Y12" s="180" t="s">
        <v>145</v>
      </c>
      <c r="AA12" s="180" t="s">
        <v>139</v>
      </c>
      <c r="AB12" s="180" t="s">
        <v>140</v>
      </c>
      <c r="AC12" s="180" t="s">
        <v>141</v>
      </c>
      <c r="AD12" s="180" t="s">
        <v>142</v>
      </c>
      <c r="AE12" s="180" t="s">
        <v>143</v>
      </c>
      <c r="AF12" s="180" t="s">
        <v>144</v>
      </c>
      <c r="AG12" s="180" t="s">
        <v>145</v>
      </c>
      <c r="AI12" s="180" t="s">
        <v>139</v>
      </c>
      <c r="AJ12" s="180" t="s">
        <v>140</v>
      </c>
      <c r="AK12" s="180" t="s">
        <v>141</v>
      </c>
      <c r="AL12" s="180" t="s">
        <v>142</v>
      </c>
      <c r="AM12" s="180" t="s">
        <v>143</v>
      </c>
      <c r="AN12" s="180" t="s">
        <v>144</v>
      </c>
      <c r="AO12" s="180" t="s">
        <v>145</v>
      </c>
      <c r="AQ12" s="180" t="s">
        <v>139</v>
      </c>
      <c r="AR12" s="180" t="s">
        <v>140</v>
      </c>
      <c r="AS12" s="180" t="s">
        <v>141</v>
      </c>
      <c r="AT12" s="180" t="s">
        <v>142</v>
      </c>
      <c r="AU12" s="180" t="s">
        <v>143</v>
      </c>
      <c r="AV12" s="180" t="s">
        <v>144</v>
      </c>
      <c r="AW12" s="180" t="s">
        <v>145</v>
      </c>
    </row>
    <row r="13" spans="1:57" ht="12.75" x14ac:dyDescent="0.2">
      <c r="A13" s="181">
        <f>AVERAGE(C13:I13)</f>
        <v>24.285714285714285</v>
      </c>
      <c r="B13" s="182">
        <v>0</v>
      </c>
      <c r="C13">
        <v>22</v>
      </c>
      <c r="D13">
        <v>21</v>
      </c>
      <c r="E13">
        <v>27</v>
      </c>
      <c r="F13">
        <v>23</v>
      </c>
      <c r="G13">
        <v>23</v>
      </c>
      <c r="H13">
        <v>27</v>
      </c>
      <c r="I13">
        <v>27</v>
      </c>
      <c r="K13" s="43">
        <f>AgentsRequired(C13,$B$10,K$10,$C$4,$C$6,$C$2,$C$8)</f>
        <v>5</v>
      </c>
      <c r="L13" s="43">
        <f>AgentsRequired(D13,$B$10,L$10,$C$4,$C$6,$C$2,$D$8)</f>
        <v>5</v>
      </c>
      <c r="M13" s="43">
        <f>AgentsRequired(E13,$B$10,M$10,$C$4,$C$6,$C$2,$E$8)</f>
        <v>5</v>
      </c>
      <c r="N13" s="43">
        <f>AgentsRequired(F13,$B$10,N$10,$C$4,$C$6,$C$2,$F$8)</f>
        <v>5</v>
      </c>
      <c r="O13" s="43">
        <f>AgentsRequired(G13,$B$10,O$10,$C$4,$C$6,$C$2,$G$8)</f>
        <v>5</v>
      </c>
      <c r="P13" s="43">
        <f>AgentsRequired(H13,$B$10,P$10,$C$4,$C$6,$C$2,$H$8)</f>
        <v>5</v>
      </c>
      <c r="Q13" s="43">
        <f>AgentsRequired(I13,$B$10,Q$10,$C$4,$C$6,$C$2,$I$8)</f>
        <v>5</v>
      </c>
      <c r="S13" s="198">
        <f>'8900'!S13+'8911'!S13</f>
        <v>9</v>
      </c>
      <c r="T13" s="198">
        <f>'8900'!T13+'8911'!T13</f>
        <v>11</v>
      </c>
      <c r="U13" s="198">
        <f>'8900'!U13+'8911'!U13</f>
        <v>9</v>
      </c>
      <c r="V13" s="198">
        <f>'8900'!V13+'8911'!V13</f>
        <v>14</v>
      </c>
      <c r="W13" s="198">
        <f>'8900'!W13+'8911'!W13</f>
        <v>14</v>
      </c>
      <c r="X13" s="198">
        <f>'8900'!X13+'8911'!X13</f>
        <v>11</v>
      </c>
      <c r="Y13" s="198">
        <f>'8900'!Y13+'8911'!Y13</f>
        <v>9</v>
      </c>
      <c r="AA13" s="184">
        <f>ServiceLevel(C13,$B$10,K$10,$C$6,S13)</f>
        <v>0.9996908192824443</v>
      </c>
      <c r="AB13" s="184">
        <f>ServiceLevel(D13,$B$10,L$10,$C$6,T13)</f>
        <v>0.99999354614310842</v>
      </c>
      <c r="AC13" s="184">
        <f t="shared" ref="AC13:AG28" si="3">ServiceLevel(E13,$B$10,M$10,$C$6,U13)</f>
        <v>0.99860541983368623</v>
      </c>
      <c r="AD13" s="184">
        <f t="shared" si="3"/>
        <v>0.99999993633872331</v>
      </c>
      <c r="AE13" s="184">
        <f t="shared" si="3"/>
        <v>0.99999993633872331</v>
      </c>
      <c r="AF13" s="184">
        <f t="shared" si="3"/>
        <v>0.99994611357173546</v>
      </c>
      <c r="AG13" s="184">
        <f t="shared" si="3"/>
        <v>0.9992666021877904</v>
      </c>
      <c r="AI13" s="184">
        <f>ProbCallWaits(C13,$B$10,K$10,S13)</f>
        <v>1.7883914825505725E-3</v>
      </c>
      <c r="AJ13" s="184">
        <f t="shared" ref="AJ13:AO28" si="4">ProbCallWaits(D13,$B$10,L$10,T13)</f>
        <v>6.8049370284461281E-5</v>
      </c>
      <c r="AK13" s="184">
        <f t="shared" si="4"/>
        <v>6.828279077466767E-3</v>
      </c>
      <c r="AL13" s="184">
        <f t="shared" si="4"/>
        <v>1.4192410731364434E-6</v>
      </c>
      <c r="AM13" s="184">
        <f t="shared" si="4"/>
        <v>1.4192410731364434E-6</v>
      </c>
      <c r="AN13" s="184">
        <f t="shared" si="4"/>
        <v>4.9279151723054379E-4</v>
      </c>
      <c r="AO13" s="184">
        <f t="shared" si="4"/>
        <v>4.319762052520347E-3</v>
      </c>
      <c r="AQ13" s="185">
        <f>S13-K13</f>
        <v>4</v>
      </c>
      <c r="AR13" s="185">
        <f t="shared" ref="AR13:AW28" si="5">T13-L13</f>
        <v>6</v>
      </c>
      <c r="AS13" s="185">
        <f t="shared" si="5"/>
        <v>4</v>
      </c>
      <c r="AT13" s="185">
        <f t="shared" si="5"/>
        <v>9</v>
      </c>
      <c r="AU13" s="185">
        <f t="shared" si="5"/>
        <v>9</v>
      </c>
      <c r="AV13" s="185">
        <f t="shared" si="5"/>
        <v>6</v>
      </c>
      <c r="AW13" s="185">
        <f t="shared" si="5"/>
        <v>4</v>
      </c>
      <c r="AY13" s="186">
        <f>AA13*C13</f>
        <v>21.993198024213775</v>
      </c>
      <c r="AZ13" s="186">
        <f t="shared" ref="AZ13:BE28" si="6">AB13*D13</f>
        <v>20.999864469005278</v>
      </c>
      <c r="BA13" s="186">
        <f t="shared" si="6"/>
        <v>26.96234633550953</v>
      </c>
      <c r="BB13" s="186">
        <f t="shared" si="6"/>
        <v>22.999998535790635</v>
      </c>
      <c r="BC13" s="186">
        <f t="shared" si="6"/>
        <v>22.999998535790635</v>
      </c>
      <c r="BD13" s="186">
        <f t="shared" si="6"/>
        <v>26.998545066436858</v>
      </c>
      <c r="BE13" s="186">
        <f t="shared" si="6"/>
        <v>26.980198259070342</v>
      </c>
    </row>
    <row r="14" spans="1:57" ht="12.75" x14ac:dyDescent="0.2">
      <c r="A14" s="181">
        <f t="shared" ref="A14:A60" si="7">AVERAGE(C14:I14)</f>
        <v>15.857142857142858</v>
      </c>
      <c r="B14" s="187">
        <f>B13+TIME(0,$B$10,0)</f>
        <v>2.0833333333333332E-2</v>
      </c>
      <c r="C14">
        <v>14</v>
      </c>
      <c r="D14">
        <v>14</v>
      </c>
      <c r="E14">
        <v>17</v>
      </c>
      <c r="F14">
        <v>15</v>
      </c>
      <c r="G14">
        <v>16</v>
      </c>
      <c r="H14">
        <v>16</v>
      </c>
      <c r="I14">
        <v>19</v>
      </c>
      <c r="K14" s="43">
        <f t="shared" ref="K14:K60" si="8">AgentsRequired(C14,$B$10,K$10,$C$4,$C$6,$C$2,$C$8)</f>
        <v>4</v>
      </c>
      <c r="L14" s="43">
        <f t="shared" ref="L14:L60" si="9">AgentsRequired(D14,$B$10,L$10,$C$4,$C$6,$C$2,$D$8)</f>
        <v>4</v>
      </c>
      <c r="M14" s="43">
        <f t="shared" ref="M14:M60" si="10">AgentsRequired(E14,$B$10,M$10,$C$4,$C$6,$C$2,$E$8)</f>
        <v>4</v>
      </c>
      <c r="N14" s="43">
        <f t="shared" ref="N14:N60" si="11">AgentsRequired(F14,$B$10,N$10,$C$4,$C$6,$C$2,$F$8)</f>
        <v>4</v>
      </c>
      <c r="O14" s="43">
        <f t="shared" ref="O14:O60" si="12">AgentsRequired(G14,$B$10,O$10,$C$4,$C$6,$C$2,$G$8)</f>
        <v>4</v>
      </c>
      <c r="P14" s="43">
        <f t="shared" ref="P14:P60" si="13">AgentsRequired(H14,$B$10,P$10,$C$4,$C$6,$C$2,$H$8)</f>
        <v>4</v>
      </c>
      <c r="Q14" s="43">
        <f t="shared" ref="Q14:Q60" si="14">AgentsRequired(I14,$B$10,Q$10,$C$4,$C$6,$C$2,$I$8)</f>
        <v>4</v>
      </c>
      <c r="S14" s="198">
        <f>'8900'!S14+'8911'!S14</f>
        <v>9</v>
      </c>
      <c r="T14" s="198">
        <f>'8900'!T14+'8911'!T14</f>
        <v>11</v>
      </c>
      <c r="U14" s="198">
        <f>'8900'!U14+'8911'!U14</f>
        <v>9</v>
      </c>
      <c r="V14" s="198">
        <f>'8900'!V14+'8911'!V14</f>
        <v>14</v>
      </c>
      <c r="W14" s="198">
        <f>'8900'!W14+'8911'!W14</f>
        <v>14</v>
      </c>
      <c r="X14" s="198">
        <f>'8900'!X14+'8911'!X14</f>
        <v>11</v>
      </c>
      <c r="Y14" s="198">
        <f>'8900'!Y14+'8911'!Y14</f>
        <v>9</v>
      </c>
      <c r="AA14" s="184">
        <f t="shared" ref="AA14:AG60" si="15">ServiceLevel(C14,$B$10,K$10,$C$6,S14)</f>
        <v>0.99999076977985224</v>
      </c>
      <c r="AB14" s="184">
        <f t="shared" si="15"/>
        <v>0.99999987547164437</v>
      </c>
      <c r="AC14" s="184">
        <f t="shared" si="3"/>
        <v>0.99995709716783154</v>
      </c>
      <c r="AD14" s="184">
        <f t="shared" si="3"/>
        <v>0.99999999970337106</v>
      </c>
      <c r="AE14" s="184">
        <f t="shared" si="3"/>
        <v>0.99999999932227834</v>
      </c>
      <c r="AF14" s="184">
        <f t="shared" si="3"/>
        <v>0.99999962962509914</v>
      </c>
      <c r="AG14" s="184">
        <f t="shared" si="3"/>
        <v>0.99994927700225855</v>
      </c>
      <c r="AI14" s="184">
        <f t="shared" ref="AI14:AO60" si="16">ProbCallWaits(C14,$B$10,K$10,S14)</f>
        <v>6.9706634208345969E-5</v>
      </c>
      <c r="AJ14" s="184">
        <f t="shared" si="4"/>
        <v>1.6580911914093231E-6</v>
      </c>
      <c r="AK14" s="184">
        <f t="shared" si="4"/>
        <v>2.9316935271975913E-4</v>
      </c>
      <c r="AL14" s="184">
        <f t="shared" si="4"/>
        <v>8.6338846992415228E-9</v>
      </c>
      <c r="AM14" s="184">
        <f t="shared" si="4"/>
        <v>1.9079526607369829E-8</v>
      </c>
      <c r="AN14" s="184">
        <f t="shared" si="4"/>
        <v>4.8872739470371774E-6</v>
      </c>
      <c r="AO14" s="184">
        <f t="shared" si="4"/>
        <v>3.9006500531044082E-4</v>
      </c>
      <c r="AQ14" s="185">
        <f t="shared" ref="AQ14:AW60" si="17">S14-K14</f>
        <v>5</v>
      </c>
      <c r="AR14" s="185">
        <f t="shared" si="5"/>
        <v>7</v>
      </c>
      <c r="AS14" s="185">
        <f t="shared" si="5"/>
        <v>5</v>
      </c>
      <c r="AT14" s="185">
        <f t="shared" si="5"/>
        <v>10</v>
      </c>
      <c r="AU14" s="185">
        <f t="shared" si="5"/>
        <v>10</v>
      </c>
      <c r="AV14" s="185">
        <f t="shared" si="5"/>
        <v>7</v>
      </c>
      <c r="AW14" s="185">
        <f t="shared" si="5"/>
        <v>5</v>
      </c>
      <c r="AY14" s="186">
        <f t="shared" ref="AY14:BE60" si="18">AA14*C14</f>
        <v>13.99987077691793</v>
      </c>
      <c r="AZ14" s="186">
        <f t="shared" si="6"/>
        <v>13.999998256603021</v>
      </c>
      <c r="BA14" s="186">
        <f t="shared" si="6"/>
        <v>16.999270651853138</v>
      </c>
      <c r="BB14" s="186">
        <f t="shared" si="6"/>
        <v>14.999999995550565</v>
      </c>
      <c r="BC14" s="186">
        <f t="shared" si="6"/>
        <v>15.999999989156453</v>
      </c>
      <c r="BD14" s="186">
        <f t="shared" si="6"/>
        <v>15.999994074001586</v>
      </c>
      <c r="BE14" s="186">
        <f t="shared" si="6"/>
        <v>18.999036263042914</v>
      </c>
    </row>
    <row r="15" spans="1:57" ht="12.75" x14ac:dyDescent="0.2">
      <c r="A15" s="181">
        <f t="shared" si="7"/>
        <v>11.142857142857142</v>
      </c>
      <c r="B15" s="187">
        <f t="shared" ref="B15:B60" si="19">B14+TIME(0,$B$10,0)</f>
        <v>4.1666666666666664E-2</v>
      </c>
      <c r="C15">
        <v>9</v>
      </c>
      <c r="D15">
        <v>11</v>
      </c>
      <c r="E15">
        <v>12</v>
      </c>
      <c r="F15">
        <v>10</v>
      </c>
      <c r="G15">
        <v>12</v>
      </c>
      <c r="H15">
        <v>13</v>
      </c>
      <c r="I15">
        <v>11</v>
      </c>
      <c r="K15" s="43">
        <f t="shared" si="8"/>
        <v>3</v>
      </c>
      <c r="L15" s="43">
        <f t="shared" si="9"/>
        <v>3</v>
      </c>
      <c r="M15" s="43">
        <f t="shared" si="10"/>
        <v>3</v>
      </c>
      <c r="N15" s="43">
        <f t="shared" si="11"/>
        <v>3</v>
      </c>
      <c r="O15" s="43">
        <f t="shared" si="12"/>
        <v>3</v>
      </c>
      <c r="P15" s="43">
        <f t="shared" si="13"/>
        <v>3</v>
      </c>
      <c r="Q15" s="43">
        <f t="shared" si="14"/>
        <v>3</v>
      </c>
      <c r="S15" s="198">
        <f>'8900'!S15+'8911'!S15</f>
        <v>6</v>
      </c>
      <c r="T15" s="198">
        <f>'8900'!T15+'8911'!T15</f>
        <v>9</v>
      </c>
      <c r="U15" s="198">
        <f>'8900'!U15+'8911'!U15</f>
        <v>8</v>
      </c>
      <c r="V15" s="198">
        <f>'8900'!V15+'8911'!V15</f>
        <v>13</v>
      </c>
      <c r="W15" s="198">
        <f>'8900'!W15+'8911'!W15</f>
        <v>14</v>
      </c>
      <c r="X15" s="198">
        <f>'8900'!X15+'8911'!X15</f>
        <v>10</v>
      </c>
      <c r="Y15" s="198">
        <f>'8900'!Y15+'8911'!Y15</f>
        <v>9</v>
      </c>
      <c r="AA15" s="184">
        <f t="shared" si="15"/>
        <v>0.99975986800916317</v>
      </c>
      <c r="AB15" s="184">
        <f t="shared" si="15"/>
        <v>0.99999875686028683</v>
      </c>
      <c r="AC15" s="184">
        <f t="shared" si="3"/>
        <v>0.99997767248251845</v>
      </c>
      <c r="AD15" s="184">
        <f t="shared" si="3"/>
        <v>0.99999999997690281</v>
      </c>
      <c r="AE15" s="184">
        <f t="shared" si="3"/>
        <v>0.9999999999835405</v>
      </c>
      <c r="AF15" s="184">
        <f t="shared" si="3"/>
        <v>0.99999954649360379</v>
      </c>
      <c r="AG15" s="184">
        <f t="shared" si="3"/>
        <v>0.99999938383858955</v>
      </c>
      <c r="AI15" s="184">
        <f t="shared" si="16"/>
        <v>9.3465259968157958E-4</v>
      </c>
      <c r="AJ15" s="184">
        <f t="shared" si="4"/>
        <v>1.0495782811972617E-5</v>
      </c>
      <c r="AK15" s="184">
        <f t="shared" si="4"/>
        <v>1.3670173728034431E-4</v>
      </c>
      <c r="AL15" s="184">
        <f t="shared" si="4"/>
        <v>6.0235621425638021E-10</v>
      </c>
      <c r="AM15" s="184">
        <f t="shared" si="4"/>
        <v>5.2946824617558606E-10</v>
      </c>
      <c r="AN15" s="184">
        <f t="shared" si="4"/>
        <v>4.9833853061441975E-6</v>
      </c>
      <c r="AO15" s="184">
        <f t="shared" si="4"/>
        <v>6.1864062228586327E-6</v>
      </c>
      <c r="AQ15" s="185">
        <f t="shared" si="17"/>
        <v>3</v>
      </c>
      <c r="AR15" s="185">
        <f t="shared" si="5"/>
        <v>6</v>
      </c>
      <c r="AS15" s="185">
        <f t="shared" si="5"/>
        <v>5</v>
      </c>
      <c r="AT15" s="185">
        <f t="shared" si="5"/>
        <v>10</v>
      </c>
      <c r="AU15" s="185">
        <f t="shared" si="5"/>
        <v>11</v>
      </c>
      <c r="AV15" s="185">
        <f t="shared" si="5"/>
        <v>7</v>
      </c>
      <c r="AW15" s="185">
        <f t="shared" si="5"/>
        <v>6</v>
      </c>
      <c r="AY15" s="186">
        <f t="shared" si="18"/>
        <v>8.9978388120824686</v>
      </c>
      <c r="AZ15" s="186">
        <f t="shared" si="6"/>
        <v>10.999986325463155</v>
      </c>
      <c r="BA15" s="186">
        <f t="shared" si="6"/>
        <v>11.999732069790221</v>
      </c>
      <c r="BB15" s="186">
        <f t="shared" si="6"/>
        <v>9.9999999997690274</v>
      </c>
      <c r="BC15" s="186">
        <f t="shared" si="6"/>
        <v>11.999999999802487</v>
      </c>
      <c r="BD15" s="186">
        <f t="shared" si="6"/>
        <v>12.999994104416849</v>
      </c>
      <c r="BE15" s="186">
        <f t="shared" si="6"/>
        <v>10.999993222224486</v>
      </c>
    </row>
    <row r="16" spans="1:57" ht="12.75" x14ac:dyDescent="0.2">
      <c r="A16" s="181">
        <f t="shared" si="7"/>
        <v>7.8571428571428568</v>
      </c>
      <c r="B16" s="187">
        <f t="shared" si="19"/>
        <v>6.25E-2</v>
      </c>
      <c r="C16">
        <v>8</v>
      </c>
      <c r="D16">
        <v>6</v>
      </c>
      <c r="E16">
        <v>7</v>
      </c>
      <c r="F16">
        <v>7</v>
      </c>
      <c r="G16">
        <v>8</v>
      </c>
      <c r="H16">
        <v>9</v>
      </c>
      <c r="I16">
        <v>10</v>
      </c>
      <c r="K16" s="43">
        <f t="shared" si="8"/>
        <v>3</v>
      </c>
      <c r="L16" s="43">
        <f t="shared" si="9"/>
        <v>2</v>
      </c>
      <c r="M16" s="43">
        <f t="shared" si="10"/>
        <v>2</v>
      </c>
      <c r="N16" s="43">
        <f t="shared" si="11"/>
        <v>2</v>
      </c>
      <c r="O16" s="43">
        <f t="shared" si="12"/>
        <v>3</v>
      </c>
      <c r="P16" s="43">
        <f t="shared" si="13"/>
        <v>3</v>
      </c>
      <c r="Q16" s="43">
        <f t="shared" si="14"/>
        <v>3</v>
      </c>
      <c r="S16" s="198">
        <f>'8900'!S16+'8911'!S16</f>
        <v>6</v>
      </c>
      <c r="T16" s="198">
        <f>'8900'!T16+'8911'!T16</f>
        <v>9</v>
      </c>
      <c r="U16" s="198">
        <f>'8900'!U16+'8911'!U16</f>
        <v>8</v>
      </c>
      <c r="V16" s="198">
        <f>'8900'!V16+'8911'!V16</f>
        <v>13</v>
      </c>
      <c r="W16" s="198">
        <f>'8900'!W16+'8911'!W16</f>
        <v>14</v>
      </c>
      <c r="X16" s="198">
        <f>'8900'!X16+'8911'!X16</f>
        <v>10</v>
      </c>
      <c r="Y16" s="198">
        <f>'8900'!Y16+'8911'!Y16</f>
        <v>9</v>
      </c>
      <c r="AA16" s="184">
        <f t="shared" si="15"/>
        <v>0.99987384671360247</v>
      </c>
      <c r="AB16" s="184">
        <f t="shared" si="15"/>
        <v>0.99999999239897308</v>
      </c>
      <c r="AC16" s="184">
        <f t="shared" si="3"/>
        <v>0.99999957600354772</v>
      </c>
      <c r="AD16" s="184">
        <f t="shared" si="3"/>
        <v>0.99999999999971789</v>
      </c>
      <c r="AE16" s="184">
        <f t="shared" si="3"/>
        <v>0.99999999999992306</v>
      </c>
      <c r="AF16" s="184">
        <f t="shared" si="3"/>
        <v>0.99999998476792862</v>
      </c>
      <c r="AG16" s="184">
        <f t="shared" si="3"/>
        <v>0.99999972126585668</v>
      </c>
      <c r="AI16" s="184">
        <f t="shared" si="16"/>
        <v>5.0766269189384059E-4</v>
      </c>
      <c r="AJ16" s="184">
        <f t="shared" si="4"/>
        <v>7.5814029582485519E-8</v>
      </c>
      <c r="AK16" s="184">
        <f t="shared" si="4"/>
        <v>3.0667489986426632E-6</v>
      </c>
      <c r="AL16" s="184">
        <f t="shared" si="4"/>
        <v>8.1298134643414337E-12</v>
      </c>
      <c r="AM16" s="184">
        <f t="shared" si="4"/>
        <v>2.8289043191029994E-12</v>
      </c>
      <c r="AN16" s="184">
        <f t="shared" si="4"/>
        <v>1.9125198403776017E-7</v>
      </c>
      <c r="AO16" s="184">
        <f t="shared" si="4"/>
        <v>2.8934140896659029E-6</v>
      </c>
      <c r="AQ16" s="185">
        <f t="shared" si="17"/>
        <v>3</v>
      </c>
      <c r="AR16" s="185">
        <f t="shared" si="5"/>
        <v>7</v>
      </c>
      <c r="AS16" s="185">
        <f t="shared" si="5"/>
        <v>6</v>
      </c>
      <c r="AT16" s="185">
        <f t="shared" si="5"/>
        <v>11</v>
      </c>
      <c r="AU16" s="185">
        <f t="shared" si="5"/>
        <v>11</v>
      </c>
      <c r="AV16" s="185">
        <f t="shared" si="5"/>
        <v>7</v>
      </c>
      <c r="AW16" s="185">
        <f t="shared" si="5"/>
        <v>6</v>
      </c>
      <c r="AY16" s="186">
        <f t="shared" si="18"/>
        <v>7.9989907737088197</v>
      </c>
      <c r="AZ16" s="186">
        <f t="shared" si="6"/>
        <v>5.9999999543938385</v>
      </c>
      <c r="BA16" s="186">
        <f t="shared" si="6"/>
        <v>6.9999970320248339</v>
      </c>
      <c r="BB16" s="186">
        <f t="shared" si="6"/>
        <v>6.9999999999980256</v>
      </c>
      <c r="BC16" s="186">
        <f t="shared" si="6"/>
        <v>7.9999999999993845</v>
      </c>
      <c r="BD16" s="186">
        <f t="shared" si="6"/>
        <v>8.9999998629113573</v>
      </c>
      <c r="BE16" s="186">
        <f t="shared" si="6"/>
        <v>9.9999972126585668</v>
      </c>
    </row>
    <row r="17" spans="1:57" ht="12.75" x14ac:dyDescent="0.2">
      <c r="A17" s="181">
        <f t="shared" si="7"/>
        <v>5.2857142857142856</v>
      </c>
      <c r="B17" s="187">
        <f t="shared" si="19"/>
        <v>8.3333333333333329E-2</v>
      </c>
      <c r="C17">
        <v>5</v>
      </c>
      <c r="D17">
        <v>5</v>
      </c>
      <c r="E17">
        <v>4</v>
      </c>
      <c r="F17">
        <v>5</v>
      </c>
      <c r="G17">
        <v>6</v>
      </c>
      <c r="H17">
        <v>5</v>
      </c>
      <c r="I17">
        <v>7</v>
      </c>
      <c r="K17" s="43">
        <f t="shared" si="8"/>
        <v>2</v>
      </c>
      <c r="L17" s="43">
        <f t="shared" si="9"/>
        <v>2</v>
      </c>
      <c r="M17" s="43">
        <f t="shared" si="10"/>
        <v>2</v>
      </c>
      <c r="N17" s="43">
        <f t="shared" si="11"/>
        <v>2</v>
      </c>
      <c r="O17" s="43">
        <f t="shared" si="12"/>
        <v>2</v>
      </c>
      <c r="P17" s="43">
        <f t="shared" si="13"/>
        <v>2</v>
      </c>
      <c r="Q17" s="43">
        <f t="shared" si="14"/>
        <v>2</v>
      </c>
      <c r="S17" s="198">
        <f>'8900'!S17+'8911'!S17</f>
        <v>4</v>
      </c>
      <c r="T17" s="198">
        <f>'8900'!T17+'8911'!T17</f>
        <v>6</v>
      </c>
      <c r="U17" s="198">
        <f>'8900'!U17+'8911'!U17</f>
        <v>6</v>
      </c>
      <c r="V17" s="198">
        <f>'8900'!V17+'8911'!V17</f>
        <v>10</v>
      </c>
      <c r="W17" s="198">
        <f>'8900'!W17+'8911'!W17</f>
        <v>11</v>
      </c>
      <c r="X17" s="198">
        <f>'8900'!X17+'8911'!X17</f>
        <v>8</v>
      </c>
      <c r="Y17" s="198">
        <f>'8900'!Y17+'8911'!Y17</f>
        <v>8</v>
      </c>
      <c r="AA17" s="184">
        <f t="shared" si="15"/>
        <v>0.99861461547644037</v>
      </c>
      <c r="AB17" s="184">
        <f t="shared" si="15"/>
        <v>0.99999118314297042</v>
      </c>
      <c r="AC17" s="184">
        <f t="shared" si="3"/>
        <v>0.99999745006716179</v>
      </c>
      <c r="AD17" s="184">
        <f t="shared" si="3"/>
        <v>0.99999999992438726</v>
      </c>
      <c r="AE17" s="184">
        <f t="shared" si="3"/>
        <v>0.99999999997847555</v>
      </c>
      <c r="AF17" s="184">
        <f t="shared" si="3"/>
        <v>0.99999997361992798</v>
      </c>
      <c r="AG17" s="184">
        <f t="shared" si="3"/>
        <v>0.99999978671130196</v>
      </c>
      <c r="AI17" s="184">
        <f t="shared" si="16"/>
        <v>3.5441623878359136E-3</v>
      </c>
      <c r="AJ17" s="184">
        <f t="shared" si="4"/>
        <v>3.9514411784075684E-5</v>
      </c>
      <c r="AK17" s="184">
        <f t="shared" si="4"/>
        <v>1.1724959528867353E-5</v>
      </c>
      <c r="AL17" s="184">
        <f t="shared" si="4"/>
        <v>1.0163112621826139E-9</v>
      </c>
      <c r="AM17" s="184">
        <f t="shared" si="4"/>
        <v>3.6895066060923873E-10</v>
      </c>
      <c r="AN17" s="184">
        <f t="shared" si="4"/>
        <v>2.1488288422990601E-7</v>
      </c>
      <c r="AO17" s="184">
        <f t="shared" si="4"/>
        <v>1.8181066354877225E-6</v>
      </c>
      <c r="AQ17" s="185">
        <f t="shared" si="17"/>
        <v>2</v>
      </c>
      <c r="AR17" s="185">
        <f t="shared" si="5"/>
        <v>4</v>
      </c>
      <c r="AS17" s="185">
        <f t="shared" si="5"/>
        <v>4</v>
      </c>
      <c r="AT17" s="185">
        <f t="shared" si="5"/>
        <v>8</v>
      </c>
      <c r="AU17" s="185">
        <f t="shared" si="5"/>
        <v>9</v>
      </c>
      <c r="AV17" s="185">
        <f t="shared" si="5"/>
        <v>6</v>
      </c>
      <c r="AW17" s="185">
        <f t="shared" si="5"/>
        <v>6</v>
      </c>
      <c r="AY17" s="186">
        <f t="shared" si="18"/>
        <v>4.9930730773822019</v>
      </c>
      <c r="AZ17" s="186">
        <f t="shared" si="6"/>
        <v>4.9999559157148523</v>
      </c>
      <c r="BA17" s="186">
        <f t="shared" si="6"/>
        <v>3.9999898002686471</v>
      </c>
      <c r="BB17" s="186">
        <f t="shared" si="6"/>
        <v>4.9999999996219362</v>
      </c>
      <c r="BC17" s="186">
        <f t="shared" si="6"/>
        <v>5.9999999998708535</v>
      </c>
      <c r="BD17" s="186">
        <f t="shared" si="6"/>
        <v>4.99999986809964</v>
      </c>
      <c r="BE17" s="186">
        <f t="shared" si="6"/>
        <v>6.9999985069791135</v>
      </c>
    </row>
    <row r="18" spans="1:57" ht="12.75" x14ac:dyDescent="0.2">
      <c r="A18" s="181">
        <f t="shared" si="7"/>
        <v>5</v>
      </c>
      <c r="B18" s="187">
        <f t="shared" si="19"/>
        <v>0.10416666666666666</v>
      </c>
      <c r="C18">
        <v>5</v>
      </c>
      <c r="D18">
        <v>5</v>
      </c>
      <c r="E18">
        <v>4</v>
      </c>
      <c r="F18">
        <v>4</v>
      </c>
      <c r="G18">
        <v>5</v>
      </c>
      <c r="H18">
        <v>6</v>
      </c>
      <c r="I18">
        <v>6</v>
      </c>
      <c r="K18" s="43">
        <f t="shared" si="8"/>
        <v>2</v>
      </c>
      <c r="L18" s="43">
        <f t="shared" si="9"/>
        <v>2</v>
      </c>
      <c r="M18" s="43">
        <f t="shared" si="10"/>
        <v>2</v>
      </c>
      <c r="N18" s="43">
        <f t="shared" si="11"/>
        <v>2</v>
      </c>
      <c r="O18" s="43">
        <f t="shared" si="12"/>
        <v>2</v>
      </c>
      <c r="P18" s="43">
        <f t="shared" si="13"/>
        <v>2</v>
      </c>
      <c r="Q18" s="43">
        <f t="shared" si="14"/>
        <v>2</v>
      </c>
      <c r="S18" s="198">
        <f>'8900'!S18+'8911'!S18</f>
        <v>4</v>
      </c>
      <c r="T18" s="198">
        <f>'8900'!T18+'8911'!T18</f>
        <v>6</v>
      </c>
      <c r="U18" s="198">
        <f>'8900'!U18+'8911'!U18</f>
        <v>6</v>
      </c>
      <c r="V18" s="198">
        <f>'8900'!V18+'8911'!V18</f>
        <v>10</v>
      </c>
      <c r="W18" s="198">
        <f>'8900'!W18+'8911'!W18</f>
        <v>11</v>
      </c>
      <c r="X18" s="198">
        <f>'8900'!X18+'8911'!X18</f>
        <v>8</v>
      </c>
      <c r="Y18" s="198">
        <f>'8900'!Y18+'8911'!Y18</f>
        <v>8</v>
      </c>
      <c r="AA18" s="184">
        <f t="shared" si="15"/>
        <v>0.99861461547644037</v>
      </c>
      <c r="AB18" s="184">
        <f t="shared" si="15"/>
        <v>0.99999118314297042</v>
      </c>
      <c r="AC18" s="184">
        <f t="shared" si="3"/>
        <v>0.99999745006716179</v>
      </c>
      <c r="AD18" s="184">
        <f t="shared" si="3"/>
        <v>0.99999999999125344</v>
      </c>
      <c r="AE18" s="184">
        <f t="shared" si="3"/>
        <v>0.99999999999687572</v>
      </c>
      <c r="AF18" s="184">
        <f t="shared" si="3"/>
        <v>0.99999989407232315</v>
      </c>
      <c r="AG18" s="184">
        <f t="shared" si="3"/>
        <v>0.99999993378582031</v>
      </c>
      <c r="AI18" s="184">
        <f t="shared" si="16"/>
        <v>3.5441623878359136E-3</v>
      </c>
      <c r="AJ18" s="184">
        <f t="shared" si="4"/>
        <v>3.9514411784075684E-5</v>
      </c>
      <c r="AK18" s="184">
        <f t="shared" si="4"/>
        <v>1.1724959528867353E-5</v>
      </c>
      <c r="AL18" s="184">
        <f t="shared" si="4"/>
        <v>1.2154781525223109E-10</v>
      </c>
      <c r="AM18" s="184">
        <f t="shared" si="4"/>
        <v>5.536893141245415E-11</v>
      </c>
      <c r="AN18" s="184">
        <f t="shared" si="4"/>
        <v>8.3456239613141768E-7</v>
      </c>
      <c r="AO18" s="184">
        <f t="shared" si="4"/>
        <v>5.8355123717218194E-7</v>
      </c>
      <c r="AQ18" s="185">
        <f t="shared" si="17"/>
        <v>2</v>
      </c>
      <c r="AR18" s="185">
        <f t="shared" si="5"/>
        <v>4</v>
      </c>
      <c r="AS18" s="185">
        <f t="shared" si="5"/>
        <v>4</v>
      </c>
      <c r="AT18" s="185">
        <f t="shared" si="5"/>
        <v>8</v>
      </c>
      <c r="AU18" s="185">
        <f t="shared" si="5"/>
        <v>9</v>
      </c>
      <c r="AV18" s="185">
        <f t="shared" si="5"/>
        <v>6</v>
      </c>
      <c r="AW18" s="185">
        <f t="shared" si="5"/>
        <v>6</v>
      </c>
      <c r="AY18" s="186">
        <f t="shared" si="18"/>
        <v>4.9930730773822019</v>
      </c>
      <c r="AZ18" s="186">
        <f t="shared" si="6"/>
        <v>4.9999559157148523</v>
      </c>
      <c r="BA18" s="186">
        <f t="shared" si="6"/>
        <v>3.9999898002686471</v>
      </c>
      <c r="BB18" s="186">
        <f t="shared" si="6"/>
        <v>3.9999999999650138</v>
      </c>
      <c r="BC18" s="186">
        <f t="shared" si="6"/>
        <v>4.9999999999843787</v>
      </c>
      <c r="BD18" s="186">
        <f t="shared" si="6"/>
        <v>5.9999993644339389</v>
      </c>
      <c r="BE18" s="186">
        <f t="shared" si="6"/>
        <v>5.9999996027149223</v>
      </c>
    </row>
    <row r="19" spans="1:57" ht="12.75" x14ac:dyDescent="0.2">
      <c r="A19" s="181">
        <f t="shared" si="7"/>
        <v>4.1428571428571432</v>
      </c>
      <c r="B19" s="187">
        <f t="shared" si="19"/>
        <v>0.12499999999999999</v>
      </c>
      <c r="C19">
        <v>3</v>
      </c>
      <c r="D19">
        <v>5</v>
      </c>
      <c r="E19">
        <v>4</v>
      </c>
      <c r="F19">
        <v>4</v>
      </c>
      <c r="G19">
        <v>5</v>
      </c>
      <c r="H19">
        <v>4</v>
      </c>
      <c r="I19">
        <v>4</v>
      </c>
      <c r="K19" s="43">
        <f t="shared" si="8"/>
        <v>2</v>
      </c>
      <c r="L19" s="43">
        <f t="shared" si="9"/>
        <v>2</v>
      </c>
      <c r="M19" s="43">
        <f t="shared" si="10"/>
        <v>2</v>
      </c>
      <c r="N19" s="43">
        <f t="shared" si="11"/>
        <v>2</v>
      </c>
      <c r="O19" s="43">
        <f t="shared" si="12"/>
        <v>2</v>
      </c>
      <c r="P19" s="43">
        <f t="shared" si="13"/>
        <v>2</v>
      </c>
      <c r="Q19" s="43">
        <f t="shared" si="14"/>
        <v>2</v>
      </c>
      <c r="S19" s="198">
        <f>'8900'!S19+'8911'!S19</f>
        <v>5</v>
      </c>
      <c r="T19" s="198">
        <f>'8900'!T19+'8911'!T19</f>
        <v>4</v>
      </c>
      <c r="U19" s="198">
        <f>'8900'!U19+'8911'!U19</f>
        <v>5</v>
      </c>
      <c r="V19" s="198">
        <f>'8900'!V19+'8911'!V19</f>
        <v>10</v>
      </c>
      <c r="W19" s="198">
        <f>'8900'!W19+'8911'!W19</f>
        <v>8</v>
      </c>
      <c r="X19" s="198">
        <f>'8900'!X19+'8911'!X19</f>
        <v>7</v>
      </c>
      <c r="Y19" s="198">
        <f>'8900'!Y19+'8911'!Y19</f>
        <v>7</v>
      </c>
      <c r="AA19" s="184">
        <f t="shared" si="15"/>
        <v>0.999989262047284</v>
      </c>
      <c r="AB19" s="184">
        <f t="shared" si="15"/>
        <v>0.99864426336633838</v>
      </c>
      <c r="AC19" s="184">
        <f t="shared" si="3"/>
        <v>0.99995742338176163</v>
      </c>
      <c r="AD19" s="184">
        <f t="shared" si="3"/>
        <v>0.99999999999125344</v>
      </c>
      <c r="AE19" s="184">
        <f t="shared" si="3"/>
        <v>0.99999996690924897</v>
      </c>
      <c r="AF19" s="184">
        <f t="shared" si="3"/>
        <v>0.99999989220418517</v>
      </c>
      <c r="AG19" s="184">
        <f t="shared" si="3"/>
        <v>0.99999992899450441</v>
      </c>
      <c r="AI19" s="184">
        <f t="shared" si="16"/>
        <v>3.8716773419334443E-5</v>
      </c>
      <c r="AJ19" s="184">
        <f t="shared" si="4"/>
        <v>3.4861200774693344E-3</v>
      </c>
      <c r="AK19" s="184">
        <f t="shared" si="4"/>
        <v>1.4848150141365227E-4</v>
      </c>
      <c r="AL19" s="184">
        <f t="shared" si="4"/>
        <v>1.2154781525223109E-10</v>
      </c>
      <c r="AM19" s="184">
        <f t="shared" si="4"/>
        <v>2.5584421345172604E-7</v>
      </c>
      <c r="AN19" s="184">
        <f t="shared" si="4"/>
        <v>6.8405448905235957E-7</v>
      </c>
      <c r="AO19" s="184">
        <f t="shared" si="4"/>
        <v>4.9702079364963235E-7</v>
      </c>
      <c r="AQ19" s="185">
        <f t="shared" si="17"/>
        <v>3</v>
      </c>
      <c r="AR19" s="185">
        <f t="shared" si="5"/>
        <v>2</v>
      </c>
      <c r="AS19" s="185">
        <f t="shared" si="5"/>
        <v>3</v>
      </c>
      <c r="AT19" s="185">
        <f t="shared" si="5"/>
        <v>8</v>
      </c>
      <c r="AU19" s="185">
        <f t="shared" si="5"/>
        <v>6</v>
      </c>
      <c r="AV19" s="185">
        <f t="shared" si="5"/>
        <v>5</v>
      </c>
      <c r="AW19" s="185">
        <f t="shared" si="5"/>
        <v>5</v>
      </c>
      <c r="AY19" s="186">
        <f t="shared" si="18"/>
        <v>2.9999677861418519</v>
      </c>
      <c r="AZ19" s="186">
        <f t="shared" si="6"/>
        <v>4.9932213168316917</v>
      </c>
      <c r="BA19" s="186">
        <f t="shared" si="6"/>
        <v>3.9998296935270465</v>
      </c>
      <c r="BB19" s="186">
        <f t="shared" si="6"/>
        <v>3.9999999999650138</v>
      </c>
      <c r="BC19" s="186">
        <f t="shared" si="6"/>
        <v>4.9999998345462444</v>
      </c>
      <c r="BD19" s="186">
        <f t="shared" si="6"/>
        <v>3.9999995688167407</v>
      </c>
      <c r="BE19" s="186">
        <f t="shared" si="6"/>
        <v>3.9999997159780176</v>
      </c>
    </row>
    <row r="20" spans="1:57" ht="12.75" x14ac:dyDescent="0.2">
      <c r="A20" s="181">
        <f t="shared" si="7"/>
        <v>4.7142857142857144</v>
      </c>
      <c r="B20" s="187">
        <f t="shared" si="19"/>
        <v>0.14583333333333331</v>
      </c>
      <c r="C20">
        <v>4</v>
      </c>
      <c r="D20">
        <v>4</v>
      </c>
      <c r="E20">
        <v>6</v>
      </c>
      <c r="F20">
        <v>5</v>
      </c>
      <c r="G20">
        <v>4</v>
      </c>
      <c r="H20">
        <v>5</v>
      </c>
      <c r="I20">
        <v>5</v>
      </c>
      <c r="K20" s="43">
        <f t="shared" si="8"/>
        <v>2</v>
      </c>
      <c r="L20" s="43">
        <f t="shared" si="9"/>
        <v>2</v>
      </c>
      <c r="M20" s="43">
        <f t="shared" si="10"/>
        <v>2</v>
      </c>
      <c r="N20" s="43">
        <f t="shared" si="11"/>
        <v>2</v>
      </c>
      <c r="O20" s="43">
        <f t="shared" si="12"/>
        <v>2</v>
      </c>
      <c r="P20" s="43">
        <f t="shared" si="13"/>
        <v>2</v>
      </c>
      <c r="Q20" s="43">
        <f t="shared" si="14"/>
        <v>2</v>
      </c>
      <c r="S20" s="198">
        <f>'8900'!S20+'8911'!S20</f>
        <v>5</v>
      </c>
      <c r="T20" s="198">
        <f>'8900'!T20+'8911'!T20</f>
        <v>4</v>
      </c>
      <c r="U20" s="198">
        <f>'8900'!U20+'8911'!U20</f>
        <v>5</v>
      </c>
      <c r="V20" s="198">
        <f>'8900'!V20+'8911'!V20</f>
        <v>10</v>
      </c>
      <c r="W20" s="198">
        <f>'8900'!W20+'8911'!W20</f>
        <v>8</v>
      </c>
      <c r="X20" s="198">
        <f>'8900'!X20+'8911'!X20</f>
        <v>7</v>
      </c>
      <c r="Y20" s="198">
        <f>'8900'!Y20+'8911'!Y20</f>
        <v>7</v>
      </c>
      <c r="AA20" s="184">
        <f t="shared" si="15"/>
        <v>0.99995742338176163</v>
      </c>
      <c r="AB20" s="184">
        <f t="shared" si="15"/>
        <v>0.99941501181176406</v>
      </c>
      <c r="AC20" s="184">
        <f t="shared" si="3"/>
        <v>0.99971313621585711</v>
      </c>
      <c r="AD20" s="184">
        <f t="shared" si="3"/>
        <v>0.99999999992438726</v>
      </c>
      <c r="AE20" s="184">
        <f t="shared" si="3"/>
        <v>0.99999999403945694</v>
      </c>
      <c r="AF20" s="184">
        <f t="shared" si="3"/>
        <v>0.99999951893451799</v>
      </c>
      <c r="AG20" s="184">
        <f t="shared" si="3"/>
        <v>0.99999968164984154</v>
      </c>
      <c r="AI20" s="184">
        <f t="shared" si="16"/>
        <v>1.4848150141365227E-4</v>
      </c>
      <c r="AJ20" s="184">
        <f t="shared" si="4"/>
        <v>1.5552155521555214E-3</v>
      </c>
      <c r="AK20" s="184">
        <f t="shared" si="4"/>
        <v>9.3588814173564076E-4</v>
      </c>
      <c r="AL20" s="184">
        <f t="shared" si="4"/>
        <v>1.0163112621826139E-9</v>
      </c>
      <c r="AM20" s="184">
        <f t="shared" si="4"/>
        <v>4.7646531368213549E-8</v>
      </c>
      <c r="AN20" s="184">
        <f t="shared" si="4"/>
        <v>2.9526808722990227E-6</v>
      </c>
      <c r="AO20" s="184">
        <f t="shared" si="4"/>
        <v>2.1553171444353583E-6</v>
      </c>
      <c r="AQ20" s="185">
        <f t="shared" si="17"/>
        <v>3</v>
      </c>
      <c r="AR20" s="185">
        <f t="shared" si="5"/>
        <v>2</v>
      </c>
      <c r="AS20" s="185">
        <f t="shared" si="5"/>
        <v>3</v>
      </c>
      <c r="AT20" s="185">
        <f t="shared" si="5"/>
        <v>8</v>
      </c>
      <c r="AU20" s="185">
        <f t="shared" si="5"/>
        <v>6</v>
      </c>
      <c r="AV20" s="185">
        <f t="shared" si="5"/>
        <v>5</v>
      </c>
      <c r="AW20" s="185">
        <f t="shared" si="5"/>
        <v>5</v>
      </c>
      <c r="AY20" s="186">
        <f t="shared" si="18"/>
        <v>3.9998296935270465</v>
      </c>
      <c r="AZ20" s="186">
        <f t="shared" si="6"/>
        <v>3.9976600472470563</v>
      </c>
      <c r="BA20" s="186">
        <f t="shared" si="6"/>
        <v>5.9982788172951427</v>
      </c>
      <c r="BB20" s="186">
        <f t="shared" si="6"/>
        <v>4.9999999996219362</v>
      </c>
      <c r="BC20" s="186">
        <f t="shared" si="6"/>
        <v>3.9999999761578278</v>
      </c>
      <c r="BD20" s="186">
        <f t="shared" si="6"/>
        <v>4.9999975946725899</v>
      </c>
      <c r="BE20" s="186">
        <f t="shared" si="6"/>
        <v>4.9999984082492075</v>
      </c>
    </row>
    <row r="21" spans="1:57" ht="12.75" x14ac:dyDescent="0.2">
      <c r="A21" s="181">
        <f t="shared" si="7"/>
        <v>4.7142857142857144</v>
      </c>
      <c r="B21" s="187">
        <f t="shared" si="19"/>
        <v>0.16666666666666666</v>
      </c>
      <c r="C21">
        <v>5</v>
      </c>
      <c r="D21">
        <v>3</v>
      </c>
      <c r="E21">
        <v>5</v>
      </c>
      <c r="F21">
        <v>5</v>
      </c>
      <c r="G21">
        <v>5</v>
      </c>
      <c r="H21">
        <v>5</v>
      </c>
      <c r="I21">
        <v>5</v>
      </c>
      <c r="K21" s="43">
        <f t="shared" si="8"/>
        <v>2</v>
      </c>
      <c r="L21" s="43">
        <f t="shared" si="9"/>
        <v>2</v>
      </c>
      <c r="M21" s="43">
        <f t="shared" si="10"/>
        <v>2</v>
      </c>
      <c r="N21" s="43">
        <f t="shared" si="11"/>
        <v>2</v>
      </c>
      <c r="O21" s="43">
        <f t="shared" si="12"/>
        <v>2</v>
      </c>
      <c r="P21" s="43">
        <f t="shared" si="13"/>
        <v>2</v>
      </c>
      <c r="Q21" s="43">
        <f t="shared" si="14"/>
        <v>2</v>
      </c>
      <c r="S21" s="198">
        <f>'8900'!S21+'8911'!S21</f>
        <v>5</v>
      </c>
      <c r="T21" s="198">
        <f>'8900'!T21+'8911'!T21</f>
        <v>6</v>
      </c>
      <c r="U21" s="198">
        <f>'8900'!U21+'8911'!U21</f>
        <v>6</v>
      </c>
      <c r="V21" s="198">
        <f>'8900'!V21+'8911'!V21</f>
        <v>12</v>
      </c>
      <c r="W21" s="198">
        <f>'8900'!W21+'8911'!W21</f>
        <v>10</v>
      </c>
      <c r="X21" s="198">
        <f>'8900'!X21+'8911'!X21</f>
        <v>9</v>
      </c>
      <c r="Y21" s="198">
        <f>'8900'!Y21+'8911'!Y21</f>
        <v>8</v>
      </c>
      <c r="AA21" s="184">
        <f t="shared" si="15"/>
        <v>0.99987765550163699</v>
      </c>
      <c r="AB21" s="184">
        <f t="shared" si="15"/>
        <v>0.9999995316031739</v>
      </c>
      <c r="AC21" s="184">
        <f t="shared" si="3"/>
        <v>0.99999088613970033</v>
      </c>
      <c r="AD21" s="184">
        <f t="shared" si="3"/>
        <v>0.99999999999988154</v>
      </c>
      <c r="AE21" s="184">
        <f t="shared" si="3"/>
        <v>0.99999999992438726</v>
      </c>
      <c r="AF21" s="184">
        <f t="shared" si="3"/>
        <v>0.99999999871075407</v>
      </c>
      <c r="AG21" s="184">
        <f t="shared" si="3"/>
        <v>0.99999998358804165</v>
      </c>
      <c r="AI21" s="184">
        <f t="shared" si="16"/>
        <v>4.1267593960281969E-4</v>
      </c>
      <c r="AJ21" s="184">
        <f t="shared" si="4"/>
        <v>2.2439265230974037E-6</v>
      </c>
      <c r="AK21" s="184">
        <f t="shared" si="4"/>
        <v>4.0532976325527902E-5</v>
      </c>
      <c r="AL21" s="184">
        <f t="shared" si="4"/>
        <v>2.7678911051830148E-12</v>
      </c>
      <c r="AM21" s="184">
        <f t="shared" si="4"/>
        <v>1.0163112621826139E-9</v>
      </c>
      <c r="AN21" s="184">
        <f t="shared" si="4"/>
        <v>1.3937187829694892E-8</v>
      </c>
      <c r="AO21" s="184">
        <f t="shared" si="4"/>
        <v>1.4954258417800845E-7</v>
      </c>
      <c r="AQ21" s="185">
        <f t="shared" si="17"/>
        <v>3</v>
      </c>
      <c r="AR21" s="185">
        <f t="shared" si="5"/>
        <v>4</v>
      </c>
      <c r="AS21" s="185">
        <f t="shared" si="5"/>
        <v>4</v>
      </c>
      <c r="AT21" s="185">
        <f t="shared" si="5"/>
        <v>10</v>
      </c>
      <c r="AU21" s="185">
        <f t="shared" si="5"/>
        <v>8</v>
      </c>
      <c r="AV21" s="185">
        <f t="shared" si="5"/>
        <v>7</v>
      </c>
      <c r="AW21" s="185">
        <f t="shared" si="5"/>
        <v>6</v>
      </c>
      <c r="AY21" s="186">
        <f t="shared" si="18"/>
        <v>4.999388277508185</v>
      </c>
      <c r="AZ21" s="186">
        <f t="shared" si="6"/>
        <v>2.9999985948095218</v>
      </c>
      <c r="BA21" s="186">
        <f t="shared" si="6"/>
        <v>4.9999544306985015</v>
      </c>
      <c r="BB21" s="186">
        <f t="shared" si="6"/>
        <v>4.9999999999994076</v>
      </c>
      <c r="BC21" s="186">
        <f t="shared" si="6"/>
        <v>4.9999999996219362</v>
      </c>
      <c r="BD21" s="186">
        <f t="shared" si="6"/>
        <v>4.9999999935537707</v>
      </c>
      <c r="BE21" s="186">
        <f t="shared" si="6"/>
        <v>4.9999999179402081</v>
      </c>
    </row>
    <row r="22" spans="1:57" ht="12.75" x14ac:dyDescent="0.2">
      <c r="A22" s="181">
        <f t="shared" si="7"/>
        <v>6</v>
      </c>
      <c r="B22" s="187">
        <f t="shared" si="19"/>
        <v>0.1875</v>
      </c>
      <c r="C22">
        <v>6</v>
      </c>
      <c r="D22">
        <v>6</v>
      </c>
      <c r="E22">
        <v>5</v>
      </c>
      <c r="F22">
        <v>7</v>
      </c>
      <c r="G22">
        <v>7</v>
      </c>
      <c r="H22">
        <v>5</v>
      </c>
      <c r="I22">
        <v>6</v>
      </c>
      <c r="K22" s="43">
        <f t="shared" si="8"/>
        <v>2</v>
      </c>
      <c r="L22" s="43">
        <f t="shared" si="9"/>
        <v>2</v>
      </c>
      <c r="M22" s="43">
        <f t="shared" si="10"/>
        <v>2</v>
      </c>
      <c r="N22" s="43">
        <f t="shared" si="11"/>
        <v>2</v>
      </c>
      <c r="O22" s="43">
        <f t="shared" si="12"/>
        <v>2</v>
      </c>
      <c r="P22" s="43">
        <f t="shared" si="13"/>
        <v>2</v>
      </c>
      <c r="Q22" s="43">
        <f t="shared" si="14"/>
        <v>2</v>
      </c>
      <c r="S22" s="198">
        <f>'8900'!S22+'8911'!S22</f>
        <v>5</v>
      </c>
      <c r="T22" s="198">
        <f>'8900'!T22+'8911'!T22</f>
        <v>6</v>
      </c>
      <c r="U22" s="198">
        <f>'8900'!U22+'8911'!U22</f>
        <v>6</v>
      </c>
      <c r="V22" s="198">
        <f>'8900'!V22+'8911'!V22</f>
        <v>12</v>
      </c>
      <c r="W22" s="198">
        <f>'8900'!W22+'8911'!W22</f>
        <v>10</v>
      </c>
      <c r="X22" s="198">
        <f>'8900'!X22+'8911'!X22</f>
        <v>9</v>
      </c>
      <c r="Y22" s="198">
        <f>'8900'!Y22+'8911'!Y22</f>
        <v>8</v>
      </c>
      <c r="AA22" s="184">
        <f t="shared" si="15"/>
        <v>0.99971313621585711</v>
      </c>
      <c r="AB22" s="184">
        <f t="shared" si="15"/>
        <v>0.99997530997193074</v>
      </c>
      <c r="AC22" s="184">
        <f t="shared" si="3"/>
        <v>0.99999088613970033</v>
      </c>
      <c r="AD22" s="184">
        <f t="shared" si="3"/>
        <v>0.99999999999423739</v>
      </c>
      <c r="AE22" s="184">
        <f t="shared" si="3"/>
        <v>0.99999999811460016</v>
      </c>
      <c r="AF22" s="184">
        <f t="shared" si="3"/>
        <v>0.99999999871075407</v>
      </c>
      <c r="AG22" s="184">
        <f t="shared" si="3"/>
        <v>0.99999993378582031</v>
      </c>
      <c r="AI22" s="184">
        <f t="shared" si="16"/>
        <v>9.3588814173564076E-4</v>
      </c>
      <c r="AJ22" s="184">
        <f t="shared" si="4"/>
        <v>1.0702539116188649E-4</v>
      </c>
      <c r="AK22" s="184">
        <f t="shared" si="4"/>
        <v>4.0532976325527902E-5</v>
      </c>
      <c r="AL22" s="184">
        <f t="shared" si="4"/>
        <v>1.2596746460978877E-10</v>
      </c>
      <c r="AM22" s="184">
        <f t="shared" si="4"/>
        <v>2.3707311852227474E-8</v>
      </c>
      <c r="AN22" s="184">
        <f t="shared" si="4"/>
        <v>1.3937187829694892E-8</v>
      </c>
      <c r="AO22" s="184">
        <f t="shared" si="4"/>
        <v>5.8355123717218194E-7</v>
      </c>
      <c r="AQ22" s="185">
        <f t="shared" si="17"/>
        <v>3</v>
      </c>
      <c r="AR22" s="185">
        <f t="shared" si="5"/>
        <v>4</v>
      </c>
      <c r="AS22" s="185">
        <f t="shared" si="5"/>
        <v>4</v>
      </c>
      <c r="AT22" s="185">
        <f t="shared" si="5"/>
        <v>10</v>
      </c>
      <c r="AU22" s="185">
        <f t="shared" si="5"/>
        <v>8</v>
      </c>
      <c r="AV22" s="185">
        <f t="shared" si="5"/>
        <v>7</v>
      </c>
      <c r="AW22" s="185">
        <f t="shared" si="5"/>
        <v>6</v>
      </c>
      <c r="AY22" s="186">
        <f t="shared" si="18"/>
        <v>5.9982788172951427</v>
      </c>
      <c r="AZ22" s="186">
        <f t="shared" si="6"/>
        <v>5.9998518598315842</v>
      </c>
      <c r="BA22" s="186">
        <f t="shared" si="6"/>
        <v>4.9999544306985015</v>
      </c>
      <c r="BB22" s="186">
        <f t="shared" si="6"/>
        <v>6.9999999999596616</v>
      </c>
      <c r="BC22" s="186">
        <f t="shared" si="6"/>
        <v>6.9999999868022016</v>
      </c>
      <c r="BD22" s="186">
        <f t="shared" si="6"/>
        <v>4.9999999935537707</v>
      </c>
      <c r="BE22" s="186">
        <f t="shared" si="6"/>
        <v>5.9999996027149223</v>
      </c>
    </row>
    <row r="23" spans="1:57" ht="12.75" x14ac:dyDescent="0.2">
      <c r="A23" s="181">
        <f t="shared" si="7"/>
        <v>12.714285714285714</v>
      </c>
      <c r="B23" s="187">
        <f t="shared" si="19"/>
        <v>0.20833333333333334</v>
      </c>
      <c r="C23">
        <v>14</v>
      </c>
      <c r="D23">
        <v>11</v>
      </c>
      <c r="E23">
        <v>13</v>
      </c>
      <c r="F23">
        <v>13</v>
      </c>
      <c r="G23">
        <v>14</v>
      </c>
      <c r="H23">
        <v>11</v>
      </c>
      <c r="I23">
        <v>13</v>
      </c>
      <c r="K23" s="43">
        <f>AgentsRequired(C23,$B$10,K$10,$C$4,$C$6,$C$2,$C$8)</f>
        <v>4</v>
      </c>
      <c r="L23" s="43">
        <f t="shared" si="9"/>
        <v>3</v>
      </c>
      <c r="M23" s="43">
        <f t="shared" si="10"/>
        <v>3</v>
      </c>
      <c r="N23" s="43">
        <f t="shared" si="11"/>
        <v>3</v>
      </c>
      <c r="O23" s="43">
        <f t="shared" si="12"/>
        <v>4</v>
      </c>
      <c r="P23" s="43">
        <f t="shared" si="13"/>
        <v>3</v>
      </c>
      <c r="Q23" s="43">
        <f t="shared" si="14"/>
        <v>3</v>
      </c>
      <c r="S23" s="198">
        <f>'8900'!S23+'8911'!S23</f>
        <v>7</v>
      </c>
      <c r="T23" s="198">
        <f>'8900'!T23+'8911'!T23</f>
        <v>10</v>
      </c>
      <c r="U23" s="198">
        <f>'8900'!U23+'8911'!U23</f>
        <v>8</v>
      </c>
      <c r="V23" s="198">
        <f>'8900'!V23+'8911'!V23</f>
        <v>13</v>
      </c>
      <c r="W23" s="198">
        <f>'8900'!W23+'8911'!W23</f>
        <v>13</v>
      </c>
      <c r="X23" s="198">
        <f>'8900'!X23+'8911'!X23</f>
        <v>11</v>
      </c>
      <c r="Y23" s="198">
        <f>'8900'!Y23+'8911'!Y23</f>
        <v>9</v>
      </c>
      <c r="AA23" s="184">
        <f t="shared" si="15"/>
        <v>0.99956582034820829</v>
      </c>
      <c r="AB23" s="184">
        <f t="shared" si="15"/>
        <v>0.99999987780439714</v>
      </c>
      <c r="AC23" s="184">
        <f t="shared" si="3"/>
        <v>0.99996045246668264</v>
      </c>
      <c r="AD23" s="184">
        <f t="shared" si="3"/>
        <v>0.9999999994444686</v>
      </c>
      <c r="AE23" s="184">
        <f t="shared" si="3"/>
        <v>0.99999999865155509</v>
      </c>
      <c r="AF23" s="184">
        <f t="shared" si="3"/>
        <v>0.99999999139357953</v>
      </c>
      <c r="AG23" s="184">
        <f t="shared" si="3"/>
        <v>0.99999756294401365</v>
      </c>
      <c r="AI23" s="184">
        <f t="shared" si="16"/>
        <v>1.8861171879448102E-3</v>
      </c>
      <c r="AJ23" s="184">
        <f t="shared" si="4"/>
        <v>1.3620336239741122E-6</v>
      </c>
      <c r="AK23" s="184">
        <f t="shared" si="4"/>
        <v>2.3419440406354319E-4</v>
      </c>
      <c r="AL23" s="184">
        <f t="shared" si="4"/>
        <v>1.3109099638984616E-8</v>
      </c>
      <c r="AM23" s="184">
        <f t="shared" si="4"/>
        <v>3.0776623357006223E-8</v>
      </c>
      <c r="AN23" s="184">
        <f t="shared" si="4"/>
        <v>1.3416218117843475E-7</v>
      </c>
      <c r="AO23" s="184">
        <f t="shared" si="4"/>
        <v>2.2890563267726795E-5</v>
      </c>
      <c r="AQ23" s="185">
        <f t="shared" si="17"/>
        <v>3</v>
      </c>
      <c r="AR23" s="185">
        <f t="shared" si="5"/>
        <v>7</v>
      </c>
      <c r="AS23" s="185">
        <f t="shared" si="5"/>
        <v>5</v>
      </c>
      <c r="AT23" s="185">
        <f t="shared" si="5"/>
        <v>10</v>
      </c>
      <c r="AU23" s="185">
        <f t="shared" si="5"/>
        <v>9</v>
      </c>
      <c r="AV23" s="185">
        <f t="shared" si="5"/>
        <v>8</v>
      </c>
      <c r="AW23" s="185">
        <f t="shared" si="5"/>
        <v>6</v>
      </c>
      <c r="AY23" s="186">
        <f t="shared" si="18"/>
        <v>13.993921484874916</v>
      </c>
      <c r="AZ23" s="186">
        <f t="shared" si="6"/>
        <v>10.999998655848369</v>
      </c>
      <c r="BA23" s="186">
        <f t="shared" si="6"/>
        <v>12.999485882066875</v>
      </c>
      <c r="BB23" s="186">
        <f t="shared" si="6"/>
        <v>12.999999992778092</v>
      </c>
      <c r="BC23" s="186">
        <f t="shared" si="6"/>
        <v>13.999999981121771</v>
      </c>
      <c r="BD23" s="186">
        <f t="shared" si="6"/>
        <v>10.999999905329375</v>
      </c>
      <c r="BE23" s="186">
        <f t="shared" si="6"/>
        <v>12.999968318272177</v>
      </c>
    </row>
    <row r="24" spans="1:57" ht="12.75" x14ac:dyDescent="0.2">
      <c r="A24" s="181">
        <f t="shared" si="7"/>
        <v>35.857142857142854</v>
      </c>
      <c r="B24" s="187">
        <f t="shared" si="19"/>
        <v>0.22916666666666669</v>
      </c>
      <c r="C24">
        <v>38</v>
      </c>
      <c r="D24">
        <v>36</v>
      </c>
      <c r="E24">
        <v>37</v>
      </c>
      <c r="F24">
        <v>34</v>
      </c>
      <c r="G24">
        <v>36</v>
      </c>
      <c r="H24">
        <v>35</v>
      </c>
      <c r="I24">
        <v>35</v>
      </c>
      <c r="K24" s="43">
        <f t="shared" si="8"/>
        <v>7</v>
      </c>
      <c r="L24" s="43">
        <f t="shared" si="9"/>
        <v>7</v>
      </c>
      <c r="M24" s="43">
        <f t="shared" si="10"/>
        <v>7</v>
      </c>
      <c r="N24" s="43">
        <f t="shared" si="11"/>
        <v>6</v>
      </c>
      <c r="O24" s="43">
        <f t="shared" si="12"/>
        <v>7</v>
      </c>
      <c r="P24" s="43">
        <f t="shared" si="13"/>
        <v>6</v>
      </c>
      <c r="Q24" s="43">
        <f t="shared" si="14"/>
        <v>6</v>
      </c>
      <c r="S24" s="198">
        <f>'8900'!S24+'8911'!S24</f>
        <v>7</v>
      </c>
      <c r="T24" s="198">
        <f>'8900'!T24+'8911'!T24</f>
        <v>10</v>
      </c>
      <c r="U24" s="198">
        <f>'8900'!U24+'8911'!U24</f>
        <v>8</v>
      </c>
      <c r="V24" s="198">
        <f>'8900'!V24+'8911'!V24</f>
        <v>13</v>
      </c>
      <c r="W24" s="198">
        <f>'8900'!W24+'8911'!W24</f>
        <v>13</v>
      </c>
      <c r="X24" s="198">
        <f>'8900'!X24+'8911'!X24</f>
        <v>11</v>
      </c>
      <c r="Y24" s="198">
        <f>'8900'!Y24+'8911'!Y24</f>
        <v>9</v>
      </c>
      <c r="AA24" s="184">
        <f t="shared" si="15"/>
        <v>0.88070536263956667</v>
      </c>
      <c r="AB24" s="184">
        <f t="shared" si="15"/>
        <v>0.99698851897399554</v>
      </c>
      <c r="AC24" s="184">
        <f t="shared" si="3"/>
        <v>0.96252691220921627</v>
      </c>
      <c r="AD24" s="184">
        <f t="shared" si="3"/>
        <v>0.9999693881695727</v>
      </c>
      <c r="AE24" s="184">
        <f t="shared" si="3"/>
        <v>0.99994444076058908</v>
      </c>
      <c r="AF24" s="184">
        <f t="shared" si="3"/>
        <v>0.9994586255060578</v>
      </c>
      <c r="AG24" s="184">
        <f t="shared" si="3"/>
        <v>0.99526238916210574</v>
      </c>
      <c r="AI24" s="184">
        <f t="shared" si="16"/>
        <v>0.23285445029262228</v>
      </c>
      <c r="AJ24" s="184">
        <f t="shared" si="4"/>
        <v>1.4588153142708862E-2</v>
      </c>
      <c r="AK24" s="184">
        <f t="shared" si="4"/>
        <v>9.9710526178012404E-2</v>
      </c>
      <c r="AL24" s="184">
        <f t="shared" si="4"/>
        <v>3.5871322828400079E-4</v>
      </c>
      <c r="AM24" s="184">
        <f t="shared" si="4"/>
        <v>6.0906188159749373E-4</v>
      </c>
      <c r="AN24" s="184">
        <f t="shared" si="4"/>
        <v>3.7920124449803351E-3</v>
      </c>
      <c r="AO24" s="184">
        <f t="shared" si="4"/>
        <v>2.1373110773741349E-2</v>
      </c>
      <c r="AQ24" s="185">
        <f t="shared" si="17"/>
        <v>0</v>
      </c>
      <c r="AR24" s="185">
        <f t="shared" si="5"/>
        <v>3</v>
      </c>
      <c r="AS24" s="185">
        <f t="shared" si="5"/>
        <v>1</v>
      </c>
      <c r="AT24" s="185">
        <f t="shared" si="5"/>
        <v>7</v>
      </c>
      <c r="AU24" s="185">
        <f t="shared" si="5"/>
        <v>6</v>
      </c>
      <c r="AV24" s="185">
        <f t="shared" si="5"/>
        <v>5</v>
      </c>
      <c r="AW24" s="185">
        <f t="shared" si="5"/>
        <v>3</v>
      </c>
      <c r="AY24" s="186">
        <f t="shared" si="18"/>
        <v>33.466803780303536</v>
      </c>
      <c r="AZ24" s="186">
        <f t="shared" si="6"/>
        <v>35.891586683063842</v>
      </c>
      <c r="BA24" s="186">
        <f t="shared" si="6"/>
        <v>35.613495751740999</v>
      </c>
      <c r="BB24" s="186">
        <f t="shared" si="6"/>
        <v>33.998959197765473</v>
      </c>
      <c r="BC24" s="186">
        <f t="shared" si="6"/>
        <v>35.99799986738121</v>
      </c>
      <c r="BD24" s="186">
        <f t="shared" si="6"/>
        <v>34.981051892712024</v>
      </c>
      <c r="BE24" s="186">
        <f t="shared" si="6"/>
        <v>34.834183620673699</v>
      </c>
    </row>
    <row r="25" spans="1:57" ht="12.75" x14ac:dyDescent="0.2">
      <c r="A25" s="181">
        <f t="shared" si="7"/>
        <v>78.714285714285708</v>
      </c>
      <c r="B25" s="187">
        <f t="shared" si="19"/>
        <v>0.25</v>
      </c>
      <c r="C25">
        <v>85</v>
      </c>
      <c r="D25">
        <v>76</v>
      </c>
      <c r="E25">
        <v>74</v>
      </c>
      <c r="F25">
        <v>76</v>
      </c>
      <c r="G25">
        <v>83</v>
      </c>
      <c r="H25">
        <v>74</v>
      </c>
      <c r="I25">
        <v>83</v>
      </c>
      <c r="K25" s="43">
        <f t="shared" si="8"/>
        <v>16</v>
      </c>
      <c r="L25" s="43">
        <f t="shared" si="9"/>
        <v>14</v>
      </c>
      <c r="M25" s="43">
        <f t="shared" si="10"/>
        <v>13</v>
      </c>
      <c r="N25" s="43">
        <f t="shared" si="11"/>
        <v>14</v>
      </c>
      <c r="O25" s="43">
        <f t="shared" si="12"/>
        <v>15</v>
      </c>
      <c r="P25" s="43">
        <f t="shared" si="13"/>
        <v>13</v>
      </c>
      <c r="Q25" s="43">
        <f t="shared" si="14"/>
        <v>14</v>
      </c>
      <c r="S25" s="198">
        <f>'8900'!S25+'8911'!S25</f>
        <v>10</v>
      </c>
      <c r="T25" s="198">
        <f>'8900'!T25+'8911'!T25</f>
        <v>12</v>
      </c>
      <c r="U25" s="198">
        <f>'8900'!U25+'8911'!U25</f>
        <v>11</v>
      </c>
      <c r="V25" s="198">
        <f>'8900'!V25+'8911'!V25</f>
        <v>15</v>
      </c>
      <c r="W25" s="198">
        <f>'8900'!W25+'8911'!W25</f>
        <v>15</v>
      </c>
      <c r="X25" s="198">
        <f>'8900'!X25+'8911'!X25</f>
        <v>14</v>
      </c>
      <c r="Y25" s="198">
        <f>'8900'!Y25+'8911'!Y25</f>
        <v>11</v>
      </c>
      <c r="AA25" s="184">
        <f t="shared" si="15"/>
        <v>0</v>
      </c>
      <c r="AB25" s="184">
        <f t="shared" si="15"/>
        <v>0.87198512740313516</v>
      </c>
      <c r="AC25" s="184">
        <f t="shared" si="3"/>
        <v>0.76729931770301774</v>
      </c>
      <c r="AD25" s="184">
        <f t="shared" si="3"/>
        <v>0.989046471740196</v>
      </c>
      <c r="AE25" s="184">
        <f t="shared" si="3"/>
        <v>0.97424213570278284</v>
      </c>
      <c r="AF25" s="184">
        <f t="shared" si="3"/>
        <v>0.98389767496983127</v>
      </c>
      <c r="AG25" s="184">
        <f t="shared" si="3"/>
        <v>0.69548508762117545</v>
      </c>
      <c r="AI25" s="184">
        <f t="shared" si="16"/>
        <v>1</v>
      </c>
      <c r="AJ25" s="184">
        <f t="shared" si="4"/>
        <v>0.28490233842007162</v>
      </c>
      <c r="AK25" s="184">
        <f t="shared" si="4"/>
        <v>0.4134600891033019</v>
      </c>
      <c r="AL25" s="184">
        <f t="shared" si="4"/>
        <v>5.5025335483584591E-2</v>
      </c>
      <c r="AM25" s="184">
        <f t="shared" si="4"/>
        <v>0.10246679154977135</v>
      </c>
      <c r="AN25" s="184">
        <f t="shared" si="4"/>
        <v>7.1848602181004889E-2</v>
      </c>
      <c r="AO25" s="184">
        <f t="shared" si="4"/>
        <v>0.50239171555906492</v>
      </c>
      <c r="AQ25" s="185">
        <f t="shared" si="17"/>
        <v>-6</v>
      </c>
      <c r="AR25" s="185">
        <f t="shared" si="5"/>
        <v>-2</v>
      </c>
      <c r="AS25" s="185">
        <f t="shared" si="5"/>
        <v>-2</v>
      </c>
      <c r="AT25" s="185">
        <f t="shared" si="5"/>
        <v>1</v>
      </c>
      <c r="AU25" s="185">
        <f t="shared" si="5"/>
        <v>0</v>
      </c>
      <c r="AV25" s="185">
        <f t="shared" si="5"/>
        <v>1</v>
      </c>
      <c r="AW25" s="185">
        <f t="shared" si="5"/>
        <v>-3</v>
      </c>
      <c r="AY25" s="186">
        <f t="shared" si="18"/>
        <v>0</v>
      </c>
      <c r="AZ25" s="186">
        <f t="shared" si="6"/>
        <v>66.270869682638278</v>
      </c>
      <c r="BA25" s="186">
        <f t="shared" si="6"/>
        <v>56.780149510023314</v>
      </c>
      <c r="BB25" s="186">
        <f t="shared" si="6"/>
        <v>75.167531852254896</v>
      </c>
      <c r="BC25" s="186">
        <f t="shared" si="6"/>
        <v>80.86209726333098</v>
      </c>
      <c r="BD25" s="186">
        <f t="shared" si="6"/>
        <v>72.808427947767512</v>
      </c>
      <c r="BE25" s="186">
        <f t="shared" si="6"/>
        <v>57.725262272557565</v>
      </c>
    </row>
    <row r="26" spans="1:57" ht="12.75" x14ac:dyDescent="0.2">
      <c r="A26" s="181">
        <f t="shared" si="7"/>
        <v>116.57142857142857</v>
      </c>
      <c r="B26" s="187">
        <f t="shared" si="19"/>
        <v>0.27083333333333331</v>
      </c>
      <c r="C26">
        <v>117</v>
      </c>
      <c r="D26">
        <v>114</v>
      </c>
      <c r="E26">
        <v>111</v>
      </c>
      <c r="F26">
        <v>117</v>
      </c>
      <c r="G26">
        <v>122</v>
      </c>
      <c r="H26">
        <v>116</v>
      </c>
      <c r="I26">
        <v>119</v>
      </c>
      <c r="K26" s="43">
        <f t="shared" si="8"/>
        <v>22</v>
      </c>
      <c r="L26" s="43">
        <f t="shared" si="9"/>
        <v>20</v>
      </c>
      <c r="M26" s="43">
        <f t="shared" si="10"/>
        <v>20</v>
      </c>
      <c r="N26" s="43">
        <f t="shared" si="11"/>
        <v>21</v>
      </c>
      <c r="O26" s="43">
        <f t="shared" si="12"/>
        <v>22</v>
      </c>
      <c r="P26" s="43">
        <f t="shared" si="13"/>
        <v>21</v>
      </c>
      <c r="Q26" s="43">
        <f t="shared" si="14"/>
        <v>21</v>
      </c>
      <c r="S26" s="198">
        <f>'8900'!S26+'8911'!S26</f>
        <v>16</v>
      </c>
      <c r="T26" s="198">
        <f>'8900'!T26+'8911'!T26</f>
        <v>16</v>
      </c>
      <c r="U26" s="198">
        <f>'8900'!U26+'8911'!U26</f>
        <v>16</v>
      </c>
      <c r="V26" s="198">
        <f>'8900'!V26+'8911'!V26</f>
        <v>17</v>
      </c>
      <c r="W26" s="198">
        <f>'8900'!W26+'8911'!W26</f>
        <v>19</v>
      </c>
      <c r="X26" s="198">
        <f>'8900'!X26+'8911'!X26</f>
        <v>17</v>
      </c>
      <c r="Y26" s="198">
        <f>'8900'!Y26+'8911'!Y26</f>
        <v>16</v>
      </c>
      <c r="AA26" s="184">
        <f t="shared" si="15"/>
        <v>0.68645064050500615</v>
      </c>
      <c r="AB26" s="184">
        <f t="shared" si="15"/>
        <v>0.76499304708462612</v>
      </c>
      <c r="AC26" s="184">
        <f t="shared" si="3"/>
        <v>0.80834828729578034</v>
      </c>
      <c r="AD26" s="184">
        <f t="shared" si="3"/>
        <v>0.83639408803906323</v>
      </c>
      <c r="AE26" s="184">
        <f t="shared" si="3"/>
        <v>0.93494034805953297</v>
      </c>
      <c r="AF26" s="184">
        <f t="shared" si="3"/>
        <v>0.88339561247468512</v>
      </c>
      <c r="AG26" s="184">
        <f t="shared" si="3"/>
        <v>0.82192647071056701</v>
      </c>
      <c r="AI26" s="184">
        <f t="shared" si="16"/>
        <v>0.52949299096681468</v>
      </c>
      <c r="AJ26" s="184">
        <f t="shared" si="4"/>
        <v>0.44767142859830661</v>
      </c>
      <c r="AK26" s="184">
        <f t="shared" si="4"/>
        <v>0.39529916660955322</v>
      </c>
      <c r="AL26" s="184">
        <f t="shared" si="4"/>
        <v>0.36427948526898785</v>
      </c>
      <c r="AM26" s="184">
        <f t="shared" si="4"/>
        <v>0.21317088599893419</v>
      </c>
      <c r="AN26" s="184">
        <f t="shared" si="4"/>
        <v>0.29989757212914425</v>
      </c>
      <c r="AO26" s="184">
        <f t="shared" si="4"/>
        <v>0.39072544699790585</v>
      </c>
      <c r="AQ26" s="185">
        <f t="shared" si="17"/>
        <v>-6</v>
      </c>
      <c r="AR26" s="185">
        <f t="shared" si="5"/>
        <v>-4</v>
      </c>
      <c r="AS26" s="185">
        <f t="shared" si="5"/>
        <v>-4</v>
      </c>
      <c r="AT26" s="185">
        <f t="shared" si="5"/>
        <v>-4</v>
      </c>
      <c r="AU26" s="185">
        <f t="shared" si="5"/>
        <v>-3</v>
      </c>
      <c r="AV26" s="185">
        <f t="shared" si="5"/>
        <v>-4</v>
      </c>
      <c r="AW26" s="185">
        <f t="shared" si="5"/>
        <v>-5</v>
      </c>
      <c r="AY26" s="186">
        <f t="shared" si="18"/>
        <v>80.314724939085721</v>
      </c>
      <c r="AZ26" s="186">
        <f t="shared" si="6"/>
        <v>87.20920736764738</v>
      </c>
      <c r="BA26" s="186">
        <f t="shared" si="6"/>
        <v>89.726659889831623</v>
      </c>
      <c r="BB26" s="186">
        <f t="shared" si="6"/>
        <v>97.858108300570393</v>
      </c>
      <c r="BC26" s="186">
        <f t="shared" si="6"/>
        <v>114.06272246326303</v>
      </c>
      <c r="BD26" s="186">
        <f t="shared" si="6"/>
        <v>102.47389104706347</v>
      </c>
      <c r="BE26" s="186">
        <f t="shared" si="6"/>
        <v>97.809250014557477</v>
      </c>
    </row>
    <row r="27" spans="1:57" ht="12.75" x14ac:dyDescent="0.2">
      <c r="A27" s="181">
        <f t="shared" si="7"/>
        <v>148</v>
      </c>
      <c r="B27" s="187">
        <f t="shared" si="19"/>
        <v>0.29166666666666663</v>
      </c>
      <c r="C27">
        <v>157</v>
      </c>
      <c r="D27">
        <v>144</v>
      </c>
      <c r="E27">
        <v>137</v>
      </c>
      <c r="F27">
        <v>144</v>
      </c>
      <c r="G27">
        <v>150</v>
      </c>
      <c r="H27">
        <v>151</v>
      </c>
      <c r="I27">
        <v>153</v>
      </c>
      <c r="K27" s="43">
        <f t="shared" si="8"/>
        <v>29</v>
      </c>
      <c r="L27" s="43">
        <f t="shared" si="9"/>
        <v>25</v>
      </c>
      <c r="M27" s="43">
        <f t="shared" si="10"/>
        <v>24</v>
      </c>
      <c r="N27" s="43">
        <f t="shared" si="11"/>
        <v>25</v>
      </c>
      <c r="O27" s="43">
        <f t="shared" si="12"/>
        <v>26</v>
      </c>
      <c r="P27" s="43">
        <f t="shared" si="13"/>
        <v>27</v>
      </c>
      <c r="Q27" s="43">
        <f t="shared" si="14"/>
        <v>26</v>
      </c>
      <c r="S27" s="198">
        <f>'8900'!S27+'8911'!S27</f>
        <v>33</v>
      </c>
      <c r="T27" s="198">
        <f>'8900'!T27+'8911'!T27</f>
        <v>34</v>
      </c>
      <c r="U27" s="198">
        <f>'8900'!U27+'8911'!U27</f>
        <v>34</v>
      </c>
      <c r="V27" s="198">
        <f>'8900'!V27+'8911'!V27</f>
        <v>35</v>
      </c>
      <c r="W27" s="198">
        <f>'8900'!W27+'8911'!W27</f>
        <v>37</v>
      </c>
      <c r="X27" s="198">
        <f>'8900'!X27+'8911'!X27</f>
        <v>33</v>
      </c>
      <c r="Y27" s="198">
        <f>'8900'!Y27+'8911'!Y27</f>
        <v>28</v>
      </c>
      <c r="AA27" s="184">
        <f t="shared" si="15"/>
        <v>0.99995372181599917</v>
      </c>
      <c r="AB27" s="184">
        <f t="shared" si="15"/>
        <v>0.99999752887769677</v>
      </c>
      <c r="AC27" s="184">
        <f t="shared" si="3"/>
        <v>0.99999909802826126</v>
      </c>
      <c r="AD27" s="184">
        <f t="shared" si="3"/>
        <v>0.99999897674041804</v>
      </c>
      <c r="AE27" s="184">
        <f t="shared" si="3"/>
        <v>0.99999964771761596</v>
      </c>
      <c r="AF27" s="184">
        <f t="shared" si="3"/>
        <v>0.99998865082208632</v>
      </c>
      <c r="AG27" s="184">
        <f t="shared" si="3"/>
        <v>0.9995557997279747</v>
      </c>
      <c r="AI27" s="184">
        <f t="shared" si="16"/>
        <v>2.265977001063678E-3</v>
      </c>
      <c r="AJ27" s="184">
        <f t="shared" si="4"/>
        <v>2.5701048086804347E-4</v>
      </c>
      <c r="AK27" s="184">
        <f t="shared" si="4"/>
        <v>1.1341831669961184E-4</v>
      </c>
      <c r="AL27" s="184">
        <f t="shared" si="4"/>
        <v>1.3434519309219134E-4</v>
      </c>
      <c r="AM27" s="184">
        <f t="shared" si="4"/>
        <v>6.5831111706579195E-5</v>
      </c>
      <c r="AN27" s="184">
        <f t="shared" si="4"/>
        <v>8.4170922739572275E-4</v>
      </c>
      <c r="AO27" s="184">
        <f t="shared" si="4"/>
        <v>1.1082329778574549E-2</v>
      </c>
      <c r="AQ27" s="185">
        <f t="shared" si="17"/>
        <v>4</v>
      </c>
      <c r="AR27" s="185">
        <f t="shared" si="5"/>
        <v>9</v>
      </c>
      <c r="AS27" s="185">
        <f t="shared" si="5"/>
        <v>10</v>
      </c>
      <c r="AT27" s="185">
        <f t="shared" si="5"/>
        <v>10</v>
      </c>
      <c r="AU27" s="185">
        <f t="shared" si="5"/>
        <v>11</v>
      </c>
      <c r="AV27" s="185">
        <f t="shared" si="5"/>
        <v>6</v>
      </c>
      <c r="AW27" s="185">
        <f t="shared" si="5"/>
        <v>2</v>
      </c>
      <c r="AY27" s="186">
        <f t="shared" si="18"/>
        <v>156.99273432511188</v>
      </c>
      <c r="AZ27" s="186">
        <f t="shared" si="6"/>
        <v>143.99964415838832</v>
      </c>
      <c r="BA27" s="186">
        <f t="shared" si="6"/>
        <v>136.99987642987179</v>
      </c>
      <c r="BB27" s="186">
        <f t="shared" si="6"/>
        <v>143.9998526506202</v>
      </c>
      <c r="BC27" s="186">
        <f t="shared" si="6"/>
        <v>149.9999471576424</v>
      </c>
      <c r="BD27" s="186">
        <f t="shared" si="6"/>
        <v>150.99828627413504</v>
      </c>
      <c r="BE27" s="186">
        <f t="shared" si="6"/>
        <v>152.93203735838014</v>
      </c>
    </row>
    <row r="28" spans="1:57" ht="12.75" x14ac:dyDescent="0.2">
      <c r="A28" s="181">
        <f t="shared" si="7"/>
        <v>175.57142857142858</v>
      </c>
      <c r="B28" s="187">
        <f t="shared" si="19"/>
        <v>0.31249999999999994</v>
      </c>
      <c r="C28">
        <v>179</v>
      </c>
      <c r="D28">
        <v>172</v>
      </c>
      <c r="E28">
        <v>171</v>
      </c>
      <c r="F28">
        <v>175</v>
      </c>
      <c r="G28">
        <v>170</v>
      </c>
      <c r="H28">
        <v>187</v>
      </c>
      <c r="I28">
        <v>175</v>
      </c>
      <c r="K28" s="43">
        <f t="shared" si="8"/>
        <v>33</v>
      </c>
      <c r="L28" s="43">
        <f t="shared" si="9"/>
        <v>30</v>
      </c>
      <c r="M28" s="43">
        <f t="shared" si="10"/>
        <v>31</v>
      </c>
      <c r="N28" s="43">
        <f t="shared" si="11"/>
        <v>31</v>
      </c>
      <c r="O28" s="43">
        <f t="shared" si="12"/>
        <v>30</v>
      </c>
      <c r="P28" s="43">
        <f t="shared" si="13"/>
        <v>33</v>
      </c>
      <c r="Q28" s="43">
        <f t="shared" si="14"/>
        <v>30</v>
      </c>
      <c r="S28" s="198">
        <f>'8900'!S28+'8911'!S28</f>
        <v>37</v>
      </c>
      <c r="T28" s="198">
        <f>'8900'!T28+'8911'!T28</f>
        <v>37</v>
      </c>
      <c r="U28" s="198">
        <f>'8900'!U28+'8911'!U28</f>
        <v>38</v>
      </c>
      <c r="V28" s="198">
        <f>'8900'!V28+'8911'!V28</f>
        <v>36</v>
      </c>
      <c r="W28" s="198">
        <f>'8900'!W28+'8911'!W28</f>
        <v>41</v>
      </c>
      <c r="X28" s="198">
        <f>'8900'!X28+'8911'!X28</f>
        <v>36</v>
      </c>
      <c r="Y28" s="198">
        <f>'8900'!Y28+'8911'!Y28</f>
        <v>35</v>
      </c>
      <c r="AA28" s="184">
        <f t="shared" si="15"/>
        <v>0.99997616325820537</v>
      </c>
      <c r="AB28" s="184">
        <f t="shared" si="15"/>
        <v>0.99999163523045742</v>
      </c>
      <c r="AC28" s="184">
        <f t="shared" si="3"/>
        <v>0.99999669288491166</v>
      </c>
      <c r="AD28" s="184">
        <f t="shared" si="3"/>
        <v>0.99996591292324011</v>
      </c>
      <c r="AE28" s="184">
        <f t="shared" si="3"/>
        <v>0.99999984490267602</v>
      </c>
      <c r="AF28" s="184">
        <f t="shared" si="3"/>
        <v>0.99992021044280366</v>
      </c>
      <c r="AG28" s="184">
        <f t="shared" si="3"/>
        <v>0.9999876447386159</v>
      </c>
      <c r="AI28" s="184">
        <f t="shared" si="16"/>
        <v>1.69421746906473E-3</v>
      </c>
      <c r="AJ28" s="184">
        <f t="shared" si="4"/>
        <v>7.8719282279014475E-4</v>
      </c>
      <c r="AK28" s="184">
        <f t="shared" si="4"/>
        <v>4.0463631548117021E-4</v>
      </c>
      <c r="AL28" s="184">
        <f t="shared" si="4"/>
        <v>2.0995998315921399E-3</v>
      </c>
      <c r="AM28" s="184">
        <f t="shared" si="4"/>
        <v>4.4971834816313754E-5</v>
      </c>
      <c r="AN28" s="184">
        <f t="shared" si="4"/>
        <v>4.1661121661417822E-3</v>
      </c>
      <c r="AO28" s="184">
        <f t="shared" si="4"/>
        <v>1.1841592001456754E-3</v>
      </c>
      <c r="AQ28" s="185">
        <f t="shared" si="17"/>
        <v>4</v>
      </c>
      <c r="AR28" s="185">
        <f t="shared" si="5"/>
        <v>7</v>
      </c>
      <c r="AS28" s="185">
        <f t="shared" si="5"/>
        <v>7</v>
      </c>
      <c r="AT28" s="185">
        <f t="shared" si="5"/>
        <v>5</v>
      </c>
      <c r="AU28" s="185">
        <f t="shared" si="5"/>
        <v>11</v>
      </c>
      <c r="AV28" s="185">
        <f t="shared" si="5"/>
        <v>3</v>
      </c>
      <c r="AW28" s="185">
        <f t="shared" si="5"/>
        <v>5</v>
      </c>
      <c r="AY28" s="186">
        <f t="shared" si="18"/>
        <v>178.99573322321876</v>
      </c>
      <c r="AZ28" s="186">
        <f t="shared" si="6"/>
        <v>171.99856125963868</v>
      </c>
      <c r="BA28" s="186">
        <f t="shared" si="6"/>
        <v>170.9994344833199</v>
      </c>
      <c r="BB28" s="186">
        <f t="shared" si="6"/>
        <v>174.99403476156701</v>
      </c>
      <c r="BC28" s="186">
        <f t="shared" si="6"/>
        <v>169.99997363345491</v>
      </c>
      <c r="BD28" s="186">
        <f t="shared" si="6"/>
        <v>186.98507935280429</v>
      </c>
      <c r="BE28" s="186">
        <f t="shared" si="6"/>
        <v>174.99783782925778</v>
      </c>
    </row>
    <row r="29" spans="1:57" ht="12.75" x14ac:dyDescent="0.2">
      <c r="A29" s="181">
        <f t="shared" si="7"/>
        <v>199.14285714285714</v>
      </c>
      <c r="B29" s="187">
        <f t="shared" si="19"/>
        <v>0.33333333333333326</v>
      </c>
      <c r="C29">
        <v>207</v>
      </c>
      <c r="D29">
        <v>197</v>
      </c>
      <c r="E29">
        <v>196</v>
      </c>
      <c r="F29">
        <v>203</v>
      </c>
      <c r="G29">
        <v>203</v>
      </c>
      <c r="H29">
        <v>200</v>
      </c>
      <c r="I29">
        <v>188</v>
      </c>
      <c r="K29" s="43">
        <f t="shared" si="8"/>
        <v>38</v>
      </c>
      <c r="L29" s="43">
        <f t="shared" si="9"/>
        <v>34</v>
      </c>
      <c r="M29" s="43">
        <f t="shared" si="10"/>
        <v>35</v>
      </c>
      <c r="N29" s="43">
        <f t="shared" si="11"/>
        <v>35</v>
      </c>
      <c r="O29" s="43">
        <f t="shared" si="12"/>
        <v>35</v>
      </c>
      <c r="P29" s="43">
        <f t="shared" si="13"/>
        <v>35</v>
      </c>
      <c r="Q29" s="43">
        <f t="shared" si="14"/>
        <v>32</v>
      </c>
      <c r="S29" s="198">
        <f>'8900'!S29+'8911'!S29</f>
        <v>45</v>
      </c>
      <c r="T29" s="198">
        <f>'8900'!T29+'8911'!T29</f>
        <v>41</v>
      </c>
      <c r="U29" s="198">
        <f>'8900'!U29+'8911'!U29</f>
        <v>41</v>
      </c>
      <c r="V29" s="198">
        <f>'8900'!V29+'8911'!V29</f>
        <v>43</v>
      </c>
      <c r="W29" s="198">
        <f>'8900'!W29+'8911'!W29</f>
        <v>50</v>
      </c>
      <c r="X29" s="198">
        <f>'8900'!X29+'8911'!X29</f>
        <v>46</v>
      </c>
      <c r="Y29" s="198">
        <f>'8900'!Y29+'8911'!Y29</f>
        <v>42</v>
      </c>
      <c r="AA29" s="184">
        <f t="shared" si="15"/>
        <v>0.99999920451868884</v>
      </c>
      <c r="AB29" s="184">
        <f t="shared" si="15"/>
        <v>0.99999358282431994</v>
      </c>
      <c r="AC29" s="184">
        <f t="shared" si="15"/>
        <v>0.99999351608279707</v>
      </c>
      <c r="AD29" s="184">
        <f t="shared" si="15"/>
        <v>0.99999721572139422</v>
      </c>
      <c r="AE29" s="184">
        <f t="shared" si="15"/>
        <v>0.9999999964574392</v>
      </c>
      <c r="AF29" s="184">
        <f t="shared" si="15"/>
        <v>0.99999995004267228</v>
      </c>
      <c r="AG29" s="184">
        <f t="shared" si="15"/>
        <v>0.99999991790456999</v>
      </c>
      <c r="AI29" s="184">
        <f t="shared" si="16"/>
        <v>2.0307764400132614E-4</v>
      </c>
      <c r="AJ29" s="184">
        <f t="shared" si="16"/>
        <v>7.9727552198147862E-4</v>
      </c>
      <c r="AK29" s="184">
        <f t="shared" si="16"/>
        <v>7.9028767992233185E-4</v>
      </c>
      <c r="AL29" s="184">
        <f t="shared" si="16"/>
        <v>4.6718394489088247E-4</v>
      </c>
      <c r="AM29" s="184">
        <f t="shared" si="16"/>
        <v>4.1177739433088382E-6</v>
      </c>
      <c r="AN29" s="184">
        <f t="shared" si="16"/>
        <v>2.8663231654986148E-5</v>
      </c>
      <c r="AO29" s="184">
        <f t="shared" si="16"/>
        <v>4.0801054645983957E-5</v>
      </c>
      <c r="AQ29" s="185">
        <f t="shared" si="17"/>
        <v>7</v>
      </c>
      <c r="AR29" s="185">
        <f t="shared" si="17"/>
        <v>7</v>
      </c>
      <c r="AS29" s="185">
        <f t="shared" si="17"/>
        <v>6</v>
      </c>
      <c r="AT29" s="185">
        <f t="shared" si="17"/>
        <v>8</v>
      </c>
      <c r="AU29" s="185">
        <f t="shared" si="17"/>
        <v>15</v>
      </c>
      <c r="AV29" s="185">
        <f t="shared" si="17"/>
        <v>11</v>
      </c>
      <c r="AW29" s="185">
        <f t="shared" si="17"/>
        <v>10</v>
      </c>
      <c r="AY29" s="186">
        <f t="shared" si="18"/>
        <v>206.9998353353686</v>
      </c>
      <c r="AZ29" s="186">
        <f t="shared" si="18"/>
        <v>196.99873581639102</v>
      </c>
      <c r="BA29" s="186">
        <f t="shared" si="18"/>
        <v>195.99872915222824</v>
      </c>
      <c r="BB29" s="186">
        <f t="shared" si="18"/>
        <v>202.99943479144304</v>
      </c>
      <c r="BC29" s="186">
        <f t="shared" si="18"/>
        <v>202.99999928086015</v>
      </c>
      <c r="BD29" s="186">
        <f t="shared" si="18"/>
        <v>199.99999000853447</v>
      </c>
      <c r="BE29" s="186">
        <f t="shared" si="18"/>
        <v>187.99998456605917</v>
      </c>
    </row>
    <row r="30" spans="1:57" ht="12.75" x14ac:dyDescent="0.2">
      <c r="A30" s="181">
        <f t="shared" si="7"/>
        <v>217.14285714285714</v>
      </c>
      <c r="B30" s="187">
        <f t="shared" si="19"/>
        <v>0.35416666666666657</v>
      </c>
      <c r="C30">
        <v>221</v>
      </c>
      <c r="D30">
        <v>220</v>
      </c>
      <c r="E30">
        <v>225</v>
      </c>
      <c r="F30">
        <v>217</v>
      </c>
      <c r="G30">
        <v>220</v>
      </c>
      <c r="H30">
        <v>225</v>
      </c>
      <c r="I30">
        <v>192</v>
      </c>
      <c r="K30" s="43">
        <f t="shared" si="8"/>
        <v>41</v>
      </c>
      <c r="L30" s="43">
        <f t="shared" si="9"/>
        <v>38</v>
      </c>
      <c r="M30" s="43">
        <f t="shared" si="10"/>
        <v>40</v>
      </c>
      <c r="N30" s="43">
        <f t="shared" si="11"/>
        <v>38</v>
      </c>
      <c r="O30" s="43">
        <f t="shared" si="12"/>
        <v>38</v>
      </c>
      <c r="P30" s="43">
        <f t="shared" si="13"/>
        <v>39</v>
      </c>
      <c r="Q30" s="43">
        <f t="shared" si="14"/>
        <v>32</v>
      </c>
      <c r="S30" s="198">
        <f>'8900'!S30+'8911'!S30</f>
        <v>52</v>
      </c>
      <c r="T30" s="198">
        <f>'8900'!T30+'8911'!T30</f>
        <v>47</v>
      </c>
      <c r="U30" s="198">
        <f>'8900'!U30+'8911'!U30</f>
        <v>49</v>
      </c>
      <c r="V30" s="198">
        <f>'8900'!V30+'8911'!V30</f>
        <v>48</v>
      </c>
      <c r="W30" s="198">
        <f>'8900'!W30+'8911'!W30</f>
        <v>52</v>
      </c>
      <c r="X30" s="198">
        <f>'8900'!X30+'8911'!X30</f>
        <v>51</v>
      </c>
      <c r="Y30" s="198">
        <f>'8900'!Y30+'8911'!Y30</f>
        <v>48</v>
      </c>
      <c r="AA30" s="184">
        <f t="shared" si="15"/>
        <v>0.9999999916891672</v>
      </c>
      <c r="AB30" s="184">
        <f t="shared" si="15"/>
        <v>0.99999935369221582</v>
      </c>
      <c r="AC30" s="184">
        <f t="shared" si="15"/>
        <v>0.99999975212106473</v>
      </c>
      <c r="AD30" s="184">
        <f t="shared" si="15"/>
        <v>0.99999979523918492</v>
      </c>
      <c r="AE30" s="184">
        <f t="shared" si="15"/>
        <v>0.99999999287071473</v>
      </c>
      <c r="AF30" s="184">
        <f t="shared" si="15"/>
        <v>0.9999999844004156</v>
      </c>
      <c r="AG30" s="184">
        <f t="shared" si="15"/>
        <v>0.99999999975050524</v>
      </c>
      <c r="AI30" s="184">
        <f t="shared" si="16"/>
        <v>9.2167092103461336E-6</v>
      </c>
      <c r="AJ30" s="184">
        <f t="shared" si="16"/>
        <v>1.975008285884136E-4</v>
      </c>
      <c r="AK30" s="184">
        <f t="shared" si="16"/>
        <v>1.0495926059459551E-4</v>
      </c>
      <c r="AL30" s="184">
        <f t="shared" si="16"/>
        <v>8.585358373550311E-5</v>
      </c>
      <c r="AM30" s="184">
        <f t="shared" si="16"/>
        <v>8.1743610982738578E-6</v>
      </c>
      <c r="AN30" s="184">
        <f t="shared" si="16"/>
        <v>1.6013806580550008E-5</v>
      </c>
      <c r="AO30" s="184">
        <f t="shared" si="16"/>
        <v>6.4490844894081644E-7</v>
      </c>
      <c r="AQ30" s="185">
        <f t="shared" si="17"/>
        <v>11</v>
      </c>
      <c r="AR30" s="185">
        <f t="shared" si="17"/>
        <v>9</v>
      </c>
      <c r="AS30" s="185">
        <f t="shared" si="17"/>
        <v>9</v>
      </c>
      <c r="AT30" s="185">
        <f t="shared" si="17"/>
        <v>10</v>
      </c>
      <c r="AU30" s="185">
        <f t="shared" si="17"/>
        <v>14</v>
      </c>
      <c r="AV30" s="185">
        <f t="shared" si="17"/>
        <v>12</v>
      </c>
      <c r="AW30" s="185">
        <f t="shared" si="17"/>
        <v>16</v>
      </c>
      <c r="AY30" s="186">
        <f t="shared" si="18"/>
        <v>220.99999816330595</v>
      </c>
      <c r="AZ30" s="186">
        <f t="shared" si="18"/>
        <v>219.99985781228747</v>
      </c>
      <c r="BA30" s="186">
        <f t="shared" si="18"/>
        <v>224.99994422723955</v>
      </c>
      <c r="BB30" s="186">
        <f t="shared" si="18"/>
        <v>216.99995556690314</v>
      </c>
      <c r="BC30" s="186">
        <f t="shared" si="18"/>
        <v>219.99999843155723</v>
      </c>
      <c r="BD30" s="186">
        <f t="shared" si="18"/>
        <v>224.99999649009351</v>
      </c>
      <c r="BE30" s="186">
        <f t="shared" si="18"/>
        <v>191.999999952097</v>
      </c>
    </row>
    <row r="31" spans="1:57" ht="12.75" x14ac:dyDescent="0.2">
      <c r="A31" s="181">
        <f t="shared" si="7"/>
        <v>235.71428571428572</v>
      </c>
      <c r="B31" s="187">
        <f t="shared" si="19"/>
        <v>0.37499999999999989</v>
      </c>
      <c r="C31">
        <v>242</v>
      </c>
      <c r="D31">
        <v>233</v>
      </c>
      <c r="E31">
        <v>265</v>
      </c>
      <c r="F31">
        <v>230</v>
      </c>
      <c r="G31">
        <v>243</v>
      </c>
      <c r="H31">
        <v>236</v>
      </c>
      <c r="I31">
        <v>201</v>
      </c>
      <c r="K31" s="43">
        <f t="shared" si="8"/>
        <v>44</v>
      </c>
      <c r="L31" s="43">
        <f t="shared" si="9"/>
        <v>40</v>
      </c>
      <c r="M31" s="43">
        <f t="shared" si="10"/>
        <v>47</v>
      </c>
      <c r="N31" s="43">
        <f t="shared" si="11"/>
        <v>40</v>
      </c>
      <c r="O31" s="43">
        <f t="shared" si="12"/>
        <v>42</v>
      </c>
      <c r="P31" s="43">
        <f t="shared" si="13"/>
        <v>41</v>
      </c>
      <c r="Q31" s="43">
        <f t="shared" si="14"/>
        <v>34</v>
      </c>
      <c r="S31" s="198">
        <f>'8900'!S31+'8911'!S31</f>
        <v>55</v>
      </c>
      <c r="T31" s="198">
        <f>'8900'!T31+'8911'!T31</f>
        <v>50</v>
      </c>
      <c r="U31" s="198">
        <f>'8900'!U31+'8911'!U31</f>
        <v>53</v>
      </c>
      <c r="V31" s="198">
        <f>'8900'!V31+'8911'!V31</f>
        <v>56</v>
      </c>
      <c r="W31" s="198">
        <f>'8900'!W31+'8911'!W31</f>
        <v>55</v>
      </c>
      <c r="X31" s="198">
        <f>'8900'!X31+'8911'!X31</f>
        <v>56</v>
      </c>
      <c r="Y31" s="198">
        <f>'8900'!Y31+'8911'!Y31</f>
        <v>51</v>
      </c>
      <c r="AA31" s="184">
        <f t="shared" si="15"/>
        <v>0.99999998932654355</v>
      </c>
      <c r="AB31" s="184">
        <f t="shared" si="15"/>
        <v>0.99999975006995123</v>
      </c>
      <c r="AC31" s="184">
        <f t="shared" si="15"/>
        <v>0.99999873399341555</v>
      </c>
      <c r="AD31" s="184">
        <f t="shared" si="15"/>
        <v>0.99999999935253936</v>
      </c>
      <c r="AE31" s="184">
        <f t="shared" si="15"/>
        <v>0.99999998767017506</v>
      </c>
      <c r="AF31" s="184">
        <f t="shared" si="15"/>
        <v>0.99999999941053574</v>
      </c>
      <c r="AG31" s="184">
        <f t="shared" si="15"/>
        <v>0.99999999995882949</v>
      </c>
      <c r="AI31" s="184">
        <f t="shared" si="16"/>
        <v>1.3473317973875115E-5</v>
      </c>
      <c r="AJ31" s="184">
        <f t="shared" si="16"/>
        <v>1.1393726808441136E-4</v>
      </c>
      <c r="AK31" s="184">
        <f t="shared" si="16"/>
        <v>4.2705468440952738E-4</v>
      </c>
      <c r="AL31" s="184">
        <f t="shared" si="16"/>
        <v>1.6076150529371982E-6</v>
      </c>
      <c r="AM31" s="184">
        <f t="shared" si="16"/>
        <v>1.5053930317683438E-5</v>
      </c>
      <c r="AN31" s="184">
        <f t="shared" si="16"/>
        <v>1.7264953356841144E-6</v>
      </c>
      <c r="AO31" s="184">
        <f t="shared" si="16"/>
        <v>1.9218955491503683E-7</v>
      </c>
      <c r="AQ31" s="185">
        <f t="shared" si="17"/>
        <v>11</v>
      </c>
      <c r="AR31" s="185">
        <f t="shared" si="17"/>
        <v>10</v>
      </c>
      <c r="AS31" s="185">
        <f t="shared" si="17"/>
        <v>6</v>
      </c>
      <c r="AT31" s="185">
        <f t="shared" si="17"/>
        <v>16</v>
      </c>
      <c r="AU31" s="185">
        <f t="shared" si="17"/>
        <v>13</v>
      </c>
      <c r="AV31" s="185">
        <f t="shared" si="17"/>
        <v>15</v>
      </c>
      <c r="AW31" s="185">
        <f t="shared" si="17"/>
        <v>17</v>
      </c>
      <c r="AY31" s="186">
        <f t="shared" si="18"/>
        <v>241.99999741702354</v>
      </c>
      <c r="AZ31" s="186">
        <f t="shared" si="18"/>
        <v>232.99994176629863</v>
      </c>
      <c r="BA31" s="186">
        <f t="shared" si="18"/>
        <v>264.99966450825514</v>
      </c>
      <c r="BB31" s="186">
        <f t="shared" si="18"/>
        <v>229.99999985108406</v>
      </c>
      <c r="BC31" s="186">
        <f t="shared" si="18"/>
        <v>242.99999700385254</v>
      </c>
      <c r="BD31" s="186">
        <f t="shared" si="18"/>
        <v>235.99999986088645</v>
      </c>
      <c r="BE31" s="186">
        <f t="shared" si="18"/>
        <v>200.99999999172474</v>
      </c>
    </row>
    <row r="32" spans="1:57" ht="12.75" x14ac:dyDescent="0.2">
      <c r="A32" s="181">
        <f t="shared" si="7"/>
        <v>247.71428571428572</v>
      </c>
      <c r="B32" s="187">
        <f t="shared" si="19"/>
        <v>0.3958333333333332</v>
      </c>
      <c r="C32">
        <v>253</v>
      </c>
      <c r="D32">
        <v>251</v>
      </c>
      <c r="E32">
        <v>278</v>
      </c>
      <c r="F32">
        <v>247</v>
      </c>
      <c r="G32">
        <v>244</v>
      </c>
      <c r="H32">
        <v>249</v>
      </c>
      <c r="I32">
        <v>212</v>
      </c>
      <c r="K32" s="43">
        <f t="shared" si="8"/>
        <v>46</v>
      </c>
      <c r="L32" s="43">
        <f t="shared" si="9"/>
        <v>44</v>
      </c>
      <c r="M32" s="43">
        <f t="shared" si="10"/>
        <v>49</v>
      </c>
      <c r="N32" s="43">
        <f t="shared" si="11"/>
        <v>43</v>
      </c>
      <c r="O32" s="43">
        <f t="shared" si="12"/>
        <v>43</v>
      </c>
      <c r="P32" s="43">
        <f t="shared" si="13"/>
        <v>43</v>
      </c>
      <c r="Q32" s="43">
        <f t="shared" si="14"/>
        <v>35</v>
      </c>
      <c r="S32" s="198">
        <f>'8900'!S32+'8911'!S32</f>
        <v>55</v>
      </c>
      <c r="T32" s="198">
        <f>'8900'!T32+'8911'!T32</f>
        <v>54</v>
      </c>
      <c r="U32" s="198">
        <f>'8900'!U32+'8911'!U32</f>
        <v>54</v>
      </c>
      <c r="V32" s="198">
        <f>'8900'!V32+'8911'!V32</f>
        <v>57</v>
      </c>
      <c r="W32" s="198">
        <f>'8900'!W32+'8911'!W32</f>
        <v>56</v>
      </c>
      <c r="X32" s="198">
        <f>'8900'!X32+'8911'!X32</f>
        <v>57</v>
      </c>
      <c r="Y32" s="198">
        <f>'8900'!Y32+'8911'!Y32</f>
        <v>53</v>
      </c>
      <c r="AA32" s="184">
        <f t="shared" si="15"/>
        <v>0.99999995030644873</v>
      </c>
      <c r="AB32" s="184">
        <f t="shared" si="15"/>
        <v>0.99999992283174743</v>
      </c>
      <c r="AC32" s="184">
        <f t="shared" si="15"/>
        <v>0.99999745865224687</v>
      </c>
      <c r="AD32" s="184">
        <f t="shared" si="15"/>
        <v>0.99999999666140382</v>
      </c>
      <c r="AE32" s="184">
        <f t="shared" si="15"/>
        <v>0.99999999444485688</v>
      </c>
      <c r="AF32" s="184">
        <f t="shared" si="15"/>
        <v>0.99999999840703169</v>
      </c>
      <c r="AG32" s="184">
        <f t="shared" si="15"/>
        <v>0.99999999996996902</v>
      </c>
      <c r="AI32" s="184">
        <f t="shared" si="16"/>
        <v>4.347385968174337E-5</v>
      </c>
      <c r="AJ32" s="184">
        <f t="shared" si="16"/>
        <v>5.8648745822548839E-5</v>
      </c>
      <c r="AK32" s="184">
        <f t="shared" si="16"/>
        <v>7.3282245905026671E-4</v>
      </c>
      <c r="AL32" s="184">
        <f t="shared" si="16"/>
        <v>6.20174358610832E-6</v>
      </c>
      <c r="AM32" s="184">
        <f t="shared" si="16"/>
        <v>8.6495435321096331E-6</v>
      </c>
      <c r="AN32" s="184">
        <f t="shared" si="16"/>
        <v>4.0145261348206644E-6</v>
      </c>
      <c r="AO32" s="184">
        <f t="shared" si="16"/>
        <v>1.7598219680453592E-7</v>
      </c>
      <c r="AQ32" s="185">
        <f t="shared" si="17"/>
        <v>9</v>
      </c>
      <c r="AR32" s="185">
        <f t="shared" si="17"/>
        <v>10</v>
      </c>
      <c r="AS32" s="185">
        <f t="shared" si="17"/>
        <v>5</v>
      </c>
      <c r="AT32" s="185">
        <f t="shared" si="17"/>
        <v>14</v>
      </c>
      <c r="AU32" s="185">
        <f t="shared" si="17"/>
        <v>13</v>
      </c>
      <c r="AV32" s="185">
        <f t="shared" si="17"/>
        <v>14</v>
      </c>
      <c r="AW32" s="185">
        <f t="shared" si="17"/>
        <v>18</v>
      </c>
      <c r="AY32" s="186">
        <f t="shared" si="18"/>
        <v>252.99998742753152</v>
      </c>
      <c r="AZ32" s="186">
        <f t="shared" si="18"/>
        <v>250.99998063076862</v>
      </c>
      <c r="BA32" s="186">
        <f t="shared" si="18"/>
        <v>277.99929350532466</v>
      </c>
      <c r="BB32" s="186">
        <f t="shared" si="18"/>
        <v>246.99999917536675</v>
      </c>
      <c r="BC32" s="186">
        <f t="shared" si="18"/>
        <v>243.99999864454509</v>
      </c>
      <c r="BD32" s="186">
        <f t="shared" si="18"/>
        <v>248.99999960335089</v>
      </c>
      <c r="BE32" s="186">
        <f t="shared" si="18"/>
        <v>211.99999999363342</v>
      </c>
    </row>
    <row r="33" spans="1:57" ht="12.75" x14ac:dyDescent="0.2">
      <c r="A33" s="181">
        <f t="shared" si="7"/>
        <v>257.28571428571428</v>
      </c>
      <c r="B33" s="187">
        <f t="shared" si="19"/>
        <v>0.41666666666666652</v>
      </c>
      <c r="C33">
        <v>253</v>
      </c>
      <c r="D33">
        <v>271</v>
      </c>
      <c r="E33">
        <v>283</v>
      </c>
      <c r="F33">
        <v>253</v>
      </c>
      <c r="G33">
        <v>267</v>
      </c>
      <c r="H33">
        <v>269</v>
      </c>
      <c r="I33">
        <v>205</v>
      </c>
      <c r="K33" s="43">
        <f t="shared" si="8"/>
        <v>46</v>
      </c>
      <c r="L33" s="43">
        <f t="shared" si="9"/>
        <v>47</v>
      </c>
      <c r="M33" s="43">
        <f t="shared" si="10"/>
        <v>50</v>
      </c>
      <c r="N33" s="43">
        <f t="shared" si="11"/>
        <v>44</v>
      </c>
      <c r="O33" s="43">
        <f t="shared" si="12"/>
        <v>46</v>
      </c>
      <c r="P33" s="43">
        <f t="shared" si="13"/>
        <v>47</v>
      </c>
      <c r="Q33" s="43">
        <f t="shared" si="14"/>
        <v>34</v>
      </c>
      <c r="S33" s="198">
        <f>'8900'!S33+'8911'!S33</f>
        <v>57</v>
      </c>
      <c r="T33" s="198">
        <f>'8900'!T33+'8911'!T33</f>
        <v>58</v>
      </c>
      <c r="U33" s="198">
        <f>'8900'!U33+'8911'!U33</f>
        <v>58</v>
      </c>
      <c r="V33" s="198">
        <f>'8900'!V33+'8911'!V33</f>
        <v>57</v>
      </c>
      <c r="W33" s="198">
        <f>'8900'!W33+'8911'!W33</f>
        <v>60</v>
      </c>
      <c r="X33" s="198">
        <f>'8900'!X33+'8911'!X33</f>
        <v>63</v>
      </c>
      <c r="Y33" s="198">
        <f>'8900'!Y33+'8911'!Y33</f>
        <v>54</v>
      </c>
      <c r="AA33" s="184">
        <f t="shared" si="15"/>
        <v>0.99999999201781009</v>
      </c>
      <c r="AB33" s="184">
        <f t="shared" si="15"/>
        <v>0.99999996883328324</v>
      </c>
      <c r="AC33" s="184">
        <f t="shared" si="15"/>
        <v>0.99999982548128563</v>
      </c>
      <c r="AD33" s="184">
        <f t="shared" si="15"/>
        <v>0.99999999201781009</v>
      </c>
      <c r="AE33" s="184">
        <f t="shared" si="15"/>
        <v>0.9999999963960513</v>
      </c>
      <c r="AF33" s="184">
        <f t="shared" si="15"/>
        <v>0.99999999991109934</v>
      </c>
      <c r="AG33" s="184">
        <f t="shared" si="15"/>
        <v>0.99999999999732492</v>
      </c>
      <c r="AI33" s="184">
        <f t="shared" si="16"/>
        <v>1.2139842915051042E-5</v>
      </c>
      <c r="AJ33" s="184">
        <f t="shared" si="16"/>
        <v>3.6942891753833021E-5</v>
      </c>
      <c r="AK33" s="184">
        <f t="shared" si="16"/>
        <v>1.2874191335306414E-4</v>
      </c>
      <c r="AL33" s="184">
        <f t="shared" si="16"/>
        <v>1.2139842915051042E-5</v>
      </c>
      <c r="AM33" s="184">
        <f t="shared" si="16"/>
        <v>7.8784923874659999E-6</v>
      </c>
      <c r="AN33" s="184">
        <f t="shared" si="16"/>
        <v>6.2846840849122592E-7</v>
      </c>
      <c r="AO33" s="184">
        <f t="shared" si="16"/>
        <v>2.6642392511057293E-8</v>
      </c>
      <c r="AQ33" s="185">
        <f t="shared" si="17"/>
        <v>11</v>
      </c>
      <c r="AR33" s="185">
        <f t="shared" si="17"/>
        <v>11</v>
      </c>
      <c r="AS33" s="185">
        <f t="shared" si="17"/>
        <v>8</v>
      </c>
      <c r="AT33" s="185">
        <f t="shared" si="17"/>
        <v>13</v>
      </c>
      <c r="AU33" s="185">
        <f t="shared" si="17"/>
        <v>14</v>
      </c>
      <c r="AV33" s="185">
        <f t="shared" si="17"/>
        <v>16</v>
      </c>
      <c r="AW33" s="185">
        <f t="shared" si="17"/>
        <v>20</v>
      </c>
      <c r="AY33" s="186">
        <f t="shared" si="18"/>
        <v>252.99999798050595</v>
      </c>
      <c r="AZ33" s="186">
        <f t="shared" si="18"/>
        <v>270.99999155381977</v>
      </c>
      <c r="BA33" s="186">
        <f t="shared" si="18"/>
        <v>282.99995061120381</v>
      </c>
      <c r="BB33" s="186">
        <f t="shared" si="18"/>
        <v>252.99999798050595</v>
      </c>
      <c r="BC33" s="186">
        <f t="shared" si="18"/>
        <v>266.99999903774568</v>
      </c>
      <c r="BD33" s="186">
        <f t="shared" si="18"/>
        <v>268.99999997608575</v>
      </c>
      <c r="BE33" s="186">
        <f t="shared" si="18"/>
        <v>204.9999999994516</v>
      </c>
    </row>
    <row r="34" spans="1:57" ht="12.75" x14ac:dyDescent="0.2">
      <c r="A34" s="181">
        <f t="shared" si="7"/>
        <v>263</v>
      </c>
      <c r="B34" s="187">
        <f t="shared" si="19"/>
        <v>0.43749999999999983</v>
      </c>
      <c r="C34">
        <v>268</v>
      </c>
      <c r="D34">
        <v>272</v>
      </c>
      <c r="E34">
        <v>274</v>
      </c>
      <c r="F34">
        <v>259</v>
      </c>
      <c r="G34">
        <v>275</v>
      </c>
      <c r="H34">
        <v>277</v>
      </c>
      <c r="I34">
        <v>216</v>
      </c>
      <c r="K34" s="43">
        <f t="shared" si="8"/>
        <v>49</v>
      </c>
      <c r="L34" s="43">
        <f t="shared" si="9"/>
        <v>47</v>
      </c>
      <c r="M34" s="43">
        <f t="shared" si="10"/>
        <v>49</v>
      </c>
      <c r="N34" s="43">
        <f t="shared" si="11"/>
        <v>45</v>
      </c>
      <c r="O34" s="43">
        <f t="shared" si="12"/>
        <v>48</v>
      </c>
      <c r="P34" s="43">
        <f t="shared" si="13"/>
        <v>48</v>
      </c>
      <c r="Q34" s="43">
        <f t="shared" si="14"/>
        <v>36</v>
      </c>
      <c r="S34" s="198">
        <f>'8900'!S34+'8911'!S34</f>
        <v>58</v>
      </c>
      <c r="T34" s="198">
        <f>'8900'!T34+'8911'!T34</f>
        <v>60</v>
      </c>
      <c r="U34" s="198">
        <f>'8900'!U34+'8911'!U34</f>
        <v>59</v>
      </c>
      <c r="V34" s="198">
        <f>'8900'!V34+'8911'!V34</f>
        <v>56</v>
      </c>
      <c r="W34" s="198">
        <f>'8900'!W34+'8911'!W34</f>
        <v>61</v>
      </c>
      <c r="X34" s="198">
        <f>'8900'!X34+'8911'!X34</f>
        <v>62</v>
      </c>
      <c r="Y34" s="198">
        <f>'8900'!Y34+'8911'!Y34</f>
        <v>55</v>
      </c>
      <c r="AA34" s="184">
        <f t="shared" si="15"/>
        <v>0.99999997449925193</v>
      </c>
      <c r="AB34" s="184">
        <f t="shared" si="15"/>
        <v>0.99999999411347262</v>
      </c>
      <c r="AC34" s="184">
        <f t="shared" si="15"/>
        <v>0.99999997667813845</v>
      </c>
      <c r="AD34" s="184">
        <f t="shared" si="15"/>
        <v>0.99999995449662604</v>
      </c>
      <c r="AE34" s="184">
        <f t="shared" si="15"/>
        <v>0.99999999558677721</v>
      </c>
      <c r="AF34" s="184">
        <f t="shared" si="15"/>
        <v>0.9999999992292502</v>
      </c>
      <c r="AG34" s="184">
        <f t="shared" si="15"/>
        <v>0.99999999999365108</v>
      </c>
      <c r="AI34" s="184">
        <f t="shared" si="16"/>
        <v>3.101545203633483E-5</v>
      </c>
      <c r="AJ34" s="184">
        <f t="shared" si="16"/>
        <v>1.1762434838629429E-5</v>
      </c>
      <c r="AK34" s="184">
        <f t="shared" si="16"/>
        <v>3.0620405378427876E-5</v>
      </c>
      <c r="AL34" s="184">
        <f t="shared" si="16"/>
        <v>4.2972863303959991E-5</v>
      </c>
      <c r="AM34" s="184">
        <f t="shared" si="16"/>
        <v>9.7429380569360403E-6</v>
      </c>
      <c r="AN34" s="184">
        <f t="shared" si="16"/>
        <v>3.1446095366325864E-6</v>
      </c>
      <c r="AO34" s="184">
        <f t="shared" si="16"/>
        <v>5.8978165185431106E-8</v>
      </c>
      <c r="AQ34" s="185">
        <f t="shared" si="17"/>
        <v>9</v>
      </c>
      <c r="AR34" s="185">
        <f t="shared" si="17"/>
        <v>13</v>
      </c>
      <c r="AS34" s="185">
        <f t="shared" si="17"/>
        <v>10</v>
      </c>
      <c r="AT34" s="185">
        <f t="shared" si="17"/>
        <v>11</v>
      </c>
      <c r="AU34" s="185">
        <f t="shared" si="17"/>
        <v>13</v>
      </c>
      <c r="AV34" s="185">
        <f t="shared" si="17"/>
        <v>14</v>
      </c>
      <c r="AW34" s="185">
        <f t="shared" si="17"/>
        <v>19</v>
      </c>
      <c r="AY34" s="186">
        <f t="shared" si="18"/>
        <v>267.99999316579954</v>
      </c>
      <c r="AZ34" s="186">
        <f t="shared" si="18"/>
        <v>271.99999839886453</v>
      </c>
      <c r="BA34" s="186">
        <f t="shared" si="18"/>
        <v>273.99999360980996</v>
      </c>
      <c r="BB34" s="186">
        <f t="shared" si="18"/>
        <v>258.99998821462617</v>
      </c>
      <c r="BC34" s="186">
        <f t="shared" si="18"/>
        <v>274.99999878636373</v>
      </c>
      <c r="BD34" s="186">
        <f t="shared" si="18"/>
        <v>276.99999978650231</v>
      </c>
      <c r="BE34" s="186">
        <f t="shared" si="18"/>
        <v>215.99999999862862</v>
      </c>
    </row>
    <row r="35" spans="1:57" ht="12.75" x14ac:dyDescent="0.2">
      <c r="A35" s="181">
        <f t="shared" si="7"/>
        <v>267.57142857142856</v>
      </c>
      <c r="B35" s="187">
        <f t="shared" si="19"/>
        <v>0.45833333333333315</v>
      </c>
      <c r="C35">
        <v>274</v>
      </c>
      <c r="D35">
        <v>275</v>
      </c>
      <c r="E35">
        <v>288</v>
      </c>
      <c r="F35">
        <v>262</v>
      </c>
      <c r="G35">
        <v>278</v>
      </c>
      <c r="H35">
        <v>279</v>
      </c>
      <c r="I35">
        <v>217</v>
      </c>
      <c r="K35" s="43">
        <f t="shared" si="8"/>
        <v>51</v>
      </c>
      <c r="L35" s="43">
        <f t="shared" si="9"/>
        <v>48</v>
      </c>
      <c r="M35" s="43">
        <f t="shared" si="10"/>
        <v>51</v>
      </c>
      <c r="N35" s="43">
        <f t="shared" si="11"/>
        <v>46</v>
      </c>
      <c r="O35" s="43">
        <f t="shared" si="12"/>
        <v>48</v>
      </c>
      <c r="P35" s="43">
        <f t="shared" si="13"/>
        <v>48</v>
      </c>
      <c r="Q35" s="43">
        <f t="shared" si="14"/>
        <v>36</v>
      </c>
      <c r="S35" s="198">
        <f>'8900'!S35+'8911'!S35</f>
        <v>62</v>
      </c>
      <c r="T35" s="198">
        <f>'8900'!T35+'8911'!T35</f>
        <v>64</v>
      </c>
      <c r="U35" s="198">
        <f>'8900'!U35+'8911'!U35</f>
        <v>60</v>
      </c>
      <c r="V35" s="198">
        <f>'8900'!V35+'8911'!V35</f>
        <v>62</v>
      </c>
      <c r="W35" s="198">
        <f>'8900'!W35+'8911'!W35</f>
        <v>63</v>
      </c>
      <c r="X35" s="198">
        <f>'8900'!X35+'8911'!X35</f>
        <v>67</v>
      </c>
      <c r="Y35" s="198">
        <f>'8900'!Y35+'8911'!Y35</f>
        <v>58</v>
      </c>
      <c r="AA35" s="184">
        <f t="shared" si="15"/>
        <v>0.99999999847763321</v>
      </c>
      <c r="AB35" s="184">
        <f t="shared" si="15"/>
        <v>0.99999999978873988</v>
      </c>
      <c r="AC35" s="184">
        <f t="shared" si="15"/>
        <v>0.99999994034893092</v>
      </c>
      <c r="AD35" s="184">
        <f t="shared" si="15"/>
        <v>0.99999999974292408</v>
      </c>
      <c r="AE35" s="184">
        <f t="shared" si="15"/>
        <v>0.99999999893755598</v>
      </c>
      <c r="AF35" s="184">
        <f t="shared" si="15"/>
        <v>0.99999999999240718</v>
      </c>
      <c r="AG35" s="184">
        <f t="shared" si="15"/>
        <v>0.99999999999976663</v>
      </c>
      <c r="AI35" s="184">
        <f t="shared" si="16"/>
        <v>4.5815381552695137E-6</v>
      </c>
      <c r="AJ35" s="184">
        <f t="shared" si="16"/>
        <v>1.1603142257194854E-6</v>
      </c>
      <c r="AK35" s="184">
        <f t="shared" si="16"/>
        <v>6.4755493799048254E-5</v>
      </c>
      <c r="AL35" s="184">
        <f t="shared" si="16"/>
        <v>1.154173691914096E-6</v>
      </c>
      <c r="AM35" s="184">
        <f t="shared" si="16"/>
        <v>3.6895510549990448E-6</v>
      </c>
      <c r="AN35" s="184">
        <f t="shared" si="16"/>
        <v>1.1930868985248637E-7</v>
      </c>
      <c r="AO35" s="184">
        <f t="shared" si="16"/>
        <v>5.1109658716814843E-9</v>
      </c>
      <c r="AQ35" s="185">
        <f t="shared" si="17"/>
        <v>11</v>
      </c>
      <c r="AR35" s="185">
        <f t="shared" si="17"/>
        <v>16</v>
      </c>
      <c r="AS35" s="185">
        <f t="shared" si="17"/>
        <v>9</v>
      </c>
      <c r="AT35" s="185">
        <f t="shared" si="17"/>
        <v>16</v>
      </c>
      <c r="AU35" s="185">
        <f t="shared" si="17"/>
        <v>15</v>
      </c>
      <c r="AV35" s="185">
        <f t="shared" si="17"/>
        <v>19</v>
      </c>
      <c r="AW35" s="185">
        <f t="shared" si="17"/>
        <v>22</v>
      </c>
      <c r="AY35" s="186">
        <f t="shared" si="18"/>
        <v>273.99999958287151</v>
      </c>
      <c r="AZ35" s="186">
        <f t="shared" si="18"/>
        <v>274.99999994190347</v>
      </c>
      <c r="BA35" s="186">
        <f t="shared" si="18"/>
        <v>287.99998282049211</v>
      </c>
      <c r="BB35" s="186">
        <f t="shared" si="18"/>
        <v>261.99999993264612</v>
      </c>
      <c r="BC35" s="186">
        <f t="shared" si="18"/>
        <v>277.99999970464057</v>
      </c>
      <c r="BD35" s="186">
        <f t="shared" si="18"/>
        <v>278.99999999788162</v>
      </c>
      <c r="BE35" s="186">
        <f t="shared" si="18"/>
        <v>216.99999999994935</v>
      </c>
    </row>
    <row r="36" spans="1:57" ht="12.75" x14ac:dyDescent="0.2">
      <c r="A36" s="181">
        <f t="shared" si="7"/>
        <v>270</v>
      </c>
      <c r="B36" s="187">
        <f t="shared" si="19"/>
        <v>0.47916666666666646</v>
      </c>
      <c r="C36">
        <v>279</v>
      </c>
      <c r="D36">
        <v>273</v>
      </c>
      <c r="E36">
        <v>288</v>
      </c>
      <c r="F36">
        <v>269</v>
      </c>
      <c r="G36">
        <v>277</v>
      </c>
      <c r="H36">
        <v>280</v>
      </c>
      <c r="I36">
        <v>224</v>
      </c>
      <c r="K36" s="43">
        <f t="shared" si="8"/>
        <v>52</v>
      </c>
      <c r="L36" s="43">
        <f t="shared" si="9"/>
        <v>47</v>
      </c>
      <c r="M36" s="43">
        <f t="shared" si="10"/>
        <v>51</v>
      </c>
      <c r="N36" s="43">
        <f t="shared" si="11"/>
        <v>47</v>
      </c>
      <c r="O36" s="43">
        <f t="shared" si="12"/>
        <v>48</v>
      </c>
      <c r="P36" s="43">
        <f t="shared" si="13"/>
        <v>49</v>
      </c>
      <c r="Q36" s="43">
        <f t="shared" si="14"/>
        <v>37</v>
      </c>
      <c r="S36" s="198">
        <f>'8900'!S36+'8911'!S36</f>
        <v>63</v>
      </c>
      <c r="T36" s="198">
        <f>'8900'!T36+'8911'!T36</f>
        <v>64</v>
      </c>
      <c r="U36" s="198">
        <f>'8900'!U36+'8911'!U36</f>
        <v>60</v>
      </c>
      <c r="V36" s="198">
        <f>'8900'!V36+'8911'!V36</f>
        <v>63</v>
      </c>
      <c r="W36" s="198">
        <f>'8900'!W36+'8911'!W36</f>
        <v>63</v>
      </c>
      <c r="X36" s="198">
        <f>'8900'!X36+'8911'!X36</f>
        <v>67</v>
      </c>
      <c r="Y36" s="198">
        <f>'8900'!Y36+'8911'!Y36</f>
        <v>58</v>
      </c>
      <c r="AA36" s="184">
        <f t="shared" si="15"/>
        <v>0.99999999877412027</v>
      </c>
      <c r="AB36" s="184">
        <f t="shared" si="15"/>
        <v>0.99999999984373455</v>
      </c>
      <c r="AC36" s="184">
        <f t="shared" si="15"/>
        <v>0.99999994034893092</v>
      </c>
      <c r="AD36" s="184">
        <f t="shared" si="15"/>
        <v>0.99999999971744391</v>
      </c>
      <c r="AE36" s="184">
        <f t="shared" si="15"/>
        <v>0.99999999907993731</v>
      </c>
      <c r="AF36" s="184">
        <f t="shared" si="15"/>
        <v>0.99999999999110112</v>
      </c>
      <c r="AG36" s="184">
        <f t="shared" si="15"/>
        <v>0.99999999999913269</v>
      </c>
      <c r="AI36" s="184">
        <f t="shared" si="16"/>
        <v>4.1175499671692046E-6</v>
      </c>
      <c r="AJ36" s="184">
        <f t="shared" si="16"/>
        <v>9.1743218127299433E-7</v>
      </c>
      <c r="AK36" s="184">
        <f t="shared" si="16"/>
        <v>6.4755493799048254E-5</v>
      </c>
      <c r="AL36" s="184">
        <f t="shared" si="16"/>
        <v>1.3245262047421611E-6</v>
      </c>
      <c r="AM36" s="184">
        <f t="shared" si="16"/>
        <v>3.3034018040047118E-6</v>
      </c>
      <c r="AN36" s="184">
        <f t="shared" si="16"/>
        <v>1.3524747255736061E-7</v>
      </c>
      <c r="AO36" s="184">
        <f t="shared" si="16"/>
        <v>1.5042516517010917E-8</v>
      </c>
      <c r="AQ36" s="185">
        <f t="shared" si="17"/>
        <v>11</v>
      </c>
      <c r="AR36" s="185">
        <f t="shared" si="17"/>
        <v>17</v>
      </c>
      <c r="AS36" s="185">
        <f t="shared" si="17"/>
        <v>9</v>
      </c>
      <c r="AT36" s="185">
        <f t="shared" si="17"/>
        <v>16</v>
      </c>
      <c r="AU36" s="185">
        <f t="shared" si="17"/>
        <v>15</v>
      </c>
      <c r="AV36" s="185">
        <f t="shared" si="17"/>
        <v>18</v>
      </c>
      <c r="AW36" s="185">
        <f t="shared" si="17"/>
        <v>21</v>
      </c>
      <c r="AY36" s="186">
        <f t="shared" si="18"/>
        <v>278.99999965797957</v>
      </c>
      <c r="AZ36" s="186">
        <f t="shared" si="18"/>
        <v>272.99999995733953</v>
      </c>
      <c r="BA36" s="186">
        <f t="shared" si="18"/>
        <v>287.99998282049211</v>
      </c>
      <c r="BB36" s="186">
        <f t="shared" si="18"/>
        <v>268.99999992399239</v>
      </c>
      <c r="BC36" s="186">
        <f t="shared" si="18"/>
        <v>276.99999974514265</v>
      </c>
      <c r="BD36" s="186">
        <f t="shared" si="18"/>
        <v>279.99999999750833</v>
      </c>
      <c r="BE36" s="186">
        <f t="shared" si="18"/>
        <v>223.99999999980571</v>
      </c>
    </row>
    <row r="37" spans="1:57" ht="12.75" x14ac:dyDescent="0.2">
      <c r="A37" s="181">
        <f t="shared" si="7"/>
        <v>268.14285714285717</v>
      </c>
      <c r="B37" s="187">
        <f t="shared" si="19"/>
        <v>0.49999999999999978</v>
      </c>
      <c r="C37">
        <v>282</v>
      </c>
      <c r="D37">
        <v>272</v>
      </c>
      <c r="E37">
        <v>287</v>
      </c>
      <c r="F37">
        <v>275</v>
      </c>
      <c r="G37">
        <v>263</v>
      </c>
      <c r="H37">
        <v>280</v>
      </c>
      <c r="I37">
        <v>218</v>
      </c>
      <c r="K37" s="43">
        <f t="shared" si="8"/>
        <v>52</v>
      </c>
      <c r="L37" s="43">
        <f t="shared" si="9"/>
        <v>47</v>
      </c>
      <c r="M37" s="43">
        <f t="shared" si="10"/>
        <v>51</v>
      </c>
      <c r="N37" s="43">
        <f t="shared" si="11"/>
        <v>48</v>
      </c>
      <c r="O37" s="43">
        <f t="shared" si="12"/>
        <v>46</v>
      </c>
      <c r="P37" s="43">
        <f t="shared" si="13"/>
        <v>49</v>
      </c>
      <c r="Q37" s="43">
        <f t="shared" si="14"/>
        <v>36</v>
      </c>
      <c r="S37" s="198">
        <f>'8900'!S37+'8911'!S37</f>
        <v>52</v>
      </c>
      <c r="T37" s="198">
        <f>'8900'!T37+'8911'!T37</f>
        <v>61</v>
      </c>
      <c r="U37" s="198">
        <f>'8900'!U37+'8911'!U37</f>
        <v>56</v>
      </c>
      <c r="V37" s="198">
        <f>'8900'!V37+'8911'!V37</f>
        <v>56</v>
      </c>
      <c r="W37" s="198">
        <f>'8900'!W37+'8911'!W37</f>
        <v>55</v>
      </c>
      <c r="X37" s="198">
        <f>'8900'!X37+'8911'!X37</f>
        <v>70</v>
      </c>
      <c r="Y37" s="198">
        <f>'8900'!Y37+'8911'!Y37</f>
        <v>56</v>
      </c>
      <c r="AA37" s="184">
        <f t="shared" si="15"/>
        <v>0.99998171187542351</v>
      </c>
      <c r="AB37" s="184">
        <f t="shared" si="15"/>
        <v>0.9999999976599202</v>
      </c>
      <c r="AC37" s="184">
        <f t="shared" si="15"/>
        <v>0.99999856254522113</v>
      </c>
      <c r="AD37" s="184">
        <f t="shared" si="15"/>
        <v>0.99999964924675222</v>
      </c>
      <c r="AE37" s="184">
        <f t="shared" si="15"/>
        <v>0.99999981577488251</v>
      </c>
      <c r="AF37" s="184">
        <f t="shared" si="15"/>
        <v>0.99999999999960087</v>
      </c>
      <c r="AG37" s="184">
        <f t="shared" si="15"/>
        <v>0.9999999999970981</v>
      </c>
      <c r="AI37" s="184">
        <f t="shared" si="16"/>
        <v>2.6548199164166137E-3</v>
      </c>
      <c r="AJ37" s="184">
        <f t="shared" si="16"/>
        <v>6.1731395503897333E-6</v>
      </c>
      <c r="AK37" s="184">
        <f t="shared" si="16"/>
        <v>5.3383048039331779E-4</v>
      </c>
      <c r="AL37" s="184">
        <f t="shared" si="16"/>
        <v>1.9432499716541998E-4</v>
      </c>
      <c r="AM37" s="184">
        <f t="shared" si="16"/>
        <v>1.1548143727802302E-4</v>
      </c>
      <c r="AN37" s="184">
        <f t="shared" si="16"/>
        <v>1.4179493188336896E-8</v>
      </c>
      <c r="AO37" s="184">
        <f t="shared" si="16"/>
        <v>3.3941077258343547E-8</v>
      </c>
      <c r="AQ37" s="185">
        <f t="shared" si="17"/>
        <v>0</v>
      </c>
      <c r="AR37" s="185">
        <f t="shared" si="17"/>
        <v>14</v>
      </c>
      <c r="AS37" s="185">
        <f t="shared" si="17"/>
        <v>5</v>
      </c>
      <c r="AT37" s="185">
        <f t="shared" si="17"/>
        <v>8</v>
      </c>
      <c r="AU37" s="185">
        <f t="shared" si="17"/>
        <v>9</v>
      </c>
      <c r="AV37" s="185">
        <f t="shared" si="17"/>
        <v>21</v>
      </c>
      <c r="AW37" s="185">
        <f t="shared" si="17"/>
        <v>20</v>
      </c>
      <c r="AY37" s="186">
        <f t="shared" si="18"/>
        <v>281.99484274886942</v>
      </c>
      <c r="AZ37" s="186">
        <f t="shared" si="18"/>
        <v>271.99999936349832</v>
      </c>
      <c r="BA37" s="186">
        <f t="shared" si="18"/>
        <v>286.99958745047849</v>
      </c>
      <c r="BB37" s="186">
        <f t="shared" si="18"/>
        <v>274.99990354285688</v>
      </c>
      <c r="BC37" s="186">
        <f t="shared" si="18"/>
        <v>262.99995154879412</v>
      </c>
      <c r="BD37" s="186">
        <f t="shared" si="18"/>
        <v>279.99999999988825</v>
      </c>
      <c r="BE37" s="186">
        <f t="shared" si="18"/>
        <v>217.99999999936739</v>
      </c>
    </row>
    <row r="38" spans="1:57" ht="12.75" x14ac:dyDescent="0.2">
      <c r="A38" s="181">
        <f t="shared" si="7"/>
        <v>267</v>
      </c>
      <c r="B38" s="187">
        <f t="shared" si="19"/>
        <v>0.52083333333333315</v>
      </c>
      <c r="C38">
        <v>278</v>
      </c>
      <c r="D38">
        <v>269</v>
      </c>
      <c r="E38">
        <v>278</v>
      </c>
      <c r="F38">
        <v>267</v>
      </c>
      <c r="G38">
        <v>267</v>
      </c>
      <c r="H38">
        <v>284</v>
      </c>
      <c r="I38">
        <v>226</v>
      </c>
      <c r="K38" s="43">
        <f t="shared" si="8"/>
        <v>51</v>
      </c>
      <c r="L38" s="43">
        <f t="shared" si="9"/>
        <v>47</v>
      </c>
      <c r="M38" s="43">
        <f t="shared" si="10"/>
        <v>49</v>
      </c>
      <c r="N38" s="43">
        <f t="shared" si="11"/>
        <v>46</v>
      </c>
      <c r="O38" s="43">
        <f t="shared" si="12"/>
        <v>46</v>
      </c>
      <c r="P38" s="43">
        <f t="shared" si="13"/>
        <v>49</v>
      </c>
      <c r="Q38" s="43">
        <f t="shared" si="14"/>
        <v>38</v>
      </c>
      <c r="S38" s="198">
        <f>'8900'!S38+'8911'!S38</f>
        <v>63</v>
      </c>
      <c r="T38" s="198">
        <f>'8900'!T38+'8911'!T38</f>
        <v>62</v>
      </c>
      <c r="U38" s="198">
        <f>'8900'!U38+'8911'!U38</f>
        <v>61</v>
      </c>
      <c r="V38" s="198">
        <f>'8900'!V38+'8911'!V38</f>
        <v>62</v>
      </c>
      <c r="W38" s="198">
        <f>'8900'!W38+'8911'!W38</f>
        <v>62</v>
      </c>
      <c r="X38" s="198">
        <f>'8900'!X38+'8911'!X38</f>
        <v>71</v>
      </c>
      <c r="Y38" s="198">
        <f>'8900'!Y38+'8911'!Y38</f>
        <v>61</v>
      </c>
      <c r="AA38" s="184">
        <f t="shared" si="15"/>
        <v>0.99999999893755598</v>
      </c>
      <c r="AB38" s="184">
        <f t="shared" si="15"/>
        <v>0.9999999994098574</v>
      </c>
      <c r="AC38" s="184">
        <f t="shared" si="15"/>
        <v>0.99999999332838485</v>
      </c>
      <c r="AD38" s="184">
        <f t="shared" si="15"/>
        <v>0.99999999945251461</v>
      </c>
      <c r="AE38" s="184">
        <f t="shared" si="15"/>
        <v>0.99999999945251461</v>
      </c>
      <c r="AF38" s="184">
        <f t="shared" si="15"/>
        <v>0.99999999999972722</v>
      </c>
      <c r="AG38" s="184">
        <f t="shared" si="15"/>
        <v>0.9999999999999627</v>
      </c>
      <c r="AI38" s="184">
        <f t="shared" si="16"/>
        <v>3.6895510549990448E-6</v>
      </c>
      <c r="AJ38" s="184">
        <f t="shared" si="16"/>
        <v>2.2714292704900675E-6</v>
      </c>
      <c r="AK38" s="184">
        <f t="shared" si="16"/>
        <v>1.3327099097120148E-5</v>
      </c>
      <c r="AL38" s="184">
        <f t="shared" si="16"/>
        <v>2.0806540137166417E-6</v>
      </c>
      <c r="AM38" s="184">
        <f t="shared" si="16"/>
        <v>2.0806540137166417E-6</v>
      </c>
      <c r="AN38" s="184">
        <f t="shared" si="16"/>
        <v>1.1256534556216548E-8</v>
      </c>
      <c r="AO38" s="184">
        <f t="shared" si="16"/>
        <v>1.4745750733524003E-9</v>
      </c>
      <c r="AQ38" s="185">
        <f t="shared" si="17"/>
        <v>12</v>
      </c>
      <c r="AR38" s="185">
        <f t="shared" si="17"/>
        <v>15</v>
      </c>
      <c r="AS38" s="185">
        <f t="shared" si="17"/>
        <v>12</v>
      </c>
      <c r="AT38" s="185">
        <f t="shared" si="17"/>
        <v>16</v>
      </c>
      <c r="AU38" s="185">
        <f t="shared" si="17"/>
        <v>16</v>
      </c>
      <c r="AV38" s="185">
        <f t="shared" si="17"/>
        <v>22</v>
      </c>
      <c r="AW38" s="185">
        <f t="shared" si="17"/>
        <v>23</v>
      </c>
      <c r="AY38" s="186">
        <f t="shared" si="18"/>
        <v>277.99999970464057</v>
      </c>
      <c r="AZ38" s="186">
        <f t="shared" si="18"/>
        <v>268.99999984125162</v>
      </c>
      <c r="BA38" s="186">
        <f t="shared" si="18"/>
        <v>277.99999814529099</v>
      </c>
      <c r="BB38" s="186">
        <f t="shared" si="18"/>
        <v>266.99999985382141</v>
      </c>
      <c r="BC38" s="186">
        <f t="shared" si="18"/>
        <v>266.99999985382141</v>
      </c>
      <c r="BD38" s="186">
        <f t="shared" si="18"/>
        <v>283.99999999992252</v>
      </c>
      <c r="BE38" s="186">
        <f t="shared" si="18"/>
        <v>225.99999999999156</v>
      </c>
    </row>
    <row r="39" spans="1:57" ht="13.5" customHeight="1" x14ac:dyDescent="0.2">
      <c r="A39" s="181">
        <f t="shared" si="7"/>
        <v>265.42857142857144</v>
      </c>
      <c r="B39" s="187">
        <f t="shared" si="19"/>
        <v>0.54166666666666652</v>
      </c>
      <c r="C39">
        <v>273</v>
      </c>
      <c r="D39">
        <v>269</v>
      </c>
      <c r="E39">
        <v>277</v>
      </c>
      <c r="F39">
        <v>278</v>
      </c>
      <c r="G39">
        <v>254</v>
      </c>
      <c r="H39">
        <v>281</v>
      </c>
      <c r="I39">
        <v>226</v>
      </c>
      <c r="K39" s="43">
        <f t="shared" si="8"/>
        <v>51</v>
      </c>
      <c r="L39" s="43">
        <f t="shared" si="9"/>
        <v>47</v>
      </c>
      <c r="M39" s="43">
        <f t="shared" si="10"/>
        <v>49</v>
      </c>
      <c r="N39" s="43">
        <f t="shared" si="11"/>
        <v>48</v>
      </c>
      <c r="O39" s="43">
        <f t="shared" si="12"/>
        <v>44</v>
      </c>
      <c r="P39" s="43">
        <f t="shared" si="13"/>
        <v>49</v>
      </c>
      <c r="Q39" s="43">
        <f t="shared" si="14"/>
        <v>38</v>
      </c>
      <c r="S39" s="198">
        <f>'8900'!S39+'8911'!S39</f>
        <v>60</v>
      </c>
      <c r="T39" s="198">
        <f>'8900'!T39+'8911'!T39</f>
        <v>55</v>
      </c>
      <c r="U39" s="198">
        <f>'8900'!U39+'8911'!U39</f>
        <v>68</v>
      </c>
      <c r="V39" s="198">
        <f>'8900'!V39+'8911'!V39</f>
        <v>60</v>
      </c>
      <c r="W39" s="198">
        <f>'8900'!W39+'8911'!W39</f>
        <v>61</v>
      </c>
      <c r="X39" s="198">
        <f>'8900'!X39+'8911'!X39</f>
        <v>65</v>
      </c>
      <c r="Y39" s="198">
        <f>'8900'!Y39+'8911'!Y39</f>
        <v>54</v>
      </c>
      <c r="AA39" s="184">
        <f t="shared" si="15"/>
        <v>0.9999999916818727</v>
      </c>
      <c r="AB39" s="184">
        <f t="shared" si="15"/>
        <v>0.99999967513198362</v>
      </c>
      <c r="AC39" s="184">
        <f t="shared" si="15"/>
        <v>0.99999999999292177</v>
      </c>
      <c r="AD39" s="184">
        <f t="shared" si="15"/>
        <v>0.99999998365718545</v>
      </c>
      <c r="AE39" s="184">
        <f t="shared" si="15"/>
        <v>0.99999999980138543</v>
      </c>
      <c r="AF39" s="184">
        <f t="shared" si="15"/>
        <v>0.99999999992360666</v>
      </c>
      <c r="AG39" s="184">
        <f t="shared" si="15"/>
        <v>0.99999999989300803</v>
      </c>
      <c r="AI39" s="184">
        <f t="shared" si="16"/>
        <v>1.4887822733922838E-5</v>
      </c>
      <c r="AJ39" s="184">
        <f t="shared" si="16"/>
        <v>1.7889066846265051E-4</v>
      </c>
      <c r="AK39" s="184">
        <f t="shared" si="16"/>
        <v>1.0126803572444725E-7</v>
      </c>
      <c r="AL39" s="184">
        <f t="shared" si="16"/>
        <v>2.4759967302082239E-5</v>
      </c>
      <c r="AM39" s="184">
        <f t="shared" si="16"/>
        <v>8.8298095382591758E-7</v>
      </c>
      <c r="AN39" s="184">
        <f t="shared" si="16"/>
        <v>6.3759320086751266E-7</v>
      </c>
      <c r="AO39" s="184">
        <f t="shared" si="16"/>
        <v>5.2914859301031435E-7</v>
      </c>
      <c r="AQ39" s="185">
        <f t="shared" si="17"/>
        <v>9</v>
      </c>
      <c r="AR39" s="185">
        <f t="shared" si="17"/>
        <v>8</v>
      </c>
      <c r="AS39" s="185">
        <f t="shared" si="17"/>
        <v>19</v>
      </c>
      <c r="AT39" s="185">
        <f t="shared" si="17"/>
        <v>12</v>
      </c>
      <c r="AU39" s="185">
        <f t="shared" si="17"/>
        <v>17</v>
      </c>
      <c r="AV39" s="185">
        <f t="shared" si="17"/>
        <v>16</v>
      </c>
      <c r="AW39" s="185">
        <f t="shared" si="17"/>
        <v>16</v>
      </c>
      <c r="AY39" s="186">
        <f t="shared" si="18"/>
        <v>272.99999772915123</v>
      </c>
      <c r="AZ39" s="186">
        <f t="shared" si="18"/>
        <v>268.9999126105036</v>
      </c>
      <c r="BA39" s="186">
        <f t="shared" si="18"/>
        <v>276.99999999803936</v>
      </c>
      <c r="BB39" s="186">
        <f t="shared" si="18"/>
        <v>277.99999545669755</v>
      </c>
      <c r="BC39" s="186">
        <f t="shared" si="18"/>
        <v>253.99999994955189</v>
      </c>
      <c r="BD39" s="186">
        <f t="shared" si="18"/>
        <v>280.99999997853348</v>
      </c>
      <c r="BE39" s="186">
        <f t="shared" si="18"/>
        <v>225.9999999758198</v>
      </c>
    </row>
    <row r="40" spans="1:57" ht="13.5" customHeight="1" x14ac:dyDescent="0.2">
      <c r="A40" s="181">
        <f t="shared" si="7"/>
        <v>257.71428571428572</v>
      </c>
      <c r="B40" s="187">
        <f t="shared" si="19"/>
        <v>0.56249999999999989</v>
      </c>
      <c r="C40">
        <v>264</v>
      </c>
      <c r="D40">
        <v>258</v>
      </c>
      <c r="E40">
        <v>262</v>
      </c>
      <c r="F40">
        <v>261</v>
      </c>
      <c r="G40">
        <v>259</v>
      </c>
      <c r="H40">
        <v>270</v>
      </c>
      <c r="I40">
        <v>230</v>
      </c>
      <c r="K40" s="43">
        <f t="shared" si="8"/>
        <v>48</v>
      </c>
      <c r="L40" s="43">
        <f t="shared" si="9"/>
        <v>45</v>
      </c>
      <c r="M40" s="43">
        <f t="shared" si="10"/>
        <v>47</v>
      </c>
      <c r="N40" s="43">
        <f t="shared" si="11"/>
        <v>45</v>
      </c>
      <c r="O40" s="43">
        <f t="shared" si="12"/>
        <v>45</v>
      </c>
      <c r="P40" s="43">
        <f t="shared" si="13"/>
        <v>47</v>
      </c>
      <c r="Q40" s="43">
        <f t="shared" si="14"/>
        <v>38</v>
      </c>
      <c r="S40" s="198">
        <f>'8900'!S40+'8911'!S40</f>
        <v>59</v>
      </c>
      <c r="T40" s="198">
        <f>'8900'!T40+'8911'!T40</f>
        <v>55</v>
      </c>
      <c r="U40" s="198">
        <f>'8900'!U40+'8911'!U40</f>
        <v>68</v>
      </c>
      <c r="V40" s="198">
        <f>'8900'!V40+'8911'!V40</f>
        <v>61</v>
      </c>
      <c r="W40" s="198">
        <f>'8900'!W40+'8911'!W40</f>
        <v>61</v>
      </c>
      <c r="X40" s="198">
        <f>'8900'!X40+'8911'!X40</f>
        <v>66</v>
      </c>
      <c r="Y40" s="198">
        <f>'8900'!Y40+'8911'!Y40</f>
        <v>58</v>
      </c>
      <c r="AA40" s="184">
        <f t="shared" si="15"/>
        <v>0.9999999940542692</v>
      </c>
      <c r="AB40" s="184">
        <f t="shared" si="15"/>
        <v>0.99999991984706604</v>
      </c>
      <c r="AC40" s="184">
        <f t="shared" si="15"/>
        <v>0.99999999999943523</v>
      </c>
      <c r="AD40" s="184">
        <f t="shared" si="15"/>
        <v>0.9999999994174954</v>
      </c>
      <c r="AE40" s="184">
        <f t="shared" si="15"/>
        <v>0.99999999956972785</v>
      </c>
      <c r="AF40" s="184">
        <f t="shared" si="15"/>
        <v>0.9999999999950383</v>
      </c>
      <c r="AG40" s="184">
        <f t="shared" si="15"/>
        <v>0.99999999999744493</v>
      </c>
      <c r="AI40" s="184">
        <f t="shared" si="16"/>
        <v>1.089476307135782E-5</v>
      </c>
      <c r="AJ40" s="184">
        <f t="shared" si="16"/>
        <v>6.3685632191590402E-5</v>
      </c>
      <c r="AK40" s="184">
        <f t="shared" si="16"/>
        <v>1.3321839526910096E-8</v>
      </c>
      <c r="AL40" s="184">
        <f t="shared" si="16"/>
        <v>2.0507096498758493E-6</v>
      </c>
      <c r="AM40" s="184">
        <f t="shared" si="16"/>
        <v>1.6192021309702252E-6</v>
      </c>
      <c r="AN40" s="184">
        <f t="shared" si="16"/>
        <v>7.9299241549334048E-8</v>
      </c>
      <c r="AO40" s="184">
        <f t="shared" si="16"/>
        <v>3.6284063110738665E-8</v>
      </c>
      <c r="AQ40" s="185">
        <f t="shared" si="17"/>
        <v>11</v>
      </c>
      <c r="AR40" s="185">
        <f t="shared" si="17"/>
        <v>10</v>
      </c>
      <c r="AS40" s="185">
        <f t="shared" si="17"/>
        <v>21</v>
      </c>
      <c r="AT40" s="185">
        <f t="shared" si="17"/>
        <v>16</v>
      </c>
      <c r="AU40" s="185">
        <f t="shared" si="17"/>
        <v>16</v>
      </c>
      <c r="AV40" s="185">
        <f t="shared" si="17"/>
        <v>19</v>
      </c>
      <c r="AW40" s="185">
        <f t="shared" si="17"/>
        <v>20</v>
      </c>
      <c r="AY40" s="186">
        <f t="shared" si="18"/>
        <v>263.99999843032708</v>
      </c>
      <c r="AZ40" s="186">
        <f t="shared" si="18"/>
        <v>257.99997932054305</v>
      </c>
      <c r="BA40" s="186">
        <f t="shared" si="18"/>
        <v>261.99999999985204</v>
      </c>
      <c r="BB40" s="186">
        <f t="shared" si="18"/>
        <v>260.99999984796631</v>
      </c>
      <c r="BC40" s="186">
        <f t="shared" si="18"/>
        <v>258.9999998885595</v>
      </c>
      <c r="BD40" s="186">
        <f t="shared" si="18"/>
        <v>269.99999999866031</v>
      </c>
      <c r="BE40" s="186">
        <f t="shared" si="18"/>
        <v>229.99999999941232</v>
      </c>
    </row>
    <row r="41" spans="1:57" ht="13.5" customHeight="1" x14ac:dyDescent="0.2">
      <c r="A41" s="181">
        <f t="shared" si="7"/>
        <v>265.28571428571428</v>
      </c>
      <c r="B41" s="187">
        <f t="shared" si="19"/>
        <v>0.58333333333333326</v>
      </c>
      <c r="C41">
        <v>269</v>
      </c>
      <c r="D41">
        <v>273</v>
      </c>
      <c r="E41">
        <v>276</v>
      </c>
      <c r="F41">
        <v>262</v>
      </c>
      <c r="G41">
        <v>276</v>
      </c>
      <c r="H41">
        <v>271</v>
      </c>
      <c r="I41">
        <v>230</v>
      </c>
      <c r="K41" s="43">
        <f t="shared" si="8"/>
        <v>49</v>
      </c>
      <c r="L41" s="43">
        <f t="shared" si="9"/>
        <v>47</v>
      </c>
      <c r="M41" s="43">
        <f t="shared" si="10"/>
        <v>49</v>
      </c>
      <c r="N41" s="43">
        <f t="shared" si="11"/>
        <v>46</v>
      </c>
      <c r="O41" s="43">
        <f t="shared" si="12"/>
        <v>48</v>
      </c>
      <c r="P41" s="43">
        <f t="shared" si="13"/>
        <v>47</v>
      </c>
      <c r="Q41" s="43">
        <f t="shared" si="14"/>
        <v>38</v>
      </c>
      <c r="S41" s="198">
        <f>'8900'!S41+'8911'!S41</f>
        <v>61</v>
      </c>
      <c r="T41" s="198">
        <f>'8900'!T41+'8911'!T41</f>
        <v>58</v>
      </c>
      <c r="U41" s="198">
        <f>'8900'!U41+'8911'!U41</f>
        <v>61</v>
      </c>
      <c r="V41" s="198">
        <f>'8900'!V41+'8911'!V41</f>
        <v>57</v>
      </c>
      <c r="W41" s="198">
        <f>'8900'!W41+'8911'!W41</f>
        <v>56</v>
      </c>
      <c r="X41" s="198">
        <f>'8900'!X41+'8911'!X41</f>
        <v>60</v>
      </c>
      <c r="Y41" s="198">
        <f>'8900'!Y41+'8911'!Y41</f>
        <v>60</v>
      </c>
      <c r="AA41" s="184">
        <f t="shared" si="15"/>
        <v>0.99999999810985696</v>
      </c>
      <c r="AB41" s="184">
        <f t="shared" si="15"/>
        <v>0.9999999594736112</v>
      </c>
      <c r="AC41" s="184">
        <f t="shared" si="15"/>
        <v>0.99999999493103131</v>
      </c>
      <c r="AD41" s="184">
        <f t="shared" si="15"/>
        <v>0.99999997216055569</v>
      </c>
      <c r="AE41" s="184">
        <f t="shared" si="15"/>
        <v>0.99999960399879328</v>
      </c>
      <c r="AF41" s="184">
        <f t="shared" si="15"/>
        <v>0.99999999782176996</v>
      </c>
      <c r="AG41" s="184">
        <f t="shared" si="15"/>
        <v>0.99999999999974143</v>
      </c>
      <c r="AI41" s="184">
        <f t="shared" si="16"/>
        <v>5.0966833056077035E-6</v>
      </c>
      <c r="AJ41" s="184">
        <f t="shared" si="16"/>
        <v>4.4939141823139059E-5</v>
      </c>
      <c r="AK41" s="184">
        <f t="shared" si="16"/>
        <v>1.0823736502500088E-5</v>
      </c>
      <c r="AL41" s="184">
        <f t="shared" si="16"/>
        <v>3.1366295536236282E-5</v>
      </c>
      <c r="AM41" s="184">
        <f t="shared" si="16"/>
        <v>2.1220078959355859E-4</v>
      </c>
      <c r="AN41" s="184">
        <f t="shared" si="16"/>
        <v>6.1629532477575173E-6</v>
      </c>
      <c r="AO41" s="184">
        <f t="shared" si="16"/>
        <v>6.6507451809002923E-9</v>
      </c>
      <c r="AQ41" s="185">
        <f t="shared" si="17"/>
        <v>12</v>
      </c>
      <c r="AR41" s="185">
        <f t="shared" si="17"/>
        <v>11</v>
      </c>
      <c r="AS41" s="185">
        <f t="shared" si="17"/>
        <v>12</v>
      </c>
      <c r="AT41" s="185">
        <f t="shared" si="17"/>
        <v>11</v>
      </c>
      <c r="AU41" s="185">
        <f t="shared" si="17"/>
        <v>8</v>
      </c>
      <c r="AV41" s="185">
        <f t="shared" si="17"/>
        <v>13</v>
      </c>
      <c r="AW41" s="185">
        <f t="shared" si="17"/>
        <v>22</v>
      </c>
      <c r="AY41" s="186">
        <f t="shared" si="18"/>
        <v>268.99999949155153</v>
      </c>
      <c r="AZ41" s="186">
        <f t="shared" si="18"/>
        <v>272.99998893629584</v>
      </c>
      <c r="BA41" s="186">
        <f t="shared" si="18"/>
        <v>275.99999860096466</v>
      </c>
      <c r="BB41" s="186">
        <f t="shared" si="18"/>
        <v>261.9999927060656</v>
      </c>
      <c r="BC41" s="186">
        <f t="shared" si="18"/>
        <v>275.99989070366695</v>
      </c>
      <c r="BD41" s="186">
        <f t="shared" si="18"/>
        <v>270.99999940969968</v>
      </c>
      <c r="BE41" s="186">
        <f t="shared" si="18"/>
        <v>229.99999999994054</v>
      </c>
    </row>
    <row r="42" spans="1:57" ht="13.5" customHeight="1" x14ac:dyDescent="0.2">
      <c r="A42" s="181">
        <f t="shared" si="7"/>
        <v>262.71428571428572</v>
      </c>
      <c r="B42" s="187">
        <f t="shared" si="19"/>
        <v>0.60416666666666663</v>
      </c>
      <c r="C42">
        <v>274</v>
      </c>
      <c r="D42">
        <v>259</v>
      </c>
      <c r="E42">
        <v>273</v>
      </c>
      <c r="F42">
        <v>262</v>
      </c>
      <c r="G42">
        <v>273</v>
      </c>
      <c r="H42">
        <v>262</v>
      </c>
      <c r="I42">
        <v>236</v>
      </c>
      <c r="K42" s="43">
        <f t="shared" si="8"/>
        <v>51</v>
      </c>
      <c r="L42" s="43">
        <f t="shared" si="9"/>
        <v>45</v>
      </c>
      <c r="M42" s="43">
        <f t="shared" si="10"/>
        <v>49</v>
      </c>
      <c r="N42" s="43">
        <f t="shared" si="11"/>
        <v>46</v>
      </c>
      <c r="O42" s="43">
        <f t="shared" si="12"/>
        <v>48</v>
      </c>
      <c r="P42" s="43">
        <f t="shared" si="13"/>
        <v>46</v>
      </c>
      <c r="Q42" s="43">
        <f t="shared" si="14"/>
        <v>39</v>
      </c>
      <c r="S42" s="198">
        <f>'8900'!S42+'8911'!S42</f>
        <v>61</v>
      </c>
      <c r="T42" s="198">
        <f>'8900'!T42+'8911'!T42</f>
        <v>58</v>
      </c>
      <c r="U42" s="198">
        <f>'8900'!U42+'8911'!U42</f>
        <v>61</v>
      </c>
      <c r="V42" s="198">
        <f>'8900'!V42+'8911'!V42</f>
        <v>56</v>
      </c>
      <c r="W42" s="198">
        <f>'8900'!W42+'8911'!W42</f>
        <v>55</v>
      </c>
      <c r="X42" s="198">
        <f>'8900'!X42+'8911'!X42</f>
        <v>60</v>
      </c>
      <c r="Y42" s="198">
        <f>'8900'!Y42+'8911'!Y42</f>
        <v>60</v>
      </c>
      <c r="AA42" s="184">
        <f t="shared" si="15"/>
        <v>0.99999999616071877</v>
      </c>
      <c r="AB42" s="184">
        <f t="shared" si="15"/>
        <v>0.99999999396538397</v>
      </c>
      <c r="AC42" s="184">
        <f t="shared" si="15"/>
        <v>0.99999999666266959</v>
      </c>
      <c r="AD42" s="184">
        <f t="shared" si="15"/>
        <v>0.99999993225539596</v>
      </c>
      <c r="AE42" s="184">
        <f t="shared" si="15"/>
        <v>0.99999936758574515</v>
      </c>
      <c r="AF42" s="184">
        <f t="shared" si="15"/>
        <v>0.9999999994084432</v>
      </c>
      <c r="AG42" s="184">
        <f t="shared" si="15"/>
        <v>0.99999999999922962</v>
      </c>
      <c r="AI42" s="184">
        <f t="shared" si="16"/>
        <v>8.7631551329993359E-6</v>
      </c>
      <c r="AJ42" s="184">
        <f t="shared" si="16"/>
        <v>1.0671052784768174E-5</v>
      </c>
      <c r="AK42" s="184">
        <f t="shared" si="16"/>
        <v>7.8756472405717581E-6</v>
      </c>
      <c r="AL42" s="184">
        <f t="shared" si="16"/>
        <v>5.7888987458729035E-5</v>
      </c>
      <c r="AM42" s="184">
        <f t="shared" si="16"/>
        <v>2.8405351085902271E-4</v>
      </c>
      <c r="AN42" s="184">
        <f t="shared" si="16"/>
        <v>2.2592792831890277E-6</v>
      </c>
      <c r="AO42" s="184">
        <f t="shared" si="16"/>
        <v>1.6223103484095008E-8</v>
      </c>
      <c r="AQ42" s="185">
        <f t="shared" si="17"/>
        <v>10</v>
      </c>
      <c r="AR42" s="185">
        <f t="shared" si="17"/>
        <v>13</v>
      </c>
      <c r="AS42" s="185">
        <f t="shared" si="17"/>
        <v>12</v>
      </c>
      <c r="AT42" s="185">
        <f t="shared" si="17"/>
        <v>10</v>
      </c>
      <c r="AU42" s="185">
        <f t="shared" si="17"/>
        <v>7</v>
      </c>
      <c r="AV42" s="185">
        <f t="shared" si="17"/>
        <v>14</v>
      </c>
      <c r="AW42" s="185">
        <f t="shared" si="17"/>
        <v>21</v>
      </c>
      <c r="AY42" s="186">
        <f t="shared" si="18"/>
        <v>273.99999894803693</v>
      </c>
      <c r="AZ42" s="186">
        <f t="shared" si="18"/>
        <v>258.99999843703444</v>
      </c>
      <c r="BA42" s="186">
        <f t="shared" si="18"/>
        <v>272.99999908890879</v>
      </c>
      <c r="BB42" s="186">
        <f t="shared" si="18"/>
        <v>261.99998225091372</v>
      </c>
      <c r="BC42" s="186">
        <f t="shared" si="18"/>
        <v>272.99982735090845</v>
      </c>
      <c r="BD42" s="186">
        <f t="shared" si="18"/>
        <v>261.9999998450121</v>
      </c>
      <c r="BE42" s="186">
        <f t="shared" si="18"/>
        <v>235.99999999981819</v>
      </c>
    </row>
    <row r="43" spans="1:57" ht="13.5" customHeight="1" x14ac:dyDescent="0.2">
      <c r="A43" s="181">
        <f t="shared" si="7"/>
        <v>263.57142857142856</v>
      </c>
      <c r="B43" s="187">
        <f t="shared" si="19"/>
        <v>0.625</v>
      </c>
      <c r="C43">
        <v>271</v>
      </c>
      <c r="D43">
        <v>268</v>
      </c>
      <c r="E43">
        <v>262</v>
      </c>
      <c r="F43">
        <v>264</v>
      </c>
      <c r="G43">
        <v>287</v>
      </c>
      <c r="H43">
        <v>261</v>
      </c>
      <c r="I43">
        <v>232</v>
      </c>
      <c r="K43" s="43">
        <f t="shared" si="8"/>
        <v>49</v>
      </c>
      <c r="L43" s="43">
        <f t="shared" si="9"/>
        <v>46</v>
      </c>
      <c r="M43" s="43">
        <f t="shared" si="10"/>
        <v>47</v>
      </c>
      <c r="N43" s="43">
        <f t="shared" si="11"/>
        <v>46</v>
      </c>
      <c r="O43" s="43">
        <f t="shared" si="12"/>
        <v>50</v>
      </c>
      <c r="P43" s="43">
        <f t="shared" si="13"/>
        <v>45</v>
      </c>
      <c r="Q43" s="43">
        <f t="shared" si="14"/>
        <v>39</v>
      </c>
      <c r="S43" s="198">
        <f>'8900'!S43+'8911'!S43</f>
        <v>64</v>
      </c>
      <c r="T43" s="198">
        <f>'8900'!T43+'8911'!T43</f>
        <v>63</v>
      </c>
      <c r="U43" s="198">
        <f>'8900'!U43+'8911'!U43</f>
        <v>70</v>
      </c>
      <c r="V43" s="198">
        <f>'8900'!V43+'8911'!V43</f>
        <v>61</v>
      </c>
      <c r="W43" s="198">
        <f>'8900'!W43+'8911'!W43</f>
        <v>64</v>
      </c>
      <c r="X43" s="198">
        <f>'8900'!X43+'8911'!X43</f>
        <v>69</v>
      </c>
      <c r="Y43" s="198">
        <f>'8900'!Y43+'8911'!Y43</f>
        <v>70</v>
      </c>
      <c r="AA43" s="184">
        <f t="shared" si="15"/>
        <v>0.99999999985475496</v>
      </c>
      <c r="AB43" s="184">
        <f t="shared" si="15"/>
        <v>0.99999999980656584</v>
      </c>
      <c r="AC43" s="184">
        <f t="shared" si="15"/>
        <v>0.9999999999999345</v>
      </c>
      <c r="AD43" s="184">
        <f t="shared" si="15"/>
        <v>0.99999999908845427</v>
      </c>
      <c r="AE43" s="184">
        <f t="shared" si="15"/>
        <v>0.99999999849331267</v>
      </c>
      <c r="AF43" s="184">
        <f t="shared" si="15"/>
        <v>0.99999999999995814</v>
      </c>
      <c r="AG43" s="184">
        <f t="shared" si="15"/>
        <v>1</v>
      </c>
      <c r="AI43" s="184">
        <f t="shared" si="16"/>
        <v>8.3981887122911494E-7</v>
      </c>
      <c r="AJ43" s="184">
        <f t="shared" si="16"/>
        <v>1.0162234920093419E-6</v>
      </c>
      <c r="AK43" s="184">
        <f t="shared" si="16"/>
        <v>2.685111758977063E-9</v>
      </c>
      <c r="AL43" s="184">
        <f t="shared" si="16"/>
        <v>2.9037139876128752E-6</v>
      </c>
      <c r="AM43" s="184">
        <f t="shared" si="16"/>
        <v>5.11073889298086E-6</v>
      </c>
      <c r="AN43" s="184">
        <f t="shared" si="16"/>
        <v>2.1093629519286601E-9</v>
      </c>
      <c r="AO43" s="184">
        <f t="shared" si="16"/>
        <v>8.0569886173652061E-13</v>
      </c>
      <c r="AQ43" s="185">
        <f t="shared" si="17"/>
        <v>15</v>
      </c>
      <c r="AR43" s="185">
        <f t="shared" si="17"/>
        <v>17</v>
      </c>
      <c r="AS43" s="185">
        <f t="shared" si="17"/>
        <v>23</v>
      </c>
      <c r="AT43" s="185">
        <f t="shared" si="17"/>
        <v>15</v>
      </c>
      <c r="AU43" s="185">
        <f t="shared" si="17"/>
        <v>14</v>
      </c>
      <c r="AV43" s="185">
        <f t="shared" si="17"/>
        <v>24</v>
      </c>
      <c r="AW43" s="185">
        <f t="shared" si="17"/>
        <v>31</v>
      </c>
      <c r="AY43" s="186">
        <f t="shared" si="18"/>
        <v>270.9999999606386</v>
      </c>
      <c r="AZ43" s="186">
        <f t="shared" si="18"/>
        <v>267.99999994815965</v>
      </c>
      <c r="BA43" s="186">
        <f t="shared" si="18"/>
        <v>261.99999999998283</v>
      </c>
      <c r="BB43" s="186">
        <f t="shared" si="18"/>
        <v>263.99999975935191</v>
      </c>
      <c r="BC43" s="186">
        <f t="shared" si="18"/>
        <v>286.99999956758074</v>
      </c>
      <c r="BD43" s="186">
        <f t="shared" si="18"/>
        <v>260.99999999998909</v>
      </c>
      <c r="BE43" s="186">
        <f t="shared" si="18"/>
        <v>232</v>
      </c>
    </row>
    <row r="44" spans="1:57" ht="12.75" x14ac:dyDescent="0.2">
      <c r="A44" s="181">
        <f t="shared" si="7"/>
        <v>253.85714285714286</v>
      </c>
      <c r="B44" s="187">
        <f t="shared" si="19"/>
        <v>0.64583333333333337</v>
      </c>
      <c r="C44">
        <v>262</v>
      </c>
      <c r="D44">
        <v>250</v>
      </c>
      <c r="E44">
        <v>264</v>
      </c>
      <c r="F44">
        <v>263</v>
      </c>
      <c r="G44">
        <v>264</v>
      </c>
      <c r="H44">
        <v>249</v>
      </c>
      <c r="I44">
        <v>225</v>
      </c>
      <c r="K44" s="43">
        <f t="shared" si="8"/>
        <v>48</v>
      </c>
      <c r="L44" s="43">
        <f t="shared" si="9"/>
        <v>43</v>
      </c>
      <c r="M44" s="43">
        <f t="shared" si="10"/>
        <v>47</v>
      </c>
      <c r="N44" s="43">
        <f t="shared" si="11"/>
        <v>46</v>
      </c>
      <c r="O44" s="43">
        <f t="shared" si="12"/>
        <v>46</v>
      </c>
      <c r="P44" s="43">
        <f t="shared" si="13"/>
        <v>43</v>
      </c>
      <c r="Q44" s="43">
        <f t="shared" si="14"/>
        <v>38</v>
      </c>
      <c r="S44" s="198">
        <f>'8900'!S44+'8911'!S44</f>
        <v>63</v>
      </c>
      <c r="T44" s="198">
        <f>'8900'!T44+'8911'!T44</f>
        <v>63</v>
      </c>
      <c r="U44" s="198">
        <f>'8900'!U44+'8911'!U44</f>
        <v>69</v>
      </c>
      <c r="V44" s="198">
        <f>'8900'!V44+'8911'!V44</f>
        <v>61</v>
      </c>
      <c r="W44" s="198">
        <f>'8900'!W44+'8911'!W44</f>
        <v>64</v>
      </c>
      <c r="X44" s="198">
        <f>'8900'!X44+'8911'!X44</f>
        <v>69</v>
      </c>
      <c r="Y44" s="198">
        <f>'8900'!Y44+'8911'!Y44</f>
        <v>67</v>
      </c>
      <c r="AA44" s="184">
        <f t="shared" si="15"/>
        <v>0.9999999999038327</v>
      </c>
      <c r="AB44" s="184">
        <f t="shared" si="15"/>
        <v>0.9999999999892264</v>
      </c>
      <c r="AC44" s="184">
        <f t="shared" si="15"/>
        <v>0.99999999999972333</v>
      </c>
      <c r="AD44" s="184">
        <f t="shared" si="15"/>
        <v>0.99999999921416982</v>
      </c>
      <c r="AE44" s="184">
        <f t="shared" si="15"/>
        <v>0.99999999995120947</v>
      </c>
      <c r="AF44" s="184">
        <f t="shared" si="15"/>
        <v>0.99999999999999567</v>
      </c>
      <c r="AG44" s="184">
        <f t="shared" si="15"/>
        <v>1</v>
      </c>
      <c r="AI44" s="184">
        <f t="shared" si="16"/>
        <v>5.6927028346851434E-7</v>
      </c>
      <c r="AJ44" s="184">
        <f t="shared" si="16"/>
        <v>1.0313219838482367E-7</v>
      </c>
      <c r="AK44" s="184">
        <f t="shared" si="16"/>
        <v>8.0492351621957221E-9</v>
      </c>
      <c r="AL44" s="184">
        <f t="shared" si="16"/>
        <v>2.5880972853369972E-6</v>
      </c>
      <c r="AM44" s="184">
        <f t="shared" si="16"/>
        <v>3.562503195104622E-7</v>
      </c>
      <c r="AN44" s="184">
        <f t="shared" si="16"/>
        <v>3.2490799599210567E-10</v>
      </c>
      <c r="AO44" s="184">
        <f t="shared" si="16"/>
        <v>4.2564377579028936E-12</v>
      </c>
      <c r="AQ44" s="185">
        <f t="shared" si="17"/>
        <v>15</v>
      </c>
      <c r="AR44" s="185">
        <f t="shared" si="17"/>
        <v>20</v>
      </c>
      <c r="AS44" s="185">
        <f t="shared" si="17"/>
        <v>22</v>
      </c>
      <c r="AT44" s="185">
        <f t="shared" si="17"/>
        <v>15</v>
      </c>
      <c r="AU44" s="185">
        <f t="shared" si="17"/>
        <v>18</v>
      </c>
      <c r="AV44" s="185">
        <f t="shared" si="17"/>
        <v>26</v>
      </c>
      <c r="AW44" s="185">
        <f t="shared" si="17"/>
        <v>29</v>
      </c>
      <c r="AY44" s="186">
        <f t="shared" si="18"/>
        <v>261.99999997480415</v>
      </c>
      <c r="AZ44" s="186">
        <f t="shared" si="18"/>
        <v>249.99999999730659</v>
      </c>
      <c r="BA44" s="186">
        <f t="shared" si="18"/>
        <v>263.99999999992696</v>
      </c>
      <c r="BB44" s="186">
        <f t="shared" si="18"/>
        <v>262.99999979332665</v>
      </c>
      <c r="BC44" s="186">
        <f t="shared" si="18"/>
        <v>263.99999998711928</v>
      </c>
      <c r="BD44" s="186">
        <f t="shared" si="18"/>
        <v>248.99999999999892</v>
      </c>
      <c r="BE44" s="186">
        <f t="shared" si="18"/>
        <v>225</v>
      </c>
    </row>
    <row r="45" spans="1:57" ht="12.75" x14ac:dyDescent="0.2">
      <c r="A45" s="181">
        <f t="shared" si="7"/>
        <v>257.85714285714283</v>
      </c>
      <c r="B45" s="187">
        <f t="shared" si="19"/>
        <v>0.66666666666666674</v>
      </c>
      <c r="C45">
        <v>273</v>
      </c>
      <c r="D45">
        <v>258</v>
      </c>
      <c r="E45">
        <v>272</v>
      </c>
      <c r="F45">
        <v>256</v>
      </c>
      <c r="G45">
        <v>272</v>
      </c>
      <c r="H45">
        <v>257</v>
      </c>
      <c r="I45">
        <v>217</v>
      </c>
      <c r="K45" s="43">
        <f t="shared" si="8"/>
        <v>51</v>
      </c>
      <c r="L45" s="43">
        <f t="shared" si="9"/>
        <v>45</v>
      </c>
      <c r="M45" s="43">
        <f t="shared" si="10"/>
        <v>48</v>
      </c>
      <c r="N45" s="43">
        <f t="shared" si="11"/>
        <v>45</v>
      </c>
      <c r="O45" s="43">
        <f t="shared" si="12"/>
        <v>47</v>
      </c>
      <c r="P45" s="43">
        <f t="shared" si="13"/>
        <v>45</v>
      </c>
      <c r="Q45" s="43">
        <f t="shared" si="14"/>
        <v>36</v>
      </c>
      <c r="S45" s="198">
        <f>'8900'!S45+'8911'!S45</f>
        <v>74</v>
      </c>
      <c r="T45" s="198">
        <f>'8900'!T45+'8911'!T45</f>
        <v>65</v>
      </c>
      <c r="U45" s="198">
        <f>'8900'!U45+'8911'!U45</f>
        <v>67</v>
      </c>
      <c r="V45" s="198">
        <f>'8900'!V45+'8911'!V45</f>
        <v>64</v>
      </c>
      <c r="W45" s="198">
        <f>'8900'!W45+'8911'!W45</f>
        <v>67</v>
      </c>
      <c r="X45" s="198">
        <f>'8900'!X45+'8911'!X45</f>
        <v>74</v>
      </c>
      <c r="Y45" s="198">
        <f>'8900'!Y45+'8911'!Y45</f>
        <v>74</v>
      </c>
      <c r="AA45" s="184">
        <f t="shared" si="15"/>
        <v>0.99999999999999378</v>
      </c>
      <c r="AB45" s="184">
        <f t="shared" si="15"/>
        <v>0.99999999999481914</v>
      </c>
      <c r="AC45" s="184">
        <f t="shared" si="15"/>
        <v>0.99999999999135436</v>
      </c>
      <c r="AD45" s="184">
        <f t="shared" si="15"/>
        <v>0.99999999998671829</v>
      </c>
      <c r="AE45" s="184">
        <f t="shared" si="15"/>
        <v>0.99999999999135436</v>
      </c>
      <c r="AF45" s="184">
        <f t="shared" si="15"/>
        <v>0.99999999999999989</v>
      </c>
      <c r="AG45" s="184">
        <f t="shared" si="15"/>
        <v>1</v>
      </c>
      <c r="AI45" s="184">
        <f t="shared" si="16"/>
        <v>5.327191615046686E-10</v>
      </c>
      <c r="AJ45" s="184">
        <f t="shared" si="16"/>
        <v>6.6206140530277587E-8</v>
      </c>
      <c r="AK45" s="184">
        <f t="shared" si="16"/>
        <v>1.1082790557067269E-7</v>
      </c>
      <c r="AL45" s="184">
        <f t="shared" si="16"/>
        <v>1.266156250561273E-7</v>
      </c>
      <c r="AM45" s="184">
        <f t="shared" si="16"/>
        <v>1.1082790557067269E-7</v>
      </c>
      <c r="AN45" s="184">
        <f t="shared" si="16"/>
        <v>1.4355515317592138E-11</v>
      </c>
      <c r="AO45" s="184">
        <f t="shared" si="16"/>
        <v>4.8039887057585158E-16</v>
      </c>
      <c r="AQ45" s="185">
        <f t="shared" si="17"/>
        <v>23</v>
      </c>
      <c r="AR45" s="185">
        <f t="shared" si="17"/>
        <v>20</v>
      </c>
      <c r="AS45" s="185">
        <f t="shared" si="17"/>
        <v>19</v>
      </c>
      <c r="AT45" s="185">
        <f t="shared" si="17"/>
        <v>19</v>
      </c>
      <c r="AU45" s="185">
        <f t="shared" si="17"/>
        <v>20</v>
      </c>
      <c r="AV45" s="185">
        <f t="shared" si="17"/>
        <v>29</v>
      </c>
      <c r="AW45" s="185">
        <f t="shared" si="17"/>
        <v>38</v>
      </c>
      <c r="AY45" s="186">
        <f t="shared" si="18"/>
        <v>272.99999999999829</v>
      </c>
      <c r="AZ45" s="186">
        <f t="shared" si="18"/>
        <v>257.99999999866333</v>
      </c>
      <c r="BA45" s="186">
        <f t="shared" si="18"/>
        <v>271.99999999764839</v>
      </c>
      <c r="BB45" s="186">
        <f t="shared" si="18"/>
        <v>255.99999999659988</v>
      </c>
      <c r="BC45" s="186">
        <f t="shared" si="18"/>
        <v>271.99999999764839</v>
      </c>
      <c r="BD45" s="186">
        <f t="shared" si="18"/>
        <v>256.99999999999994</v>
      </c>
      <c r="BE45" s="186">
        <f t="shared" si="18"/>
        <v>217</v>
      </c>
    </row>
    <row r="46" spans="1:57" ht="13.5" customHeight="1" x14ac:dyDescent="0.2">
      <c r="A46" s="181">
        <f t="shared" si="7"/>
        <v>259.85714285714283</v>
      </c>
      <c r="B46" s="187">
        <f t="shared" si="19"/>
        <v>0.68750000000000011</v>
      </c>
      <c r="C46">
        <v>287</v>
      </c>
      <c r="D46">
        <v>260</v>
      </c>
      <c r="E46">
        <v>273</v>
      </c>
      <c r="F46">
        <v>266</v>
      </c>
      <c r="G46">
        <v>272</v>
      </c>
      <c r="H46">
        <v>243</v>
      </c>
      <c r="I46">
        <v>218</v>
      </c>
      <c r="K46" s="43">
        <f t="shared" si="8"/>
        <v>53</v>
      </c>
      <c r="L46" s="43">
        <f t="shared" si="9"/>
        <v>45</v>
      </c>
      <c r="M46" s="43">
        <f t="shared" si="10"/>
        <v>49</v>
      </c>
      <c r="N46" s="43">
        <f t="shared" si="11"/>
        <v>46</v>
      </c>
      <c r="O46" s="43">
        <f t="shared" si="12"/>
        <v>47</v>
      </c>
      <c r="P46" s="43">
        <f t="shared" si="13"/>
        <v>42</v>
      </c>
      <c r="Q46" s="43">
        <f t="shared" si="14"/>
        <v>36</v>
      </c>
      <c r="S46" s="198">
        <f>'8900'!S46+'8911'!S46</f>
        <v>63</v>
      </c>
      <c r="T46" s="198">
        <f>'8900'!T46+'8911'!T46</f>
        <v>57</v>
      </c>
      <c r="U46" s="198">
        <f>'8900'!U46+'8911'!U46</f>
        <v>55</v>
      </c>
      <c r="V46" s="198">
        <f>'8900'!V46+'8911'!V46</f>
        <v>59</v>
      </c>
      <c r="W46" s="198">
        <f>'8900'!W46+'8911'!W46</f>
        <v>61</v>
      </c>
      <c r="X46" s="198">
        <f>'8900'!X46+'8911'!X46</f>
        <v>71</v>
      </c>
      <c r="Y46" s="198">
        <f>'8900'!Y46+'8911'!Y46</f>
        <v>72</v>
      </c>
      <c r="AA46" s="184">
        <f t="shared" si="15"/>
        <v>0.99999999625540714</v>
      </c>
      <c r="AB46" s="184">
        <f t="shared" si="15"/>
        <v>0.99999998258628642</v>
      </c>
      <c r="AC46" s="184">
        <f t="shared" si="15"/>
        <v>0.99999936758574515</v>
      </c>
      <c r="AD46" s="184">
        <f t="shared" si="15"/>
        <v>0.99999999213496726</v>
      </c>
      <c r="AE46" s="184">
        <f t="shared" si="15"/>
        <v>0.99999999710131504</v>
      </c>
      <c r="AF46" s="184">
        <f t="shared" si="15"/>
        <v>0.99999999999999989</v>
      </c>
      <c r="AG46" s="184">
        <f t="shared" si="15"/>
        <v>1</v>
      </c>
      <c r="AI46" s="184">
        <f t="shared" si="16"/>
        <v>9.6334919918867694E-6</v>
      </c>
      <c r="AJ46" s="184">
        <f t="shared" si="16"/>
        <v>2.2559796885017661E-5</v>
      </c>
      <c r="AK46" s="184">
        <f t="shared" si="16"/>
        <v>2.8405351085902271E-4</v>
      </c>
      <c r="AL46" s="184">
        <f t="shared" si="16"/>
        <v>1.3482179994686037E-5</v>
      </c>
      <c r="AM46" s="184">
        <f t="shared" si="16"/>
        <v>7.0723630840114262E-6</v>
      </c>
      <c r="AN46" s="184">
        <f t="shared" si="16"/>
        <v>1.942985810383921E-11</v>
      </c>
      <c r="AO46" s="184">
        <f t="shared" si="16"/>
        <v>5.5346554375177694E-15</v>
      </c>
      <c r="AQ46" s="185">
        <f t="shared" si="17"/>
        <v>10</v>
      </c>
      <c r="AR46" s="185">
        <f t="shared" si="17"/>
        <v>12</v>
      </c>
      <c r="AS46" s="185">
        <f t="shared" si="17"/>
        <v>6</v>
      </c>
      <c r="AT46" s="185">
        <f t="shared" si="17"/>
        <v>13</v>
      </c>
      <c r="AU46" s="185">
        <f t="shared" si="17"/>
        <v>14</v>
      </c>
      <c r="AV46" s="185">
        <f t="shared" si="17"/>
        <v>29</v>
      </c>
      <c r="AW46" s="185">
        <f t="shared" si="17"/>
        <v>36</v>
      </c>
      <c r="AY46" s="186">
        <f t="shared" si="18"/>
        <v>286.99999892530184</v>
      </c>
      <c r="AZ46" s="186">
        <f t="shared" si="18"/>
        <v>259.99999547243448</v>
      </c>
      <c r="BA46" s="186">
        <f t="shared" si="18"/>
        <v>272.99982735090845</v>
      </c>
      <c r="BB46" s="186">
        <f t="shared" si="18"/>
        <v>265.99999790790127</v>
      </c>
      <c r="BC46" s="186">
        <f t="shared" si="18"/>
        <v>271.99999921155768</v>
      </c>
      <c r="BD46" s="186">
        <f t="shared" si="18"/>
        <v>242.99999999999997</v>
      </c>
      <c r="BE46" s="186">
        <f t="shared" si="18"/>
        <v>218</v>
      </c>
    </row>
    <row r="47" spans="1:57" ht="12.75" x14ac:dyDescent="0.2">
      <c r="A47" s="181">
        <f t="shared" si="7"/>
        <v>255.42857142857142</v>
      </c>
      <c r="B47" s="187">
        <f t="shared" si="19"/>
        <v>0.70833333333333348</v>
      </c>
      <c r="C47">
        <v>282</v>
      </c>
      <c r="D47">
        <v>268</v>
      </c>
      <c r="E47">
        <v>256</v>
      </c>
      <c r="F47">
        <v>268</v>
      </c>
      <c r="G47">
        <v>267</v>
      </c>
      <c r="H47">
        <v>239</v>
      </c>
      <c r="I47">
        <v>208</v>
      </c>
      <c r="K47" s="43">
        <f t="shared" si="8"/>
        <v>52</v>
      </c>
      <c r="L47" s="43">
        <f t="shared" si="9"/>
        <v>46</v>
      </c>
      <c r="M47" s="43">
        <f t="shared" si="10"/>
        <v>46</v>
      </c>
      <c r="N47" s="43">
        <f t="shared" si="11"/>
        <v>47</v>
      </c>
      <c r="O47" s="43">
        <f t="shared" si="12"/>
        <v>46</v>
      </c>
      <c r="P47" s="43">
        <f t="shared" si="13"/>
        <v>42</v>
      </c>
      <c r="Q47" s="43">
        <f t="shared" si="14"/>
        <v>35</v>
      </c>
      <c r="S47" s="198">
        <f>'8900'!S47+'8911'!S47</f>
        <v>69</v>
      </c>
      <c r="T47" s="198">
        <f>'8900'!T47+'8911'!T47</f>
        <v>65</v>
      </c>
      <c r="U47" s="198">
        <f>'8900'!U47+'8911'!U47</f>
        <v>71</v>
      </c>
      <c r="V47" s="198">
        <f>'8900'!V47+'8911'!V47</f>
        <v>67</v>
      </c>
      <c r="W47" s="198">
        <f>'8900'!W47+'8911'!W47</f>
        <v>67</v>
      </c>
      <c r="X47" s="198">
        <f>'8900'!X47+'8911'!X47</f>
        <v>60</v>
      </c>
      <c r="Y47" s="198">
        <f>'8900'!Y47+'8911'!Y47</f>
        <v>55</v>
      </c>
      <c r="AA47" s="184">
        <f t="shared" si="15"/>
        <v>0.99999999999420941</v>
      </c>
      <c r="AB47" s="184">
        <f t="shared" si="15"/>
        <v>0.99999999997326494</v>
      </c>
      <c r="AC47" s="184">
        <f t="shared" si="15"/>
        <v>0.99999999999999301</v>
      </c>
      <c r="AD47" s="184">
        <f t="shared" si="15"/>
        <v>0.99999999999552125</v>
      </c>
      <c r="AE47" s="184">
        <f t="shared" si="15"/>
        <v>0.99999999999620903</v>
      </c>
      <c r="AF47" s="184">
        <f t="shared" si="15"/>
        <v>0.9999999999847704</v>
      </c>
      <c r="AG47" s="184">
        <f t="shared" si="15"/>
        <v>0.99999999999854516</v>
      </c>
      <c r="AI47" s="184">
        <f t="shared" si="16"/>
        <v>9.2464539548555011E-8</v>
      </c>
      <c r="AJ47" s="184">
        <f t="shared" si="16"/>
        <v>2.4480034093866453E-7</v>
      </c>
      <c r="AK47" s="184">
        <f t="shared" si="16"/>
        <v>4.6140214356534856E-10</v>
      </c>
      <c r="AL47" s="184">
        <f t="shared" si="16"/>
        <v>6.5601076304667842E-8</v>
      </c>
      <c r="AM47" s="184">
        <f t="shared" si="16"/>
        <v>5.7409568486839489E-8</v>
      </c>
      <c r="AN47" s="184">
        <f t="shared" si="16"/>
        <v>1.2520454744726176E-7</v>
      </c>
      <c r="AO47" s="184">
        <f t="shared" si="16"/>
        <v>1.7645103386904358E-8</v>
      </c>
      <c r="AQ47" s="185">
        <f t="shared" si="17"/>
        <v>17</v>
      </c>
      <c r="AR47" s="185">
        <f t="shared" si="17"/>
        <v>19</v>
      </c>
      <c r="AS47" s="185">
        <f t="shared" si="17"/>
        <v>25</v>
      </c>
      <c r="AT47" s="185">
        <f t="shared" si="17"/>
        <v>20</v>
      </c>
      <c r="AU47" s="185">
        <f t="shared" si="17"/>
        <v>21</v>
      </c>
      <c r="AV47" s="185">
        <f t="shared" si="17"/>
        <v>18</v>
      </c>
      <c r="AW47" s="185">
        <f t="shared" si="17"/>
        <v>20</v>
      </c>
      <c r="AY47" s="186">
        <f t="shared" si="18"/>
        <v>281.99999999836706</v>
      </c>
      <c r="AZ47" s="186">
        <f t="shared" si="18"/>
        <v>267.999999992835</v>
      </c>
      <c r="BA47" s="186">
        <f t="shared" si="18"/>
        <v>255.99999999999821</v>
      </c>
      <c r="BB47" s="186">
        <f t="shared" si="18"/>
        <v>267.99999999879969</v>
      </c>
      <c r="BC47" s="186">
        <f t="shared" si="18"/>
        <v>266.99999999898779</v>
      </c>
      <c r="BD47" s="186">
        <f t="shared" si="18"/>
        <v>238.99999999636012</v>
      </c>
      <c r="BE47" s="186">
        <f t="shared" si="18"/>
        <v>207.99999999969739</v>
      </c>
    </row>
    <row r="48" spans="1:57" ht="13.5" customHeight="1" x14ac:dyDescent="0.2">
      <c r="A48" s="181">
        <f t="shared" si="7"/>
        <v>257.14285714285717</v>
      </c>
      <c r="B48" s="187">
        <f t="shared" si="19"/>
        <v>0.72916666666666685</v>
      </c>
      <c r="C48">
        <v>272</v>
      </c>
      <c r="D48">
        <v>271</v>
      </c>
      <c r="E48">
        <v>254</v>
      </c>
      <c r="F48">
        <v>267</v>
      </c>
      <c r="G48">
        <v>274</v>
      </c>
      <c r="H48">
        <v>249</v>
      </c>
      <c r="I48">
        <v>213</v>
      </c>
      <c r="K48" s="43">
        <f t="shared" si="8"/>
        <v>49</v>
      </c>
      <c r="L48" s="43">
        <f t="shared" si="9"/>
        <v>47</v>
      </c>
      <c r="M48" s="43">
        <f t="shared" si="10"/>
        <v>45</v>
      </c>
      <c r="N48" s="43">
        <f t="shared" si="11"/>
        <v>46</v>
      </c>
      <c r="O48" s="43">
        <f t="shared" si="12"/>
        <v>48</v>
      </c>
      <c r="P48" s="43">
        <f t="shared" si="13"/>
        <v>43</v>
      </c>
      <c r="Q48" s="43">
        <f t="shared" si="14"/>
        <v>36</v>
      </c>
      <c r="S48" s="198">
        <f>'8900'!S48+'8911'!S48</f>
        <v>66</v>
      </c>
      <c r="T48" s="198">
        <f>'8900'!T48+'8911'!T48</f>
        <v>60</v>
      </c>
      <c r="U48" s="198">
        <f>'8900'!U48+'8911'!U48</f>
        <v>66</v>
      </c>
      <c r="V48" s="198">
        <f>'8900'!V48+'8911'!V48</f>
        <v>63</v>
      </c>
      <c r="W48" s="198">
        <f>'8900'!W48+'8911'!W48</f>
        <v>63</v>
      </c>
      <c r="X48" s="198">
        <f>'8900'!X48+'8911'!X48</f>
        <v>57</v>
      </c>
      <c r="Y48" s="198">
        <f>'8900'!Y48+'8911'!Y48</f>
        <v>50</v>
      </c>
      <c r="AA48" s="184">
        <f t="shared" si="15"/>
        <v>0.99999999997636524</v>
      </c>
      <c r="AB48" s="184">
        <f t="shared" si="15"/>
        <v>0.99999999487586433</v>
      </c>
      <c r="AC48" s="184">
        <f t="shared" si="15"/>
        <v>0.99999999999883749</v>
      </c>
      <c r="AD48" s="184">
        <f t="shared" si="15"/>
        <v>0.99999999979142173</v>
      </c>
      <c r="AE48" s="184">
        <f t="shared" si="15"/>
        <v>0.99999999940537299</v>
      </c>
      <c r="AF48" s="184">
        <f t="shared" si="15"/>
        <v>0.99999999840703169</v>
      </c>
      <c r="AG48" s="184">
        <f t="shared" si="15"/>
        <v>0.99999999905654657</v>
      </c>
      <c r="AI48" s="184">
        <f t="shared" si="16"/>
        <v>2.297849340893379E-7</v>
      </c>
      <c r="AJ48" s="184">
        <f t="shared" si="16"/>
        <v>1.058607982922352E-5</v>
      </c>
      <c r="AK48" s="184">
        <f t="shared" si="16"/>
        <v>2.0593414705445697E-8</v>
      </c>
      <c r="AL48" s="184">
        <f t="shared" si="16"/>
        <v>1.0451478949518114E-6</v>
      </c>
      <c r="AM48" s="184">
        <f t="shared" si="16"/>
        <v>2.3594896997419975E-6</v>
      </c>
      <c r="AN48" s="184">
        <f t="shared" si="16"/>
        <v>4.0145261348206644E-6</v>
      </c>
      <c r="AO48" s="184">
        <f t="shared" si="16"/>
        <v>2.1935507534039009E-6</v>
      </c>
      <c r="AQ48" s="185">
        <f t="shared" si="17"/>
        <v>17</v>
      </c>
      <c r="AR48" s="185">
        <f t="shared" si="17"/>
        <v>13</v>
      </c>
      <c r="AS48" s="185">
        <f t="shared" si="17"/>
        <v>21</v>
      </c>
      <c r="AT48" s="185">
        <f t="shared" si="17"/>
        <v>17</v>
      </c>
      <c r="AU48" s="185">
        <f t="shared" si="17"/>
        <v>15</v>
      </c>
      <c r="AV48" s="185">
        <f t="shared" si="17"/>
        <v>14</v>
      </c>
      <c r="AW48" s="185">
        <f t="shared" si="17"/>
        <v>14</v>
      </c>
      <c r="AY48" s="186">
        <f t="shared" si="18"/>
        <v>271.99999999357135</v>
      </c>
      <c r="AZ48" s="186">
        <f t="shared" si="18"/>
        <v>270.99999861135922</v>
      </c>
      <c r="BA48" s="186">
        <f t="shared" si="18"/>
        <v>253.99999999970473</v>
      </c>
      <c r="BB48" s="186">
        <f t="shared" si="18"/>
        <v>266.99999994430959</v>
      </c>
      <c r="BC48" s="186">
        <f t="shared" si="18"/>
        <v>273.99999983707221</v>
      </c>
      <c r="BD48" s="186">
        <f t="shared" si="18"/>
        <v>248.99999960335089</v>
      </c>
      <c r="BE48" s="186">
        <f t="shared" si="18"/>
        <v>212.99999979904442</v>
      </c>
    </row>
    <row r="49" spans="1:57" ht="12.75" x14ac:dyDescent="0.2">
      <c r="A49" s="181">
        <f t="shared" si="7"/>
        <v>255.14285714285714</v>
      </c>
      <c r="B49" s="187">
        <f t="shared" si="19"/>
        <v>0.75000000000000022</v>
      </c>
      <c r="C49">
        <v>260</v>
      </c>
      <c r="D49">
        <v>263</v>
      </c>
      <c r="E49">
        <v>267</v>
      </c>
      <c r="F49">
        <v>253</v>
      </c>
      <c r="G49">
        <v>272</v>
      </c>
      <c r="H49">
        <v>249</v>
      </c>
      <c r="I49">
        <v>222</v>
      </c>
      <c r="K49" s="43">
        <f t="shared" si="8"/>
        <v>47</v>
      </c>
      <c r="L49" s="43">
        <f t="shared" si="9"/>
        <v>46</v>
      </c>
      <c r="M49" s="43">
        <f t="shared" si="10"/>
        <v>47</v>
      </c>
      <c r="N49" s="43">
        <f t="shared" si="11"/>
        <v>44</v>
      </c>
      <c r="O49" s="43">
        <f t="shared" si="12"/>
        <v>47</v>
      </c>
      <c r="P49" s="43">
        <f t="shared" si="13"/>
        <v>43</v>
      </c>
      <c r="Q49" s="43">
        <f t="shared" si="14"/>
        <v>37</v>
      </c>
      <c r="S49" s="198">
        <f>'8900'!S49+'8911'!S49</f>
        <v>61</v>
      </c>
      <c r="T49" s="198">
        <f>'8900'!T49+'8911'!T49</f>
        <v>62</v>
      </c>
      <c r="U49" s="198">
        <f>'8900'!U49+'8911'!U49</f>
        <v>63</v>
      </c>
      <c r="V49" s="198">
        <f>'8900'!V49+'8911'!V49</f>
        <v>59</v>
      </c>
      <c r="W49" s="198">
        <f>'8900'!W49+'8911'!W49</f>
        <v>56</v>
      </c>
      <c r="X49" s="198">
        <f>'8900'!X49+'8911'!X49</f>
        <v>56</v>
      </c>
      <c r="Y49" s="198">
        <f>'8900'!Y49+'8911'!Y49</f>
        <v>51</v>
      </c>
      <c r="AA49" s="184">
        <f t="shared" si="15"/>
        <v>0.99999999949914309</v>
      </c>
      <c r="AB49" s="184">
        <f t="shared" si="15"/>
        <v>0.99999999976066323</v>
      </c>
      <c r="AC49" s="184">
        <f t="shared" si="15"/>
        <v>0.99999999979142173</v>
      </c>
      <c r="AD49" s="184">
        <f t="shared" si="15"/>
        <v>0.99999999879864221</v>
      </c>
      <c r="AE49" s="184">
        <f t="shared" si="15"/>
        <v>0.99999975731100565</v>
      </c>
      <c r="AF49" s="184">
        <f t="shared" si="15"/>
        <v>0.99999999581177401</v>
      </c>
      <c r="AG49" s="184">
        <f t="shared" si="15"/>
        <v>0.99999999863958988</v>
      </c>
      <c r="AI49" s="184">
        <f t="shared" si="16"/>
        <v>1.8230348900138684E-6</v>
      </c>
      <c r="AJ49" s="184">
        <f t="shared" si="16"/>
        <v>1.1251501053245415E-6</v>
      </c>
      <c r="AK49" s="184">
        <f t="shared" si="16"/>
        <v>1.0451478949518114E-6</v>
      </c>
      <c r="AL49" s="184">
        <f t="shared" si="16"/>
        <v>3.1763346007445899E-6</v>
      </c>
      <c r="AM49" s="184">
        <f t="shared" si="16"/>
        <v>1.4859578792721442E-4</v>
      </c>
      <c r="AN49" s="184">
        <f t="shared" si="16"/>
        <v>7.9532334472294767E-6</v>
      </c>
      <c r="AO49" s="184">
        <f t="shared" si="16"/>
        <v>3.1536034396419596E-6</v>
      </c>
      <c r="AQ49" s="185">
        <f t="shared" si="17"/>
        <v>14</v>
      </c>
      <c r="AR49" s="185">
        <f t="shared" si="17"/>
        <v>16</v>
      </c>
      <c r="AS49" s="185">
        <f t="shared" si="17"/>
        <v>16</v>
      </c>
      <c r="AT49" s="185">
        <f t="shared" si="17"/>
        <v>15</v>
      </c>
      <c r="AU49" s="185">
        <f t="shared" si="17"/>
        <v>9</v>
      </c>
      <c r="AV49" s="185">
        <f t="shared" si="17"/>
        <v>13</v>
      </c>
      <c r="AW49" s="185">
        <f t="shared" si="17"/>
        <v>14</v>
      </c>
      <c r="AY49" s="186">
        <f t="shared" si="18"/>
        <v>259.99999986977718</v>
      </c>
      <c r="AZ49" s="186">
        <f t="shared" si="18"/>
        <v>262.99999993705444</v>
      </c>
      <c r="BA49" s="186">
        <f t="shared" si="18"/>
        <v>266.99999994430959</v>
      </c>
      <c r="BB49" s="186">
        <f t="shared" si="18"/>
        <v>252.99999969605648</v>
      </c>
      <c r="BC49" s="186">
        <f t="shared" si="18"/>
        <v>271.99993398859351</v>
      </c>
      <c r="BD49" s="186">
        <f t="shared" si="18"/>
        <v>248.99999895713174</v>
      </c>
      <c r="BE49" s="186">
        <f t="shared" si="18"/>
        <v>221.99999969798895</v>
      </c>
    </row>
    <row r="50" spans="1:57" ht="12.75" x14ac:dyDescent="0.2">
      <c r="A50" s="181">
        <f t="shared" si="7"/>
        <v>269.57142857142856</v>
      </c>
      <c r="B50" s="187">
        <f t="shared" si="19"/>
        <v>0.77083333333333359</v>
      </c>
      <c r="C50">
        <v>278</v>
      </c>
      <c r="D50">
        <v>271</v>
      </c>
      <c r="E50">
        <v>275</v>
      </c>
      <c r="F50">
        <v>282</v>
      </c>
      <c r="G50">
        <v>280</v>
      </c>
      <c r="H50">
        <v>269</v>
      </c>
      <c r="I50">
        <v>232</v>
      </c>
      <c r="K50" s="43">
        <f t="shared" si="8"/>
        <v>51</v>
      </c>
      <c r="L50" s="43">
        <f t="shared" si="9"/>
        <v>47</v>
      </c>
      <c r="M50" s="43">
        <f t="shared" si="10"/>
        <v>49</v>
      </c>
      <c r="N50" s="43">
        <f t="shared" si="11"/>
        <v>49</v>
      </c>
      <c r="O50" s="43">
        <f t="shared" si="12"/>
        <v>49</v>
      </c>
      <c r="P50" s="43">
        <f t="shared" si="13"/>
        <v>47</v>
      </c>
      <c r="Q50" s="43">
        <f t="shared" si="14"/>
        <v>39</v>
      </c>
      <c r="S50" s="198">
        <f>'8900'!S50+'8911'!S50</f>
        <v>62</v>
      </c>
      <c r="T50" s="198">
        <f>'8900'!T50+'8911'!T50</f>
        <v>61</v>
      </c>
      <c r="U50" s="198">
        <f>'8900'!U50+'8911'!U50</f>
        <v>63</v>
      </c>
      <c r="V50" s="198">
        <f>'8900'!V50+'8911'!V50</f>
        <v>61</v>
      </c>
      <c r="W50" s="198">
        <f>'8900'!W50+'8911'!W50</f>
        <v>58</v>
      </c>
      <c r="X50" s="198">
        <f>'8900'!X50+'8911'!X50</f>
        <v>57</v>
      </c>
      <c r="Y50" s="198">
        <f>'8900'!Y50+'8911'!Y50</f>
        <v>53</v>
      </c>
      <c r="AA50" s="184">
        <f t="shared" si="15"/>
        <v>0.99999999731754963</v>
      </c>
      <c r="AB50" s="184">
        <f t="shared" si="15"/>
        <v>0.99999999797017136</v>
      </c>
      <c r="AC50" s="184">
        <f t="shared" si="15"/>
        <v>0.9999999993116816</v>
      </c>
      <c r="AD50" s="184">
        <f t="shared" si="15"/>
        <v>0.99999998854854844</v>
      </c>
      <c r="AE50" s="184">
        <f t="shared" si="15"/>
        <v>0.9999998796327636</v>
      </c>
      <c r="AF50" s="184">
        <f t="shared" si="15"/>
        <v>0.99999997370431393</v>
      </c>
      <c r="AG50" s="184">
        <f t="shared" si="15"/>
        <v>0.99999999920175564</v>
      </c>
      <c r="AI50" s="184">
        <f t="shared" si="16"/>
        <v>7.0650909019812735E-6</v>
      </c>
      <c r="AJ50" s="184">
        <f t="shared" si="16"/>
        <v>5.5361937680477226E-6</v>
      </c>
      <c r="AK50" s="184">
        <f t="shared" si="16"/>
        <v>2.641717316590931E-6</v>
      </c>
      <c r="AL50" s="184">
        <f t="shared" si="16"/>
        <v>2.0019777614377538E-5</v>
      </c>
      <c r="AM50" s="184">
        <f t="shared" si="16"/>
        <v>9.8133139199573936E-5</v>
      </c>
      <c r="AN50" s="184">
        <f t="shared" si="16"/>
        <v>3.4023736910034922E-5</v>
      </c>
      <c r="AO50" s="184">
        <f t="shared" si="16"/>
        <v>2.4016238974961332E-6</v>
      </c>
      <c r="AQ50" s="185">
        <f t="shared" si="17"/>
        <v>11</v>
      </c>
      <c r="AR50" s="185">
        <f t="shared" si="17"/>
        <v>14</v>
      </c>
      <c r="AS50" s="185">
        <f t="shared" si="17"/>
        <v>14</v>
      </c>
      <c r="AT50" s="185">
        <f t="shared" si="17"/>
        <v>12</v>
      </c>
      <c r="AU50" s="185">
        <f t="shared" si="17"/>
        <v>9</v>
      </c>
      <c r="AV50" s="185">
        <f t="shared" si="17"/>
        <v>10</v>
      </c>
      <c r="AW50" s="185">
        <f t="shared" si="17"/>
        <v>14</v>
      </c>
      <c r="AY50" s="186">
        <f t="shared" si="18"/>
        <v>277.9999992542788</v>
      </c>
      <c r="AZ50" s="186">
        <f t="shared" si="18"/>
        <v>270.99999944991646</v>
      </c>
      <c r="BA50" s="186">
        <f t="shared" si="18"/>
        <v>274.99999981071244</v>
      </c>
      <c r="BB50" s="186">
        <f t="shared" si="18"/>
        <v>281.99999677069064</v>
      </c>
      <c r="BC50" s="186">
        <f t="shared" si="18"/>
        <v>279.99996629717378</v>
      </c>
      <c r="BD50" s="186">
        <f t="shared" si="18"/>
        <v>268.99999292646044</v>
      </c>
      <c r="BE50" s="186">
        <f t="shared" si="18"/>
        <v>231.9999998148073</v>
      </c>
    </row>
    <row r="51" spans="1:57" ht="12.75" x14ac:dyDescent="0.2">
      <c r="A51" s="181">
        <f t="shared" si="7"/>
        <v>293.85714285714283</v>
      </c>
      <c r="B51" s="187">
        <f t="shared" si="19"/>
        <v>0.79166666666666696</v>
      </c>
      <c r="C51">
        <v>287</v>
      </c>
      <c r="D51">
        <v>308</v>
      </c>
      <c r="E51">
        <v>303</v>
      </c>
      <c r="F51">
        <v>304</v>
      </c>
      <c r="G51">
        <v>299</v>
      </c>
      <c r="H51">
        <v>303</v>
      </c>
      <c r="I51">
        <v>253</v>
      </c>
      <c r="K51" s="43">
        <f t="shared" si="8"/>
        <v>53</v>
      </c>
      <c r="L51" s="43">
        <f t="shared" si="9"/>
        <v>53</v>
      </c>
      <c r="M51" s="43">
        <f t="shared" si="10"/>
        <v>54</v>
      </c>
      <c r="N51" s="43">
        <f t="shared" si="11"/>
        <v>53</v>
      </c>
      <c r="O51" s="43">
        <f t="shared" si="12"/>
        <v>52</v>
      </c>
      <c r="P51" s="43">
        <f t="shared" si="13"/>
        <v>53</v>
      </c>
      <c r="Q51" s="43">
        <f t="shared" si="14"/>
        <v>42</v>
      </c>
      <c r="S51" s="198">
        <f>'8900'!S51+'8911'!S51</f>
        <v>65</v>
      </c>
      <c r="T51" s="198">
        <f>'8900'!T51+'8911'!T51</f>
        <v>62</v>
      </c>
      <c r="U51" s="198">
        <f>'8900'!U51+'8911'!U51</f>
        <v>65</v>
      </c>
      <c r="V51" s="198">
        <f>'8900'!V51+'8911'!V51</f>
        <v>64</v>
      </c>
      <c r="W51" s="198">
        <f>'8900'!W51+'8911'!W51</f>
        <v>63</v>
      </c>
      <c r="X51" s="198">
        <f>'8900'!X51+'8911'!X51</f>
        <v>60</v>
      </c>
      <c r="Y51" s="198">
        <f>'8900'!Y51+'8911'!Y51</f>
        <v>55</v>
      </c>
      <c r="AA51" s="184">
        <f t="shared" si="15"/>
        <v>0.99999999940254536</v>
      </c>
      <c r="AB51" s="184">
        <f t="shared" si="15"/>
        <v>0.99999989457178495</v>
      </c>
      <c r="AC51" s="184">
        <f t="shared" si="15"/>
        <v>0.99999999462796507</v>
      </c>
      <c r="AD51" s="184">
        <f t="shared" si="15"/>
        <v>0.99999998538129131</v>
      </c>
      <c r="AE51" s="184">
        <f t="shared" si="15"/>
        <v>0.99999998170748627</v>
      </c>
      <c r="AF51" s="184">
        <f t="shared" si="15"/>
        <v>0.9999998633756999</v>
      </c>
      <c r="AG51" s="184">
        <f t="shared" si="15"/>
        <v>0.99999999763029479</v>
      </c>
      <c r="AI51" s="184">
        <f t="shared" si="16"/>
        <v>2.6720642783938572E-6</v>
      </c>
      <c r="AJ51" s="184">
        <f t="shared" si="16"/>
        <v>1.1059009987297119E-4</v>
      </c>
      <c r="AK51" s="184">
        <f t="shared" si="16"/>
        <v>1.409474084232166E-5</v>
      </c>
      <c r="AL51" s="184">
        <f t="shared" si="16"/>
        <v>2.8136454362881076E-5</v>
      </c>
      <c r="AM51" s="184">
        <f t="shared" si="16"/>
        <v>3.1545305458795651E-5</v>
      </c>
      <c r="AN51" s="184">
        <f t="shared" si="16"/>
        <v>1.3303491600039218E-4</v>
      </c>
      <c r="AO51" s="184">
        <f t="shared" si="16"/>
        <v>6.4128936779649364E-6</v>
      </c>
      <c r="AQ51" s="185">
        <f t="shared" si="17"/>
        <v>12</v>
      </c>
      <c r="AR51" s="185">
        <f t="shared" si="17"/>
        <v>9</v>
      </c>
      <c r="AS51" s="185">
        <f t="shared" si="17"/>
        <v>11</v>
      </c>
      <c r="AT51" s="185">
        <f t="shared" si="17"/>
        <v>11</v>
      </c>
      <c r="AU51" s="185">
        <f t="shared" si="17"/>
        <v>11</v>
      </c>
      <c r="AV51" s="185">
        <f t="shared" si="17"/>
        <v>7</v>
      </c>
      <c r="AW51" s="185">
        <f t="shared" si="17"/>
        <v>13</v>
      </c>
      <c r="AY51" s="186">
        <f t="shared" si="18"/>
        <v>286.99999982853052</v>
      </c>
      <c r="AZ51" s="186">
        <f t="shared" si="18"/>
        <v>307.99996752810978</v>
      </c>
      <c r="BA51" s="186">
        <f t="shared" si="18"/>
        <v>302.99999837227341</v>
      </c>
      <c r="BB51" s="186">
        <f t="shared" si="18"/>
        <v>303.99999555591256</v>
      </c>
      <c r="BC51" s="186">
        <f t="shared" si="18"/>
        <v>298.9999945305384</v>
      </c>
      <c r="BD51" s="186">
        <f t="shared" si="18"/>
        <v>302.99995860283707</v>
      </c>
      <c r="BE51" s="186">
        <f t="shared" si="18"/>
        <v>252.99999940046459</v>
      </c>
    </row>
    <row r="52" spans="1:57" ht="12.75" x14ac:dyDescent="0.2">
      <c r="A52" s="181">
        <f t="shared" si="7"/>
        <v>292.71428571428572</v>
      </c>
      <c r="B52" s="187">
        <f t="shared" si="19"/>
        <v>0.81250000000000033</v>
      </c>
      <c r="C52">
        <v>287</v>
      </c>
      <c r="D52">
        <v>301</v>
      </c>
      <c r="E52">
        <v>297</v>
      </c>
      <c r="F52">
        <v>316</v>
      </c>
      <c r="G52">
        <v>291</v>
      </c>
      <c r="H52">
        <v>296</v>
      </c>
      <c r="I52">
        <v>261</v>
      </c>
      <c r="K52" s="43">
        <f t="shared" si="8"/>
        <v>53</v>
      </c>
      <c r="L52" s="43">
        <f t="shared" si="9"/>
        <v>52</v>
      </c>
      <c r="M52" s="43">
        <f t="shared" si="10"/>
        <v>53</v>
      </c>
      <c r="N52" s="43">
        <f t="shared" si="11"/>
        <v>55</v>
      </c>
      <c r="O52" s="43">
        <f t="shared" si="12"/>
        <v>51</v>
      </c>
      <c r="P52" s="43">
        <f t="shared" si="13"/>
        <v>52</v>
      </c>
      <c r="Q52" s="43">
        <f t="shared" si="14"/>
        <v>43</v>
      </c>
      <c r="S52" s="198">
        <f>'8900'!S52+'8911'!S52</f>
        <v>68</v>
      </c>
      <c r="T52" s="198">
        <f>'8900'!T52+'8911'!T52</f>
        <v>63</v>
      </c>
      <c r="U52" s="198">
        <f>'8900'!U52+'8911'!U52</f>
        <v>64</v>
      </c>
      <c r="V52" s="198">
        <f>'8900'!V52+'8911'!V52</f>
        <v>66</v>
      </c>
      <c r="W52" s="198">
        <f>'8900'!W52+'8911'!W52</f>
        <v>64</v>
      </c>
      <c r="X52" s="198">
        <f>'8900'!X52+'8911'!X52</f>
        <v>60</v>
      </c>
      <c r="Y52" s="198">
        <f>'8900'!Y52+'8911'!Y52</f>
        <v>56</v>
      </c>
      <c r="AA52" s="184">
        <f t="shared" si="15"/>
        <v>0.99999999996581279</v>
      </c>
      <c r="AB52" s="184">
        <f t="shared" si="15"/>
        <v>0.99999998088683328</v>
      </c>
      <c r="AC52" s="184">
        <f t="shared" si="15"/>
        <v>0.99999999412001161</v>
      </c>
      <c r="AD52" s="184">
        <f t="shared" si="15"/>
        <v>0.99999998797166678</v>
      </c>
      <c r="AE52" s="184">
        <f t="shared" si="15"/>
        <v>0.99999999737943612</v>
      </c>
      <c r="AF52" s="184">
        <f t="shared" si="15"/>
        <v>0.99999994129051561</v>
      </c>
      <c r="AG52" s="184">
        <f t="shared" si="15"/>
        <v>0.99999999724641497</v>
      </c>
      <c r="AI52" s="184">
        <f t="shared" si="16"/>
        <v>3.5046935269481204E-7</v>
      </c>
      <c r="AJ52" s="184">
        <f t="shared" si="16"/>
        <v>3.3424489205468219E-5</v>
      </c>
      <c r="AK52" s="184">
        <f t="shared" si="16"/>
        <v>1.4291315518709344E-5</v>
      </c>
      <c r="AL52" s="184">
        <f t="shared" si="16"/>
        <v>2.6978069029144063E-5</v>
      </c>
      <c r="AM52" s="184">
        <f t="shared" si="16"/>
        <v>7.7794586955926982E-6</v>
      </c>
      <c r="AN52" s="184">
        <f t="shared" si="16"/>
        <v>7.2190713676107061E-5</v>
      </c>
      <c r="AO52" s="184">
        <f t="shared" si="16"/>
        <v>7.6814767576278169E-6</v>
      </c>
      <c r="AQ52" s="185">
        <f t="shared" si="17"/>
        <v>15</v>
      </c>
      <c r="AR52" s="185">
        <f t="shared" si="17"/>
        <v>11</v>
      </c>
      <c r="AS52" s="185">
        <f t="shared" si="17"/>
        <v>11</v>
      </c>
      <c r="AT52" s="185">
        <f t="shared" si="17"/>
        <v>11</v>
      </c>
      <c r="AU52" s="185">
        <f t="shared" si="17"/>
        <v>13</v>
      </c>
      <c r="AV52" s="185">
        <f t="shared" si="17"/>
        <v>8</v>
      </c>
      <c r="AW52" s="185">
        <f t="shared" si="17"/>
        <v>13</v>
      </c>
      <c r="AY52" s="186">
        <f t="shared" si="18"/>
        <v>286.99999999018826</v>
      </c>
      <c r="AZ52" s="186">
        <f t="shared" si="18"/>
        <v>300.99999424693681</v>
      </c>
      <c r="BA52" s="186">
        <f t="shared" si="18"/>
        <v>296.99999825364347</v>
      </c>
      <c r="BB52" s="186">
        <f t="shared" si="18"/>
        <v>315.99999619904668</v>
      </c>
      <c r="BC52" s="186">
        <f t="shared" si="18"/>
        <v>290.99999923741592</v>
      </c>
      <c r="BD52" s="186">
        <f t="shared" si="18"/>
        <v>295.99998262199261</v>
      </c>
      <c r="BE52" s="186">
        <f t="shared" si="18"/>
        <v>260.99999928131433</v>
      </c>
    </row>
    <row r="53" spans="1:57" ht="12.75" x14ac:dyDescent="0.2">
      <c r="A53" s="181">
        <f t="shared" si="7"/>
        <v>286.57142857142856</v>
      </c>
      <c r="B53" s="187">
        <f t="shared" si="19"/>
        <v>0.8333333333333337</v>
      </c>
      <c r="C53">
        <v>272</v>
      </c>
      <c r="D53">
        <v>300</v>
      </c>
      <c r="E53">
        <v>293</v>
      </c>
      <c r="F53">
        <v>304</v>
      </c>
      <c r="G53">
        <v>296</v>
      </c>
      <c r="H53">
        <v>288</v>
      </c>
      <c r="I53">
        <v>253</v>
      </c>
      <c r="K53" s="43">
        <f t="shared" si="8"/>
        <v>49</v>
      </c>
      <c r="L53" s="43">
        <f t="shared" si="9"/>
        <v>52</v>
      </c>
      <c r="M53" s="43">
        <f t="shared" si="10"/>
        <v>52</v>
      </c>
      <c r="N53" s="43">
        <f t="shared" si="11"/>
        <v>53</v>
      </c>
      <c r="O53" s="43">
        <f t="shared" si="12"/>
        <v>51</v>
      </c>
      <c r="P53" s="43">
        <f t="shared" si="13"/>
        <v>51</v>
      </c>
      <c r="Q53" s="43">
        <f t="shared" si="14"/>
        <v>42</v>
      </c>
      <c r="S53" s="198">
        <f>'8900'!S53+'8911'!S53</f>
        <v>76</v>
      </c>
      <c r="T53" s="198">
        <f>'8900'!T53+'8911'!T53</f>
        <v>64</v>
      </c>
      <c r="U53" s="198">
        <f>'8900'!U53+'8911'!U53</f>
        <v>72</v>
      </c>
      <c r="V53" s="198">
        <f>'8900'!V53+'8911'!V53</f>
        <v>69</v>
      </c>
      <c r="W53" s="198">
        <f>'8900'!W53+'8911'!W53</f>
        <v>68</v>
      </c>
      <c r="X53" s="198">
        <f>'8900'!X53+'8911'!X53</f>
        <v>62</v>
      </c>
      <c r="Y53" s="198">
        <f>'8900'!Y53+'8911'!Y53</f>
        <v>63</v>
      </c>
      <c r="AA53" s="184">
        <f t="shared" si="15"/>
        <v>0.99999999999999944</v>
      </c>
      <c r="AB53" s="184">
        <f t="shared" si="15"/>
        <v>0.99999999297708375</v>
      </c>
      <c r="AC53" s="184">
        <f t="shared" si="15"/>
        <v>0.999999999998336</v>
      </c>
      <c r="AD53" s="184">
        <f t="shared" si="15"/>
        <v>0.99999999983606513</v>
      </c>
      <c r="AE53" s="184">
        <f t="shared" si="15"/>
        <v>0.99999999986843147</v>
      </c>
      <c r="AF53" s="184">
        <f t="shared" si="15"/>
        <v>0.99999999643811799</v>
      </c>
      <c r="AG53" s="184">
        <f t="shared" si="15"/>
        <v>0.99999999999947575</v>
      </c>
      <c r="AI53" s="184">
        <f t="shared" si="16"/>
        <v>8.4388381490366427E-11</v>
      </c>
      <c r="AJ53" s="184">
        <f t="shared" si="16"/>
        <v>1.6763452088985607E-5</v>
      </c>
      <c r="AK53" s="184">
        <f t="shared" si="16"/>
        <v>4.220868667912422E-8</v>
      </c>
      <c r="AL53" s="184">
        <f t="shared" si="16"/>
        <v>1.2572994249758076E-6</v>
      </c>
      <c r="AM53" s="184">
        <f t="shared" si="16"/>
        <v>9.9919433414306015E-7</v>
      </c>
      <c r="AN53" s="184">
        <f t="shared" si="16"/>
        <v>1.0071438958258071E-5</v>
      </c>
      <c r="AO53" s="184">
        <f t="shared" si="16"/>
        <v>1.5272346195949982E-8</v>
      </c>
      <c r="AQ53" s="185">
        <f t="shared" si="17"/>
        <v>27</v>
      </c>
      <c r="AR53" s="185">
        <f t="shared" si="17"/>
        <v>12</v>
      </c>
      <c r="AS53" s="185">
        <f t="shared" si="17"/>
        <v>20</v>
      </c>
      <c r="AT53" s="185">
        <f t="shared" si="17"/>
        <v>16</v>
      </c>
      <c r="AU53" s="185">
        <f t="shared" si="17"/>
        <v>17</v>
      </c>
      <c r="AV53" s="185">
        <f t="shared" si="17"/>
        <v>11</v>
      </c>
      <c r="AW53" s="185">
        <f t="shared" si="17"/>
        <v>21</v>
      </c>
      <c r="AY53" s="186">
        <f t="shared" si="18"/>
        <v>271.99999999999983</v>
      </c>
      <c r="AZ53" s="186">
        <f t="shared" si="18"/>
        <v>299.99999789312511</v>
      </c>
      <c r="BA53" s="186">
        <f t="shared" si="18"/>
        <v>292.99999999951245</v>
      </c>
      <c r="BB53" s="186">
        <f t="shared" si="18"/>
        <v>303.99999995016378</v>
      </c>
      <c r="BC53" s="186">
        <f t="shared" si="18"/>
        <v>295.99999996105572</v>
      </c>
      <c r="BD53" s="186">
        <f t="shared" si="18"/>
        <v>287.99999897417797</v>
      </c>
      <c r="BE53" s="186">
        <f t="shared" si="18"/>
        <v>252.99999999986736</v>
      </c>
    </row>
    <row r="54" spans="1:57" ht="12.75" x14ac:dyDescent="0.2">
      <c r="A54" s="181">
        <f t="shared" si="7"/>
        <v>265.71428571428572</v>
      </c>
      <c r="B54" s="187">
        <f t="shared" si="19"/>
        <v>0.85416666666666707</v>
      </c>
      <c r="C54">
        <v>260</v>
      </c>
      <c r="D54">
        <v>269</v>
      </c>
      <c r="E54">
        <v>274</v>
      </c>
      <c r="F54">
        <v>278</v>
      </c>
      <c r="G54">
        <v>267</v>
      </c>
      <c r="H54">
        <v>269</v>
      </c>
      <c r="I54">
        <v>243</v>
      </c>
      <c r="K54" s="43">
        <f t="shared" si="8"/>
        <v>47</v>
      </c>
      <c r="L54" s="43">
        <f t="shared" si="9"/>
        <v>47</v>
      </c>
      <c r="M54" s="43">
        <f t="shared" si="10"/>
        <v>49</v>
      </c>
      <c r="N54" s="43">
        <f t="shared" si="11"/>
        <v>48</v>
      </c>
      <c r="O54" s="43">
        <f t="shared" si="12"/>
        <v>46</v>
      </c>
      <c r="P54" s="43">
        <f t="shared" si="13"/>
        <v>47</v>
      </c>
      <c r="Q54" s="43">
        <f t="shared" si="14"/>
        <v>40</v>
      </c>
      <c r="S54" s="198">
        <f>'8900'!S54+'8911'!S54</f>
        <v>75</v>
      </c>
      <c r="T54" s="198">
        <f>'8900'!T54+'8911'!T54</f>
        <v>63</v>
      </c>
      <c r="U54" s="198">
        <f>'8900'!U54+'8911'!U54</f>
        <v>72</v>
      </c>
      <c r="V54" s="198">
        <f>'8900'!V54+'8911'!V54</f>
        <v>69</v>
      </c>
      <c r="W54" s="198">
        <f>'8900'!W54+'8911'!W54</f>
        <v>66</v>
      </c>
      <c r="X54" s="198">
        <f>'8900'!X54+'8911'!X54</f>
        <v>60</v>
      </c>
      <c r="Y54" s="198">
        <f>'8900'!Y54+'8911'!Y54</f>
        <v>60</v>
      </c>
      <c r="AA54" s="184">
        <f t="shared" si="15"/>
        <v>0.99999999999999989</v>
      </c>
      <c r="AB54" s="184">
        <f t="shared" si="15"/>
        <v>0.99999999977484111</v>
      </c>
      <c r="AC54" s="184">
        <f t="shared" si="15"/>
        <v>0.99999999999993416</v>
      </c>
      <c r="AD54" s="184">
        <f t="shared" si="15"/>
        <v>0.99999999999697864</v>
      </c>
      <c r="AE54" s="184">
        <f t="shared" si="15"/>
        <v>0.999999999989448</v>
      </c>
      <c r="AF54" s="184">
        <f t="shared" si="15"/>
        <v>0.99999999836015452</v>
      </c>
      <c r="AG54" s="184">
        <f t="shared" si="15"/>
        <v>0.99999999999737688</v>
      </c>
      <c r="AI54" s="184">
        <f t="shared" si="16"/>
        <v>2.752542371869906E-11</v>
      </c>
      <c r="AJ54" s="184">
        <f t="shared" si="16"/>
        <v>1.1441123273230058E-6</v>
      </c>
      <c r="AK54" s="184">
        <f t="shared" si="16"/>
        <v>3.1436930306155671E-9</v>
      </c>
      <c r="AL54" s="184">
        <f t="shared" si="16"/>
        <v>5.5126688024096368E-8</v>
      </c>
      <c r="AM54" s="184">
        <f t="shared" si="16"/>
        <v>1.211959102356896E-7</v>
      </c>
      <c r="AN54" s="184">
        <f t="shared" si="16"/>
        <v>4.9595357061156321E-6</v>
      </c>
      <c r="AO54" s="184">
        <f t="shared" si="16"/>
        <v>4.3744972740933339E-8</v>
      </c>
      <c r="AQ54" s="185">
        <f t="shared" si="17"/>
        <v>28</v>
      </c>
      <c r="AR54" s="185">
        <f t="shared" si="17"/>
        <v>16</v>
      </c>
      <c r="AS54" s="185">
        <f t="shared" si="17"/>
        <v>23</v>
      </c>
      <c r="AT54" s="185">
        <f t="shared" si="17"/>
        <v>21</v>
      </c>
      <c r="AU54" s="185">
        <f t="shared" si="17"/>
        <v>20</v>
      </c>
      <c r="AV54" s="185">
        <f t="shared" si="17"/>
        <v>13</v>
      </c>
      <c r="AW54" s="185">
        <f t="shared" si="17"/>
        <v>20</v>
      </c>
      <c r="AY54" s="186">
        <f t="shared" si="18"/>
        <v>259.99999999999994</v>
      </c>
      <c r="AZ54" s="186">
        <f t="shared" si="18"/>
        <v>268.99999993943226</v>
      </c>
      <c r="BA54" s="186">
        <f t="shared" si="18"/>
        <v>273.99999999998198</v>
      </c>
      <c r="BB54" s="186">
        <f t="shared" si="18"/>
        <v>277.99999999916008</v>
      </c>
      <c r="BC54" s="186">
        <f t="shared" si="18"/>
        <v>266.99999999718261</v>
      </c>
      <c r="BD54" s="186">
        <f t="shared" si="18"/>
        <v>268.99999955888154</v>
      </c>
      <c r="BE54" s="186">
        <f t="shared" si="18"/>
        <v>242.99999999936259</v>
      </c>
    </row>
    <row r="55" spans="1:57" ht="13.5" customHeight="1" x14ac:dyDescent="0.2">
      <c r="A55" s="181">
        <f t="shared" si="7"/>
        <v>226.42857142857142</v>
      </c>
      <c r="B55" s="187">
        <f t="shared" si="19"/>
        <v>0.87500000000000044</v>
      </c>
      <c r="C55">
        <v>215</v>
      </c>
      <c r="D55">
        <v>229</v>
      </c>
      <c r="E55">
        <v>231</v>
      </c>
      <c r="F55">
        <v>237</v>
      </c>
      <c r="G55">
        <v>247</v>
      </c>
      <c r="H55">
        <v>222</v>
      </c>
      <c r="I55">
        <v>204</v>
      </c>
      <c r="K55" s="43">
        <f t="shared" si="8"/>
        <v>40</v>
      </c>
      <c r="L55" s="43">
        <f t="shared" si="9"/>
        <v>40</v>
      </c>
      <c r="M55" s="43">
        <f t="shared" si="10"/>
        <v>41</v>
      </c>
      <c r="N55" s="43">
        <f t="shared" si="11"/>
        <v>41</v>
      </c>
      <c r="O55" s="43">
        <f t="shared" si="12"/>
        <v>43</v>
      </c>
      <c r="P55" s="43">
        <f t="shared" si="13"/>
        <v>39</v>
      </c>
      <c r="Q55" s="43">
        <f t="shared" si="14"/>
        <v>34</v>
      </c>
      <c r="S55" s="198">
        <f>'8900'!S55+'8911'!S55</f>
        <v>68</v>
      </c>
      <c r="T55" s="198">
        <f>'8900'!T55+'8911'!T55</f>
        <v>58</v>
      </c>
      <c r="U55" s="198">
        <f>'8900'!U55+'8911'!U55</f>
        <v>63</v>
      </c>
      <c r="V55" s="198">
        <f>'8900'!V55+'8911'!V55</f>
        <v>64</v>
      </c>
      <c r="W55" s="198">
        <f>'8900'!W55+'8911'!W55</f>
        <v>60</v>
      </c>
      <c r="X55" s="198">
        <f>'8900'!X55+'8911'!X55</f>
        <v>52</v>
      </c>
      <c r="Y55" s="198">
        <f>'8900'!Y55+'8911'!Y55</f>
        <v>54</v>
      </c>
      <c r="AA55" s="184">
        <f t="shared" si="15"/>
        <v>1</v>
      </c>
      <c r="AB55" s="184">
        <f t="shared" si="15"/>
        <v>0.99999999994319622</v>
      </c>
      <c r="AC55" s="184">
        <f t="shared" si="15"/>
        <v>0.9999999999995397</v>
      </c>
      <c r="AD55" s="184">
        <f t="shared" si="15"/>
        <v>0.99999999999953171</v>
      </c>
      <c r="AE55" s="184">
        <f t="shared" si="15"/>
        <v>0.99999999982241128</v>
      </c>
      <c r="AF55" s="184">
        <f t="shared" si="15"/>
        <v>0.99999999628969238</v>
      </c>
      <c r="AG55" s="184">
        <f t="shared" si="15"/>
        <v>0.99999999999778511</v>
      </c>
      <c r="AI55" s="184">
        <f t="shared" si="16"/>
        <v>4.8288606816565866E-12</v>
      </c>
      <c r="AJ55" s="184">
        <f t="shared" si="16"/>
        <v>2.7304218931020519E-7</v>
      </c>
      <c r="AK55" s="184">
        <f t="shared" si="16"/>
        <v>7.6582643262072024E-9</v>
      </c>
      <c r="AL55" s="184">
        <f t="shared" si="16"/>
        <v>8.4095346945231986E-9</v>
      </c>
      <c r="AM55" s="184">
        <f t="shared" si="16"/>
        <v>7.5615292481264931E-7</v>
      </c>
      <c r="AN55" s="184">
        <f t="shared" si="16"/>
        <v>5.5864310600809247E-6</v>
      </c>
      <c r="AO55" s="184">
        <f t="shared" si="16"/>
        <v>2.2806657421464692E-8</v>
      </c>
      <c r="AQ55" s="185">
        <f t="shared" si="17"/>
        <v>28</v>
      </c>
      <c r="AR55" s="185">
        <f t="shared" si="17"/>
        <v>18</v>
      </c>
      <c r="AS55" s="185">
        <f t="shared" si="17"/>
        <v>22</v>
      </c>
      <c r="AT55" s="185">
        <f t="shared" si="17"/>
        <v>23</v>
      </c>
      <c r="AU55" s="185">
        <f t="shared" si="17"/>
        <v>17</v>
      </c>
      <c r="AV55" s="185">
        <f t="shared" si="17"/>
        <v>13</v>
      </c>
      <c r="AW55" s="185">
        <f t="shared" si="17"/>
        <v>20</v>
      </c>
      <c r="AY55" s="186">
        <f t="shared" si="18"/>
        <v>215</v>
      </c>
      <c r="AZ55" s="186">
        <f t="shared" si="18"/>
        <v>228.99999998699192</v>
      </c>
      <c r="BA55" s="186">
        <f t="shared" si="18"/>
        <v>230.99999999989367</v>
      </c>
      <c r="BB55" s="186">
        <f t="shared" si="18"/>
        <v>236.99999999988901</v>
      </c>
      <c r="BC55" s="186">
        <f t="shared" si="18"/>
        <v>246.99999995613558</v>
      </c>
      <c r="BD55" s="186">
        <f t="shared" si="18"/>
        <v>221.99999917631172</v>
      </c>
      <c r="BE55" s="186">
        <f t="shared" si="18"/>
        <v>203.99999999954815</v>
      </c>
    </row>
    <row r="56" spans="1:57" ht="12.75" x14ac:dyDescent="0.2">
      <c r="A56" s="181">
        <f t="shared" si="7"/>
        <v>179.57142857142858</v>
      </c>
      <c r="B56" s="187">
        <f t="shared" si="19"/>
        <v>0.89583333333333381</v>
      </c>
      <c r="C56">
        <v>176</v>
      </c>
      <c r="D56">
        <v>181</v>
      </c>
      <c r="E56">
        <v>180</v>
      </c>
      <c r="F56">
        <v>193</v>
      </c>
      <c r="G56">
        <v>185</v>
      </c>
      <c r="H56">
        <v>183</v>
      </c>
      <c r="I56">
        <v>159</v>
      </c>
      <c r="K56" s="43">
        <f t="shared" si="8"/>
        <v>33</v>
      </c>
      <c r="L56" s="43">
        <f t="shared" si="9"/>
        <v>32</v>
      </c>
      <c r="M56" s="43">
        <f t="shared" si="10"/>
        <v>32</v>
      </c>
      <c r="N56" s="43">
        <f t="shared" si="11"/>
        <v>34</v>
      </c>
      <c r="O56" s="43">
        <f t="shared" si="12"/>
        <v>32</v>
      </c>
      <c r="P56" s="43">
        <f t="shared" si="13"/>
        <v>32</v>
      </c>
      <c r="Q56" s="43">
        <f t="shared" si="14"/>
        <v>27</v>
      </c>
      <c r="S56" s="198">
        <f>'8900'!S56+'8911'!S56</f>
        <v>60</v>
      </c>
      <c r="T56" s="198">
        <f>'8900'!T56+'8911'!T56</f>
        <v>57</v>
      </c>
      <c r="U56" s="198">
        <f>'8900'!U56+'8911'!U56</f>
        <v>58</v>
      </c>
      <c r="V56" s="198">
        <f>'8900'!V56+'8911'!V56</f>
        <v>59</v>
      </c>
      <c r="W56" s="198">
        <f>'8900'!W56+'8911'!W56</f>
        <v>57</v>
      </c>
      <c r="X56" s="198">
        <f>'8900'!X56+'8911'!X56</f>
        <v>51</v>
      </c>
      <c r="Y56" s="198">
        <f>'8900'!Y56+'8911'!Y56</f>
        <v>47</v>
      </c>
      <c r="AA56" s="184">
        <f t="shared" si="15"/>
        <v>0.99999999999999989</v>
      </c>
      <c r="AB56" s="184">
        <f t="shared" si="15"/>
        <v>0.99999999999998701</v>
      </c>
      <c r="AC56" s="184">
        <f t="shared" si="15"/>
        <v>0.99999999999999634</v>
      </c>
      <c r="AD56" s="184">
        <f t="shared" si="15"/>
        <v>0.99999999999997924</v>
      </c>
      <c r="AE56" s="184">
        <f t="shared" si="15"/>
        <v>0.99999999999995914</v>
      </c>
      <c r="AF56" s="184">
        <f t="shared" si="15"/>
        <v>0.99999999998805356</v>
      </c>
      <c r="AG56" s="184">
        <f t="shared" si="15"/>
        <v>0.99999999999873046</v>
      </c>
      <c r="AI56" s="184">
        <f t="shared" si="16"/>
        <v>4.5349624653947461E-12</v>
      </c>
      <c r="AJ56" s="184">
        <f t="shared" si="16"/>
        <v>2.3374177125693117E-10</v>
      </c>
      <c r="AK56" s="184">
        <f t="shared" si="16"/>
        <v>8.3719010583908261E-11</v>
      </c>
      <c r="AL56" s="184">
        <f t="shared" si="16"/>
        <v>4.0631526728652232E-10</v>
      </c>
      <c r="AM56" s="184">
        <f t="shared" si="16"/>
        <v>6.0023842202667665E-10</v>
      </c>
      <c r="AN56" s="184">
        <f t="shared" si="16"/>
        <v>4.9731547899193788E-8</v>
      </c>
      <c r="AO56" s="184">
        <f t="shared" si="16"/>
        <v>7.3249168165765243E-9</v>
      </c>
      <c r="AQ56" s="185">
        <f t="shared" si="17"/>
        <v>27</v>
      </c>
      <c r="AR56" s="185">
        <f t="shared" si="17"/>
        <v>25</v>
      </c>
      <c r="AS56" s="185">
        <f t="shared" si="17"/>
        <v>26</v>
      </c>
      <c r="AT56" s="185">
        <f t="shared" si="17"/>
        <v>25</v>
      </c>
      <c r="AU56" s="185">
        <f t="shared" si="17"/>
        <v>25</v>
      </c>
      <c r="AV56" s="185">
        <f t="shared" si="17"/>
        <v>19</v>
      </c>
      <c r="AW56" s="185">
        <f t="shared" si="17"/>
        <v>20</v>
      </c>
      <c r="AY56" s="186">
        <f t="shared" si="18"/>
        <v>175.99999999999997</v>
      </c>
      <c r="AZ56" s="186">
        <f t="shared" si="18"/>
        <v>180.99999999999764</v>
      </c>
      <c r="BA56" s="186">
        <f t="shared" si="18"/>
        <v>179.99999999999935</v>
      </c>
      <c r="BB56" s="186">
        <f t="shared" si="18"/>
        <v>192.99999999999599</v>
      </c>
      <c r="BC56" s="186">
        <f t="shared" si="18"/>
        <v>184.99999999999244</v>
      </c>
      <c r="BD56" s="186">
        <f t="shared" si="18"/>
        <v>182.9999999978138</v>
      </c>
      <c r="BE56" s="186">
        <f t="shared" si="18"/>
        <v>158.99999999979815</v>
      </c>
    </row>
    <row r="57" spans="1:57" ht="12.75" x14ac:dyDescent="0.2">
      <c r="A57" s="181">
        <f t="shared" si="7"/>
        <v>123.14285714285714</v>
      </c>
      <c r="B57" s="187">
        <f t="shared" si="19"/>
        <v>0.91666666666666718</v>
      </c>
      <c r="C57">
        <v>114</v>
      </c>
      <c r="D57">
        <v>126</v>
      </c>
      <c r="E57">
        <v>121</v>
      </c>
      <c r="F57">
        <v>129</v>
      </c>
      <c r="G57">
        <v>128</v>
      </c>
      <c r="H57">
        <v>130</v>
      </c>
      <c r="I57">
        <v>114</v>
      </c>
      <c r="K57" s="43">
        <f t="shared" si="8"/>
        <v>21</v>
      </c>
      <c r="L57" s="43">
        <f t="shared" si="9"/>
        <v>22</v>
      </c>
      <c r="M57" s="43">
        <f t="shared" si="10"/>
        <v>21</v>
      </c>
      <c r="N57" s="43">
        <f t="shared" si="11"/>
        <v>23</v>
      </c>
      <c r="O57" s="43">
        <f t="shared" si="12"/>
        <v>23</v>
      </c>
      <c r="P57" s="43">
        <f t="shared" si="13"/>
        <v>23</v>
      </c>
      <c r="Q57" s="43">
        <f t="shared" si="14"/>
        <v>20</v>
      </c>
      <c r="S57" s="198">
        <f>'8900'!S57+'8911'!S57</f>
        <v>35</v>
      </c>
      <c r="T57" s="198">
        <f>'8900'!T57+'8911'!T57</f>
        <v>38</v>
      </c>
      <c r="U57" s="198">
        <f>'8900'!U57+'8911'!U57</f>
        <v>39</v>
      </c>
      <c r="V57" s="198">
        <f>'8900'!V57+'8911'!V57</f>
        <v>40</v>
      </c>
      <c r="W57" s="198">
        <f>'8900'!W57+'8911'!W57</f>
        <v>37</v>
      </c>
      <c r="X57" s="198">
        <f>'8900'!X57+'8911'!X57</f>
        <v>42</v>
      </c>
      <c r="Y57" s="198">
        <f>'8900'!Y57+'8911'!Y57</f>
        <v>42</v>
      </c>
      <c r="AA57" s="184">
        <f t="shared" si="15"/>
        <v>0.99999999673127493</v>
      </c>
      <c r="AB57" s="184">
        <f t="shared" si="15"/>
        <v>0.99999999900445735</v>
      </c>
      <c r="AC57" s="184">
        <f t="shared" si="15"/>
        <v>0.99999999989477417</v>
      </c>
      <c r="AD57" s="184">
        <f t="shared" si="15"/>
        <v>0.99999999980793441</v>
      </c>
      <c r="AE57" s="184">
        <f t="shared" si="15"/>
        <v>0.9999999940479839</v>
      </c>
      <c r="AF57" s="184">
        <f t="shared" si="15"/>
        <v>0.99999999999224531</v>
      </c>
      <c r="AG57" s="184">
        <f t="shared" si="15"/>
        <v>0.9999999999999849</v>
      </c>
      <c r="AI57" s="184">
        <f t="shared" si="16"/>
        <v>1.1665656742313454E-6</v>
      </c>
      <c r="AJ57" s="184">
        <f t="shared" si="16"/>
        <v>5.7311608593642941E-7</v>
      </c>
      <c r="AK57" s="184">
        <f t="shared" si="16"/>
        <v>8.9875967276357724E-8</v>
      </c>
      <c r="AL57" s="184">
        <f t="shared" si="16"/>
        <v>1.6566860195885589E-7</v>
      </c>
      <c r="AM57" s="184">
        <f t="shared" si="16"/>
        <v>2.3157249971022585E-6</v>
      </c>
      <c r="AN57" s="184">
        <f t="shared" si="16"/>
        <v>1.4790786069036103E-8</v>
      </c>
      <c r="AO57" s="184">
        <f t="shared" si="16"/>
        <v>8.8579060100343515E-11</v>
      </c>
      <c r="AQ57" s="185">
        <f t="shared" si="17"/>
        <v>14</v>
      </c>
      <c r="AR57" s="185">
        <f t="shared" si="17"/>
        <v>16</v>
      </c>
      <c r="AS57" s="185">
        <f t="shared" si="17"/>
        <v>18</v>
      </c>
      <c r="AT57" s="185">
        <f t="shared" si="17"/>
        <v>17</v>
      </c>
      <c r="AU57" s="185">
        <f t="shared" si="17"/>
        <v>14</v>
      </c>
      <c r="AV57" s="185">
        <f t="shared" si="17"/>
        <v>19</v>
      </c>
      <c r="AW57" s="185">
        <f t="shared" si="17"/>
        <v>22</v>
      </c>
      <c r="AY57" s="186">
        <f t="shared" si="18"/>
        <v>113.99999962736534</v>
      </c>
      <c r="AZ57" s="186">
        <f t="shared" si="18"/>
        <v>125.99999987456162</v>
      </c>
      <c r="BA57" s="186">
        <f t="shared" si="18"/>
        <v>120.99999998726767</v>
      </c>
      <c r="BB57" s="186">
        <f t="shared" si="18"/>
        <v>128.99999997522355</v>
      </c>
      <c r="BC57" s="186">
        <f t="shared" si="18"/>
        <v>127.99999923814194</v>
      </c>
      <c r="BD57" s="186">
        <f t="shared" si="18"/>
        <v>129.99999999899188</v>
      </c>
      <c r="BE57" s="186">
        <f t="shared" si="18"/>
        <v>113.99999999999828</v>
      </c>
    </row>
    <row r="58" spans="1:57" ht="12.75" x14ac:dyDescent="0.2">
      <c r="A58" s="181">
        <f t="shared" si="7"/>
        <v>82.857142857142861</v>
      </c>
      <c r="B58" s="187">
        <f t="shared" si="19"/>
        <v>0.93750000000000056</v>
      </c>
      <c r="C58">
        <v>77</v>
      </c>
      <c r="D58">
        <v>83</v>
      </c>
      <c r="E58">
        <v>78</v>
      </c>
      <c r="F58">
        <v>88</v>
      </c>
      <c r="G58">
        <v>85</v>
      </c>
      <c r="H58">
        <v>89</v>
      </c>
      <c r="I58">
        <v>80</v>
      </c>
      <c r="K58" s="43">
        <f t="shared" si="8"/>
        <v>15</v>
      </c>
      <c r="L58" s="43">
        <f t="shared" si="9"/>
        <v>15</v>
      </c>
      <c r="M58" s="43">
        <f t="shared" si="10"/>
        <v>14</v>
      </c>
      <c r="N58" s="43">
        <f t="shared" si="11"/>
        <v>16</v>
      </c>
      <c r="O58" s="43">
        <f t="shared" si="12"/>
        <v>15</v>
      </c>
      <c r="P58" s="43">
        <f t="shared" si="13"/>
        <v>15</v>
      </c>
      <c r="Q58" s="43">
        <f t="shared" si="14"/>
        <v>13</v>
      </c>
      <c r="S58" s="198">
        <f>'8900'!S58+'8911'!S58</f>
        <v>12</v>
      </c>
      <c r="T58" s="198">
        <f>'8900'!T58+'8911'!T58</f>
        <v>13</v>
      </c>
      <c r="U58" s="198">
        <f>'8900'!U58+'8911'!U58</f>
        <v>15</v>
      </c>
      <c r="V58" s="198">
        <f>'8900'!V58+'8911'!V58</f>
        <v>14</v>
      </c>
      <c r="W58" s="198">
        <f>'8900'!W58+'8911'!W58</f>
        <v>15</v>
      </c>
      <c r="X58" s="198">
        <f>'8900'!X58+'8911'!X58</f>
        <v>15</v>
      </c>
      <c r="Y58" s="198">
        <f>'8900'!Y58+'8911'!Y58</f>
        <v>13</v>
      </c>
      <c r="AA58" s="184">
        <f t="shared" si="15"/>
        <v>0.85289064548967075</v>
      </c>
      <c r="AB58" s="184">
        <f t="shared" si="15"/>
        <v>0.88001319068119677</v>
      </c>
      <c r="AC58" s="184">
        <f t="shared" si="15"/>
        <v>0.98586758211647274</v>
      </c>
      <c r="AD58" s="184">
        <f t="shared" si="15"/>
        <v>0.90333654895418991</v>
      </c>
      <c r="AE58" s="184">
        <f t="shared" si="15"/>
        <v>0.96768811420205747</v>
      </c>
      <c r="AF58" s="184">
        <f t="shared" si="15"/>
        <v>0.9611314083614555</v>
      </c>
      <c r="AG58" s="184">
        <f t="shared" si="15"/>
        <v>0.95300122736568038</v>
      </c>
      <c r="AI58" s="184">
        <f t="shared" si="16"/>
        <v>0.31183740121553405</v>
      </c>
      <c r="AJ58" s="184">
        <f t="shared" si="16"/>
        <v>0.2791714917720366</v>
      </c>
      <c r="AK58" s="184">
        <f t="shared" si="16"/>
        <v>6.6415916684990778E-2</v>
      </c>
      <c r="AL58" s="184">
        <f t="shared" si="16"/>
        <v>0.24687194905429116</v>
      </c>
      <c r="AM58" s="184">
        <f t="shared" si="16"/>
        <v>0.12024931931108979</v>
      </c>
      <c r="AN58" s="184">
        <f t="shared" si="16"/>
        <v>0.13960302564963961</v>
      </c>
      <c r="AO58" s="184">
        <f t="shared" si="16"/>
        <v>0.15521961097677195</v>
      </c>
      <c r="AQ58" s="185">
        <f t="shared" si="17"/>
        <v>-3</v>
      </c>
      <c r="AR58" s="185">
        <f t="shared" si="17"/>
        <v>-2</v>
      </c>
      <c r="AS58" s="185">
        <f t="shared" si="17"/>
        <v>1</v>
      </c>
      <c r="AT58" s="185">
        <f t="shared" si="17"/>
        <v>-2</v>
      </c>
      <c r="AU58" s="185">
        <f t="shared" si="17"/>
        <v>0</v>
      </c>
      <c r="AV58" s="185">
        <f t="shared" si="17"/>
        <v>0</v>
      </c>
      <c r="AW58" s="185">
        <f t="shared" si="17"/>
        <v>0</v>
      </c>
      <c r="AY58" s="186">
        <f t="shared" si="18"/>
        <v>65.672579702704653</v>
      </c>
      <c r="AZ58" s="186">
        <f t="shared" si="18"/>
        <v>73.041094826539336</v>
      </c>
      <c r="BA58" s="186">
        <f t="shared" si="18"/>
        <v>76.897671405084878</v>
      </c>
      <c r="BB58" s="186">
        <f t="shared" si="18"/>
        <v>79.493616307968708</v>
      </c>
      <c r="BC58" s="186">
        <f t="shared" si="18"/>
        <v>82.253489707174879</v>
      </c>
      <c r="BD58" s="186">
        <f t="shared" si="18"/>
        <v>85.540695344169535</v>
      </c>
      <c r="BE58" s="186">
        <f t="shared" si="18"/>
        <v>76.240098189254425</v>
      </c>
    </row>
    <row r="59" spans="1:57" ht="12.75" x14ac:dyDescent="0.2">
      <c r="A59" s="181">
        <f t="shared" si="7"/>
        <v>54.571428571428569</v>
      </c>
      <c r="B59" s="187">
        <f t="shared" si="19"/>
        <v>0.95833333333333393</v>
      </c>
      <c r="C59">
        <v>50</v>
      </c>
      <c r="D59">
        <v>52</v>
      </c>
      <c r="E59">
        <v>51</v>
      </c>
      <c r="F59">
        <v>57</v>
      </c>
      <c r="G59">
        <v>58</v>
      </c>
      <c r="H59">
        <v>61</v>
      </c>
      <c r="I59">
        <v>53</v>
      </c>
      <c r="K59" s="43">
        <f t="shared" si="8"/>
        <v>9</v>
      </c>
      <c r="L59" s="43">
        <f t="shared" si="9"/>
        <v>9</v>
      </c>
      <c r="M59" s="43">
        <f t="shared" si="10"/>
        <v>9</v>
      </c>
      <c r="N59" s="43">
        <f t="shared" si="11"/>
        <v>10</v>
      </c>
      <c r="O59" s="43">
        <f t="shared" si="12"/>
        <v>10</v>
      </c>
      <c r="P59" s="43">
        <f t="shared" si="13"/>
        <v>11</v>
      </c>
      <c r="Q59" s="43">
        <f t="shared" si="14"/>
        <v>9</v>
      </c>
      <c r="S59" s="198">
        <f>'8900'!S59+'8911'!S59</f>
        <v>12</v>
      </c>
      <c r="T59" s="198">
        <f>'8900'!T59+'8911'!T59</f>
        <v>13</v>
      </c>
      <c r="U59" s="198">
        <f>'8900'!U59+'8911'!U59</f>
        <v>15</v>
      </c>
      <c r="V59" s="198">
        <f>'8900'!V59+'8911'!V59</f>
        <v>14</v>
      </c>
      <c r="W59" s="198">
        <f>'8900'!W59+'8911'!W59</f>
        <v>15</v>
      </c>
      <c r="X59" s="198">
        <f>'8900'!X59+'8911'!X59</f>
        <v>15</v>
      </c>
      <c r="Y59" s="198">
        <f>'8900'!Y59+'8911'!Y59</f>
        <v>13</v>
      </c>
      <c r="AA59" s="184">
        <f t="shared" si="15"/>
        <v>0.99554847896807686</v>
      </c>
      <c r="AB59" s="184">
        <f t="shared" si="15"/>
        <v>0.99799977300248266</v>
      </c>
      <c r="AC59" s="184">
        <f t="shared" si="15"/>
        <v>0.99983753094423611</v>
      </c>
      <c r="AD59" s="184">
        <f t="shared" si="15"/>
        <v>0.99829862568548444</v>
      </c>
      <c r="AE59" s="184">
        <f t="shared" si="15"/>
        <v>0.99932883569991149</v>
      </c>
      <c r="AF59" s="184">
        <f t="shared" si="15"/>
        <v>0.99914602731761915</v>
      </c>
      <c r="AG59" s="184">
        <f t="shared" si="15"/>
        <v>0.99889131759313377</v>
      </c>
      <c r="AI59" s="184">
        <f t="shared" si="16"/>
        <v>2.3209264393455682E-2</v>
      </c>
      <c r="AJ59" s="184">
        <f t="shared" si="16"/>
        <v>1.3079399702294738E-2</v>
      </c>
      <c r="AK59" s="184">
        <f t="shared" si="16"/>
        <v>1.877981850322316E-3</v>
      </c>
      <c r="AL59" s="184">
        <f t="shared" si="16"/>
        <v>1.2211816965871741E-2</v>
      </c>
      <c r="AM59" s="184">
        <f t="shared" si="16"/>
        <v>6.143476523875444E-3</v>
      </c>
      <c r="AN59" s="184">
        <f t="shared" si="16"/>
        <v>7.7997650541962492E-3</v>
      </c>
      <c r="AO59" s="184">
        <f t="shared" si="16"/>
        <v>9.0060066597913123E-3</v>
      </c>
      <c r="AQ59" s="185">
        <f t="shared" si="17"/>
        <v>3</v>
      </c>
      <c r="AR59" s="185">
        <f t="shared" si="17"/>
        <v>4</v>
      </c>
      <c r="AS59" s="185">
        <f t="shared" si="17"/>
        <v>6</v>
      </c>
      <c r="AT59" s="185">
        <f t="shared" si="17"/>
        <v>4</v>
      </c>
      <c r="AU59" s="185">
        <f t="shared" si="17"/>
        <v>5</v>
      </c>
      <c r="AV59" s="185">
        <f t="shared" si="17"/>
        <v>4</v>
      </c>
      <c r="AW59" s="185">
        <f t="shared" si="17"/>
        <v>4</v>
      </c>
      <c r="AY59" s="186">
        <f t="shared" si="18"/>
        <v>49.777423948403843</v>
      </c>
      <c r="AZ59" s="186">
        <f t="shared" si="18"/>
        <v>51.895988196129096</v>
      </c>
      <c r="BA59" s="186">
        <f t="shared" si="18"/>
        <v>50.991714078156043</v>
      </c>
      <c r="BB59" s="186">
        <f t="shared" si="18"/>
        <v>56.903021664072611</v>
      </c>
      <c r="BC59" s="186">
        <f t="shared" si="18"/>
        <v>57.961072470594864</v>
      </c>
      <c r="BD59" s="186">
        <f t="shared" si="18"/>
        <v>60.947907666374768</v>
      </c>
      <c r="BE59" s="186">
        <f t="shared" si="18"/>
        <v>52.941239832436089</v>
      </c>
    </row>
    <row r="60" spans="1:57" ht="13.5" thickBot="1" x14ac:dyDescent="0.25">
      <c r="A60" s="181">
        <f t="shared" si="7"/>
        <v>35.714285714285715</v>
      </c>
      <c r="B60" s="187">
        <f t="shared" si="19"/>
        <v>0.9791666666666673</v>
      </c>
      <c r="C60">
        <v>33</v>
      </c>
      <c r="D60">
        <v>36</v>
      </c>
      <c r="E60">
        <v>33</v>
      </c>
      <c r="F60">
        <v>34</v>
      </c>
      <c r="G60">
        <v>37</v>
      </c>
      <c r="H60">
        <v>44</v>
      </c>
      <c r="I60">
        <v>33</v>
      </c>
      <c r="K60" s="43">
        <f t="shared" si="8"/>
        <v>6</v>
      </c>
      <c r="L60" s="43">
        <f t="shared" si="9"/>
        <v>7</v>
      </c>
      <c r="M60" s="43">
        <f t="shared" si="10"/>
        <v>6</v>
      </c>
      <c r="N60" s="43">
        <f t="shared" si="11"/>
        <v>6</v>
      </c>
      <c r="O60" s="43">
        <f t="shared" si="12"/>
        <v>7</v>
      </c>
      <c r="P60" s="43">
        <f t="shared" si="13"/>
        <v>8</v>
      </c>
      <c r="Q60" s="43">
        <f t="shared" si="14"/>
        <v>6</v>
      </c>
      <c r="S60" s="198">
        <f>'8900'!S60+'8911'!S60</f>
        <v>12</v>
      </c>
      <c r="T60" s="198">
        <f>'8900'!T60+'8911'!T60</f>
        <v>13</v>
      </c>
      <c r="U60" s="198">
        <f>'8900'!U60+'8911'!U60</f>
        <v>15</v>
      </c>
      <c r="V60" s="198">
        <f>'8900'!V60+'8911'!V60</f>
        <v>14</v>
      </c>
      <c r="W60" s="198">
        <f>'8900'!W60+'8911'!W60</f>
        <v>15</v>
      </c>
      <c r="X60" s="198">
        <f>'8900'!X60+'8911'!X60</f>
        <v>15</v>
      </c>
      <c r="Y60" s="198">
        <f>'8900'!Y60+'8911'!Y60</f>
        <v>13</v>
      </c>
      <c r="AA60" s="184">
        <f t="shared" si="15"/>
        <v>0.99990001082070734</v>
      </c>
      <c r="AB60" s="184">
        <f t="shared" si="15"/>
        <v>0.99994762355136724</v>
      </c>
      <c r="AC60" s="184">
        <f t="shared" si="15"/>
        <v>0.9999990846313499</v>
      </c>
      <c r="AD60" s="184">
        <f t="shared" si="15"/>
        <v>0.9999934189389752</v>
      </c>
      <c r="AE60" s="184">
        <f t="shared" si="15"/>
        <v>0.99999624317421032</v>
      </c>
      <c r="AF60" s="184">
        <f t="shared" si="15"/>
        <v>0.99997872036340818</v>
      </c>
      <c r="AG60" s="184">
        <f t="shared" si="15"/>
        <v>0.99999138117325148</v>
      </c>
      <c r="AI60" s="184">
        <f t="shared" si="16"/>
        <v>9.1876862578979188E-4</v>
      </c>
      <c r="AJ60" s="184">
        <f t="shared" si="16"/>
        <v>5.8380565670518672E-4</v>
      </c>
      <c r="AK60" s="184">
        <f t="shared" si="16"/>
        <v>1.9279397510725589E-5</v>
      </c>
      <c r="AL60" s="184">
        <f t="shared" si="16"/>
        <v>1.0167997600562327E-4</v>
      </c>
      <c r="AM60" s="184">
        <f t="shared" si="16"/>
        <v>6.924884736980449E-5</v>
      </c>
      <c r="AN60" s="184">
        <f t="shared" si="16"/>
        <v>3.425326354262826E-4</v>
      </c>
      <c r="AO60" s="184">
        <f t="shared" si="16"/>
        <v>1.3636499887197706E-4</v>
      </c>
      <c r="AQ60" s="185">
        <f t="shared" si="17"/>
        <v>6</v>
      </c>
      <c r="AR60" s="185">
        <f t="shared" si="17"/>
        <v>6</v>
      </c>
      <c r="AS60" s="185">
        <f t="shared" si="17"/>
        <v>9</v>
      </c>
      <c r="AT60" s="185">
        <f t="shared" si="17"/>
        <v>8</v>
      </c>
      <c r="AU60" s="185">
        <f t="shared" si="17"/>
        <v>8</v>
      </c>
      <c r="AV60" s="185">
        <f t="shared" si="17"/>
        <v>7</v>
      </c>
      <c r="AW60" s="185">
        <f t="shared" si="17"/>
        <v>7</v>
      </c>
      <c r="AY60" s="186">
        <f t="shared" si="18"/>
        <v>32.996700357083341</v>
      </c>
      <c r="AZ60" s="186">
        <f t="shared" si="18"/>
        <v>35.998114447849218</v>
      </c>
      <c r="BA60" s="186">
        <f t="shared" si="18"/>
        <v>32.999969792834548</v>
      </c>
      <c r="BB60" s="186">
        <f t="shared" si="18"/>
        <v>33.999776243925155</v>
      </c>
      <c r="BC60" s="186">
        <f t="shared" si="18"/>
        <v>36.999860997445779</v>
      </c>
      <c r="BD60" s="186">
        <f t="shared" si="18"/>
        <v>43.99906369598996</v>
      </c>
      <c r="BE60" s="186">
        <f t="shared" si="18"/>
        <v>32.9997155787173</v>
      </c>
    </row>
    <row r="61" spans="1:57" ht="12" thickBot="1" x14ac:dyDescent="0.25">
      <c r="A61" s="200">
        <f>SUM(K61:Q61)</f>
        <v>5020.5</v>
      </c>
      <c r="B61" s="189">
        <f>SUM(C61:I61)</f>
        <v>56797</v>
      </c>
      <c r="C61" s="190">
        <f>SUM(C13:C60)</f>
        <v>8264</v>
      </c>
      <c r="D61" s="190">
        <f t="shared" ref="D61:I61" si="20">SUM(D13:D60)</f>
        <v>8219</v>
      </c>
      <c r="E61" s="190">
        <f t="shared" si="20"/>
        <v>8368</v>
      </c>
      <c r="F61" s="190">
        <f t="shared" si="20"/>
        <v>8248</v>
      </c>
      <c r="G61" s="190">
        <f t="shared" si="20"/>
        <v>8346</v>
      </c>
      <c r="H61" s="190">
        <f t="shared" si="20"/>
        <v>8233</v>
      </c>
      <c r="I61" s="190">
        <f t="shared" si="20"/>
        <v>7119</v>
      </c>
      <c r="K61" s="193">
        <f>SUM(K13:K60)/2</f>
        <v>766.5</v>
      </c>
      <c r="L61" s="191">
        <f t="shared" ref="L61:Q61" si="21">SUM(L13:L60)/2</f>
        <v>721</v>
      </c>
      <c r="M61" s="191">
        <f t="shared" si="21"/>
        <v>749.5</v>
      </c>
      <c r="N61" s="191">
        <f t="shared" si="21"/>
        <v>725.5</v>
      </c>
      <c r="O61" s="191">
        <f t="shared" si="21"/>
        <v>733</v>
      </c>
      <c r="P61" s="191">
        <f t="shared" si="21"/>
        <v>724</v>
      </c>
      <c r="Q61" s="192">
        <f t="shared" si="21"/>
        <v>601</v>
      </c>
      <c r="S61" s="193">
        <f>SUM(S13:S60)/2</f>
        <v>988</v>
      </c>
      <c r="T61" s="193">
        <f t="shared" ref="T61:Y61" si="22">SUM(T13:T60)/2</f>
        <v>959</v>
      </c>
      <c r="U61" s="193">
        <f t="shared" si="22"/>
        <v>997</v>
      </c>
      <c r="V61" s="193">
        <f t="shared" si="22"/>
        <v>1004.5</v>
      </c>
      <c r="W61" s="193">
        <f t="shared" si="22"/>
        <v>1011</v>
      </c>
      <c r="X61" s="193">
        <f t="shared" si="22"/>
        <v>1009</v>
      </c>
      <c r="Y61" s="193">
        <f t="shared" si="22"/>
        <v>933</v>
      </c>
      <c r="AP61" s="165" t="s">
        <v>146</v>
      </c>
      <c r="AQ61" s="195">
        <f>COUNTIF(AQ13:AQ60,$AP$61)/48</f>
        <v>6.25E-2</v>
      </c>
      <c r="AR61" s="195">
        <f t="shared" ref="AR61:AW61" si="23">COUNTIF(AR13:AR60,$AP$61)/48</f>
        <v>6.25E-2</v>
      </c>
      <c r="AS61" s="195">
        <f t="shared" si="23"/>
        <v>4.1666666666666664E-2</v>
      </c>
      <c r="AT61" s="195">
        <f t="shared" si="23"/>
        <v>4.1666666666666664E-2</v>
      </c>
      <c r="AU61" s="195">
        <f t="shared" si="23"/>
        <v>2.0833333333333332E-2</v>
      </c>
      <c r="AV61" s="195">
        <f t="shared" si="23"/>
        <v>2.0833333333333332E-2</v>
      </c>
      <c r="AW61" s="195">
        <f t="shared" si="23"/>
        <v>4.1666666666666664E-2</v>
      </c>
    </row>
    <row r="62" spans="1:57" x14ac:dyDescent="0.2">
      <c r="A62" s="200">
        <f>SUM(S61:Y61)</f>
        <v>6901.5</v>
      </c>
    </row>
    <row r="63" spans="1:57" x14ac:dyDescent="0.2">
      <c r="C63" s="195">
        <f>C61/$B$61</f>
        <v>0.14550064263957604</v>
      </c>
      <c r="D63" s="195">
        <f t="shared" ref="D63:I63" si="24">D61/$B$61</f>
        <v>0.14470834727186296</v>
      </c>
      <c r="E63" s="195">
        <f t="shared" si="24"/>
        <v>0.14733172526717961</v>
      </c>
      <c r="F63" s="195">
        <f t="shared" si="24"/>
        <v>0.14521893761994473</v>
      </c>
      <c r="G63" s="195">
        <f t="shared" si="24"/>
        <v>0.14694438086518655</v>
      </c>
      <c r="H63" s="195">
        <f t="shared" si="24"/>
        <v>0.14495483916404037</v>
      </c>
      <c r="I63" s="195">
        <f t="shared" si="24"/>
        <v>0.1253411271722098</v>
      </c>
      <c r="K63" s="195">
        <f>K61/$A$61</f>
        <v>0.15267403645055275</v>
      </c>
      <c r="L63" s="195">
        <f t="shared" ref="L63:Q63" si="25">L61/$A$61</f>
        <v>0.14361119410417289</v>
      </c>
      <c r="M63" s="195">
        <f t="shared" si="25"/>
        <v>0.14928791952992729</v>
      </c>
      <c r="N63" s="195">
        <f t="shared" si="25"/>
        <v>0.14450751917139726</v>
      </c>
      <c r="O63" s="195">
        <f t="shared" si="25"/>
        <v>0.14600139428343789</v>
      </c>
      <c r="P63" s="195">
        <f t="shared" si="25"/>
        <v>0.14420874414898915</v>
      </c>
      <c r="Q63" s="195">
        <f t="shared" si="25"/>
        <v>0.11970919231152276</v>
      </c>
      <c r="S63" s="195">
        <f>S61/$A$62</f>
        <v>0.14315728464826488</v>
      </c>
      <c r="T63" s="195">
        <f t="shared" ref="T63:Y63" si="26">T61/$A$62</f>
        <v>0.1389552995725567</v>
      </c>
      <c r="U63" s="195">
        <f t="shared" si="26"/>
        <v>0.14446134898210533</v>
      </c>
      <c r="V63" s="195">
        <f t="shared" si="26"/>
        <v>0.14554806926030572</v>
      </c>
      <c r="W63" s="195">
        <f t="shared" si="26"/>
        <v>0.14648989350141273</v>
      </c>
      <c r="X63" s="195">
        <f t="shared" si="26"/>
        <v>0.14620010142722598</v>
      </c>
      <c r="Y63" s="195">
        <f t="shared" si="26"/>
        <v>0.13518800260812866</v>
      </c>
    </row>
    <row r="64" spans="1:57" x14ac:dyDescent="0.2">
      <c r="AQ64" s="313" t="s">
        <v>147</v>
      </c>
      <c r="AR64" s="313"/>
    </row>
    <row r="65" spans="11:45" x14ac:dyDescent="0.2">
      <c r="K65" s="306" t="str">
        <f>"ETP HEBDO =  "&amp;A61/40</f>
        <v>ETP HEBDO =  125,5125</v>
      </c>
      <c r="L65" s="306"/>
      <c r="M65" s="306"/>
      <c r="N65" s="306"/>
      <c r="O65" s="306"/>
      <c r="P65" s="306"/>
      <c r="Q65" s="306"/>
      <c r="S65" s="307" t="str">
        <f>"ETP HEBDO =  "&amp;A62/40</f>
        <v>ETP HEBDO =  172,5375</v>
      </c>
      <c r="T65" s="307"/>
      <c r="U65" s="307"/>
      <c r="V65" s="307"/>
      <c r="W65" s="307"/>
      <c r="X65" s="307"/>
      <c r="Y65" s="307"/>
      <c r="AP65" s="165" t="s">
        <v>148</v>
      </c>
      <c r="AQ65" s="309" t="s">
        <v>149</v>
      </c>
      <c r="AR65" s="309"/>
      <c r="AS65" s="196">
        <f>COUNTIF(AQ13:AW60, AP65)</f>
        <v>189</v>
      </c>
    </row>
    <row r="67" spans="11:45" x14ac:dyDescent="0.2">
      <c r="AQ67" s="312" t="s">
        <v>150</v>
      </c>
      <c r="AR67" s="312"/>
    </row>
    <row r="68" spans="11:45" x14ac:dyDescent="0.2">
      <c r="AP68" s="165" t="s">
        <v>151</v>
      </c>
      <c r="AQ68" s="305" t="s">
        <v>152</v>
      </c>
      <c r="AR68" s="305"/>
      <c r="AS68" s="196">
        <f>COUNTIF(AQ13:AW60, AP68)</f>
        <v>0</v>
      </c>
    </row>
    <row r="70" spans="11:45" x14ac:dyDescent="0.2">
      <c r="AP70" s="165" t="s">
        <v>146</v>
      </c>
      <c r="AQ70" s="197">
        <f>COUNTIF(AQ27:AW56,AP70)/336</f>
        <v>0</v>
      </c>
      <c r="AR70" s="165" t="s">
        <v>153</v>
      </c>
    </row>
  </sheetData>
  <mergeCells count="16">
    <mergeCell ref="AQ67:AR67"/>
    <mergeCell ref="AQ68:AR68"/>
    <mergeCell ref="AA11:AG11"/>
    <mergeCell ref="AI11:AO11"/>
    <mergeCell ref="AQ11:AW11"/>
    <mergeCell ref="AQ64:AR64"/>
    <mergeCell ref="K65:Q65"/>
    <mergeCell ref="S65:Y65"/>
    <mergeCell ref="AQ65:AR65"/>
    <mergeCell ref="A4:B4"/>
    <mergeCell ref="A6:B6"/>
    <mergeCell ref="A8:B8"/>
    <mergeCell ref="C11:I11"/>
    <mergeCell ref="K11:Q11"/>
    <mergeCell ref="S11:Y11"/>
    <mergeCell ref="S7:Y7"/>
  </mergeCells>
  <conditionalFormatting sqref="AA13:AG60">
    <cfRule type="cellIs" dxfId="1603" priority="39" operator="lessThan">
      <formula>0.8</formula>
    </cfRule>
    <cfRule type="cellIs" dxfId="1602" priority="40" operator="greaterThan">
      <formula>0.9</formula>
    </cfRule>
    <cfRule type="cellIs" dxfId="1601" priority="41" operator="between">
      <formula>0.8</formula>
      <formula>0.9</formula>
    </cfRule>
  </conditionalFormatting>
  <conditionalFormatting sqref="AI13:AO60">
    <cfRule type="cellIs" dxfId="1600" priority="33" operator="greaterThan">
      <formula>0.2</formula>
    </cfRule>
  </conditionalFormatting>
  <conditionalFormatting sqref="AQ10:AW10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13:AW60">
    <cfRule type="cellIs" dxfId="1599" priority="27" operator="between">
      <formula>-9</formula>
      <formula>-1</formula>
    </cfRule>
    <cfRule type="cellIs" dxfId="1598" priority="28" operator="between">
      <formula>1</formula>
      <formula>9</formula>
    </cfRule>
    <cfRule type="cellIs" dxfId="1597" priority="29" operator="lessThan">
      <formula>-9</formula>
    </cfRule>
    <cfRule type="cellIs" dxfId="1596" priority="30" operator="greaterThan">
      <formula>9</formula>
    </cfRule>
  </conditionalFormatting>
  <conditionalFormatting sqref="AQ61:AW61">
    <cfRule type="cellIs" dxfId="1595" priority="26" operator="greaterThan">
      <formula>0.15</formula>
    </cfRule>
  </conditionalFormatting>
  <conditionalFormatting sqref="AS68">
    <cfRule type="cellIs" dxfId="1594" priority="25" operator="greaterThan">
      <formula>0</formula>
    </cfRule>
  </conditionalFormatting>
  <conditionalFormatting sqref="AQ70">
    <cfRule type="cellIs" dxfId="1593" priority="24" operator="greaterThan">
      <formula>0.1</formula>
    </cfRule>
  </conditionalFormatting>
  <conditionalFormatting sqref="AS65">
    <cfRule type="cellIs" dxfId="1592" priority="23" operator="greaterThan">
      <formula>0</formula>
    </cfRule>
  </conditionalFormatting>
  <conditionalFormatting sqref="AY13:BE60">
    <cfRule type="cellIs" dxfId="1591" priority="18" operator="between">
      <formula>-9</formula>
      <formula>-1</formula>
    </cfRule>
    <cfRule type="cellIs" dxfId="1590" priority="19" operator="between">
      <formula>1</formula>
      <formula>9</formula>
    </cfRule>
    <cfRule type="cellIs" dxfId="1589" priority="20" operator="lessThan">
      <formula>-9</formula>
    </cfRule>
    <cfRule type="cellIs" dxfId="1588" priority="21" operator="greaterThan">
      <formula>9</formula>
    </cfRule>
  </conditionalFormatting>
  <conditionalFormatting sqref="AA10:AG10">
    <cfRule type="cellIs" dxfId="1587" priority="17" operator="lessThan">
      <formula>0.8</formula>
    </cfRule>
  </conditionalFormatting>
  <conditionalFormatting sqref="C13:I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Y60">
    <cfRule type="cellIs" dxfId="1586" priority="11" operator="greaterThan">
      <formula>$S$10</formula>
    </cfRule>
  </conditionalFormatting>
  <conditionalFormatting sqref="K13:Q60">
    <cfRule type="cellIs" dxfId="1585" priority="2" operator="greaterThan">
      <formula>50</formula>
    </cfRule>
    <cfRule type="cellIs" dxfId="1584" priority="3" operator="greaterThan">
      <formula>69</formula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K10:Q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9" tint="-0.499984740745262"/>
  </sheetPr>
  <dimension ref="A1:BE70"/>
  <sheetViews>
    <sheetView zoomScale="80" zoomScaleNormal="80" workbookViewId="0">
      <selection activeCell="M38" sqref="M38"/>
    </sheetView>
  </sheetViews>
  <sheetFormatPr baseColWidth="10" defaultRowHeight="12.75" x14ac:dyDescent="0.2"/>
  <cols>
    <col min="3" max="8" width="9.140625" bestFit="1" customWidth="1"/>
    <col min="9" max="9" width="9.5703125" bestFit="1" customWidth="1"/>
    <col min="10" max="10" width="12.140625" bestFit="1" customWidth="1"/>
    <col min="11" max="12" width="5.85546875" bestFit="1" customWidth="1"/>
    <col min="13" max="13" width="8.7109375" bestFit="1" customWidth="1"/>
    <col min="14" max="14" width="5.7109375" bestFit="1" customWidth="1"/>
    <col min="15" max="15" width="9.140625" bestFit="1" customWidth="1"/>
    <col min="16" max="16" width="7.42578125" bestFit="1" customWidth="1"/>
    <col min="17" max="17" width="9.570312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7" max="28" width="6" bestFit="1" customWidth="1"/>
    <col min="29" max="29" width="8.7109375" bestFit="1" customWidth="1"/>
    <col min="30" max="30" width="6" bestFit="1" customWidth="1"/>
    <col min="31" max="31" width="9.140625" bestFit="1" customWidth="1"/>
    <col min="32" max="32" width="7.42578125" bestFit="1" customWidth="1"/>
    <col min="33" max="33" width="9.5703125" bestFit="1" customWidth="1"/>
    <col min="35" max="36" width="5.85546875" bestFit="1" customWidth="1"/>
    <col min="37" max="37" width="8.7109375" bestFit="1" customWidth="1"/>
    <col min="38" max="38" width="5.7109375" bestFit="1" customWidth="1"/>
    <col min="39" max="39" width="9.140625" bestFit="1" customWidth="1"/>
    <col min="40" max="40" width="7.42578125" bestFit="1" customWidth="1"/>
    <col min="41" max="41" width="9.5703125" bestFit="1" customWidth="1"/>
    <col min="43" max="44" width="5.85546875" bestFit="1" customWidth="1"/>
    <col min="45" max="45" width="8.7109375" bestFit="1" customWidth="1"/>
    <col min="46" max="46" width="5.7109375" bestFit="1" customWidth="1"/>
    <col min="47" max="47" width="9.140625" bestFit="1" customWidth="1"/>
    <col min="48" max="48" width="7.42578125" bestFit="1" customWidth="1"/>
    <col min="49" max="49" width="9.5703125" customWidth="1"/>
    <col min="51" max="57" width="7.42578125" hidden="1" customWidth="1"/>
  </cols>
  <sheetData>
    <row r="1" spans="1:57" ht="13.5" thickBot="1" x14ac:dyDescent="0.25"/>
    <row r="2" spans="1:57" ht="13.5" thickBot="1" x14ac:dyDescent="0.25">
      <c r="A2" s="131" t="s">
        <v>126</v>
      </c>
      <c r="C2" s="132">
        <v>0.7</v>
      </c>
      <c r="K2" s="159">
        <f>SUM(d:i!K2)/C61</f>
        <v>248.98342212715502</v>
      </c>
      <c r="L2" s="159">
        <f>SUM(d:i!L2)/D61</f>
        <v>242.58960235386658</v>
      </c>
      <c r="M2" s="159">
        <f>SUM(d:i!M2)/E61</f>
        <v>252.94576288659795</v>
      </c>
      <c r="N2" s="159">
        <f>SUM(d:i!N2)/F61</f>
        <v>256.84207771543419</v>
      </c>
      <c r="O2" s="159">
        <f>SUM(d:i!O2)/G61</f>
        <v>249.13648573478719</v>
      </c>
      <c r="P2" s="159">
        <f>SUM(d:i!P2)/H61</f>
        <v>258.49230258848036</v>
      </c>
      <c r="Q2" s="159">
        <f>SUM(d:i!Q2)/I61</f>
        <v>267.95214665694897</v>
      </c>
    </row>
    <row r="3" spans="1:57" ht="13.5" thickBot="1" x14ac:dyDescent="0.25"/>
    <row r="4" spans="1:57" ht="13.5" thickBot="1" x14ac:dyDescent="0.25">
      <c r="A4" s="317" t="s">
        <v>132</v>
      </c>
      <c r="B4" s="317"/>
      <c r="C4" s="132">
        <v>0.8</v>
      </c>
    </row>
    <row r="5" spans="1:57" ht="13.5" thickBot="1" x14ac:dyDescent="0.25">
      <c r="C5" s="133"/>
      <c r="H5" t="s">
        <v>133</v>
      </c>
      <c r="S5" s="21"/>
    </row>
    <row r="6" spans="1:57" ht="13.5" thickBot="1" x14ac:dyDescent="0.25">
      <c r="A6" s="317" t="s">
        <v>134</v>
      </c>
      <c r="B6" s="317"/>
      <c r="C6" s="134">
        <v>60</v>
      </c>
    </row>
    <row r="7" spans="1:57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57" ht="15.75" thickBot="1" x14ac:dyDescent="0.3">
      <c r="A8" s="317" t="s">
        <v>135</v>
      </c>
      <c r="B8" s="318"/>
      <c r="C8" s="202">
        <v>0.10681502906818054</v>
      </c>
      <c r="D8" s="202">
        <v>5.6004785913302803E-2</v>
      </c>
      <c r="E8" s="202">
        <v>4.131608394009037E-2</v>
      </c>
      <c r="F8" s="202">
        <v>5.6018991389998232E-2</v>
      </c>
      <c r="G8" s="202">
        <v>6.767796220380233E-2</v>
      </c>
      <c r="H8" s="202">
        <v>6.2918042216697362E-2</v>
      </c>
      <c r="I8" s="202">
        <v>6.3517407159636191E-2</v>
      </c>
      <c r="J8" s="21"/>
      <c r="K8" s="135"/>
      <c r="L8" s="135"/>
      <c r="M8" s="135"/>
      <c r="N8" s="135"/>
      <c r="O8" s="135"/>
      <c r="P8" s="135"/>
      <c r="Q8" s="135"/>
      <c r="S8" s="204">
        <f>'Global LMT'!S8-'8911'!S8</f>
        <v>0</v>
      </c>
      <c r="T8" s="204">
        <f>'Global LMT'!T8-'8911'!T8</f>
        <v>0</v>
      </c>
      <c r="U8" s="204">
        <f>'Global LMT'!U8-'8911'!U8</f>
        <v>0</v>
      </c>
      <c r="V8" s="204">
        <f>'Global LMT'!V8-'8911'!V8</f>
        <v>0</v>
      </c>
      <c r="W8" s="204">
        <f>'Global LMT'!W8-'8911'!W8</f>
        <v>0</v>
      </c>
      <c r="X8" s="204">
        <f>'Global LMT'!X8-'8911'!X8</f>
        <v>0</v>
      </c>
      <c r="Y8" s="204">
        <f>'Global LMT'!Y8-'8911'!Y8</f>
        <v>0</v>
      </c>
    </row>
    <row r="9" spans="1:57" ht="13.5" thickBot="1" x14ac:dyDescent="0.25">
      <c r="S9" s="136"/>
      <c r="T9" s="136"/>
      <c r="U9" s="136"/>
      <c r="V9" s="136"/>
      <c r="W9" s="136"/>
      <c r="X9" s="136"/>
      <c r="Y9" s="136"/>
    </row>
    <row r="10" spans="1:57" ht="13.5" thickBot="1" x14ac:dyDescent="0.25">
      <c r="A10" s="137" t="s">
        <v>136</v>
      </c>
      <c r="B10" s="134">
        <v>30</v>
      </c>
      <c r="C10" s="21" t="s">
        <v>17</v>
      </c>
      <c r="J10" s="138" t="s">
        <v>137</v>
      </c>
      <c r="K10" s="135">
        <f>K2</f>
        <v>248.98342212715502</v>
      </c>
      <c r="L10" s="135">
        <f t="shared" ref="L10:Q10" si="0">L2</f>
        <v>242.58960235386658</v>
      </c>
      <c r="M10" s="135">
        <f t="shared" si="0"/>
        <v>252.94576288659795</v>
      </c>
      <c r="N10" s="135">
        <f t="shared" si="0"/>
        <v>256.84207771543419</v>
      </c>
      <c r="O10" s="135">
        <f t="shared" si="0"/>
        <v>249.13648573478719</v>
      </c>
      <c r="P10" s="135">
        <f t="shared" si="0"/>
        <v>258.49230258848036</v>
      </c>
      <c r="Q10" s="135">
        <f t="shared" si="0"/>
        <v>267.95214665694897</v>
      </c>
      <c r="S10" s="135">
        <f>MAX(K13:K60)</f>
        <v>62</v>
      </c>
      <c r="T10" s="135">
        <f t="shared" ref="T10:Y10" si="1">MAX(L13:L60)</f>
        <v>61</v>
      </c>
      <c r="U10" s="135">
        <f t="shared" si="1"/>
        <v>63</v>
      </c>
      <c r="V10" s="135">
        <f t="shared" si="1"/>
        <v>67</v>
      </c>
      <c r="W10" s="135">
        <f t="shared" si="1"/>
        <v>62</v>
      </c>
      <c r="X10" s="135">
        <f t="shared" si="1"/>
        <v>65</v>
      </c>
      <c r="Y10" s="135">
        <f t="shared" si="1"/>
        <v>59</v>
      </c>
      <c r="AA10" s="139">
        <f>AY10/C61</f>
        <v>0.96590956039832632</v>
      </c>
      <c r="AB10" s="139">
        <f t="shared" ref="AB10:AG10" si="2">AZ10/D61</f>
        <v>0.97589842538482063</v>
      </c>
      <c r="AC10" s="139">
        <f t="shared" si="2"/>
        <v>0.97477772546398844</v>
      </c>
      <c r="AD10" s="139">
        <f t="shared" si="2"/>
        <v>0.97805294648937868</v>
      </c>
      <c r="AE10" s="139">
        <f t="shared" si="2"/>
        <v>0.98918162256604336</v>
      </c>
      <c r="AF10" s="139">
        <f t="shared" si="2"/>
        <v>0.97771726451627849</v>
      </c>
      <c r="AG10" s="139">
        <f t="shared" si="2"/>
        <v>0.94952202236759575</v>
      </c>
      <c r="AI10" s="139"/>
      <c r="AJ10" s="139"/>
      <c r="AK10" s="139"/>
      <c r="AL10" s="139"/>
      <c r="AM10" s="139"/>
      <c r="AN10" s="139"/>
      <c r="AO10" s="139"/>
      <c r="AQ10" s="154"/>
      <c r="AR10" s="154"/>
      <c r="AS10" s="154"/>
      <c r="AT10" s="154"/>
      <c r="AU10" s="154"/>
      <c r="AV10" s="154"/>
      <c r="AW10" s="154"/>
      <c r="AY10" s="163">
        <f>SUM(AY13:AY60)</f>
        <v>7684.1808183001713</v>
      </c>
      <c r="AZ10" s="163">
        <f t="shared" ref="AZ10:BE10" si="3">SUM(AZ13:AZ60)</f>
        <v>7733.5558668832791</v>
      </c>
      <c r="BA10" s="163">
        <f t="shared" si="3"/>
        <v>7879.4532808339063</v>
      </c>
      <c r="BB10" s="163">
        <f t="shared" si="3"/>
        <v>7785.9534893531136</v>
      </c>
      <c r="BC10" s="163">
        <f t="shared" si="3"/>
        <v>7972.6225279181735</v>
      </c>
      <c r="BD10" s="163">
        <f t="shared" si="3"/>
        <v>7760.8589211263452</v>
      </c>
      <c r="BE10" s="163">
        <f t="shared" si="3"/>
        <v>6535.7341589935959</v>
      </c>
    </row>
    <row r="11" spans="1:57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A11" s="319" t="s">
        <v>11</v>
      </c>
      <c r="AB11" s="319"/>
      <c r="AC11" s="319"/>
      <c r="AD11" s="319"/>
      <c r="AE11" s="319"/>
      <c r="AF11" s="319"/>
      <c r="AG11" s="319"/>
      <c r="AI11" s="319" t="s">
        <v>52</v>
      </c>
      <c r="AJ11" s="319"/>
      <c r="AK11" s="319"/>
      <c r="AL11" s="319"/>
      <c r="AM11" s="319"/>
      <c r="AN11" s="319"/>
      <c r="AO11" s="319"/>
      <c r="AQ11" s="319" t="s">
        <v>45</v>
      </c>
      <c r="AR11" s="319"/>
      <c r="AS11" s="319"/>
      <c r="AT11" s="319"/>
      <c r="AU11" s="319"/>
      <c r="AV11" s="319"/>
      <c r="AW11" s="319"/>
    </row>
    <row r="12" spans="1:57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A12" s="142" t="s">
        <v>139</v>
      </c>
      <c r="AB12" s="142" t="s">
        <v>140</v>
      </c>
      <c r="AC12" s="142" t="s">
        <v>141</v>
      </c>
      <c r="AD12" s="142" t="s">
        <v>142</v>
      </c>
      <c r="AE12" s="142" t="s">
        <v>143</v>
      </c>
      <c r="AF12" s="142" t="s">
        <v>144</v>
      </c>
      <c r="AG12" s="142" t="s">
        <v>145</v>
      </c>
      <c r="AI12" s="142" t="s">
        <v>139</v>
      </c>
      <c r="AJ12" s="142" t="s">
        <v>140</v>
      </c>
      <c r="AK12" s="142" t="s">
        <v>141</v>
      </c>
      <c r="AL12" s="142" t="s">
        <v>142</v>
      </c>
      <c r="AM12" s="142" t="s">
        <v>143</v>
      </c>
      <c r="AN12" s="142" t="s">
        <v>144</v>
      </c>
      <c r="AO12" s="142" t="s">
        <v>145</v>
      </c>
      <c r="AQ12" s="142" t="s">
        <v>139</v>
      </c>
      <c r="AR12" s="142" t="s">
        <v>140</v>
      </c>
      <c r="AS12" s="142" t="s">
        <v>141</v>
      </c>
      <c r="AT12" s="142" t="s">
        <v>142</v>
      </c>
      <c r="AU12" s="142" t="s">
        <v>143</v>
      </c>
      <c r="AV12" s="142" t="s">
        <v>144</v>
      </c>
      <c r="AW12" s="142" t="s">
        <v>145</v>
      </c>
    </row>
    <row r="13" spans="1:57" x14ac:dyDescent="0.2">
      <c r="A13" s="143">
        <f>AVERAGE(C13:I13)</f>
        <v>23.528571428571432</v>
      </c>
      <c r="B13" s="144">
        <v>0</v>
      </c>
      <c r="C13" s="135">
        <f>'Global LMT'!C13-'8911'!C13</f>
        <v>21.7</v>
      </c>
      <c r="D13" s="135">
        <f>'Global LMT'!D13-'8911'!D13</f>
        <v>20.399999999999999</v>
      </c>
      <c r="E13" s="135">
        <f>'Global LMT'!E13-'8911'!E13</f>
        <v>26.4</v>
      </c>
      <c r="F13" s="135">
        <f>'Global LMT'!F13-'8911'!F13</f>
        <v>21.9</v>
      </c>
      <c r="G13" s="135">
        <f>'Global LMT'!G13-'8911'!G13</f>
        <v>22.1</v>
      </c>
      <c r="H13" s="135">
        <f>'Global LMT'!H13-'8911'!H13</f>
        <v>25.9</v>
      </c>
      <c r="I13" s="135">
        <f>'Global LMT'!I13-'8911'!I13</f>
        <v>26.3</v>
      </c>
      <c r="K13" s="43">
        <f>AgentsRequired(C13,$B$10,K$10,$C$4,$C$6,$C$2,$C$8)</f>
        <v>6</v>
      </c>
      <c r="L13" s="43">
        <f>AgentsRequired(D13,$B$10,L$10,$C$4,$C$6,$C$2,$D$8)</f>
        <v>5</v>
      </c>
      <c r="M13" s="43">
        <f>AgentsRequired(E13,$B$10,M$10,$C$4,$C$6,$C$2,$E$8)</f>
        <v>6</v>
      </c>
      <c r="N13" s="43">
        <f>AgentsRequired(F13,$B$10,N$10,$C$4,$C$6,$C$2,$F$8)</f>
        <v>5</v>
      </c>
      <c r="O13" s="43">
        <f>AgentsRequired(G13,$B$10,O$10,$C$4,$C$6,$C$2,$G$8)</f>
        <v>5</v>
      </c>
      <c r="P13" s="43">
        <f>AgentsRequired(H13,$B$10,P$10,$C$4,$C$6,$C$2,$H$8)</f>
        <v>6</v>
      </c>
      <c r="Q13" s="43">
        <f>AgentsRequired(I13,$B$10,Q$10,$C$4,$C$6,$C$2,$I$8)</f>
        <v>6</v>
      </c>
      <c r="S13" s="146">
        <f>FR!S13+FFD!S13+EN_PIG!S13</f>
        <v>8</v>
      </c>
      <c r="T13" s="146">
        <f>FR!T13+FFD!T13+EN_PIG!T13</f>
        <v>10</v>
      </c>
      <c r="U13" s="146">
        <f>FR!U13+FFD!U13+EN_PIG!U13</f>
        <v>8</v>
      </c>
      <c r="V13" s="146">
        <f>FR!V13+FFD!V13+EN_PIG!V13</f>
        <v>13</v>
      </c>
      <c r="W13" s="146">
        <f>FR!W13+FFD!W13+EN_PIG!W13</f>
        <v>13</v>
      </c>
      <c r="X13" s="146">
        <f>FR!X13+FFD!X13+EN_PIG!X13</f>
        <v>10</v>
      </c>
      <c r="Y13" s="146">
        <f>FR!Y13+FFD!Y13+EN_PIG!Y13</f>
        <v>8</v>
      </c>
      <c r="AA13" s="55">
        <f>ServiceLevel(C13,$B$10,K$10,$C$6,S13)</f>
        <v>0.99575346458565861</v>
      </c>
      <c r="AB13" s="55">
        <f>ServiceLevel(D13,$B$10,L$10,$C$6,T13)</f>
        <v>0.99991533587258641</v>
      </c>
      <c r="AC13" s="55">
        <f t="shared" ref="AC13:AG28" si="4">ServiceLevel(E13,$B$10,M$10,$C$6,U13)</f>
        <v>0.98666944295924097</v>
      </c>
      <c r="AD13" s="55">
        <f t="shared" si="4"/>
        <v>0.99999736601500389</v>
      </c>
      <c r="AE13" s="55">
        <f t="shared" si="4"/>
        <v>0.99999824361681044</v>
      </c>
      <c r="AF13" s="55">
        <f t="shared" si="4"/>
        <v>0.99870784002355451</v>
      </c>
      <c r="AG13" s="55">
        <f t="shared" si="4"/>
        <v>0.98012285110516473</v>
      </c>
      <c r="AI13" s="55">
        <f>ProbCallWaits(C13,$B$10,K$10,S13)</f>
        <v>1.402174466745414E-2</v>
      </c>
      <c r="AJ13" s="55">
        <f t="shared" ref="AJ13:AO28" si="5">ProbCallWaits(D13,$B$10,L$10,T13)</f>
        <v>5.1560359798657671E-4</v>
      </c>
      <c r="AK13" s="55">
        <f t="shared" si="5"/>
        <v>3.737612999004581E-2</v>
      </c>
      <c r="AL13" s="55">
        <f t="shared" si="5"/>
        <v>2.6365336746068326E-5</v>
      </c>
      <c r="AM13" s="55">
        <f t="shared" si="5"/>
        <v>1.9312206663423998E-5</v>
      </c>
      <c r="AN13" s="55">
        <f t="shared" si="5"/>
        <v>5.5333910724362995E-3</v>
      </c>
      <c r="AO13" s="55">
        <f t="shared" si="5"/>
        <v>5.0112413196128705E-2</v>
      </c>
      <c r="AQ13" s="155">
        <f>S13-K13</f>
        <v>2</v>
      </c>
      <c r="AR13" s="155">
        <f t="shared" ref="AR13:AW28" si="6">T13-L13</f>
        <v>5</v>
      </c>
      <c r="AS13" s="155">
        <f t="shared" si="6"/>
        <v>2</v>
      </c>
      <c r="AT13" s="155">
        <f t="shared" si="6"/>
        <v>8</v>
      </c>
      <c r="AU13" s="155">
        <f t="shared" si="6"/>
        <v>8</v>
      </c>
      <c r="AV13" s="155">
        <f t="shared" si="6"/>
        <v>4</v>
      </c>
      <c r="AW13" s="155">
        <f t="shared" si="6"/>
        <v>2</v>
      </c>
      <c r="AY13" s="162">
        <f>AA13*C13</f>
        <v>21.607850181508791</v>
      </c>
      <c r="AZ13" s="162">
        <f t="shared" ref="AZ13:BE28" si="7">AB13*D13</f>
        <v>20.398272851800762</v>
      </c>
      <c r="BA13" s="162">
        <f t="shared" si="7"/>
        <v>26.048073294123959</v>
      </c>
      <c r="BB13" s="162">
        <f t="shared" si="7"/>
        <v>21.899942315728584</v>
      </c>
      <c r="BC13" s="162">
        <f t="shared" si="7"/>
        <v>22.099961183931512</v>
      </c>
      <c r="BD13" s="162">
        <f t="shared" si="7"/>
        <v>25.866533056610059</v>
      </c>
      <c r="BE13" s="162">
        <f t="shared" si="7"/>
        <v>25.777230984065834</v>
      </c>
    </row>
    <row r="14" spans="1:57" x14ac:dyDescent="0.2">
      <c r="A14" s="143">
        <f t="shared" ref="A14:A60" si="8">AVERAGE(C14:I14)</f>
        <v>15.321428571428571</v>
      </c>
      <c r="B14" s="147">
        <f>B13+TIME(0,$B$10,0)</f>
        <v>2.0833333333333332E-2</v>
      </c>
      <c r="C14" s="135">
        <f>'Global LMT'!C14-'8911'!C14</f>
        <v>13.75</v>
      </c>
      <c r="D14" s="135">
        <f>'Global LMT'!D14-'8911'!D14</f>
        <v>13.55</v>
      </c>
      <c r="E14" s="135">
        <f>'Global LMT'!E14-'8911'!E14</f>
        <v>16.600000000000001</v>
      </c>
      <c r="F14" s="135">
        <f>'Global LMT'!F14-'8911'!F14</f>
        <v>14.3</v>
      </c>
      <c r="G14" s="135">
        <f>'Global LMT'!G14-'8911'!G14</f>
        <v>15.4</v>
      </c>
      <c r="H14" s="135">
        <f>'Global LMT'!H14-'8911'!H14</f>
        <v>15.25</v>
      </c>
      <c r="I14" s="135">
        <f>'Global LMT'!I14-'8911'!I14</f>
        <v>18.399999999999999</v>
      </c>
      <c r="K14" s="43">
        <f t="shared" ref="K14:K60" si="9">AgentsRequired(C14,$B$10,K$10,$C$4,$C$6,$C$2,$C$8)</f>
        <v>4</v>
      </c>
      <c r="L14" s="43">
        <f t="shared" ref="L14:L60" si="10">AgentsRequired(D14,$B$10,L$10,$C$4,$C$6,$C$2,$D$8)</f>
        <v>4</v>
      </c>
      <c r="M14" s="43">
        <f t="shared" ref="M14:M60" si="11">AgentsRequired(E14,$B$10,M$10,$C$4,$C$6,$C$2,$E$8)</f>
        <v>4</v>
      </c>
      <c r="N14" s="43">
        <f t="shared" ref="N14:N60" si="12">AgentsRequired(F14,$B$10,N$10,$C$4,$C$6,$C$2,$F$8)</f>
        <v>4</v>
      </c>
      <c r="O14" s="43">
        <f t="shared" ref="O14:O60" si="13">AgentsRequired(G14,$B$10,O$10,$C$4,$C$6,$C$2,$G$8)</f>
        <v>4</v>
      </c>
      <c r="P14" s="43">
        <f t="shared" ref="P14:P60" si="14">AgentsRequired(H14,$B$10,P$10,$C$4,$C$6,$C$2,$H$8)</f>
        <v>4</v>
      </c>
      <c r="Q14" s="43">
        <f t="shared" ref="Q14:Q60" si="15">AgentsRequired(I14,$B$10,Q$10,$C$4,$C$6,$C$2,$I$8)</f>
        <v>5</v>
      </c>
      <c r="S14" s="146">
        <f>FR!S14+FFD!S14+EN_PIG!S14</f>
        <v>8</v>
      </c>
      <c r="T14" s="146">
        <f>FR!T14+FFD!T14+EN_PIG!T14</f>
        <v>10</v>
      </c>
      <c r="U14" s="146">
        <f>FR!U14+FFD!U14+EN_PIG!U14</f>
        <v>8</v>
      </c>
      <c r="V14" s="146">
        <f>FR!V14+FFD!V14+EN_PIG!V14</f>
        <v>13</v>
      </c>
      <c r="W14" s="146">
        <f>FR!W14+FFD!W14+EN_PIG!W14</f>
        <v>13</v>
      </c>
      <c r="X14" s="146">
        <f>FR!X14+FFD!X14+EN_PIG!X14</f>
        <v>10</v>
      </c>
      <c r="Y14" s="146">
        <f>FR!Y14+FFD!Y14+EN_PIG!Y14</f>
        <v>8</v>
      </c>
      <c r="AA14" s="55">
        <f t="shared" ref="AA14:AG60" si="16">ServiceLevel(C14,$B$10,K$10,$C$6,S14)</f>
        <v>0.99978351234560403</v>
      </c>
      <c r="AB14" s="55">
        <f t="shared" si="16"/>
        <v>0.99999604254185803</v>
      </c>
      <c r="AC14" s="55">
        <f t="shared" si="4"/>
        <v>0.99909105735198078</v>
      </c>
      <c r="AD14" s="55">
        <f t="shared" si="4"/>
        <v>0.99999998410885105</v>
      </c>
      <c r="AE14" s="55">
        <f t="shared" si="4"/>
        <v>0.99999997701667109</v>
      </c>
      <c r="AF14" s="55">
        <f t="shared" si="4"/>
        <v>0.99998581511874784</v>
      </c>
      <c r="AG14" s="55">
        <f t="shared" si="4"/>
        <v>0.99793569689384165</v>
      </c>
      <c r="AI14" s="55">
        <f t="shared" ref="AI14:AO60" si="17">ProbCallWaits(C14,$B$10,K$10,S14)</f>
        <v>9.3328073471605295E-4</v>
      </c>
      <c r="AJ14" s="55">
        <f t="shared" si="5"/>
        <v>2.9436876715463052E-5</v>
      </c>
      <c r="AK14" s="55">
        <f t="shared" si="5"/>
        <v>3.440098356547727E-3</v>
      </c>
      <c r="AL14" s="55">
        <f t="shared" si="5"/>
        <v>2.076764183435317E-7</v>
      </c>
      <c r="AM14" s="55">
        <f t="shared" si="5"/>
        <v>3.1912508270723717E-7</v>
      </c>
      <c r="AN14" s="55">
        <f t="shared" si="5"/>
        <v>8.7648016950379331E-5</v>
      </c>
      <c r="AO14" s="55">
        <f t="shared" si="5"/>
        <v>6.7947980573420177E-3</v>
      </c>
      <c r="AQ14" s="155">
        <f t="shared" ref="AQ14:AW60" si="18">S14-K14</f>
        <v>4</v>
      </c>
      <c r="AR14" s="155">
        <f t="shared" si="6"/>
        <v>6</v>
      </c>
      <c r="AS14" s="155">
        <f t="shared" si="6"/>
        <v>4</v>
      </c>
      <c r="AT14" s="155">
        <f t="shared" si="6"/>
        <v>9</v>
      </c>
      <c r="AU14" s="155">
        <f t="shared" si="6"/>
        <v>9</v>
      </c>
      <c r="AV14" s="155">
        <f t="shared" si="6"/>
        <v>6</v>
      </c>
      <c r="AW14" s="155">
        <f t="shared" si="6"/>
        <v>3</v>
      </c>
      <c r="AY14" s="162">
        <f t="shared" ref="AY14:BE60" si="19">AA14*C14</f>
        <v>13.747023294752056</v>
      </c>
      <c r="AZ14" s="162">
        <f t="shared" si="7"/>
        <v>13.549946376442177</v>
      </c>
      <c r="BA14" s="162">
        <f t="shared" si="7"/>
        <v>16.584911552042882</v>
      </c>
      <c r="BB14" s="162">
        <f t="shared" si="7"/>
        <v>14.299999772756571</v>
      </c>
      <c r="BC14" s="162">
        <f t="shared" si="7"/>
        <v>15.399999646056735</v>
      </c>
      <c r="BD14" s="162">
        <f t="shared" si="7"/>
        <v>15.249783680560904</v>
      </c>
      <c r="BE14" s="162">
        <f t="shared" si="7"/>
        <v>18.362016822846684</v>
      </c>
    </row>
    <row r="15" spans="1:57" x14ac:dyDescent="0.2">
      <c r="A15" s="143">
        <f t="shared" si="8"/>
        <v>10.695238095238096</v>
      </c>
      <c r="B15" s="147">
        <f t="shared" ref="B15:B60" si="20">B14+TIME(0,$B$10,0)</f>
        <v>4.1666666666666664E-2</v>
      </c>
      <c r="C15" s="135">
        <f>'Global LMT'!C15-'8911'!C15</f>
        <v>8.8000000000000007</v>
      </c>
      <c r="D15" s="135">
        <f>'Global LMT'!D15-'8911'!D15</f>
        <v>10.533333333333333</v>
      </c>
      <c r="E15" s="135">
        <f>'Global LMT'!E15-'8911'!E15</f>
        <v>11.6</v>
      </c>
      <c r="F15" s="135">
        <f>'Global LMT'!F15-'8911'!F15</f>
        <v>9.4333333333333336</v>
      </c>
      <c r="G15" s="135">
        <f>'Global LMT'!G15-'8911'!G15</f>
        <v>11.533333333333333</v>
      </c>
      <c r="H15" s="135">
        <f>'Global LMT'!H15-'8911'!H15</f>
        <v>12.4</v>
      </c>
      <c r="I15" s="135">
        <f>'Global LMT'!I15-'8911'!I15</f>
        <v>10.566666666666666</v>
      </c>
      <c r="K15" s="43">
        <f t="shared" si="9"/>
        <v>3</v>
      </c>
      <c r="L15" s="43">
        <f t="shared" si="10"/>
        <v>3</v>
      </c>
      <c r="M15" s="43">
        <f t="shared" si="11"/>
        <v>4</v>
      </c>
      <c r="N15" s="43">
        <f t="shared" si="12"/>
        <v>3</v>
      </c>
      <c r="O15" s="43">
        <f t="shared" si="13"/>
        <v>4</v>
      </c>
      <c r="P15" s="43">
        <f t="shared" si="14"/>
        <v>4</v>
      </c>
      <c r="Q15" s="43">
        <f t="shared" si="15"/>
        <v>4</v>
      </c>
      <c r="S15" s="146">
        <f>FR!S15+FFD!S15+EN_PIG!S15</f>
        <v>5</v>
      </c>
      <c r="T15" s="146">
        <f>FR!T15+FFD!T15+EN_PIG!T15</f>
        <v>8</v>
      </c>
      <c r="U15" s="146">
        <f>FR!U15+FFD!U15+EN_PIG!U15</f>
        <v>7</v>
      </c>
      <c r="V15" s="146">
        <f>FR!V15+FFD!V15+EN_PIG!V15</f>
        <v>12</v>
      </c>
      <c r="W15" s="146">
        <f>FR!W15+FFD!W15+EN_PIG!W15</f>
        <v>13</v>
      </c>
      <c r="X15" s="146">
        <f>FR!X15+FFD!X15+EN_PIG!X15</f>
        <v>9</v>
      </c>
      <c r="Y15" s="146">
        <f>FR!Y15+FFD!Y15+EN_PIG!Y15</f>
        <v>8</v>
      </c>
      <c r="AA15" s="55">
        <f t="shared" si="16"/>
        <v>0.99613662249321255</v>
      </c>
      <c r="AB15" s="55">
        <f t="shared" si="16"/>
        <v>0.99996782555212171</v>
      </c>
      <c r="AC15" s="55">
        <f t="shared" si="4"/>
        <v>0.99946784967881341</v>
      </c>
      <c r="AD15" s="55">
        <f t="shared" si="4"/>
        <v>0.99999999893446301</v>
      </c>
      <c r="AE15" s="55">
        <f t="shared" si="4"/>
        <v>0.99999999833166853</v>
      </c>
      <c r="AF15" s="55">
        <f t="shared" si="4"/>
        <v>0.99998494090593737</v>
      </c>
      <c r="AG15" s="55">
        <f t="shared" si="4"/>
        <v>0.9999245835069509</v>
      </c>
      <c r="AI15" s="55">
        <f t="shared" si="17"/>
        <v>9.5490464306496776E-3</v>
      </c>
      <c r="AJ15" s="55">
        <f t="shared" si="5"/>
        <v>1.6128230393566595E-4</v>
      </c>
      <c r="AK15" s="55">
        <f t="shared" si="5"/>
        <v>1.8768704542447231E-3</v>
      </c>
      <c r="AL15" s="55">
        <f t="shared" si="5"/>
        <v>1.3023531473524267E-8</v>
      </c>
      <c r="AM15" s="55">
        <f t="shared" si="5"/>
        <v>2.560116912413158E-8</v>
      </c>
      <c r="AN15" s="55">
        <f t="shared" si="5"/>
        <v>8.1533919675876531E-5</v>
      </c>
      <c r="AO15" s="55">
        <f t="shared" si="5"/>
        <v>3.1347636371899376E-4</v>
      </c>
      <c r="AQ15" s="155">
        <f t="shared" si="18"/>
        <v>2</v>
      </c>
      <c r="AR15" s="155">
        <f t="shared" si="6"/>
        <v>5</v>
      </c>
      <c r="AS15" s="155">
        <f t="shared" si="6"/>
        <v>3</v>
      </c>
      <c r="AT15" s="155">
        <f t="shared" si="6"/>
        <v>9</v>
      </c>
      <c r="AU15" s="155">
        <f t="shared" si="6"/>
        <v>9</v>
      </c>
      <c r="AV15" s="155">
        <f t="shared" si="6"/>
        <v>5</v>
      </c>
      <c r="AW15" s="155">
        <f t="shared" si="6"/>
        <v>4</v>
      </c>
      <c r="AY15" s="162">
        <f t="shared" si="19"/>
        <v>8.766002277940272</v>
      </c>
      <c r="AZ15" s="162">
        <f t="shared" si="7"/>
        <v>10.532994429149015</v>
      </c>
      <c r="BA15" s="162">
        <f t="shared" si="7"/>
        <v>11.593827056274236</v>
      </c>
      <c r="BB15" s="162">
        <f t="shared" si="7"/>
        <v>9.4333333232817687</v>
      </c>
      <c r="BC15" s="162">
        <f t="shared" si="7"/>
        <v>11.533333314091911</v>
      </c>
      <c r="BD15" s="162">
        <f t="shared" si="7"/>
        <v>12.399813267233624</v>
      </c>
      <c r="BE15" s="162">
        <f t="shared" si="7"/>
        <v>10.565869765723448</v>
      </c>
    </row>
    <row r="16" spans="1:57" x14ac:dyDescent="0.2">
      <c r="A16" s="143">
        <f t="shared" si="8"/>
        <v>7.5619047619047617</v>
      </c>
      <c r="B16" s="147">
        <f t="shared" si="20"/>
        <v>6.25E-2</v>
      </c>
      <c r="C16" s="135">
        <f>'Global LMT'!C16-'8911'!C16</f>
        <v>7.8666666666666663</v>
      </c>
      <c r="D16" s="135">
        <f>'Global LMT'!D16-'8911'!D16</f>
        <v>5.666666666666667</v>
      </c>
      <c r="E16" s="135">
        <f>'Global LMT'!E16-'8911'!E16</f>
        <v>6.6333333333333329</v>
      </c>
      <c r="F16" s="135">
        <f>'Global LMT'!F16-'8911'!F16</f>
        <v>6.7333333333333334</v>
      </c>
      <c r="G16" s="135">
        <f>'Global LMT'!G16-'8911'!G16</f>
        <v>7.7333333333333334</v>
      </c>
      <c r="H16" s="135">
        <f>'Global LMT'!H16-'8911'!H16</f>
        <v>8.6333333333333329</v>
      </c>
      <c r="I16" s="135">
        <f>'Global LMT'!I16-'8911'!I16</f>
        <v>9.6666666666666661</v>
      </c>
      <c r="K16" s="43">
        <f t="shared" si="9"/>
        <v>3</v>
      </c>
      <c r="L16" s="43">
        <f t="shared" si="10"/>
        <v>2</v>
      </c>
      <c r="M16" s="43">
        <f t="shared" si="11"/>
        <v>3</v>
      </c>
      <c r="N16" s="43">
        <f t="shared" si="12"/>
        <v>3</v>
      </c>
      <c r="O16" s="43">
        <f t="shared" si="13"/>
        <v>3</v>
      </c>
      <c r="P16" s="43">
        <f t="shared" si="14"/>
        <v>3</v>
      </c>
      <c r="Q16" s="43">
        <f t="shared" si="15"/>
        <v>3</v>
      </c>
      <c r="S16" s="146">
        <f>FR!S16+FFD!S16+EN_PIG!S16</f>
        <v>5</v>
      </c>
      <c r="T16" s="146">
        <f>FR!T16+FFD!T16+EN_PIG!T16</f>
        <v>8</v>
      </c>
      <c r="U16" s="146">
        <f>FR!U16+FFD!U16+EN_PIG!U16</f>
        <v>7</v>
      </c>
      <c r="V16" s="146">
        <f>FR!V16+FFD!V16+EN_PIG!V16</f>
        <v>12</v>
      </c>
      <c r="W16" s="146">
        <f>FR!W16+FFD!W16+EN_PIG!W16</f>
        <v>13</v>
      </c>
      <c r="X16" s="146">
        <f>FR!X16+FFD!X16+EN_PIG!X16</f>
        <v>9</v>
      </c>
      <c r="Y16" s="146">
        <f>FR!Y16+FFD!Y16+EN_PIG!Y16</f>
        <v>8</v>
      </c>
      <c r="AA16" s="55">
        <f t="shared" si="16"/>
        <v>0.99770273649313945</v>
      </c>
      <c r="AB16" s="55">
        <f t="shared" si="16"/>
        <v>0.99999962057764724</v>
      </c>
      <c r="AC16" s="55">
        <f t="shared" si="4"/>
        <v>0.99998153633110243</v>
      </c>
      <c r="AD16" s="55">
        <f t="shared" si="4"/>
        <v>0.99999999993669964</v>
      </c>
      <c r="AE16" s="55">
        <f t="shared" si="4"/>
        <v>0.99999999998755695</v>
      </c>
      <c r="AF16" s="55">
        <f t="shared" si="4"/>
        <v>0.9999985139122558</v>
      </c>
      <c r="AG16" s="55">
        <f t="shared" si="4"/>
        <v>0.99996141160197738</v>
      </c>
      <c r="AI16" s="55">
        <f t="shared" si="17"/>
        <v>5.8705684262074396E-3</v>
      </c>
      <c r="AJ16" s="55">
        <f t="shared" si="5"/>
        <v>2.2468855025001592E-6</v>
      </c>
      <c r="AK16" s="55">
        <f t="shared" si="5"/>
        <v>7.6930824366442795E-5</v>
      </c>
      <c r="AL16" s="55">
        <f t="shared" si="5"/>
        <v>8.2702653112123333E-10</v>
      </c>
      <c r="AM16" s="55">
        <f t="shared" si="5"/>
        <v>2.1817828957755154E-10</v>
      </c>
      <c r="AN16" s="55">
        <f t="shared" si="5"/>
        <v>8.8922850491981285E-6</v>
      </c>
      <c r="AO16" s="55">
        <f t="shared" si="5"/>
        <v>1.6583328323966121E-4</v>
      </c>
      <c r="AQ16" s="155">
        <f t="shared" si="18"/>
        <v>2</v>
      </c>
      <c r="AR16" s="155">
        <f t="shared" si="6"/>
        <v>6</v>
      </c>
      <c r="AS16" s="155">
        <f t="shared" si="6"/>
        <v>4</v>
      </c>
      <c r="AT16" s="155">
        <f t="shared" si="6"/>
        <v>9</v>
      </c>
      <c r="AU16" s="155">
        <f t="shared" si="6"/>
        <v>10</v>
      </c>
      <c r="AV16" s="155">
        <f t="shared" si="6"/>
        <v>6</v>
      </c>
      <c r="AW16" s="155">
        <f t="shared" si="6"/>
        <v>5</v>
      </c>
      <c r="AY16" s="162">
        <f t="shared" si="19"/>
        <v>7.8485948604126969</v>
      </c>
      <c r="AZ16" s="162">
        <f t="shared" si="7"/>
        <v>5.6666645166066676</v>
      </c>
      <c r="BA16" s="162">
        <f t="shared" si="7"/>
        <v>6.6332108576629789</v>
      </c>
      <c r="BB16" s="162">
        <f t="shared" si="7"/>
        <v>6.7333333329071108</v>
      </c>
      <c r="BC16" s="162">
        <f t="shared" si="7"/>
        <v>7.7333333332371073</v>
      </c>
      <c r="BD16" s="162">
        <f t="shared" si="7"/>
        <v>8.6333205034424747</v>
      </c>
      <c r="BE16" s="162">
        <f t="shared" si="7"/>
        <v>9.66629364548578</v>
      </c>
    </row>
    <row r="17" spans="1:57" x14ac:dyDescent="0.2">
      <c r="A17" s="143">
        <f t="shared" si="8"/>
        <v>5.0476190476190483</v>
      </c>
      <c r="B17" s="147">
        <f t="shared" si="20"/>
        <v>8.3333333333333329E-2</v>
      </c>
      <c r="C17" s="135">
        <f>'Global LMT'!C17-'8911'!C17</f>
        <v>4.833333333333333</v>
      </c>
      <c r="D17" s="135">
        <f>'Global LMT'!D17-'8911'!D17</f>
        <v>4.7666666666666666</v>
      </c>
      <c r="E17" s="135">
        <f>'Global LMT'!E17-'8911'!E17</f>
        <v>3.7</v>
      </c>
      <c r="F17" s="135">
        <f>'Global LMT'!F17-'8911'!F17</f>
        <v>4.666666666666667</v>
      </c>
      <c r="G17" s="135">
        <f>'Global LMT'!G17-'8911'!G17</f>
        <v>5.833333333333333</v>
      </c>
      <c r="H17" s="135">
        <f>'Global LMT'!H17-'8911'!H17</f>
        <v>4.7333333333333334</v>
      </c>
      <c r="I17" s="135">
        <f>'Global LMT'!I17-'8911'!I17</f>
        <v>6.8</v>
      </c>
      <c r="K17" s="43">
        <f t="shared" si="9"/>
        <v>2</v>
      </c>
      <c r="L17" s="43">
        <f t="shared" si="10"/>
        <v>2</v>
      </c>
      <c r="M17" s="43">
        <f t="shared" si="11"/>
        <v>2</v>
      </c>
      <c r="N17" s="43">
        <f t="shared" si="12"/>
        <v>2</v>
      </c>
      <c r="O17" s="43">
        <f t="shared" si="13"/>
        <v>2</v>
      </c>
      <c r="P17" s="43">
        <f t="shared" si="14"/>
        <v>2</v>
      </c>
      <c r="Q17" s="43">
        <f t="shared" si="15"/>
        <v>3</v>
      </c>
      <c r="S17" s="146">
        <f>FR!S17+FFD!S17+EN_PIG!S17</f>
        <v>4</v>
      </c>
      <c r="T17" s="146">
        <f>FR!T17+FFD!T17+EN_PIG!T17</f>
        <v>6</v>
      </c>
      <c r="U17" s="146">
        <f>FR!U17+FFD!U17+EN_PIG!U17</f>
        <v>6</v>
      </c>
      <c r="V17" s="146">
        <f>FR!V17+FFD!V17+EN_PIG!V17</f>
        <v>10</v>
      </c>
      <c r="W17" s="146">
        <f>FR!W17+FFD!W17+EN_PIG!W17</f>
        <v>11</v>
      </c>
      <c r="X17" s="146">
        <f>FR!X17+FFD!X17+EN_PIG!X17</f>
        <v>8</v>
      </c>
      <c r="Y17" s="146">
        <f>FR!Y17+FFD!Y17+EN_PIG!Y17</f>
        <v>8</v>
      </c>
      <c r="AA17" s="55">
        <f t="shared" si="16"/>
        <v>0.99739992662963228</v>
      </c>
      <c r="AB17" s="55">
        <f t="shared" si="16"/>
        <v>0.99997999840239626</v>
      </c>
      <c r="AC17" s="55">
        <f t="shared" si="4"/>
        <v>0.99999241484978363</v>
      </c>
      <c r="AD17" s="55">
        <f t="shared" si="4"/>
        <v>0.99999999943243745</v>
      </c>
      <c r="AE17" s="55">
        <f t="shared" si="4"/>
        <v>0.99999999986784072</v>
      </c>
      <c r="AF17" s="55">
        <f t="shared" si="4"/>
        <v>0.9999998267892003</v>
      </c>
      <c r="AG17" s="55">
        <f t="shared" si="4"/>
        <v>0.99999705588715404</v>
      </c>
      <c r="AI17" s="55">
        <f t="shared" si="17"/>
        <v>5.7706954085492293E-3</v>
      </c>
      <c r="AJ17" s="55">
        <f t="shared" si="5"/>
        <v>7.4674094744417834E-5</v>
      </c>
      <c r="AK17" s="55">
        <f t="shared" si="5"/>
        <v>2.7552384708297136E-5</v>
      </c>
      <c r="AL17" s="55">
        <f t="shared" si="5"/>
        <v>4.9678882834942662E-9</v>
      </c>
      <c r="AM17" s="55">
        <f t="shared" si="5"/>
        <v>1.5302074514639803E-9</v>
      </c>
      <c r="AN17" s="55">
        <f t="shared" si="5"/>
        <v>9.3895214397567075E-7</v>
      </c>
      <c r="AO17" s="55">
        <f t="shared" si="5"/>
        <v>1.3982951462664755E-5</v>
      </c>
      <c r="AQ17" s="155">
        <f t="shared" si="18"/>
        <v>2</v>
      </c>
      <c r="AR17" s="155">
        <f t="shared" si="6"/>
        <v>4</v>
      </c>
      <c r="AS17" s="155">
        <f t="shared" si="6"/>
        <v>4</v>
      </c>
      <c r="AT17" s="155">
        <f t="shared" si="6"/>
        <v>8</v>
      </c>
      <c r="AU17" s="155">
        <f t="shared" si="6"/>
        <v>9</v>
      </c>
      <c r="AV17" s="155">
        <f t="shared" si="6"/>
        <v>6</v>
      </c>
      <c r="AW17" s="155">
        <f t="shared" si="6"/>
        <v>5</v>
      </c>
      <c r="AY17" s="162">
        <f t="shared" si="19"/>
        <v>4.8207663120432223</v>
      </c>
      <c r="AZ17" s="162">
        <f t="shared" si="7"/>
        <v>4.7665713257180888</v>
      </c>
      <c r="BA17" s="162">
        <f t="shared" si="7"/>
        <v>3.6999719349441995</v>
      </c>
      <c r="BB17" s="162">
        <f t="shared" si="7"/>
        <v>4.6666666640180416</v>
      </c>
      <c r="BC17" s="162">
        <f t="shared" si="7"/>
        <v>5.8333333325624039</v>
      </c>
      <c r="BD17" s="162">
        <f t="shared" si="7"/>
        <v>4.7333325134688815</v>
      </c>
      <c r="BE17" s="162">
        <f t="shared" si="7"/>
        <v>6.7999799800326475</v>
      </c>
    </row>
    <row r="18" spans="1:57" x14ac:dyDescent="0.2">
      <c r="A18" s="143">
        <f t="shared" si="8"/>
        <v>4.8095238095238093</v>
      </c>
      <c r="B18" s="147">
        <f t="shared" si="20"/>
        <v>0.10416666666666666</v>
      </c>
      <c r="C18" s="135">
        <f>'Global LMT'!C18-'8911'!C18</f>
        <v>4.7333333333333334</v>
      </c>
      <c r="D18" s="135">
        <f>'Global LMT'!D18-'8911'!D18</f>
        <v>4.9000000000000004</v>
      </c>
      <c r="E18" s="135">
        <f>'Global LMT'!E18-'8911'!E18</f>
        <v>3.8333333333333335</v>
      </c>
      <c r="F18" s="135">
        <f>'Global LMT'!F18-'8911'!F18</f>
        <v>3.7333333333333334</v>
      </c>
      <c r="G18" s="135">
        <f>'Global LMT'!G18-'8911'!G18</f>
        <v>4.8666666666666663</v>
      </c>
      <c r="H18" s="135">
        <f>'Global LMT'!H18-'8911'!H18</f>
        <v>5.8</v>
      </c>
      <c r="I18" s="135">
        <f>'Global LMT'!I18-'8911'!I18</f>
        <v>5.8</v>
      </c>
      <c r="K18" s="43">
        <f t="shared" si="9"/>
        <v>2</v>
      </c>
      <c r="L18" s="43">
        <f t="shared" si="10"/>
        <v>2</v>
      </c>
      <c r="M18" s="43">
        <f t="shared" si="11"/>
        <v>2</v>
      </c>
      <c r="N18" s="43">
        <f t="shared" si="12"/>
        <v>2</v>
      </c>
      <c r="O18" s="43">
        <f t="shared" si="13"/>
        <v>2</v>
      </c>
      <c r="P18" s="43">
        <f t="shared" si="14"/>
        <v>2</v>
      </c>
      <c r="Q18" s="43">
        <f t="shared" si="15"/>
        <v>3</v>
      </c>
      <c r="S18" s="146">
        <f>FR!S18+FFD!S18+EN_PIG!S18</f>
        <v>4</v>
      </c>
      <c r="T18" s="146">
        <f>FR!T18+FFD!T18+EN_PIG!T18</f>
        <v>6</v>
      </c>
      <c r="U18" s="146">
        <f>FR!U18+FFD!U18+EN_PIG!U18</f>
        <v>6</v>
      </c>
      <c r="V18" s="146">
        <f>FR!V18+FFD!V18+EN_PIG!V18</f>
        <v>10</v>
      </c>
      <c r="W18" s="146">
        <f>FR!W18+FFD!W18+EN_PIG!W18</f>
        <v>11</v>
      </c>
      <c r="X18" s="146">
        <f>FR!X18+FFD!X18+EN_PIG!X18</f>
        <v>8</v>
      </c>
      <c r="Y18" s="146">
        <f>FR!Y18+FFD!Y18+EN_PIG!Y18</f>
        <v>8</v>
      </c>
      <c r="AA18" s="55">
        <f t="shared" si="16"/>
        <v>0.99739992662963228</v>
      </c>
      <c r="AB18" s="55">
        <f t="shared" si="16"/>
        <v>0.99997999840239626</v>
      </c>
      <c r="AC18" s="55">
        <f t="shared" si="4"/>
        <v>0.99999241484978363</v>
      </c>
      <c r="AD18" s="55">
        <f t="shared" si="4"/>
        <v>0.99999999993304478</v>
      </c>
      <c r="AE18" s="55">
        <f t="shared" si="4"/>
        <v>0.99999999998050748</v>
      </c>
      <c r="AF18" s="55">
        <f t="shared" si="4"/>
        <v>0.99999931956914978</v>
      </c>
      <c r="AG18" s="55">
        <f t="shared" si="4"/>
        <v>0.99999905732870042</v>
      </c>
      <c r="AI18" s="55">
        <f t="shared" si="17"/>
        <v>5.7706954085492293E-3</v>
      </c>
      <c r="AJ18" s="55">
        <f t="shared" si="5"/>
        <v>7.4674094744417834E-5</v>
      </c>
      <c r="AK18" s="55">
        <f t="shared" si="5"/>
        <v>2.7552384708297136E-5</v>
      </c>
      <c r="AL18" s="55">
        <f t="shared" si="5"/>
        <v>6.0592503786131235E-10</v>
      </c>
      <c r="AM18" s="55">
        <f t="shared" si="5"/>
        <v>2.3334364831696706E-10</v>
      </c>
      <c r="AN18" s="55">
        <f t="shared" si="5"/>
        <v>3.5675987609247369E-6</v>
      </c>
      <c r="AO18" s="55">
        <f t="shared" si="5"/>
        <v>4.6289358852007514E-6</v>
      </c>
      <c r="AQ18" s="155">
        <f t="shared" si="18"/>
        <v>2</v>
      </c>
      <c r="AR18" s="155">
        <f t="shared" si="6"/>
        <v>4</v>
      </c>
      <c r="AS18" s="155">
        <f t="shared" si="6"/>
        <v>4</v>
      </c>
      <c r="AT18" s="155">
        <f t="shared" si="6"/>
        <v>8</v>
      </c>
      <c r="AU18" s="155">
        <f t="shared" si="6"/>
        <v>9</v>
      </c>
      <c r="AV18" s="155">
        <f t="shared" si="6"/>
        <v>6</v>
      </c>
      <c r="AW18" s="155">
        <f t="shared" si="6"/>
        <v>5</v>
      </c>
      <c r="AY18" s="162">
        <f t="shared" si="19"/>
        <v>4.7210263193802593</v>
      </c>
      <c r="AZ18" s="162">
        <f t="shared" si="7"/>
        <v>4.8999019921717419</v>
      </c>
      <c r="BA18" s="162">
        <f t="shared" si="7"/>
        <v>3.8333042569241709</v>
      </c>
      <c r="BB18" s="162">
        <f t="shared" si="7"/>
        <v>3.7333333330833671</v>
      </c>
      <c r="BC18" s="162">
        <f t="shared" si="7"/>
        <v>4.8666666665718026</v>
      </c>
      <c r="BD18" s="162">
        <f t="shared" si="7"/>
        <v>5.7999960535010686</v>
      </c>
      <c r="BE18" s="162">
        <f t="shared" si="7"/>
        <v>5.7999945325064619</v>
      </c>
    </row>
    <row r="19" spans="1:57" x14ac:dyDescent="0.2">
      <c r="A19" s="143">
        <f t="shared" si="8"/>
        <v>4.0142857142857142</v>
      </c>
      <c r="B19" s="147">
        <f t="shared" si="20"/>
        <v>0.12499999999999999</v>
      </c>
      <c r="C19" s="135">
        <f>'Global LMT'!C19-'8911'!C19</f>
        <v>2.7666666666666666</v>
      </c>
      <c r="D19" s="135">
        <f>'Global LMT'!D19-'8911'!D19</f>
        <v>4.8666666666666663</v>
      </c>
      <c r="E19" s="135">
        <f>'Global LMT'!E19-'8911'!E19</f>
        <v>4</v>
      </c>
      <c r="F19" s="135">
        <f>'Global LMT'!F19-'8911'!F19</f>
        <v>3.7333333333333334</v>
      </c>
      <c r="G19" s="135">
        <f>'Global LMT'!G19-'8911'!G19</f>
        <v>4.8666666666666663</v>
      </c>
      <c r="H19" s="135">
        <f>'Global LMT'!H19-'8911'!H19</f>
        <v>3.9333333333333331</v>
      </c>
      <c r="I19" s="135">
        <f>'Global LMT'!I19-'8911'!I19</f>
        <v>3.9333333333333331</v>
      </c>
      <c r="K19" s="43">
        <f t="shared" si="9"/>
        <v>2</v>
      </c>
      <c r="L19" s="43">
        <f t="shared" si="10"/>
        <v>2</v>
      </c>
      <c r="M19" s="43">
        <f t="shared" si="11"/>
        <v>2</v>
      </c>
      <c r="N19" s="43">
        <f t="shared" si="12"/>
        <v>2</v>
      </c>
      <c r="O19" s="43">
        <f t="shared" si="13"/>
        <v>2</v>
      </c>
      <c r="P19" s="43">
        <f t="shared" si="14"/>
        <v>2</v>
      </c>
      <c r="Q19" s="43">
        <f t="shared" si="15"/>
        <v>2</v>
      </c>
      <c r="S19" s="146">
        <f>FR!S19+FFD!S19+EN_PIG!S19</f>
        <v>5</v>
      </c>
      <c r="T19" s="146">
        <f>FR!T19+FFD!T19+EN_PIG!T19</f>
        <v>4</v>
      </c>
      <c r="U19" s="146">
        <f>FR!U19+FFD!U19+EN_PIG!U19</f>
        <v>5</v>
      </c>
      <c r="V19" s="146">
        <f>FR!V19+FFD!V19+EN_PIG!V19</f>
        <v>10</v>
      </c>
      <c r="W19" s="146">
        <f>FR!W19+FFD!W19+EN_PIG!W19</f>
        <v>8</v>
      </c>
      <c r="X19" s="146">
        <f>FR!X19+FFD!X19+EN_PIG!X19</f>
        <v>7</v>
      </c>
      <c r="Y19" s="146">
        <f>FR!Y19+FFD!Y19+EN_PIG!Y19</f>
        <v>7</v>
      </c>
      <c r="AA19" s="55">
        <f t="shared" si="16"/>
        <v>0.9999755392233286</v>
      </c>
      <c r="AB19" s="55">
        <f t="shared" si="16"/>
        <v>0.99768708300243747</v>
      </c>
      <c r="AC19" s="55">
        <f t="shared" si="4"/>
        <v>0.99989519375594071</v>
      </c>
      <c r="AD19" s="55">
        <f t="shared" si="4"/>
        <v>0.99999999993304478</v>
      </c>
      <c r="AE19" s="55">
        <f t="shared" si="4"/>
        <v>0.99999987698798964</v>
      </c>
      <c r="AF19" s="55">
        <f t="shared" si="4"/>
        <v>0.99999943481304809</v>
      </c>
      <c r="AG19" s="55">
        <f t="shared" si="4"/>
        <v>0.99999924375029348</v>
      </c>
      <c r="AI19" s="55">
        <f t="shared" si="17"/>
        <v>7.3845153395352351E-5</v>
      </c>
      <c r="AJ19" s="55">
        <f t="shared" si="5"/>
        <v>5.2654573212292735E-3</v>
      </c>
      <c r="AK19" s="55">
        <f t="shared" si="5"/>
        <v>3.0030692161161501E-4</v>
      </c>
      <c r="AL19" s="55">
        <f t="shared" si="5"/>
        <v>6.0592503786131235E-10</v>
      </c>
      <c r="AM19" s="55">
        <f t="shared" si="5"/>
        <v>7.1499110681377945E-7</v>
      </c>
      <c r="AN19" s="55">
        <f t="shared" si="5"/>
        <v>2.5114858628927513E-6</v>
      </c>
      <c r="AO19" s="55">
        <f t="shared" si="5"/>
        <v>3.1731572385042197E-6</v>
      </c>
      <c r="AQ19" s="155">
        <f t="shared" si="18"/>
        <v>3</v>
      </c>
      <c r="AR19" s="155">
        <f t="shared" si="6"/>
        <v>2</v>
      </c>
      <c r="AS19" s="155">
        <f t="shared" si="6"/>
        <v>3</v>
      </c>
      <c r="AT19" s="155">
        <f t="shared" si="6"/>
        <v>8</v>
      </c>
      <c r="AU19" s="155">
        <f t="shared" si="6"/>
        <v>6</v>
      </c>
      <c r="AV19" s="155">
        <f t="shared" si="6"/>
        <v>5</v>
      </c>
      <c r="AW19" s="155">
        <f t="shared" si="6"/>
        <v>5</v>
      </c>
      <c r="AY19" s="162">
        <f t="shared" si="19"/>
        <v>2.7665989918512093</v>
      </c>
      <c r="AZ19" s="162">
        <f t="shared" si="7"/>
        <v>4.8554104706118624</v>
      </c>
      <c r="BA19" s="162">
        <f t="shared" si="7"/>
        <v>3.9995807750237629</v>
      </c>
      <c r="BB19" s="162">
        <f t="shared" si="7"/>
        <v>3.7333333330833671</v>
      </c>
      <c r="BC19" s="162">
        <f t="shared" si="7"/>
        <v>4.8666660680082154</v>
      </c>
      <c r="BD19" s="162">
        <f t="shared" si="7"/>
        <v>3.9333311102646555</v>
      </c>
      <c r="BE19" s="162">
        <f t="shared" si="7"/>
        <v>3.9333303587511543</v>
      </c>
    </row>
    <row r="20" spans="1:57" x14ac:dyDescent="0.2">
      <c r="A20" s="143">
        <f t="shared" si="8"/>
        <v>4.6095238095238091</v>
      </c>
      <c r="B20" s="147">
        <f t="shared" si="20"/>
        <v>0.14583333333333331</v>
      </c>
      <c r="C20" s="135">
        <f>'Global LMT'!C20-'8911'!C20</f>
        <v>3.8666666666666667</v>
      </c>
      <c r="D20" s="135">
        <f>'Global LMT'!D20-'8911'!D20</f>
        <v>3.8333333333333335</v>
      </c>
      <c r="E20" s="135">
        <f>'Global LMT'!E20-'8911'!E20</f>
        <v>6</v>
      </c>
      <c r="F20" s="135">
        <f>'Global LMT'!F20-'8911'!F20</f>
        <v>4.8666666666666663</v>
      </c>
      <c r="G20" s="135">
        <f>'Global LMT'!G20-'8911'!G20</f>
        <v>3.8333333333333335</v>
      </c>
      <c r="H20" s="135">
        <f>'Global LMT'!H20-'8911'!H20</f>
        <v>4.9333333333333336</v>
      </c>
      <c r="I20" s="135">
        <f>'Global LMT'!I20-'8911'!I20</f>
        <v>4.9333333333333336</v>
      </c>
      <c r="K20" s="43">
        <f t="shared" si="9"/>
        <v>2</v>
      </c>
      <c r="L20" s="43">
        <f t="shared" si="10"/>
        <v>2</v>
      </c>
      <c r="M20" s="43">
        <f t="shared" si="11"/>
        <v>2</v>
      </c>
      <c r="N20" s="43">
        <f t="shared" si="12"/>
        <v>2</v>
      </c>
      <c r="O20" s="43">
        <f t="shared" si="13"/>
        <v>2</v>
      </c>
      <c r="P20" s="43">
        <f t="shared" si="14"/>
        <v>2</v>
      </c>
      <c r="Q20" s="43">
        <f t="shared" si="15"/>
        <v>2</v>
      </c>
      <c r="S20" s="146">
        <f>FR!S20+FFD!S20+EN_PIG!S20</f>
        <v>5</v>
      </c>
      <c r="T20" s="146">
        <f>FR!T20+FFD!T20+EN_PIG!T20</f>
        <v>4</v>
      </c>
      <c r="U20" s="146">
        <f>FR!U20+FFD!U20+EN_PIG!U20</f>
        <v>5</v>
      </c>
      <c r="V20" s="146">
        <f>FR!V20+FFD!V20+EN_PIG!V20</f>
        <v>10</v>
      </c>
      <c r="W20" s="146">
        <f>FR!W20+FFD!W20+EN_PIG!W20</f>
        <v>8</v>
      </c>
      <c r="X20" s="146">
        <f>FR!X20+FFD!X20+EN_PIG!X20</f>
        <v>7</v>
      </c>
      <c r="Y20" s="146">
        <f>FR!Y20+FFD!Y20+EN_PIG!Y20</f>
        <v>7</v>
      </c>
      <c r="AA20" s="55">
        <f t="shared" si="16"/>
        <v>0.9999043095365876</v>
      </c>
      <c r="AB20" s="55">
        <f t="shared" si="16"/>
        <v>0.99899216833611171</v>
      </c>
      <c r="AC20" s="55">
        <f t="shared" si="4"/>
        <v>0.99931431458476583</v>
      </c>
      <c r="AD20" s="55">
        <f t="shared" si="4"/>
        <v>0.99999999943243745</v>
      </c>
      <c r="AE20" s="55">
        <f t="shared" si="4"/>
        <v>0.99999997750153657</v>
      </c>
      <c r="AF20" s="55">
        <f t="shared" si="4"/>
        <v>0.99999753119233237</v>
      </c>
      <c r="AG20" s="55">
        <f t="shared" si="4"/>
        <v>0.99999671091421127</v>
      </c>
      <c r="AI20" s="55">
        <f t="shared" si="17"/>
        <v>2.794112765723492E-4</v>
      </c>
      <c r="AJ20" s="55">
        <f t="shared" si="5"/>
        <v>2.3721411686044684E-3</v>
      </c>
      <c r="AK20" s="55">
        <f t="shared" si="5"/>
        <v>1.8380195701569227E-3</v>
      </c>
      <c r="AL20" s="55">
        <f t="shared" si="5"/>
        <v>4.9678882834942662E-9</v>
      </c>
      <c r="AM20" s="55">
        <f t="shared" si="5"/>
        <v>1.3520179735141748E-7</v>
      </c>
      <c r="AN20" s="55">
        <f t="shared" si="5"/>
        <v>1.0610830709106267E-5</v>
      </c>
      <c r="AO20" s="55">
        <f t="shared" si="5"/>
        <v>1.3348273375704859E-5</v>
      </c>
      <c r="AQ20" s="155">
        <f t="shared" si="18"/>
        <v>3</v>
      </c>
      <c r="AR20" s="155">
        <f t="shared" si="6"/>
        <v>2</v>
      </c>
      <c r="AS20" s="155">
        <f t="shared" si="6"/>
        <v>3</v>
      </c>
      <c r="AT20" s="155">
        <f t="shared" si="6"/>
        <v>8</v>
      </c>
      <c r="AU20" s="155">
        <f t="shared" si="6"/>
        <v>6</v>
      </c>
      <c r="AV20" s="155">
        <f t="shared" si="6"/>
        <v>5</v>
      </c>
      <c r="AW20" s="155">
        <f t="shared" si="6"/>
        <v>5</v>
      </c>
      <c r="AY20" s="162">
        <f t="shared" si="19"/>
        <v>3.8662966635414722</v>
      </c>
      <c r="AZ20" s="162">
        <f t="shared" si="7"/>
        <v>3.8294699786217619</v>
      </c>
      <c r="BA20" s="162">
        <f t="shared" si="7"/>
        <v>5.995885887508595</v>
      </c>
      <c r="BB20" s="162">
        <f t="shared" si="7"/>
        <v>4.8666666639045282</v>
      </c>
      <c r="BC20" s="162">
        <f t="shared" si="7"/>
        <v>3.8333332470892238</v>
      </c>
      <c r="BD20" s="162">
        <f t="shared" si="7"/>
        <v>4.9333211538821731</v>
      </c>
      <c r="BE20" s="162">
        <f t="shared" si="7"/>
        <v>4.9333171071767756</v>
      </c>
    </row>
    <row r="21" spans="1:57" x14ac:dyDescent="0.2">
      <c r="A21" s="143">
        <f t="shared" si="8"/>
        <v>4.5952380952380958</v>
      </c>
      <c r="B21" s="147">
        <f t="shared" si="20"/>
        <v>0.16666666666666666</v>
      </c>
      <c r="C21" s="135">
        <f>'Global LMT'!C21-'8911'!C21</f>
        <v>5</v>
      </c>
      <c r="D21" s="135">
        <f>'Global LMT'!D21-'8911'!D21</f>
        <v>2.7666666666666666</v>
      </c>
      <c r="E21" s="135">
        <f>'Global LMT'!E21-'8911'!E21</f>
        <v>4.9666666666666668</v>
      </c>
      <c r="F21" s="135">
        <f>'Global LMT'!F21-'8911'!F21</f>
        <v>4.8666666666666663</v>
      </c>
      <c r="G21" s="135">
        <f>'Global LMT'!G21-'8911'!G21</f>
        <v>4.6333333333333329</v>
      </c>
      <c r="H21" s="135">
        <f>'Global LMT'!H21-'8911'!H21</f>
        <v>4.9666666666666668</v>
      </c>
      <c r="I21" s="135">
        <f>'Global LMT'!I21-'8911'!I21</f>
        <v>4.9666666666666668</v>
      </c>
      <c r="K21" s="43">
        <f t="shared" si="9"/>
        <v>2</v>
      </c>
      <c r="L21" s="43">
        <f t="shared" si="10"/>
        <v>2</v>
      </c>
      <c r="M21" s="43">
        <f t="shared" si="11"/>
        <v>2</v>
      </c>
      <c r="N21" s="43">
        <f t="shared" si="12"/>
        <v>2</v>
      </c>
      <c r="O21" s="43">
        <f t="shared" si="13"/>
        <v>2</v>
      </c>
      <c r="P21" s="43">
        <f t="shared" si="14"/>
        <v>2</v>
      </c>
      <c r="Q21" s="43">
        <f t="shared" si="15"/>
        <v>2</v>
      </c>
      <c r="S21" s="146">
        <f>FR!S21+FFD!S21+EN_PIG!S21</f>
        <v>4</v>
      </c>
      <c r="T21" s="146">
        <f>FR!T21+FFD!T21+EN_PIG!T21</f>
        <v>5</v>
      </c>
      <c r="U21" s="146">
        <f>FR!U21+FFD!U21+EN_PIG!U21</f>
        <v>5</v>
      </c>
      <c r="V21" s="146">
        <f>FR!V21+FFD!V21+EN_PIG!V21</f>
        <v>11</v>
      </c>
      <c r="W21" s="146">
        <f>FR!W21+FFD!W21+EN_PIG!W21</f>
        <v>9</v>
      </c>
      <c r="X21" s="146">
        <f>FR!X21+FFD!X21+EN_PIG!X21</f>
        <v>8</v>
      </c>
      <c r="Y21" s="146">
        <f>FR!Y21+FFD!Y21+EN_PIG!Y21</f>
        <v>7</v>
      </c>
      <c r="AA21" s="55">
        <f t="shared" si="16"/>
        <v>0.99739992662963228</v>
      </c>
      <c r="AB21" s="55">
        <f t="shared" si="16"/>
        <v>0.99997901992721139</v>
      </c>
      <c r="AC21" s="55">
        <f t="shared" si="4"/>
        <v>0.9997032770163824</v>
      </c>
      <c r="AD21" s="55">
        <f t="shared" si="4"/>
        <v>0.99999999997105937</v>
      </c>
      <c r="AE21" s="55">
        <f t="shared" si="4"/>
        <v>0.99999999264297645</v>
      </c>
      <c r="AF21" s="55">
        <f t="shared" si="4"/>
        <v>0.9999998267892003</v>
      </c>
      <c r="AG21" s="55">
        <f t="shared" si="4"/>
        <v>0.99999671091421127</v>
      </c>
      <c r="AI21" s="55">
        <f t="shared" si="17"/>
        <v>5.7706954085492293E-3</v>
      </c>
      <c r="AJ21" s="55">
        <f t="shared" si="5"/>
        <v>6.5380858818565879E-5</v>
      </c>
      <c r="AK21" s="55">
        <f t="shared" si="5"/>
        <v>8.2234279034394989E-4</v>
      </c>
      <c r="AL21" s="55">
        <f t="shared" si="5"/>
        <v>3.1997802514925792E-10</v>
      </c>
      <c r="AM21" s="55">
        <f t="shared" si="5"/>
        <v>5.4406052068791471E-8</v>
      </c>
      <c r="AN21" s="55">
        <f t="shared" si="5"/>
        <v>9.3895214397567075E-7</v>
      </c>
      <c r="AO21" s="55">
        <f t="shared" si="5"/>
        <v>1.3348273375704859E-5</v>
      </c>
      <c r="AQ21" s="155">
        <f t="shared" si="18"/>
        <v>2</v>
      </c>
      <c r="AR21" s="155">
        <f t="shared" si="6"/>
        <v>3</v>
      </c>
      <c r="AS21" s="155">
        <f t="shared" si="6"/>
        <v>3</v>
      </c>
      <c r="AT21" s="155">
        <f t="shared" si="6"/>
        <v>9</v>
      </c>
      <c r="AU21" s="155">
        <f t="shared" si="6"/>
        <v>7</v>
      </c>
      <c r="AV21" s="155">
        <f t="shared" si="6"/>
        <v>6</v>
      </c>
      <c r="AW21" s="155">
        <f t="shared" si="6"/>
        <v>5</v>
      </c>
      <c r="AY21" s="162">
        <f t="shared" si="19"/>
        <v>4.9869996331481614</v>
      </c>
      <c r="AZ21" s="162">
        <f t="shared" si="7"/>
        <v>2.7666086217986181</v>
      </c>
      <c r="BA21" s="162">
        <f t="shared" si="7"/>
        <v>4.9651929425146992</v>
      </c>
      <c r="BB21" s="162">
        <f t="shared" si="7"/>
        <v>4.8666666665258216</v>
      </c>
      <c r="BC21" s="162">
        <f t="shared" si="7"/>
        <v>4.6333332992457903</v>
      </c>
      <c r="BD21" s="162">
        <f t="shared" si="7"/>
        <v>4.966665806386362</v>
      </c>
      <c r="BE21" s="162">
        <f t="shared" si="7"/>
        <v>4.9666503308739163</v>
      </c>
    </row>
    <row r="22" spans="1:57" x14ac:dyDescent="0.2">
      <c r="A22" s="143">
        <f t="shared" si="8"/>
        <v>5.8619047619047615</v>
      </c>
      <c r="B22" s="147">
        <f t="shared" si="20"/>
        <v>0.1875</v>
      </c>
      <c r="C22" s="135">
        <f>'Global LMT'!C22-'8911'!C22</f>
        <v>5.9333333333333336</v>
      </c>
      <c r="D22" s="135">
        <f>'Global LMT'!D22-'8911'!D22</f>
        <v>5.833333333333333</v>
      </c>
      <c r="E22" s="135">
        <f>'Global LMT'!E22-'8911'!E22</f>
        <v>4.9666666666666668</v>
      </c>
      <c r="F22" s="135">
        <f>'Global LMT'!F22-'8911'!F22</f>
        <v>6.9</v>
      </c>
      <c r="G22" s="135">
        <f>'Global LMT'!G22-'8911'!G22</f>
        <v>6.5</v>
      </c>
      <c r="H22" s="135">
        <f>'Global LMT'!H22-'8911'!H22</f>
        <v>4.9333333333333336</v>
      </c>
      <c r="I22" s="135">
        <f>'Global LMT'!I22-'8911'!I22</f>
        <v>5.9666666666666668</v>
      </c>
      <c r="K22" s="43">
        <f t="shared" si="9"/>
        <v>2</v>
      </c>
      <c r="L22" s="43">
        <f t="shared" si="10"/>
        <v>2</v>
      </c>
      <c r="M22" s="43">
        <f t="shared" si="11"/>
        <v>2</v>
      </c>
      <c r="N22" s="43">
        <f t="shared" si="12"/>
        <v>3</v>
      </c>
      <c r="O22" s="43">
        <f t="shared" si="13"/>
        <v>2</v>
      </c>
      <c r="P22" s="43">
        <f t="shared" si="14"/>
        <v>2</v>
      </c>
      <c r="Q22" s="43">
        <f t="shared" si="15"/>
        <v>3</v>
      </c>
      <c r="S22" s="146">
        <f>FR!S22+FFD!S22+EN_PIG!S22</f>
        <v>4</v>
      </c>
      <c r="T22" s="146">
        <f>FR!T22+FFD!T22+EN_PIG!T22</f>
        <v>5</v>
      </c>
      <c r="U22" s="146">
        <f>FR!U22+FFD!U22+EN_PIG!U22</f>
        <v>5</v>
      </c>
      <c r="V22" s="146">
        <f>FR!V22+FFD!V22+EN_PIG!V22</f>
        <v>11</v>
      </c>
      <c r="W22" s="146">
        <f>FR!W22+FFD!W22+EN_PIG!W22</f>
        <v>9</v>
      </c>
      <c r="X22" s="146">
        <f>FR!X22+FFD!X22+EN_PIG!X22</f>
        <v>8</v>
      </c>
      <c r="Y22" s="146">
        <f>FR!Y22+FFD!Y22+EN_PIG!Y22</f>
        <v>7</v>
      </c>
      <c r="AA22" s="55">
        <f t="shared" si="16"/>
        <v>0.99493580063435538</v>
      </c>
      <c r="AB22" s="55">
        <f t="shared" si="16"/>
        <v>0.99945704200920471</v>
      </c>
      <c r="AC22" s="55">
        <f t="shared" si="4"/>
        <v>0.9997032770163824</v>
      </c>
      <c r="AD22" s="55">
        <f t="shared" si="4"/>
        <v>0.99999999903138914</v>
      </c>
      <c r="AE22" s="55">
        <f t="shared" si="4"/>
        <v>0.99999996524672541</v>
      </c>
      <c r="AF22" s="55">
        <f t="shared" si="4"/>
        <v>0.9999998267892003</v>
      </c>
      <c r="AG22" s="55">
        <f t="shared" si="4"/>
        <v>0.99998924452446847</v>
      </c>
      <c r="AI22" s="55">
        <f t="shared" si="17"/>
        <v>1.0871184345280073E-2</v>
      </c>
      <c r="AJ22" s="55">
        <f t="shared" si="5"/>
        <v>1.5310184040830891E-3</v>
      </c>
      <c r="AK22" s="55">
        <f t="shared" si="5"/>
        <v>8.2234279034394989E-4</v>
      </c>
      <c r="AL22" s="55">
        <f t="shared" si="5"/>
        <v>1.0018633400544946E-8</v>
      </c>
      <c r="AM22" s="55">
        <f t="shared" si="5"/>
        <v>2.4857893017163228E-7</v>
      </c>
      <c r="AN22" s="55">
        <f t="shared" si="5"/>
        <v>9.3895214397567075E-7</v>
      </c>
      <c r="AO22" s="55">
        <f t="shared" si="5"/>
        <v>4.2218521982061037E-5</v>
      </c>
      <c r="AQ22" s="155">
        <f t="shared" si="18"/>
        <v>2</v>
      </c>
      <c r="AR22" s="155">
        <f t="shared" si="6"/>
        <v>3</v>
      </c>
      <c r="AS22" s="155">
        <f t="shared" si="6"/>
        <v>3</v>
      </c>
      <c r="AT22" s="155">
        <f t="shared" si="6"/>
        <v>8</v>
      </c>
      <c r="AU22" s="155">
        <f t="shared" si="6"/>
        <v>7</v>
      </c>
      <c r="AV22" s="155">
        <f t="shared" si="6"/>
        <v>6</v>
      </c>
      <c r="AW22" s="155">
        <f t="shared" si="6"/>
        <v>4</v>
      </c>
      <c r="AY22" s="162">
        <f t="shared" si="19"/>
        <v>5.9032857504305092</v>
      </c>
      <c r="AZ22" s="162">
        <f t="shared" si="7"/>
        <v>5.8301660783870268</v>
      </c>
      <c r="BA22" s="162">
        <f t="shared" si="7"/>
        <v>4.9651929425146992</v>
      </c>
      <c r="BB22" s="162">
        <f t="shared" si="7"/>
        <v>6.8999999933165856</v>
      </c>
      <c r="BC22" s="162">
        <f t="shared" si="7"/>
        <v>6.4999997741037152</v>
      </c>
      <c r="BD22" s="162">
        <f t="shared" si="7"/>
        <v>4.9333324788267214</v>
      </c>
      <c r="BE22" s="162">
        <f t="shared" si="7"/>
        <v>5.9666024923293284</v>
      </c>
    </row>
    <row r="23" spans="1:57" x14ac:dyDescent="0.2">
      <c r="A23" s="143">
        <f t="shared" si="8"/>
        <v>12.442857142857145</v>
      </c>
      <c r="B23" s="147">
        <f t="shared" si="20"/>
        <v>0.20833333333333334</v>
      </c>
      <c r="C23" s="135">
        <f>'Global LMT'!C23-'8911'!C23</f>
        <v>13.833333333333334</v>
      </c>
      <c r="D23" s="135">
        <f>'Global LMT'!D23-'8911'!D23</f>
        <v>10.566666666666666</v>
      </c>
      <c r="E23" s="135">
        <f>'Global LMT'!E23-'8911'!E23</f>
        <v>12.833333333333334</v>
      </c>
      <c r="F23" s="135">
        <f>'Global LMT'!F23-'8911'!F23</f>
        <v>12.833333333333334</v>
      </c>
      <c r="G23" s="135">
        <f>'Global LMT'!G23-'8911'!G23</f>
        <v>13.1</v>
      </c>
      <c r="H23" s="135">
        <f>'Global LMT'!H23-'8911'!H23</f>
        <v>10.933333333333334</v>
      </c>
      <c r="I23" s="135">
        <f>'Global LMT'!I23-'8911'!I23</f>
        <v>13</v>
      </c>
      <c r="K23" s="43">
        <f>AgentsRequired(C23,$B$10,K$10,$C$4,$C$6,$C$2,$C$8)</f>
        <v>4</v>
      </c>
      <c r="L23" s="43">
        <f t="shared" si="10"/>
        <v>3</v>
      </c>
      <c r="M23" s="43">
        <f t="shared" si="11"/>
        <v>4</v>
      </c>
      <c r="N23" s="43">
        <f t="shared" si="12"/>
        <v>4</v>
      </c>
      <c r="O23" s="43">
        <f t="shared" si="13"/>
        <v>4</v>
      </c>
      <c r="P23" s="43">
        <f t="shared" si="14"/>
        <v>3</v>
      </c>
      <c r="Q23" s="43">
        <f t="shared" si="15"/>
        <v>4</v>
      </c>
      <c r="S23" s="146">
        <f>FR!S23+FFD!S23+EN_PIG!S23</f>
        <v>6</v>
      </c>
      <c r="T23" s="146">
        <f>FR!T23+FFD!T23+EN_PIG!T23</f>
        <v>9</v>
      </c>
      <c r="U23" s="146">
        <f>FR!U23+FFD!U23+EN_PIG!U23</f>
        <v>7</v>
      </c>
      <c r="V23" s="146">
        <f>FR!V23+FFD!V23+EN_PIG!V23</f>
        <v>12</v>
      </c>
      <c r="W23" s="146">
        <f>FR!W23+FFD!W23+EN_PIG!W23</f>
        <v>12</v>
      </c>
      <c r="X23" s="146">
        <f>FR!X23+FFD!X23+EN_PIG!X23</f>
        <v>10</v>
      </c>
      <c r="Y23" s="146">
        <f>FR!Y23+FFD!Y23+EN_PIG!Y23</f>
        <v>8</v>
      </c>
      <c r="AA23" s="55">
        <f t="shared" si="16"/>
        <v>0.99414865210555448</v>
      </c>
      <c r="AB23" s="55">
        <f t="shared" si="16"/>
        <v>0.99999596346926656</v>
      </c>
      <c r="AC23" s="55">
        <f t="shared" si="4"/>
        <v>0.99914013874567542</v>
      </c>
      <c r="AD23" s="55">
        <f t="shared" si="4"/>
        <v>0.99999994005162351</v>
      </c>
      <c r="AE23" s="55">
        <f t="shared" si="4"/>
        <v>0.99999995989764112</v>
      </c>
      <c r="AF23" s="55">
        <f t="shared" si="4"/>
        <v>0.99999907589890547</v>
      </c>
      <c r="AG23" s="55">
        <f t="shared" si="4"/>
        <v>0.99976103986876952</v>
      </c>
      <c r="AI23" s="55">
        <f t="shared" si="17"/>
        <v>1.5578391181720719E-2</v>
      </c>
      <c r="AJ23" s="55">
        <f t="shared" si="5"/>
        <v>2.5911854413585933E-5</v>
      </c>
      <c r="AK23" s="55">
        <f t="shared" si="5"/>
        <v>2.9332688230698191E-3</v>
      </c>
      <c r="AL23" s="55">
        <f t="shared" si="5"/>
        <v>6.4125645112466832E-7</v>
      </c>
      <c r="AM23" s="55">
        <f t="shared" si="5"/>
        <v>4.6782017847285596E-7</v>
      </c>
      <c r="AN23" s="55">
        <f t="shared" si="5"/>
        <v>6.524418427396584E-6</v>
      </c>
      <c r="AO23" s="55">
        <f t="shared" si="5"/>
        <v>9.2920374107332421E-4</v>
      </c>
      <c r="AQ23" s="155">
        <f t="shared" si="18"/>
        <v>2</v>
      </c>
      <c r="AR23" s="155">
        <f t="shared" si="6"/>
        <v>6</v>
      </c>
      <c r="AS23" s="155">
        <f t="shared" si="6"/>
        <v>3</v>
      </c>
      <c r="AT23" s="155">
        <f t="shared" si="6"/>
        <v>8</v>
      </c>
      <c r="AU23" s="155">
        <f t="shared" si="6"/>
        <v>8</v>
      </c>
      <c r="AV23" s="155">
        <f t="shared" si="6"/>
        <v>7</v>
      </c>
      <c r="AW23" s="155">
        <f t="shared" si="6"/>
        <v>4</v>
      </c>
      <c r="AY23" s="162">
        <f t="shared" si="19"/>
        <v>13.752389687460171</v>
      </c>
      <c r="AZ23" s="162">
        <f t="shared" si="7"/>
        <v>10.566624013991916</v>
      </c>
      <c r="BA23" s="162">
        <f t="shared" si="7"/>
        <v>12.822298447236168</v>
      </c>
      <c r="BB23" s="162">
        <f t="shared" si="7"/>
        <v>12.833332563995835</v>
      </c>
      <c r="BC23" s="162">
        <f t="shared" si="7"/>
        <v>13.099999474659098</v>
      </c>
      <c r="BD23" s="162">
        <f t="shared" si="7"/>
        <v>10.933323229828034</v>
      </c>
      <c r="BE23" s="162">
        <f t="shared" si="7"/>
        <v>12.996893518294003</v>
      </c>
    </row>
    <row r="24" spans="1:57" x14ac:dyDescent="0.2">
      <c r="A24" s="143">
        <f t="shared" si="8"/>
        <v>35.442857142857143</v>
      </c>
      <c r="B24" s="147">
        <f t="shared" si="20"/>
        <v>0.22916666666666669</v>
      </c>
      <c r="C24" s="135">
        <f>'Global LMT'!C24-'8911'!C24</f>
        <v>37.56666666666667</v>
      </c>
      <c r="D24" s="135">
        <f>'Global LMT'!D24-'8911'!D24</f>
        <v>35.5</v>
      </c>
      <c r="E24" s="135">
        <f>'Global LMT'!E24-'8911'!E24</f>
        <v>36.799999999999997</v>
      </c>
      <c r="F24" s="135">
        <f>'Global LMT'!F24-'8911'!F24</f>
        <v>33.666666666666664</v>
      </c>
      <c r="G24" s="135">
        <f>'Global LMT'!G24-'8911'!G24</f>
        <v>35</v>
      </c>
      <c r="H24" s="135">
        <f>'Global LMT'!H24-'8911'!H24</f>
        <v>34.700000000000003</v>
      </c>
      <c r="I24" s="135">
        <f>'Global LMT'!I24-'8911'!I24</f>
        <v>34.866666666666667</v>
      </c>
      <c r="K24" s="43">
        <f t="shared" si="9"/>
        <v>9</v>
      </c>
      <c r="L24" s="43">
        <f t="shared" si="10"/>
        <v>7</v>
      </c>
      <c r="M24" s="43">
        <f t="shared" si="11"/>
        <v>8</v>
      </c>
      <c r="N24" s="43">
        <f t="shared" si="12"/>
        <v>7</v>
      </c>
      <c r="O24" s="43">
        <f t="shared" si="13"/>
        <v>8</v>
      </c>
      <c r="P24" s="43">
        <f t="shared" si="14"/>
        <v>9</v>
      </c>
      <c r="Q24" s="43">
        <f t="shared" si="15"/>
        <v>9</v>
      </c>
      <c r="S24" s="146">
        <f>FR!S24+FFD!S24+EN_PIG!S24</f>
        <v>6</v>
      </c>
      <c r="T24" s="146">
        <f>FR!T24+FFD!T24+EN_PIG!T24</f>
        <v>9</v>
      </c>
      <c r="U24" s="146">
        <f>FR!U24+FFD!U24+EN_PIG!U24</f>
        <v>7</v>
      </c>
      <c r="V24" s="146">
        <f>FR!V24+FFD!V24+EN_PIG!V24</f>
        <v>12</v>
      </c>
      <c r="W24" s="146">
        <f>FR!W24+FFD!W24+EN_PIG!W24</f>
        <v>12</v>
      </c>
      <c r="X24" s="146">
        <f>FR!X24+FFD!X24+EN_PIG!X24</f>
        <v>10</v>
      </c>
      <c r="Y24" s="146">
        <f>FR!Y24+FFD!Y24+EN_PIG!Y24</f>
        <v>8</v>
      </c>
      <c r="AA24" s="55">
        <f t="shared" si="16"/>
        <v>0.42878152604015995</v>
      </c>
      <c r="AB24" s="55">
        <f t="shared" si="16"/>
        <v>0.97531646104170067</v>
      </c>
      <c r="AC24" s="55">
        <f t="shared" si="4"/>
        <v>0.75608215488708641</v>
      </c>
      <c r="AD24" s="55">
        <f t="shared" si="4"/>
        <v>0.99912351131891464</v>
      </c>
      <c r="AE24" s="55">
        <f t="shared" si="4"/>
        <v>0.9991785877428192</v>
      </c>
      <c r="AF24" s="55">
        <f t="shared" si="4"/>
        <v>0.98825853761379279</v>
      </c>
      <c r="AG24" s="55">
        <f t="shared" si="4"/>
        <v>0.89293573383376257</v>
      </c>
      <c r="AI24" s="55">
        <f t="shared" si="17"/>
        <v>0.68333449414076786</v>
      </c>
      <c r="AJ24" s="55">
        <f t="shared" si="5"/>
        <v>6.88629445806936E-2</v>
      </c>
      <c r="AK24" s="55">
        <f t="shared" si="5"/>
        <v>0.3738793469426176</v>
      </c>
      <c r="AL24" s="55">
        <f t="shared" si="5"/>
        <v>4.6558019238210928E-3</v>
      </c>
      <c r="AM24" s="55">
        <f t="shared" si="5"/>
        <v>4.6024342180348583E-3</v>
      </c>
      <c r="AN24" s="55">
        <f t="shared" si="5"/>
        <v>3.7248511861451256E-2</v>
      </c>
      <c r="AO24" s="55">
        <f t="shared" si="5"/>
        <v>0.19996197893193171</v>
      </c>
      <c r="AQ24" s="155">
        <f t="shared" si="18"/>
        <v>-3</v>
      </c>
      <c r="AR24" s="155">
        <f t="shared" si="6"/>
        <v>2</v>
      </c>
      <c r="AS24" s="155">
        <f t="shared" si="6"/>
        <v>-1</v>
      </c>
      <c r="AT24" s="155">
        <f t="shared" si="6"/>
        <v>5</v>
      </c>
      <c r="AU24" s="155">
        <f t="shared" si="6"/>
        <v>4</v>
      </c>
      <c r="AV24" s="155">
        <f t="shared" si="6"/>
        <v>1</v>
      </c>
      <c r="AW24" s="155">
        <f t="shared" si="6"/>
        <v>-1</v>
      </c>
      <c r="AY24" s="162">
        <f t="shared" si="19"/>
        <v>16.107892661575345</v>
      </c>
      <c r="AZ24" s="162">
        <f t="shared" si="7"/>
        <v>34.623734366980372</v>
      </c>
      <c r="BA24" s="162">
        <f t="shared" si="7"/>
        <v>27.823823299844779</v>
      </c>
      <c r="BB24" s="162">
        <f t="shared" si="7"/>
        <v>33.637158214403456</v>
      </c>
      <c r="BC24" s="162">
        <f t="shared" si="7"/>
        <v>34.97125057099867</v>
      </c>
      <c r="BD24" s="162">
        <f t="shared" si="7"/>
        <v>34.292571255198609</v>
      </c>
      <c r="BE24" s="162">
        <f t="shared" si="7"/>
        <v>31.13369258633719</v>
      </c>
    </row>
    <row r="25" spans="1:57" x14ac:dyDescent="0.2">
      <c r="A25" s="143">
        <f t="shared" si="8"/>
        <v>77.98571428571428</v>
      </c>
      <c r="B25" s="147">
        <f t="shared" si="20"/>
        <v>0.25</v>
      </c>
      <c r="C25" s="135">
        <f>'Global LMT'!C25-'8911'!C25</f>
        <v>84.2</v>
      </c>
      <c r="D25" s="135">
        <f>'Global LMT'!D25-'8911'!D25</f>
        <v>75</v>
      </c>
      <c r="E25" s="135">
        <f>'Global LMT'!E25-'8911'!E25</f>
        <v>73.466666666666669</v>
      </c>
      <c r="F25" s="135">
        <f>'Global LMT'!F25-'8911'!F25</f>
        <v>75.36666666666666</v>
      </c>
      <c r="G25" s="135">
        <f>'Global LMT'!G25-'8911'!G25</f>
        <v>81.933333333333337</v>
      </c>
      <c r="H25" s="135">
        <f>'Global LMT'!H25-'8911'!H25</f>
        <v>73.3</v>
      </c>
      <c r="I25" s="135">
        <f>'Global LMT'!I25-'8911'!I25</f>
        <v>82.63333333333334</v>
      </c>
      <c r="K25" s="43">
        <f t="shared" si="9"/>
        <v>19</v>
      </c>
      <c r="L25" s="43">
        <f t="shared" si="10"/>
        <v>16</v>
      </c>
      <c r="M25" s="43">
        <f t="shared" si="11"/>
        <v>16</v>
      </c>
      <c r="N25" s="43">
        <f t="shared" si="12"/>
        <v>17</v>
      </c>
      <c r="O25" s="43">
        <f t="shared" si="13"/>
        <v>18</v>
      </c>
      <c r="P25" s="43">
        <f t="shared" si="14"/>
        <v>16</v>
      </c>
      <c r="Q25" s="43">
        <f t="shared" si="15"/>
        <v>19</v>
      </c>
      <c r="S25" s="146">
        <f>FR!S25+FFD!S25+EN_PIG!S25</f>
        <v>9</v>
      </c>
      <c r="T25" s="146">
        <f>FR!T25+FFD!T25+EN_PIG!T25</f>
        <v>11</v>
      </c>
      <c r="U25" s="146">
        <f>FR!U25+FFD!U25+EN_PIG!U25</f>
        <v>10</v>
      </c>
      <c r="V25" s="146">
        <f>FR!V25+FFD!V25+EN_PIG!V25</f>
        <v>14</v>
      </c>
      <c r="W25" s="146">
        <f>FR!W25+FFD!W25+EN_PIG!W25</f>
        <v>14</v>
      </c>
      <c r="X25" s="146">
        <f>FR!X25+FFD!X25+EN_PIG!X25</f>
        <v>13</v>
      </c>
      <c r="Y25" s="146">
        <f>FR!Y25+FFD!Y25+EN_PIG!Y25</f>
        <v>10</v>
      </c>
      <c r="AA25" s="55">
        <f t="shared" si="16"/>
        <v>0</v>
      </c>
      <c r="AB25" s="55">
        <f t="shared" si="16"/>
        <v>0.42796313294425242</v>
      </c>
      <c r="AC25" s="55">
        <f t="shared" si="4"/>
        <v>0</v>
      </c>
      <c r="AD25" s="55">
        <f t="shared" si="4"/>
        <v>0.87990718344222585</v>
      </c>
      <c r="AE25" s="55">
        <f t="shared" si="4"/>
        <v>0.81011715190723677</v>
      </c>
      <c r="AF25" s="55">
        <f t="shared" si="4"/>
        <v>0.79602278669997828</v>
      </c>
      <c r="AG25" s="55">
        <f t="shared" si="4"/>
        <v>0</v>
      </c>
      <c r="AI25" s="55">
        <f t="shared" si="17"/>
        <v>1</v>
      </c>
      <c r="AJ25" s="55">
        <f t="shared" si="5"/>
        <v>0.71326117975590175</v>
      </c>
      <c r="AK25" s="55">
        <f t="shared" si="5"/>
        <v>1</v>
      </c>
      <c r="AL25" s="55">
        <f t="shared" si="5"/>
        <v>0.2595000951257122</v>
      </c>
      <c r="AM25" s="55">
        <f t="shared" si="5"/>
        <v>0.35950202747467225</v>
      </c>
      <c r="AN25" s="55">
        <f t="shared" si="5"/>
        <v>0.36583153159947918</v>
      </c>
      <c r="AO25" s="55">
        <f t="shared" si="5"/>
        <v>1</v>
      </c>
      <c r="AQ25" s="155">
        <f t="shared" si="18"/>
        <v>-10</v>
      </c>
      <c r="AR25" s="155">
        <f t="shared" si="6"/>
        <v>-5</v>
      </c>
      <c r="AS25" s="155">
        <f t="shared" si="6"/>
        <v>-6</v>
      </c>
      <c r="AT25" s="155">
        <f t="shared" si="6"/>
        <v>-3</v>
      </c>
      <c r="AU25" s="155">
        <f t="shared" si="6"/>
        <v>-4</v>
      </c>
      <c r="AV25" s="155">
        <f t="shared" si="6"/>
        <v>-3</v>
      </c>
      <c r="AW25" s="155">
        <f t="shared" si="6"/>
        <v>-9</v>
      </c>
      <c r="AY25" s="162">
        <f t="shared" si="19"/>
        <v>0</v>
      </c>
      <c r="AZ25" s="162">
        <f t="shared" si="7"/>
        <v>32.097234970818931</v>
      </c>
      <c r="BA25" s="162">
        <f t="shared" si="7"/>
        <v>0</v>
      </c>
      <c r="BB25" s="162">
        <f t="shared" si="7"/>
        <v>66.315671392095751</v>
      </c>
      <c r="BC25" s="162">
        <f t="shared" si="7"/>
        <v>66.375598646266269</v>
      </c>
      <c r="BD25" s="162">
        <f t="shared" si="7"/>
        <v>58.348470265108404</v>
      </c>
      <c r="BE25" s="162">
        <f t="shared" si="7"/>
        <v>0</v>
      </c>
    </row>
    <row r="26" spans="1:57" x14ac:dyDescent="0.2">
      <c r="A26" s="143">
        <f t="shared" si="8"/>
        <v>115.14285714285715</v>
      </c>
      <c r="B26" s="147">
        <f t="shared" si="20"/>
        <v>0.27083333333333331</v>
      </c>
      <c r="C26" s="135">
        <f>'Global LMT'!C26-'8911'!C26</f>
        <v>115.56666666666666</v>
      </c>
      <c r="D26" s="135">
        <f>'Global LMT'!D26-'8911'!D26</f>
        <v>112</v>
      </c>
      <c r="E26" s="135">
        <f>'Global LMT'!E26-'8911'!E26</f>
        <v>110.03333333333333</v>
      </c>
      <c r="F26" s="135">
        <f>'Global LMT'!F26-'8911'!F26</f>
        <v>115.7</v>
      </c>
      <c r="G26" s="135">
        <f>'Global LMT'!G26-'8911'!G26</f>
        <v>120.4</v>
      </c>
      <c r="H26" s="135">
        <f>'Global LMT'!H26-'8911'!H26</f>
        <v>114.43333333333334</v>
      </c>
      <c r="I26" s="135">
        <f>'Global LMT'!I26-'8911'!I26</f>
        <v>117.86666666666666</v>
      </c>
      <c r="K26" s="43">
        <f t="shared" si="9"/>
        <v>26</v>
      </c>
      <c r="L26" s="43">
        <f t="shared" si="10"/>
        <v>23</v>
      </c>
      <c r="M26" s="43">
        <f t="shared" si="11"/>
        <v>24</v>
      </c>
      <c r="N26" s="43">
        <f t="shared" si="12"/>
        <v>25</v>
      </c>
      <c r="O26" s="43">
        <f t="shared" si="13"/>
        <v>26</v>
      </c>
      <c r="P26" s="43">
        <f t="shared" si="14"/>
        <v>26</v>
      </c>
      <c r="Q26" s="43">
        <f t="shared" si="15"/>
        <v>28</v>
      </c>
      <c r="S26" s="146">
        <f>FR!S26+FFD!S26+EN_PIG!S26</f>
        <v>15</v>
      </c>
      <c r="T26" s="146">
        <f>FR!T26+FFD!T26+EN_PIG!T26</f>
        <v>15</v>
      </c>
      <c r="U26" s="146">
        <f>FR!U26+FFD!U26+EN_PIG!U26</f>
        <v>15</v>
      </c>
      <c r="V26" s="146">
        <f>FR!V26+FFD!V26+EN_PIG!V26</f>
        <v>16</v>
      </c>
      <c r="W26" s="146">
        <f>FR!W26+FFD!W26+EN_PIG!W26</f>
        <v>18</v>
      </c>
      <c r="X26" s="146">
        <f>FR!X26+FFD!X26+EN_PIG!X26</f>
        <v>16</v>
      </c>
      <c r="Y26" s="146">
        <f>FR!Y26+FFD!Y26+EN_PIG!Y26</f>
        <v>15</v>
      </c>
      <c r="AA26" s="55">
        <f t="shared" si="16"/>
        <v>0</v>
      </c>
      <c r="AB26" s="55">
        <f t="shared" si="16"/>
        <v>0</v>
      </c>
      <c r="AC26" s="55">
        <f t="shared" si="4"/>
        <v>0</v>
      </c>
      <c r="AD26" s="55">
        <f t="shared" si="4"/>
        <v>0</v>
      </c>
      <c r="AE26" s="55">
        <f t="shared" si="4"/>
        <v>0.53110915501575251</v>
      </c>
      <c r="AF26" s="55">
        <f t="shared" si="4"/>
        <v>0</v>
      </c>
      <c r="AG26" s="55">
        <f t="shared" si="4"/>
        <v>0</v>
      </c>
      <c r="AI26" s="55">
        <f t="shared" si="17"/>
        <v>1</v>
      </c>
      <c r="AJ26" s="55">
        <f t="shared" si="5"/>
        <v>1</v>
      </c>
      <c r="AK26" s="55">
        <f t="shared" si="5"/>
        <v>1</v>
      </c>
      <c r="AL26" s="55">
        <f t="shared" si="5"/>
        <v>1</v>
      </c>
      <c r="AM26" s="55">
        <f t="shared" si="5"/>
        <v>0.65546391125716719</v>
      </c>
      <c r="AN26" s="55">
        <f t="shared" si="5"/>
        <v>1</v>
      </c>
      <c r="AO26" s="55">
        <f t="shared" si="5"/>
        <v>1</v>
      </c>
      <c r="AQ26" s="155">
        <f t="shared" si="18"/>
        <v>-11</v>
      </c>
      <c r="AR26" s="155">
        <f t="shared" si="6"/>
        <v>-8</v>
      </c>
      <c r="AS26" s="155">
        <f t="shared" si="6"/>
        <v>-9</v>
      </c>
      <c r="AT26" s="155">
        <f t="shared" si="6"/>
        <v>-9</v>
      </c>
      <c r="AU26" s="155">
        <f t="shared" si="6"/>
        <v>-8</v>
      </c>
      <c r="AV26" s="155">
        <f t="shared" si="6"/>
        <v>-10</v>
      </c>
      <c r="AW26" s="155">
        <f t="shared" si="6"/>
        <v>-13</v>
      </c>
      <c r="AY26" s="162">
        <f t="shared" si="19"/>
        <v>0</v>
      </c>
      <c r="AZ26" s="162">
        <f t="shared" si="7"/>
        <v>0</v>
      </c>
      <c r="BA26" s="162">
        <f t="shared" si="7"/>
        <v>0</v>
      </c>
      <c r="BB26" s="162">
        <f t="shared" si="7"/>
        <v>0</v>
      </c>
      <c r="BC26" s="162">
        <f t="shared" si="7"/>
        <v>63.945542263896606</v>
      </c>
      <c r="BD26" s="162">
        <f t="shared" si="7"/>
        <v>0</v>
      </c>
      <c r="BE26" s="162">
        <f t="shared" si="7"/>
        <v>0</v>
      </c>
    </row>
    <row r="27" spans="1:57" x14ac:dyDescent="0.2">
      <c r="A27" s="143">
        <f t="shared" si="8"/>
        <v>145.59999999999997</v>
      </c>
      <c r="B27" s="147">
        <f t="shared" si="20"/>
        <v>0.29166666666666663</v>
      </c>
      <c r="C27" s="135">
        <f>'Global LMT'!C27-'8911'!C27</f>
        <v>154.23333333333332</v>
      </c>
      <c r="D27" s="135">
        <f>'Global LMT'!D27-'8911'!D27</f>
        <v>140.80000000000001</v>
      </c>
      <c r="E27" s="135">
        <f>'Global LMT'!E27-'8911'!E27</f>
        <v>135.16666666666666</v>
      </c>
      <c r="F27" s="135">
        <f>'Global LMT'!F27-'8911'!F27</f>
        <v>141.83333333333334</v>
      </c>
      <c r="G27" s="135">
        <f>'Global LMT'!G27-'8911'!G27</f>
        <v>147.56666666666666</v>
      </c>
      <c r="H27" s="135">
        <f>'Global LMT'!H27-'8911'!H27</f>
        <v>148.66666666666666</v>
      </c>
      <c r="I27" s="135">
        <f>'Global LMT'!I27-'8911'!I27</f>
        <v>150.93333333333334</v>
      </c>
      <c r="J27">
        <v>1</v>
      </c>
      <c r="K27" s="43">
        <f t="shared" si="9"/>
        <v>35</v>
      </c>
      <c r="L27" s="43">
        <f t="shared" si="10"/>
        <v>30</v>
      </c>
      <c r="M27" s="43">
        <f t="shared" si="11"/>
        <v>29</v>
      </c>
      <c r="N27" s="43">
        <f t="shared" si="12"/>
        <v>31</v>
      </c>
      <c r="O27" s="43">
        <f t="shared" si="13"/>
        <v>32</v>
      </c>
      <c r="P27" s="43">
        <f t="shared" si="14"/>
        <v>33</v>
      </c>
      <c r="Q27" s="43">
        <f t="shared" si="15"/>
        <v>35</v>
      </c>
      <c r="R27">
        <v>1</v>
      </c>
      <c r="S27" s="146">
        <f>FR!S27+FFD!S27+EN_PIG!S27</f>
        <v>32</v>
      </c>
      <c r="T27" s="146">
        <f>FR!T27+FFD!T27+EN_PIG!T27</f>
        <v>31</v>
      </c>
      <c r="U27" s="146">
        <f>FR!U27+FFD!U27+EN_PIG!U27</f>
        <v>31</v>
      </c>
      <c r="V27" s="146">
        <f>FR!V27+FFD!V27+EN_PIG!V27</f>
        <v>32</v>
      </c>
      <c r="W27" s="146">
        <f>FR!W27+FFD!W27+EN_PIG!W27</f>
        <v>34</v>
      </c>
      <c r="X27" s="146">
        <f>FR!X27+FFD!X27+EN_PIG!X27</f>
        <v>29</v>
      </c>
      <c r="Y27" s="146">
        <f>FR!Y27+FFD!Y27+EN_PIG!Y27</f>
        <v>24</v>
      </c>
      <c r="AA27" s="55">
        <f t="shared" si="16"/>
        <v>0.9984402573231379</v>
      </c>
      <c r="AB27" s="55">
        <f t="shared" si="16"/>
        <v>0.99960296789408598</v>
      </c>
      <c r="AC27" s="55">
        <f t="shared" si="4"/>
        <v>0.99956510726116876</v>
      </c>
      <c r="AD27" s="55">
        <f t="shared" si="4"/>
        <v>0.99931103956968503</v>
      </c>
      <c r="AE27" s="55">
        <f t="shared" si="4"/>
        <v>0.99983822956737489</v>
      </c>
      <c r="AF27" s="55">
        <f t="shared" si="4"/>
        <v>0.98589970641338021</v>
      </c>
      <c r="AG27" s="55">
        <f t="shared" si="4"/>
        <v>0.52319401745412886</v>
      </c>
      <c r="AI27" s="55">
        <f t="shared" si="17"/>
        <v>2.0543494105474826E-2</v>
      </c>
      <c r="AJ27" s="55">
        <f t="shared" si="5"/>
        <v>7.7178200744528044E-3</v>
      </c>
      <c r="AK27" s="55">
        <f t="shared" si="5"/>
        <v>7.5435974441371723E-3</v>
      </c>
      <c r="AL27" s="55">
        <f t="shared" si="5"/>
        <v>1.069210762636605E-2</v>
      </c>
      <c r="AM27" s="55">
        <f t="shared" si="5"/>
        <v>4.1928153576131057E-3</v>
      </c>
      <c r="AN27" s="55">
        <f t="shared" si="5"/>
        <v>8.2341117836993716E-2</v>
      </c>
      <c r="AO27" s="55">
        <f t="shared" si="5"/>
        <v>0.67039711208819586</v>
      </c>
      <c r="AQ27" s="155">
        <f t="shared" si="18"/>
        <v>-3</v>
      </c>
      <c r="AR27" s="155">
        <f t="shared" si="6"/>
        <v>1</v>
      </c>
      <c r="AS27" s="155">
        <f t="shared" si="6"/>
        <v>2</v>
      </c>
      <c r="AT27" s="155">
        <f t="shared" si="6"/>
        <v>1</v>
      </c>
      <c r="AU27" s="155">
        <f t="shared" si="6"/>
        <v>2</v>
      </c>
      <c r="AV27" s="155">
        <f t="shared" si="6"/>
        <v>-4</v>
      </c>
      <c r="AW27" s="155">
        <f t="shared" si="6"/>
        <v>-11</v>
      </c>
      <c r="AY27" s="162">
        <f t="shared" si="19"/>
        <v>153.99276902113863</v>
      </c>
      <c r="AZ27" s="162">
        <f t="shared" si="7"/>
        <v>140.74409787948733</v>
      </c>
      <c r="BA27" s="162">
        <f t="shared" si="7"/>
        <v>135.10788366480131</v>
      </c>
      <c r="BB27" s="162">
        <f t="shared" si="7"/>
        <v>141.735615778967</v>
      </c>
      <c r="BC27" s="162">
        <f t="shared" si="7"/>
        <v>147.54279474315896</v>
      </c>
      <c r="BD27" s="162">
        <f t="shared" si="7"/>
        <v>146.57042302012252</v>
      </c>
      <c r="BE27" s="162">
        <f t="shared" si="7"/>
        <v>78.967417034409848</v>
      </c>
    </row>
    <row r="28" spans="1:57" x14ac:dyDescent="0.2">
      <c r="A28" s="143">
        <f t="shared" si="8"/>
        <v>171.92380952380952</v>
      </c>
      <c r="B28" s="147">
        <f t="shared" si="20"/>
        <v>0.31249999999999994</v>
      </c>
      <c r="C28" s="135">
        <f>'Global LMT'!C28-'8911'!C28</f>
        <v>174.66666666666666</v>
      </c>
      <c r="D28" s="135">
        <f>'Global LMT'!D28-'8911'!D28</f>
        <v>166.7</v>
      </c>
      <c r="E28" s="135">
        <f>'Global LMT'!E28-'8911'!E28</f>
        <v>167.96666666666667</v>
      </c>
      <c r="F28" s="135">
        <f>'Global LMT'!F28-'8911'!F28</f>
        <v>172.1</v>
      </c>
      <c r="G28" s="135">
        <f>'Global LMT'!G28-'8911'!G28</f>
        <v>166.3</v>
      </c>
      <c r="H28" s="135">
        <f>'Global LMT'!H28-'8911'!H28</f>
        <v>183.73333333333332</v>
      </c>
      <c r="I28" s="135">
        <f>'Global LMT'!I28-'8911'!I28</f>
        <v>172</v>
      </c>
      <c r="J28">
        <v>2</v>
      </c>
      <c r="K28" s="43">
        <f t="shared" si="9"/>
        <v>39</v>
      </c>
      <c r="L28" s="43">
        <f t="shared" si="10"/>
        <v>35</v>
      </c>
      <c r="M28" s="43">
        <f t="shared" si="11"/>
        <v>35</v>
      </c>
      <c r="N28" s="43">
        <f t="shared" si="12"/>
        <v>38</v>
      </c>
      <c r="O28" s="43">
        <f t="shared" si="13"/>
        <v>35</v>
      </c>
      <c r="P28" s="43">
        <f t="shared" si="14"/>
        <v>41</v>
      </c>
      <c r="Q28" s="43">
        <f t="shared" si="15"/>
        <v>40</v>
      </c>
      <c r="R28">
        <v>2</v>
      </c>
      <c r="S28" s="146">
        <f>FR!S28+FFD!S28+EN_PIG!S28</f>
        <v>35</v>
      </c>
      <c r="T28" s="146">
        <f>FR!T28+FFD!T28+EN_PIG!T28</f>
        <v>34</v>
      </c>
      <c r="U28" s="146">
        <f>FR!U28+FFD!U28+EN_PIG!U28</f>
        <v>35</v>
      </c>
      <c r="V28" s="146">
        <f>FR!V28+FFD!V28+EN_PIG!V28</f>
        <v>33</v>
      </c>
      <c r="W28" s="146">
        <f>FR!W28+FFD!W28+EN_PIG!W28</f>
        <v>38</v>
      </c>
      <c r="X28" s="146">
        <f>FR!X28+FFD!X28+EN_PIG!X28</f>
        <v>32</v>
      </c>
      <c r="Y28" s="146">
        <f>FR!Y28+FFD!Y28+EN_PIG!Y28</f>
        <v>31</v>
      </c>
      <c r="AA28" s="55">
        <f t="shared" si="16"/>
        <v>0.99804792816374532</v>
      </c>
      <c r="AB28" s="55">
        <f t="shared" si="16"/>
        <v>0.9990674489967829</v>
      </c>
      <c r="AC28" s="55">
        <f t="shared" si="4"/>
        <v>0.99873228541112768</v>
      </c>
      <c r="AD28" s="55">
        <f t="shared" si="4"/>
        <v>0.99005884844513958</v>
      </c>
      <c r="AE28" s="55">
        <f t="shared" si="4"/>
        <v>0.99992704720632863</v>
      </c>
      <c r="AF28" s="55">
        <f t="shared" si="4"/>
        <v>0.94048653620653033</v>
      </c>
      <c r="AG28" s="55">
        <f t="shared" si="4"/>
        <v>0.93302162247070064</v>
      </c>
      <c r="AI28" s="55">
        <f t="shared" si="17"/>
        <v>2.6307509533640673E-2</v>
      </c>
      <c r="AJ28" s="55">
        <f t="shared" si="5"/>
        <v>1.6002834437826616E-2</v>
      </c>
      <c r="AK28" s="55">
        <f t="shared" si="5"/>
        <v>1.8904326033849381E-2</v>
      </c>
      <c r="AL28" s="55">
        <f t="shared" si="5"/>
        <v>7.1691110029796376E-2</v>
      </c>
      <c r="AM28" s="55">
        <f t="shared" si="5"/>
        <v>2.7191902707031715E-3</v>
      </c>
      <c r="AN28" s="55">
        <f t="shared" si="5"/>
        <v>0.21714309552953687</v>
      </c>
      <c r="AO28" s="55">
        <f t="shared" si="5"/>
        <v>0.22420806445861063</v>
      </c>
      <c r="AQ28" s="155">
        <f t="shared" si="18"/>
        <v>-4</v>
      </c>
      <c r="AR28" s="155">
        <f t="shared" si="6"/>
        <v>-1</v>
      </c>
      <c r="AS28" s="155">
        <f t="shared" si="6"/>
        <v>0</v>
      </c>
      <c r="AT28" s="155">
        <f t="shared" si="6"/>
        <v>-5</v>
      </c>
      <c r="AU28" s="155">
        <f t="shared" si="6"/>
        <v>3</v>
      </c>
      <c r="AV28" s="155">
        <f t="shared" si="6"/>
        <v>-9</v>
      </c>
      <c r="AW28" s="155">
        <f t="shared" si="6"/>
        <v>-9</v>
      </c>
      <c r="AY28" s="162">
        <f t="shared" si="19"/>
        <v>174.32570478593416</v>
      </c>
      <c r="AZ28" s="162">
        <f t="shared" si="7"/>
        <v>166.5445437477637</v>
      </c>
      <c r="BA28" s="162">
        <f t="shared" si="7"/>
        <v>167.75373287288909</v>
      </c>
      <c r="BB28" s="162">
        <f t="shared" si="7"/>
        <v>170.38912781740851</v>
      </c>
      <c r="BC28" s="162">
        <f t="shared" si="7"/>
        <v>166.28786795041248</v>
      </c>
      <c r="BD28" s="162">
        <f t="shared" si="7"/>
        <v>172.79872625234648</v>
      </c>
      <c r="BE28" s="162">
        <f t="shared" si="7"/>
        <v>160.47971906496051</v>
      </c>
    </row>
    <row r="29" spans="1:57" x14ac:dyDescent="0.2">
      <c r="A29" s="143">
        <f t="shared" si="8"/>
        <v>194.14761904761909</v>
      </c>
      <c r="B29" s="147">
        <f t="shared" si="20"/>
        <v>0.33333333333333326</v>
      </c>
      <c r="C29" s="135">
        <f>'Global LMT'!C29-'8911'!C29</f>
        <v>200.8</v>
      </c>
      <c r="D29" s="135">
        <f>'Global LMT'!D29-'8911'!D29</f>
        <v>190.8</v>
      </c>
      <c r="E29" s="135">
        <f>'Global LMT'!E29-'8911'!E29</f>
        <v>191.43333333333334</v>
      </c>
      <c r="F29" s="135">
        <f>'Global LMT'!F29-'8911'!F29</f>
        <v>199.36666666666667</v>
      </c>
      <c r="G29" s="135">
        <f>'Global LMT'!G29-'8911'!G29</f>
        <v>197.46666666666667</v>
      </c>
      <c r="H29" s="135">
        <f>'Global LMT'!H29-'8911'!H29</f>
        <v>195</v>
      </c>
      <c r="I29" s="135">
        <f>'Global LMT'!I29-'8911'!I29</f>
        <v>184.16666666666666</v>
      </c>
      <c r="J29">
        <v>3</v>
      </c>
      <c r="K29" s="43">
        <f t="shared" si="9"/>
        <v>45</v>
      </c>
      <c r="L29" s="43">
        <f t="shared" si="10"/>
        <v>39</v>
      </c>
      <c r="M29" s="43">
        <f t="shared" si="11"/>
        <v>41</v>
      </c>
      <c r="N29" s="43">
        <f t="shared" si="12"/>
        <v>43</v>
      </c>
      <c r="O29" s="43">
        <f t="shared" si="13"/>
        <v>42</v>
      </c>
      <c r="P29" s="43">
        <f t="shared" si="14"/>
        <v>44</v>
      </c>
      <c r="Q29" s="43">
        <f t="shared" si="15"/>
        <v>43</v>
      </c>
      <c r="R29">
        <v>3</v>
      </c>
      <c r="S29" s="146">
        <f>FR!S29+FFD!S29+EN_PIG!S29</f>
        <v>42</v>
      </c>
      <c r="T29" s="146">
        <f>FR!T29+FFD!T29+EN_PIG!T29</f>
        <v>38</v>
      </c>
      <c r="U29" s="146">
        <f>FR!U29+FFD!U29+EN_PIG!U29</f>
        <v>37</v>
      </c>
      <c r="V29" s="146">
        <f>FR!V29+FFD!V29+EN_PIG!V29</f>
        <v>40</v>
      </c>
      <c r="W29" s="146">
        <f>FR!W29+FFD!W29+EN_PIG!W29</f>
        <v>46</v>
      </c>
      <c r="X29" s="146">
        <f>FR!X29+FFD!X29+EN_PIG!X29</f>
        <v>42</v>
      </c>
      <c r="Y29" s="146">
        <f>FR!Y29+FFD!Y29+EN_PIG!Y29</f>
        <v>38</v>
      </c>
      <c r="AA29" s="55">
        <f t="shared" si="16"/>
        <v>0.9997403167256631</v>
      </c>
      <c r="AB29" s="55">
        <f t="shared" si="16"/>
        <v>0.99924146955467452</v>
      </c>
      <c r="AC29" s="55">
        <f t="shared" si="16"/>
        <v>0.99618362408002747</v>
      </c>
      <c r="AD29" s="55">
        <f t="shared" si="16"/>
        <v>0.99824274294255966</v>
      </c>
      <c r="AE29" s="55">
        <f t="shared" si="16"/>
        <v>0.99999228238304583</v>
      </c>
      <c r="AF29" s="55">
        <f t="shared" si="16"/>
        <v>0.9996538075975836</v>
      </c>
      <c r="AG29" s="55">
        <f t="shared" si="16"/>
        <v>0.99657430666858637</v>
      </c>
      <c r="AI29" s="55">
        <f t="shared" si="17"/>
        <v>7.9475460324178876E-3</v>
      </c>
      <c r="AJ29" s="55">
        <f t="shared" si="17"/>
        <v>1.5729691777137483E-2</v>
      </c>
      <c r="AK29" s="55">
        <f t="shared" si="17"/>
        <v>4.2487913174680265E-2</v>
      </c>
      <c r="AL29" s="55">
        <f t="shared" si="17"/>
        <v>2.6434872518447047E-2</v>
      </c>
      <c r="AM29" s="55">
        <f t="shared" si="17"/>
        <v>7.0282218634729477E-4</v>
      </c>
      <c r="AN29" s="55">
        <f t="shared" si="17"/>
        <v>8.9180653516139595E-3</v>
      </c>
      <c r="AO29" s="55">
        <f t="shared" si="17"/>
        <v>3.6853573104562595E-2</v>
      </c>
      <c r="AQ29" s="155">
        <f t="shared" si="18"/>
        <v>-3</v>
      </c>
      <c r="AR29" s="155">
        <f t="shared" si="18"/>
        <v>-1</v>
      </c>
      <c r="AS29" s="155">
        <f t="shared" si="18"/>
        <v>-4</v>
      </c>
      <c r="AT29" s="155">
        <f t="shared" si="18"/>
        <v>-3</v>
      </c>
      <c r="AU29" s="155">
        <f t="shared" si="18"/>
        <v>4</v>
      </c>
      <c r="AV29" s="155">
        <f t="shared" si="18"/>
        <v>-2</v>
      </c>
      <c r="AW29" s="155">
        <f t="shared" si="18"/>
        <v>-5</v>
      </c>
      <c r="AY29" s="162">
        <f t="shared" si="19"/>
        <v>200.74785559851315</v>
      </c>
      <c r="AZ29" s="162">
        <f t="shared" si="19"/>
        <v>190.6552723910319</v>
      </c>
      <c r="BA29" s="162">
        <f t="shared" si="19"/>
        <v>190.70275176971992</v>
      </c>
      <c r="BB29" s="162">
        <f t="shared" si="19"/>
        <v>199.01632818464833</v>
      </c>
      <c r="BC29" s="162">
        <f t="shared" si="19"/>
        <v>197.46514269457211</v>
      </c>
      <c r="BD29" s="162">
        <f t="shared" si="19"/>
        <v>194.93249248152881</v>
      </c>
      <c r="BE29" s="162">
        <f t="shared" si="19"/>
        <v>183.53576814479797</v>
      </c>
    </row>
    <row r="30" spans="1:57" x14ac:dyDescent="0.2">
      <c r="A30" s="143">
        <f t="shared" si="8"/>
        <v>210.82380952380953</v>
      </c>
      <c r="B30" s="147">
        <f t="shared" si="20"/>
        <v>0.35416666666666657</v>
      </c>
      <c r="C30" s="135">
        <f>'Global LMT'!C30-'8911'!C30</f>
        <v>213.86666666666667</v>
      </c>
      <c r="D30" s="135">
        <f>'Global LMT'!D30-'8911'!D30</f>
        <v>212.33333333333334</v>
      </c>
      <c r="E30" s="135">
        <f>'Global LMT'!E30-'8911'!E30</f>
        <v>218.76666666666668</v>
      </c>
      <c r="F30" s="135">
        <f>'Global LMT'!F30-'8911'!F30</f>
        <v>212.23333333333332</v>
      </c>
      <c r="G30" s="135">
        <f>'Global LMT'!G30-'8911'!G30</f>
        <v>213.1</v>
      </c>
      <c r="H30" s="135">
        <f>'Global LMT'!H30-'8911'!H30</f>
        <v>217.96666666666667</v>
      </c>
      <c r="I30" s="135">
        <f>'Global LMT'!I30-'8911'!I30</f>
        <v>187.5</v>
      </c>
      <c r="J30">
        <v>4</v>
      </c>
      <c r="K30" s="43">
        <f t="shared" si="9"/>
        <v>48</v>
      </c>
      <c r="L30" s="43">
        <f t="shared" si="10"/>
        <v>43</v>
      </c>
      <c r="M30" s="43">
        <f t="shared" si="11"/>
        <v>46</v>
      </c>
      <c r="N30" s="43">
        <f t="shared" si="12"/>
        <v>47</v>
      </c>
      <c r="O30" s="43">
        <f t="shared" si="13"/>
        <v>46</v>
      </c>
      <c r="P30" s="43">
        <f t="shared" si="14"/>
        <v>48</v>
      </c>
      <c r="Q30" s="43">
        <f t="shared" si="15"/>
        <v>43</v>
      </c>
      <c r="R30">
        <v>4</v>
      </c>
      <c r="S30" s="146">
        <f>FR!S30+FFD!S30+EN_PIG!S30</f>
        <v>49</v>
      </c>
      <c r="T30" s="146">
        <f>FR!T30+FFD!T30+EN_PIG!T30</f>
        <v>44</v>
      </c>
      <c r="U30" s="146">
        <f>FR!U30+FFD!U30+EN_PIG!U30</f>
        <v>45</v>
      </c>
      <c r="V30" s="146">
        <f>FR!V30+FFD!V30+EN_PIG!V30</f>
        <v>45</v>
      </c>
      <c r="W30" s="146">
        <f>FR!W30+FFD!W30+EN_PIG!W30</f>
        <v>48</v>
      </c>
      <c r="X30" s="146">
        <f>FR!X30+FFD!X30+EN_PIG!X30</f>
        <v>47</v>
      </c>
      <c r="Y30" s="146">
        <f>FR!Y30+FFD!Y30+EN_PIG!Y30</f>
        <v>44</v>
      </c>
      <c r="AA30" s="55">
        <f t="shared" si="16"/>
        <v>0.99999329070559717</v>
      </c>
      <c r="AB30" s="55">
        <f t="shared" si="16"/>
        <v>0.99989388707689819</v>
      </c>
      <c r="AC30" s="55">
        <f t="shared" si="16"/>
        <v>0.99963694824947413</v>
      </c>
      <c r="AD30" s="55">
        <f t="shared" si="16"/>
        <v>0.99974581403682394</v>
      </c>
      <c r="AE30" s="55">
        <f t="shared" si="16"/>
        <v>0.99998689628462034</v>
      </c>
      <c r="AF30" s="55">
        <f t="shared" si="16"/>
        <v>0.99984864977664623</v>
      </c>
      <c r="AG30" s="55">
        <f t="shared" si="16"/>
        <v>0.99990706344147462</v>
      </c>
      <c r="AI30" s="55">
        <f t="shared" si="17"/>
        <v>7.1922592062259529E-4</v>
      </c>
      <c r="AJ30" s="55">
        <f t="shared" si="17"/>
        <v>4.8194450295699033E-3</v>
      </c>
      <c r="AK30" s="55">
        <f t="shared" si="17"/>
        <v>1.0601708469535348E-2</v>
      </c>
      <c r="AL30" s="55">
        <f t="shared" si="17"/>
        <v>7.972039852873836E-3</v>
      </c>
      <c r="AM30" s="55">
        <f t="shared" si="17"/>
        <v>1.1332268480849963E-3</v>
      </c>
      <c r="AN30" s="55">
        <f t="shared" si="17"/>
        <v>5.7810789032757184E-3</v>
      </c>
      <c r="AO30" s="55">
        <f t="shared" si="17"/>
        <v>3.3534868433039555E-3</v>
      </c>
      <c r="AQ30" s="155">
        <f t="shared" si="18"/>
        <v>1</v>
      </c>
      <c r="AR30" s="155">
        <f t="shared" si="18"/>
        <v>1</v>
      </c>
      <c r="AS30" s="155">
        <f t="shared" si="18"/>
        <v>-1</v>
      </c>
      <c r="AT30" s="155">
        <f t="shared" si="18"/>
        <v>-2</v>
      </c>
      <c r="AU30" s="155">
        <f t="shared" si="18"/>
        <v>2</v>
      </c>
      <c r="AV30" s="155">
        <f t="shared" si="18"/>
        <v>-1</v>
      </c>
      <c r="AW30" s="155">
        <f t="shared" si="18"/>
        <v>1</v>
      </c>
      <c r="AY30" s="162">
        <f t="shared" si="19"/>
        <v>213.86523177223705</v>
      </c>
      <c r="AZ30" s="162">
        <f t="shared" si="19"/>
        <v>212.31080202266139</v>
      </c>
      <c r="BA30" s="162">
        <f t="shared" si="19"/>
        <v>218.68724304537665</v>
      </c>
      <c r="BB30" s="162">
        <f t="shared" si="19"/>
        <v>212.17938659908191</v>
      </c>
      <c r="BC30" s="162">
        <f t="shared" si="19"/>
        <v>213.0972075982526</v>
      </c>
      <c r="BD30" s="162">
        <f t="shared" si="19"/>
        <v>217.93367736298299</v>
      </c>
      <c r="BE30" s="162">
        <f t="shared" si="19"/>
        <v>187.48257439527649</v>
      </c>
    </row>
    <row r="31" spans="1:57" x14ac:dyDescent="0.2">
      <c r="A31" s="143">
        <f t="shared" si="8"/>
        <v>227.99047619047616</v>
      </c>
      <c r="B31" s="147">
        <f t="shared" si="20"/>
        <v>0.37499999999999989</v>
      </c>
      <c r="C31" s="135">
        <f>'Global LMT'!C31-'8911'!C31</f>
        <v>233.5</v>
      </c>
      <c r="D31" s="135">
        <f>'Global LMT'!D31-'8911'!D31</f>
        <v>224.26666666666668</v>
      </c>
      <c r="E31" s="135">
        <f>'Global LMT'!E31-'8911'!E31</f>
        <v>257.53333333333336</v>
      </c>
      <c r="F31" s="135">
        <f>'Global LMT'!F31-'8911'!F31</f>
        <v>224.1</v>
      </c>
      <c r="G31" s="135">
        <f>'Global LMT'!G31-'8911'!G31</f>
        <v>234.63333333333333</v>
      </c>
      <c r="H31" s="135">
        <f>'Global LMT'!H31-'8911'!H31</f>
        <v>226.6</v>
      </c>
      <c r="I31" s="135">
        <f>'Global LMT'!I31-'8911'!I31</f>
        <v>195.3</v>
      </c>
      <c r="J31">
        <v>5</v>
      </c>
      <c r="K31" s="43">
        <f t="shared" si="9"/>
        <v>53</v>
      </c>
      <c r="L31" s="43">
        <f t="shared" si="10"/>
        <v>47</v>
      </c>
      <c r="M31" s="43">
        <f t="shared" si="11"/>
        <v>54</v>
      </c>
      <c r="N31" s="43">
        <f t="shared" si="12"/>
        <v>49</v>
      </c>
      <c r="O31" s="43">
        <f t="shared" si="13"/>
        <v>50</v>
      </c>
      <c r="P31" s="43">
        <f t="shared" si="14"/>
        <v>50</v>
      </c>
      <c r="Q31" s="43">
        <f t="shared" si="15"/>
        <v>45</v>
      </c>
      <c r="R31">
        <v>5</v>
      </c>
      <c r="S31" s="146">
        <f>FR!S31+FFD!S31+EN_PIG!S31</f>
        <v>52</v>
      </c>
      <c r="T31" s="146">
        <f>FR!T31+FFD!T31+EN_PIG!T31</f>
        <v>46</v>
      </c>
      <c r="U31" s="146">
        <f>FR!U31+FFD!U31+EN_PIG!U31</f>
        <v>49</v>
      </c>
      <c r="V31" s="146">
        <f>FR!V31+FFD!V31+EN_PIG!V31</f>
        <v>52</v>
      </c>
      <c r="W31" s="146">
        <f>FR!W31+FFD!W31+EN_PIG!W31</f>
        <v>51</v>
      </c>
      <c r="X31" s="146">
        <f>FR!X31+FFD!X31+EN_PIG!X31</f>
        <v>52</v>
      </c>
      <c r="Y31" s="146">
        <f>FR!Y31+FFD!Y31+EN_PIG!Y31</f>
        <v>47</v>
      </c>
      <c r="AA31" s="55">
        <f t="shared" si="16"/>
        <v>0.99999147936559707</v>
      </c>
      <c r="AB31" s="55">
        <f t="shared" si="16"/>
        <v>0.99990299169650176</v>
      </c>
      <c r="AC31" s="55">
        <f t="shared" si="16"/>
        <v>0.99858787855266462</v>
      </c>
      <c r="AD31" s="55">
        <f t="shared" si="16"/>
        <v>0.99999316380762482</v>
      </c>
      <c r="AE31" s="55">
        <f t="shared" si="16"/>
        <v>0.99997929694992815</v>
      </c>
      <c r="AF31" s="55">
        <f t="shared" si="16"/>
        <v>0.99998756301322467</v>
      </c>
      <c r="AG31" s="55">
        <f t="shared" si="16"/>
        <v>0.99997471740124899</v>
      </c>
      <c r="AI31" s="55">
        <f t="shared" si="17"/>
        <v>9.6627218918569132E-4</v>
      </c>
      <c r="AJ31" s="55">
        <f t="shared" si="17"/>
        <v>4.8433862123396926E-3</v>
      </c>
      <c r="AK31" s="55">
        <f t="shared" si="17"/>
        <v>2.9024439229944399E-2</v>
      </c>
      <c r="AL31" s="55">
        <f t="shared" si="17"/>
        <v>7.3738233238296552E-4</v>
      </c>
      <c r="AM31" s="55">
        <f t="shared" si="17"/>
        <v>1.7711279749189107E-3</v>
      </c>
      <c r="AN31" s="55">
        <f t="shared" si="17"/>
        <v>1.1232708125541516E-3</v>
      </c>
      <c r="AO31" s="55">
        <f t="shared" si="17"/>
        <v>1.4142909747943964E-3</v>
      </c>
      <c r="AQ31" s="155">
        <f t="shared" si="18"/>
        <v>-1</v>
      </c>
      <c r="AR31" s="155">
        <f t="shared" si="18"/>
        <v>-1</v>
      </c>
      <c r="AS31" s="155">
        <f t="shared" si="18"/>
        <v>-5</v>
      </c>
      <c r="AT31" s="155">
        <f t="shared" si="18"/>
        <v>3</v>
      </c>
      <c r="AU31" s="155">
        <f t="shared" si="18"/>
        <v>1</v>
      </c>
      <c r="AV31" s="155">
        <f t="shared" si="18"/>
        <v>2</v>
      </c>
      <c r="AW31" s="155">
        <f t="shared" si="18"/>
        <v>2</v>
      </c>
      <c r="AY31" s="162">
        <f t="shared" si="19"/>
        <v>233.4980104318669</v>
      </c>
      <c r="AZ31" s="162">
        <f t="shared" si="19"/>
        <v>224.24491093780213</v>
      </c>
      <c r="BA31" s="162">
        <f t="shared" si="19"/>
        <v>257.16966498992957</v>
      </c>
      <c r="BB31" s="162">
        <f t="shared" si="19"/>
        <v>224.09846800928872</v>
      </c>
      <c r="BC31" s="162">
        <f t="shared" si="19"/>
        <v>234.6284757076848</v>
      </c>
      <c r="BD31" s="162">
        <f t="shared" si="19"/>
        <v>226.59718177879671</v>
      </c>
      <c r="BE31" s="162">
        <f t="shared" si="19"/>
        <v>195.29506230846394</v>
      </c>
    </row>
    <row r="32" spans="1:57" x14ac:dyDescent="0.2">
      <c r="A32" s="143">
        <f t="shared" si="8"/>
        <v>238.77142857142852</v>
      </c>
      <c r="B32" s="147">
        <f t="shared" si="20"/>
        <v>0.3958333333333332</v>
      </c>
      <c r="C32" s="135">
        <f>'Global LMT'!C32-'8911'!C32</f>
        <v>243.16666666666666</v>
      </c>
      <c r="D32" s="135">
        <f>'Global LMT'!D32-'8911'!D32</f>
        <v>241.16666666666666</v>
      </c>
      <c r="E32" s="135">
        <f>'Global LMT'!E32-'8911'!E32</f>
        <v>269.33333333333331</v>
      </c>
      <c r="F32" s="135">
        <f>'Global LMT'!F32-'8911'!F32</f>
        <v>239.36666666666667</v>
      </c>
      <c r="G32" s="135">
        <f>'Global LMT'!G32-'8911'!G32</f>
        <v>234.63333333333333</v>
      </c>
      <c r="H32" s="135">
        <f>'Global LMT'!H32-'8911'!H32</f>
        <v>238.1</v>
      </c>
      <c r="I32" s="135">
        <f>'Global LMT'!I32-'8911'!I32</f>
        <v>205.63333333333333</v>
      </c>
      <c r="J32">
        <v>6</v>
      </c>
      <c r="K32" s="43">
        <f t="shared" si="9"/>
        <v>55</v>
      </c>
      <c r="L32" s="43">
        <f t="shared" si="10"/>
        <v>50</v>
      </c>
      <c r="M32" s="43">
        <f t="shared" si="11"/>
        <v>57</v>
      </c>
      <c r="N32" s="43">
        <f t="shared" si="12"/>
        <v>52</v>
      </c>
      <c r="O32" s="43">
        <f t="shared" si="13"/>
        <v>50</v>
      </c>
      <c r="P32" s="43">
        <f t="shared" si="14"/>
        <v>52</v>
      </c>
      <c r="Q32" s="43">
        <f t="shared" si="15"/>
        <v>47</v>
      </c>
      <c r="R32">
        <v>6</v>
      </c>
      <c r="S32" s="146">
        <f>FR!S32+FFD!S32+EN_PIG!S32</f>
        <v>52</v>
      </c>
      <c r="T32" s="146">
        <f>FR!T32+FFD!T32+EN_PIG!T32</f>
        <v>50</v>
      </c>
      <c r="U32" s="146">
        <f>FR!U32+FFD!U32+EN_PIG!U32</f>
        <v>50</v>
      </c>
      <c r="V32" s="146">
        <f>FR!V32+FFD!V32+EN_PIG!V32</f>
        <v>53</v>
      </c>
      <c r="W32" s="146">
        <f>FR!W32+FFD!W32+EN_PIG!W32</f>
        <v>52</v>
      </c>
      <c r="X32" s="146">
        <f>FR!X32+FFD!X32+EN_PIG!X32</f>
        <v>53</v>
      </c>
      <c r="Y32" s="146">
        <f>FR!Y32+FFD!Y32+EN_PIG!Y32</f>
        <v>49</v>
      </c>
      <c r="AA32" s="55">
        <f t="shared" si="16"/>
        <v>0.99997483420616917</v>
      </c>
      <c r="AB32" s="55">
        <f t="shared" si="16"/>
        <v>0.99996324681294546</v>
      </c>
      <c r="AC32" s="55">
        <f t="shared" si="16"/>
        <v>0.99786799897840306</v>
      </c>
      <c r="AD32" s="55">
        <f t="shared" si="16"/>
        <v>0.99997876958193987</v>
      </c>
      <c r="AE32" s="55">
        <f t="shared" si="16"/>
        <v>0.99999015454737095</v>
      </c>
      <c r="AF32" s="55">
        <f t="shared" si="16"/>
        <v>0.99997673733657133</v>
      </c>
      <c r="AG32" s="55">
        <f t="shared" si="16"/>
        <v>0.99997557475449472</v>
      </c>
      <c r="AI32" s="55">
        <f t="shared" si="17"/>
        <v>2.1142183530119614E-3</v>
      </c>
      <c r="AJ32" s="55">
        <f t="shared" si="17"/>
        <v>2.8002283805440898E-3</v>
      </c>
      <c r="AK32" s="55">
        <f t="shared" si="17"/>
        <v>3.8499466381400102E-2</v>
      </c>
      <c r="AL32" s="55">
        <f t="shared" si="17"/>
        <v>1.7544613570618331E-3</v>
      </c>
      <c r="AM32" s="55">
        <f t="shared" si="17"/>
        <v>1.0716259935945513E-3</v>
      </c>
      <c r="AN32" s="55">
        <f t="shared" si="17"/>
        <v>1.8365120910077098E-3</v>
      </c>
      <c r="AO32" s="55">
        <f t="shared" si="17"/>
        <v>1.4818683745869623E-3</v>
      </c>
      <c r="AQ32" s="155">
        <f t="shared" si="18"/>
        <v>-3</v>
      </c>
      <c r="AR32" s="155">
        <f t="shared" si="18"/>
        <v>0</v>
      </c>
      <c r="AS32" s="155">
        <f t="shared" si="18"/>
        <v>-7</v>
      </c>
      <c r="AT32" s="155">
        <f t="shared" si="18"/>
        <v>1</v>
      </c>
      <c r="AU32" s="155">
        <f t="shared" si="18"/>
        <v>2</v>
      </c>
      <c r="AV32" s="155">
        <f t="shared" si="18"/>
        <v>1</v>
      </c>
      <c r="AW32" s="155">
        <f t="shared" si="18"/>
        <v>2</v>
      </c>
      <c r="AY32" s="162">
        <f t="shared" si="19"/>
        <v>243.16054718446679</v>
      </c>
      <c r="AZ32" s="162">
        <f t="shared" si="19"/>
        <v>241.15780302305535</v>
      </c>
      <c r="BA32" s="162">
        <f t="shared" si="19"/>
        <v>268.75911439151656</v>
      </c>
      <c r="BB32" s="162">
        <f t="shared" si="19"/>
        <v>239.36158481226369</v>
      </c>
      <c r="BC32" s="162">
        <f t="shared" si="19"/>
        <v>234.6310232619648</v>
      </c>
      <c r="BD32" s="162">
        <f t="shared" si="19"/>
        <v>238.09446115983764</v>
      </c>
      <c r="BE32" s="162">
        <f t="shared" si="19"/>
        <v>205.6283106886826</v>
      </c>
    </row>
    <row r="33" spans="1:57" x14ac:dyDescent="0.2">
      <c r="A33" s="143">
        <f t="shared" si="8"/>
        <v>247.04761904761907</v>
      </c>
      <c r="B33" s="147">
        <f t="shared" si="20"/>
        <v>0.41666666666666652</v>
      </c>
      <c r="C33" s="135">
        <f>'Global LMT'!C33-'8911'!C33</f>
        <v>241.96666666666667</v>
      </c>
      <c r="D33" s="135">
        <f>'Global LMT'!D33-'8911'!D33</f>
        <v>260.23333333333335</v>
      </c>
      <c r="E33" s="135">
        <f>'Global LMT'!E33-'8911'!E33</f>
        <v>272.66666666666669</v>
      </c>
      <c r="F33" s="135">
        <f>'Global LMT'!F33-'8911'!F33</f>
        <v>244.7</v>
      </c>
      <c r="G33" s="135">
        <f>'Global LMT'!G33-'8911'!G33</f>
        <v>255.66666666666666</v>
      </c>
      <c r="H33" s="135">
        <f>'Global LMT'!H33-'8911'!H33</f>
        <v>256.63333333333333</v>
      </c>
      <c r="I33" s="135">
        <f>'Global LMT'!I33-'8911'!I33</f>
        <v>197.46666666666667</v>
      </c>
      <c r="J33">
        <v>7</v>
      </c>
      <c r="K33" s="43">
        <f t="shared" si="9"/>
        <v>54</v>
      </c>
      <c r="L33" s="43">
        <f t="shared" si="10"/>
        <v>54</v>
      </c>
      <c r="M33" s="43">
        <f t="shared" si="11"/>
        <v>57</v>
      </c>
      <c r="N33" s="43">
        <f t="shared" si="12"/>
        <v>53</v>
      </c>
      <c r="O33" s="43">
        <f t="shared" si="13"/>
        <v>55</v>
      </c>
      <c r="P33" s="43">
        <f t="shared" si="14"/>
        <v>57</v>
      </c>
      <c r="Q33" s="43">
        <f t="shared" si="15"/>
        <v>45</v>
      </c>
      <c r="R33">
        <v>7</v>
      </c>
      <c r="S33" s="146">
        <f>FR!S33+FFD!S33+EN_PIG!S33</f>
        <v>54</v>
      </c>
      <c r="T33" s="146">
        <f>FR!T33+FFD!T33+EN_PIG!T33</f>
        <v>54</v>
      </c>
      <c r="U33" s="146">
        <f>FR!U33+FFD!U33+EN_PIG!U33</f>
        <v>54</v>
      </c>
      <c r="V33" s="146">
        <f>FR!V33+FFD!V33+EN_PIG!V33</f>
        <v>53</v>
      </c>
      <c r="W33" s="146">
        <f>FR!W33+FFD!W33+EN_PIG!W33</f>
        <v>56</v>
      </c>
      <c r="X33" s="146">
        <f>FR!X33+FFD!X33+EN_PIG!X33</f>
        <v>59</v>
      </c>
      <c r="Y33" s="146">
        <f>FR!Y33+FFD!Y33+EN_PIG!Y33</f>
        <v>50</v>
      </c>
      <c r="AA33" s="55">
        <f t="shared" si="16"/>
        <v>0.99999492557299341</v>
      </c>
      <c r="AB33" s="55">
        <f t="shared" si="16"/>
        <v>0.99998247573057975</v>
      </c>
      <c r="AC33" s="55">
        <f t="shared" si="16"/>
        <v>0.99972829471780256</v>
      </c>
      <c r="AD33" s="55">
        <f t="shared" si="16"/>
        <v>0.99995706578035415</v>
      </c>
      <c r="AE33" s="55">
        <f t="shared" si="16"/>
        <v>0.9999935379485192</v>
      </c>
      <c r="AF33" s="55">
        <f t="shared" si="16"/>
        <v>0.99999692150846653</v>
      </c>
      <c r="AG33" s="55">
        <f t="shared" si="16"/>
        <v>0.9999967157501124</v>
      </c>
      <c r="AI33" s="55">
        <f t="shared" si="17"/>
        <v>7.1369914701426462E-4</v>
      </c>
      <c r="AJ33" s="55">
        <f t="shared" si="17"/>
        <v>1.9060911302950063E-3</v>
      </c>
      <c r="AK33" s="55">
        <f t="shared" si="17"/>
        <v>1.1089877393214074E-2</v>
      </c>
      <c r="AL33" s="55">
        <f t="shared" si="17"/>
        <v>2.9048916504317472E-3</v>
      </c>
      <c r="AM33" s="55">
        <f t="shared" si="17"/>
        <v>9.1524970478354135E-4</v>
      </c>
      <c r="AN33" s="55">
        <f t="shared" si="17"/>
        <v>5.1934663852340739E-4</v>
      </c>
      <c r="AO33" s="55">
        <f t="shared" si="17"/>
        <v>3.3646717544772039E-4</v>
      </c>
      <c r="AQ33" s="155">
        <f t="shared" si="18"/>
        <v>0</v>
      </c>
      <c r="AR33" s="155">
        <f t="shared" si="18"/>
        <v>0</v>
      </c>
      <c r="AS33" s="155">
        <f t="shared" si="18"/>
        <v>-3</v>
      </c>
      <c r="AT33" s="155">
        <f t="shared" si="18"/>
        <v>0</v>
      </c>
      <c r="AU33" s="155">
        <f t="shared" si="18"/>
        <v>1</v>
      </c>
      <c r="AV33" s="155">
        <f t="shared" si="18"/>
        <v>2</v>
      </c>
      <c r="AW33" s="155">
        <f t="shared" si="18"/>
        <v>5</v>
      </c>
      <c r="AY33" s="162">
        <f t="shared" si="19"/>
        <v>241.96543882447864</v>
      </c>
      <c r="AZ33" s="162">
        <f t="shared" si="19"/>
        <v>260.22877293428786</v>
      </c>
      <c r="BA33" s="162">
        <f t="shared" si="19"/>
        <v>272.59258169305417</v>
      </c>
      <c r="BB33" s="162">
        <f t="shared" si="19"/>
        <v>244.68949399645265</v>
      </c>
      <c r="BC33" s="162">
        <f t="shared" si="19"/>
        <v>255.66501453550472</v>
      </c>
      <c r="BD33" s="162">
        <f t="shared" si="19"/>
        <v>256.63254328978945</v>
      </c>
      <c r="BE33" s="162">
        <f t="shared" si="19"/>
        <v>197.46601813678888</v>
      </c>
    </row>
    <row r="34" spans="1:57" x14ac:dyDescent="0.2">
      <c r="A34" s="143">
        <f t="shared" si="8"/>
        <v>251.84285714285716</v>
      </c>
      <c r="B34" s="147">
        <f t="shared" si="20"/>
        <v>0.43749999999999983</v>
      </c>
      <c r="C34" s="135">
        <f>'Global LMT'!C34-'8911'!C34</f>
        <v>256.2</v>
      </c>
      <c r="D34" s="135">
        <f>'Global LMT'!D34-'8911'!D34</f>
        <v>261.36666666666667</v>
      </c>
      <c r="E34" s="135">
        <f>'Global LMT'!E34-'8911'!E34</f>
        <v>262.7</v>
      </c>
      <c r="F34" s="135">
        <f>'Global LMT'!F34-'8911'!F34</f>
        <v>248.43333333333334</v>
      </c>
      <c r="G34" s="135">
        <f>'Global LMT'!G34-'8911'!G34</f>
        <v>262.13333333333333</v>
      </c>
      <c r="H34" s="135">
        <f>'Global LMT'!H34-'8911'!H34</f>
        <v>264.43333333333334</v>
      </c>
      <c r="I34" s="135">
        <f>'Global LMT'!I34-'8911'!I34</f>
        <v>207.63333333333333</v>
      </c>
      <c r="J34">
        <v>8</v>
      </c>
      <c r="K34" s="43">
        <f t="shared" si="9"/>
        <v>57</v>
      </c>
      <c r="L34" s="43">
        <f t="shared" si="10"/>
        <v>54</v>
      </c>
      <c r="M34" s="43">
        <f t="shared" si="11"/>
        <v>55</v>
      </c>
      <c r="N34" s="43">
        <f t="shared" si="12"/>
        <v>54</v>
      </c>
      <c r="O34" s="43">
        <f t="shared" si="13"/>
        <v>56</v>
      </c>
      <c r="P34" s="43">
        <f t="shared" si="14"/>
        <v>59</v>
      </c>
      <c r="Q34" s="43">
        <f t="shared" si="15"/>
        <v>48</v>
      </c>
      <c r="R34">
        <v>8</v>
      </c>
      <c r="S34" s="146">
        <f>FR!S34+FFD!S34+EN_PIG!S34</f>
        <v>55</v>
      </c>
      <c r="T34" s="146">
        <f>FR!T34+FFD!T34+EN_PIG!T34</f>
        <v>56</v>
      </c>
      <c r="U34" s="146">
        <f>FR!U34+FFD!U34+EN_PIG!U34</f>
        <v>55</v>
      </c>
      <c r="V34" s="146">
        <f>FR!V34+FFD!V34+EN_PIG!V34</f>
        <v>52</v>
      </c>
      <c r="W34" s="146">
        <f>FR!W34+FFD!W34+EN_PIG!W34</f>
        <v>57</v>
      </c>
      <c r="X34" s="146">
        <f>FR!X34+FFD!X34+EN_PIG!X34</f>
        <v>58</v>
      </c>
      <c r="Y34" s="146">
        <f>FR!Y34+FFD!Y34+EN_PIG!Y34</f>
        <v>51</v>
      </c>
      <c r="AA34" s="55">
        <f t="shared" si="16"/>
        <v>0.99998686886317278</v>
      </c>
      <c r="AB34" s="55">
        <f t="shared" si="16"/>
        <v>0.99999549396675558</v>
      </c>
      <c r="AC34" s="55">
        <f t="shared" si="16"/>
        <v>0.999950453952271</v>
      </c>
      <c r="AD34" s="55">
        <f t="shared" si="16"/>
        <v>0.99988121632040006</v>
      </c>
      <c r="AE34" s="55">
        <f t="shared" si="16"/>
        <v>0.99999364491297904</v>
      </c>
      <c r="AF34" s="55">
        <f t="shared" si="16"/>
        <v>0.99998526262816168</v>
      </c>
      <c r="AG34" s="55">
        <f t="shared" si="16"/>
        <v>0.99999287793158476</v>
      </c>
      <c r="AI34" s="55">
        <f t="shared" si="17"/>
        <v>1.4737233919257168E-3</v>
      </c>
      <c r="AJ34" s="55">
        <f t="shared" si="17"/>
        <v>7.7741135408197141E-4</v>
      </c>
      <c r="AK34" s="55">
        <f t="shared" si="17"/>
        <v>3.577826943307159E-3</v>
      </c>
      <c r="AL34" s="55">
        <f t="shared" si="17"/>
        <v>5.7570452245258551E-3</v>
      </c>
      <c r="AM34" s="55">
        <f t="shared" si="17"/>
        <v>9.3761324027578181E-4</v>
      </c>
      <c r="AN34" s="55">
        <f t="shared" si="17"/>
        <v>1.5609811569037024E-3</v>
      </c>
      <c r="AO34" s="55">
        <f t="shared" si="17"/>
        <v>6.3258488695304242E-4</v>
      </c>
      <c r="AQ34" s="155">
        <f t="shared" si="18"/>
        <v>-2</v>
      </c>
      <c r="AR34" s="155">
        <f t="shared" si="18"/>
        <v>2</v>
      </c>
      <c r="AS34" s="155">
        <f t="shared" si="18"/>
        <v>0</v>
      </c>
      <c r="AT34" s="155">
        <f t="shared" si="18"/>
        <v>-2</v>
      </c>
      <c r="AU34" s="155">
        <f t="shared" si="18"/>
        <v>1</v>
      </c>
      <c r="AV34" s="155">
        <f t="shared" si="18"/>
        <v>-1</v>
      </c>
      <c r="AW34" s="155">
        <f t="shared" si="18"/>
        <v>3</v>
      </c>
      <c r="AY34" s="162">
        <f t="shared" si="19"/>
        <v>256.19663580274488</v>
      </c>
      <c r="AZ34" s="162">
        <f t="shared" si="19"/>
        <v>261.36548893977766</v>
      </c>
      <c r="BA34" s="162">
        <f t="shared" si="19"/>
        <v>262.68698425326158</v>
      </c>
      <c r="BB34" s="162">
        <f t="shared" si="19"/>
        <v>248.40382350786473</v>
      </c>
      <c r="BC34" s="162">
        <f t="shared" si="19"/>
        <v>262.13166745318892</v>
      </c>
      <c r="BD34" s="162">
        <f t="shared" si="19"/>
        <v>264.42943628097356</v>
      </c>
      <c r="BE34" s="162">
        <f t="shared" si="19"/>
        <v>207.63185455452805</v>
      </c>
    </row>
    <row r="35" spans="1:57" x14ac:dyDescent="0.2">
      <c r="A35" s="143">
        <f t="shared" si="8"/>
        <v>256.1952380952381</v>
      </c>
      <c r="B35" s="147">
        <f t="shared" si="20"/>
        <v>0.45833333333333315</v>
      </c>
      <c r="C35" s="135">
        <f>'Global LMT'!C35-'8911'!C35</f>
        <v>261.93333333333334</v>
      </c>
      <c r="D35" s="135">
        <f>'Global LMT'!D35-'8911'!D35</f>
        <v>264.3</v>
      </c>
      <c r="E35" s="135">
        <f>'Global LMT'!E35-'8911'!E35</f>
        <v>276.7</v>
      </c>
      <c r="F35" s="135">
        <f>'Global LMT'!F35-'8911'!F35</f>
        <v>250.86666666666667</v>
      </c>
      <c r="G35" s="135">
        <f>'Global LMT'!G35-'8911'!G35</f>
        <v>265.2</v>
      </c>
      <c r="H35" s="135">
        <f>'Global LMT'!H35-'8911'!H35</f>
        <v>266.26666666666665</v>
      </c>
      <c r="I35" s="135">
        <f>'Global LMT'!I35-'8911'!I35</f>
        <v>208.1</v>
      </c>
      <c r="J35">
        <v>9</v>
      </c>
      <c r="K35" s="43">
        <f t="shared" si="9"/>
        <v>58</v>
      </c>
      <c r="L35" s="43">
        <f t="shared" si="10"/>
        <v>54</v>
      </c>
      <c r="M35" s="43">
        <f t="shared" si="11"/>
        <v>58</v>
      </c>
      <c r="N35" s="43">
        <f t="shared" si="12"/>
        <v>55</v>
      </c>
      <c r="O35" s="43">
        <f t="shared" si="13"/>
        <v>57</v>
      </c>
      <c r="P35" s="43">
        <f t="shared" si="14"/>
        <v>59</v>
      </c>
      <c r="Q35" s="43">
        <f t="shared" si="15"/>
        <v>48</v>
      </c>
      <c r="R35">
        <v>9</v>
      </c>
      <c r="S35" s="146">
        <f>FR!S35+FFD!S35+EN_PIG!S35</f>
        <v>59</v>
      </c>
      <c r="T35" s="146">
        <f>FR!T35+FFD!T35+EN_PIG!T35</f>
        <v>60</v>
      </c>
      <c r="U35" s="146">
        <f>FR!U35+FFD!U35+EN_PIG!U35</f>
        <v>56</v>
      </c>
      <c r="V35" s="146">
        <f>FR!V35+FFD!V35+EN_PIG!V35</f>
        <v>58</v>
      </c>
      <c r="W35" s="146">
        <f>FR!W35+FFD!W35+EN_PIG!W35</f>
        <v>59</v>
      </c>
      <c r="X35" s="146">
        <f>FR!X35+FFD!X35+EN_PIG!X35</f>
        <v>62</v>
      </c>
      <c r="Y35" s="146">
        <f>FR!Y35+FFD!Y35+EN_PIG!Y35</f>
        <v>54</v>
      </c>
      <c r="AA35" s="55">
        <f t="shared" si="16"/>
        <v>0.99999860906178906</v>
      </c>
      <c r="AB35" s="55">
        <f t="shared" si="16"/>
        <v>0.99999970674798855</v>
      </c>
      <c r="AC35" s="55">
        <f t="shared" si="16"/>
        <v>0.9998870885531066</v>
      </c>
      <c r="AD35" s="55">
        <f t="shared" si="16"/>
        <v>0.99999761758784267</v>
      </c>
      <c r="AE35" s="55">
        <f t="shared" si="16"/>
        <v>0.999997927815791</v>
      </c>
      <c r="AF35" s="55">
        <f t="shared" si="16"/>
        <v>0.99999896157963164</v>
      </c>
      <c r="AG35" s="55">
        <f t="shared" si="16"/>
        <v>0.99999933168867439</v>
      </c>
      <c r="AI35" s="55">
        <f t="shared" si="17"/>
        <v>3.3511012821542608E-4</v>
      </c>
      <c r="AJ35" s="55">
        <f t="shared" si="17"/>
        <v>1.2311940330685388E-4</v>
      </c>
      <c r="AK35" s="55">
        <f t="shared" si="17"/>
        <v>6.4817809657246516E-3</v>
      </c>
      <c r="AL35" s="55">
        <f t="shared" si="17"/>
        <v>4.2437971144196156E-4</v>
      </c>
      <c r="AM35" s="55">
        <f t="shared" si="17"/>
        <v>4.4780096565939998E-4</v>
      </c>
      <c r="AN35" s="55">
        <f t="shared" si="17"/>
        <v>2.6038940207033924E-4</v>
      </c>
      <c r="AO35" s="55">
        <f t="shared" si="17"/>
        <v>1.1620743308879624E-4</v>
      </c>
      <c r="AQ35" s="155">
        <f t="shared" si="18"/>
        <v>1</v>
      </c>
      <c r="AR35" s="155">
        <f t="shared" si="18"/>
        <v>6</v>
      </c>
      <c r="AS35" s="155">
        <f t="shared" si="18"/>
        <v>-2</v>
      </c>
      <c r="AT35" s="155">
        <f t="shared" si="18"/>
        <v>3</v>
      </c>
      <c r="AU35" s="155">
        <f t="shared" si="18"/>
        <v>2</v>
      </c>
      <c r="AV35" s="155">
        <f t="shared" si="18"/>
        <v>3</v>
      </c>
      <c r="AW35" s="155">
        <f t="shared" si="18"/>
        <v>6</v>
      </c>
      <c r="AY35" s="162">
        <f t="shared" si="19"/>
        <v>261.93296900025126</v>
      </c>
      <c r="AZ35" s="162">
        <f t="shared" si="19"/>
        <v>264.2999224934934</v>
      </c>
      <c r="BA35" s="162">
        <f t="shared" si="19"/>
        <v>276.66875740264459</v>
      </c>
      <c r="BB35" s="162">
        <f t="shared" si="19"/>
        <v>250.86606899887013</v>
      </c>
      <c r="BC35" s="162">
        <f t="shared" si="19"/>
        <v>265.19945045674774</v>
      </c>
      <c r="BD35" s="162">
        <f t="shared" si="19"/>
        <v>266.26639016993659</v>
      </c>
      <c r="BE35" s="162">
        <f t="shared" si="19"/>
        <v>208.09986092441312</v>
      </c>
    </row>
    <row r="36" spans="1:57" x14ac:dyDescent="0.2">
      <c r="A36" s="143">
        <f t="shared" si="8"/>
        <v>258.75714285714287</v>
      </c>
      <c r="B36" s="147">
        <f t="shared" si="20"/>
        <v>0.47916666666666646</v>
      </c>
      <c r="C36" s="135">
        <f>'Global LMT'!C36-'8911'!C36</f>
        <v>266.46666666666664</v>
      </c>
      <c r="D36" s="135">
        <f>'Global LMT'!D36-'8911'!D36</f>
        <v>261.89999999999998</v>
      </c>
      <c r="E36" s="135">
        <f>'Global LMT'!E36-'8911'!E36</f>
        <v>277.53333333333336</v>
      </c>
      <c r="F36" s="135">
        <f>'Global LMT'!F36-'8911'!F36</f>
        <v>257.23333333333335</v>
      </c>
      <c r="G36" s="135">
        <f>'Global LMT'!G36-'8911'!G36</f>
        <v>265.89999999999998</v>
      </c>
      <c r="H36" s="135">
        <f>'Global LMT'!H36-'8911'!H36</f>
        <v>266.8</v>
      </c>
      <c r="I36" s="135">
        <f>'Global LMT'!I36-'8911'!I36</f>
        <v>215.46666666666667</v>
      </c>
      <c r="J36">
        <v>10</v>
      </c>
      <c r="K36" s="43">
        <f t="shared" si="9"/>
        <v>59</v>
      </c>
      <c r="L36" s="43">
        <f t="shared" si="10"/>
        <v>54</v>
      </c>
      <c r="M36" s="43">
        <f t="shared" si="11"/>
        <v>58</v>
      </c>
      <c r="N36" s="43">
        <f t="shared" si="12"/>
        <v>56</v>
      </c>
      <c r="O36" s="43">
        <f t="shared" si="13"/>
        <v>57</v>
      </c>
      <c r="P36" s="43">
        <f t="shared" si="14"/>
        <v>59</v>
      </c>
      <c r="Q36" s="43">
        <f t="shared" si="15"/>
        <v>49</v>
      </c>
      <c r="R36">
        <v>10</v>
      </c>
      <c r="S36" s="146">
        <f>FR!S36+FFD!S36+EN_PIG!S36</f>
        <v>59</v>
      </c>
      <c r="T36" s="146">
        <f>FR!T36+FFD!T36+EN_PIG!T36</f>
        <v>60</v>
      </c>
      <c r="U36" s="146">
        <f>FR!U36+FFD!U36+EN_PIG!U36</f>
        <v>56</v>
      </c>
      <c r="V36" s="146">
        <f>FR!V36+FFD!V36+EN_PIG!V36</f>
        <v>59</v>
      </c>
      <c r="W36" s="146">
        <f>FR!W36+FFD!W36+EN_PIG!W36</f>
        <v>59</v>
      </c>
      <c r="X36" s="146">
        <f>FR!X36+FFD!X36+EN_PIG!X36</f>
        <v>62</v>
      </c>
      <c r="Y36" s="146">
        <f>FR!Y36+FFD!Y36+EN_PIG!Y36</f>
        <v>54</v>
      </c>
      <c r="AA36" s="55">
        <f t="shared" si="16"/>
        <v>0.99999770995087878</v>
      </c>
      <c r="AB36" s="55">
        <f t="shared" si="16"/>
        <v>0.99999977487458058</v>
      </c>
      <c r="AC36" s="55">
        <f t="shared" si="16"/>
        <v>0.99987486132565595</v>
      </c>
      <c r="AD36" s="55">
        <f t="shared" si="16"/>
        <v>0.99999758041397613</v>
      </c>
      <c r="AE36" s="55">
        <f t="shared" si="16"/>
        <v>0.99999765574661947</v>
      </c>
      <c r="AF36" s="55">
        <f t="shared" si="16"/>
        <v>0.99999881928140355</v>
      </c>
      <c r="AG36" s="55">
        <f t="shared" si="16"/>
        <v>0.99999813739909871</v>
      </c>
      <c r="AI36" s="55">
        <f t="shared" si="17"/>
        <v>4.8285705704571435E-4</v>
      </c>
      <c r="AJ36" s="55">
        <f t="shared" si="17"/>
        <v>1.0103294275344189E-4</v>
      </c>
      <c r="AK36" s="55">
        <f t="shared" si="17"/>
        <v>6.9481861583645535E-3</v>
      </c>
      <c r="AL36" s="55">
        <f t="shared" si="17"/>
        <v>4.4573212628795043E-4</v>
      </c>
      <c r="AM36" s="55">
        <f t="shared" si="17"/>
        <v>4.8998719899114983E-4</v>
      </c>
      <c r="AN36" s="55">
        <f t="shared" si="17"/>
        <v>2.8636505950882854E-4</v>
      </c>
      <c r="AO36" s="55">
        <f t="shared" si="17"/>
        <v>2.564717391626325E-4</v>
      </c>
      <c r="AQ36" s="155">
        <f t="shared" si="18"/>
        <v>0</v>
      </c>
      <c r="AR36" s="155">
        <f t="shared" si="18"/>
        <v>6</v>
      </c>
      <c r="AS36" s="155">
        <f t="shared" si="18"/>
        <v>-2</v>
      </c>
      <c r="AT36" s="155">
        <f t="shared" si="18"/>
        <v>3</v>
      </c>
      <c r="AU36" s="155">
        <f t="shared" si="18"/>
        <v>2</v>
      </c>
      <c r="AV36" s="155">
        <f t="shared" si="18"/>
        <v>3</v>
      </c>
      <c r="AW36" s="155">
        <f t="shared" si="18"/>
        <v>5</v>
      </c>
      <c r="AY36" s="162">
        <f t="shared" si="19"/>
        <v>266.46605644491081</v>
      </c>
      <c r="AZ36" s="162">
        <f t="shared" si="19"/>
        <v>261.89994103965262</v>
      </c>
      <c r="BA36" s="162">
        <f t="shared" si="19"/>
        <v>277.49860317991374</v>
      </c>
      <c r="BB36" s="162">
        <f t="shared" si="19"/>
        <v>257.23271093515513</v>
      </c>
      <c r="BC36" s="162">
        <f t="shared" si="19"/>
        <v>265.89937666302609</v>
      </c>
      <c r="BD36" s="162">
        <f t="shared" si="19"/>
        <v>266.79968498427849</v>
      </c>
      <c r="BE36" s="162">
        <f t="shared" si="19"/>
        <v>215.46626533825915</v>
      </c>
    </row>
    <row r="37" spans="1:57" x14ac:dyDescent="0.2">
      <c r="A37" s="143">
        <f t="shared" si="8"/>
        <v>257.2714285714286</v>
      </c>
      <c r="B37" s="147">
        <f t="shared" si="20"/>
        <v>0.49999999999999978</v>
      </c>
      <c r="C37" s="135">
        <f>'Global LMT'!C37-'8911'!C37</f>
        <v>269.86666666666667</v>
      </c>
      <c r="D37" s="135">
        <f>'Global LMT'!D37-'8911'!D37</f>
        <v>260.60000000000002</v>
      </c>
      <c r="E37" s="135">
        <f>'Global LMT'!E37-'8911'!E37</f>
        <v>276.8</v>
      </c>
      <c r="F37" s="135">
        <f>'Global LMT'!F37-'8911'!F37</f>
        <v>264.5</v>
      </c>
      <c r="G37" s="135">
        <f>'Global LMT'!G37-'8911'!G37</f>
        <v>252.76666666666665</v>
      </c>
      <c r="H37" s="135">
        <f>'Global LMT'!H37-'8911'!H37</f>
        <v>266.39999999999998</v>
      </c>
      <c r="I37" s="135">
        <f>'Global LMT'!I37-'8911'!I37</f>
        <v>209.96666666666667</v>
      </c>
      <c r="J37">
        <v>11</v>
      </c>
      <c r="K37" s="43">
        <f t="shared" si="9"/>
        <v>60</v>
      </c>
      <c r="L37" s="43">
        <f t="shared" si="10"/>
        <v>54</v>
      </c>
      <c r="M37" s="43">
        <f t="shared" si="11"/>
        <v>58</v>
      </c>
      <c r="N37" s="43">
        <f t="shared" si="12"/>
        <v>57</v>
      </c>
      <c r="O37" s="43">
        <f t="shared" si="13"/>
        <v>55</v>
      </c>
      <c r="P37" s="43">
        <f t="shared" si="14"/>
        <v>59</v>
      </c>
      <c r="Q37" s="43">
        <f t="shared" si="15"/>
        <v>48</v>
      </c>
      <c r="R37">
        <v>11</v>
      </c>
      <c r="S37" s="146">
        <f>FR!S37+FFD!S37+EN_PIG!S37</f>
        <v>48</v>
      </c>
      <c r="T37" s="146">
        <f>FR!T37+FFD!T37+EN_PIG!T37</f>
        <v>56</v>
      </c>
      <c r="U37" s="146">
        <f>FR!U37+FFD!U37+EN_PIG!U37</f>
        <v>51</v>
      </c>
      <c r="V37" s="146">
        <f>FR!V37+FFD!V37+EN_PIG!V37</f>
        <v>52</v>
      </c>
      <c r="W37" s="146">
        <f>FR!W37+FFD!W37+EN_PIG!W37</f>
        <v>50</v>
      </c>
      <c r="X37" s="146">
        <f>FR!X37+FFD!X37+EN_PIG!X37</f>
        <v>65</v>
      </c>
      <c r="Y37" s="146">
        <f>FR!Y37+FFD!Y37+EN_PIG!Y37</f>
        <v>53</v>
      </c>
      <c r="AA37" s="55">
        <f t="shared" si="16"/>
        <v>0.99511663975184494</v>
      </c>
      <c r="AB37" s="55">
        <f t="shared" si="16"/>
        <v>0.99999549396675558</v>
      </c>
      <c r="AC37" s="55">
        <f t="shared" si="16"/>
        <v>0.99757305442430233</v>
      </c>
      <c r="AD37" s="55">
        <f t="shared" si="16"/>
        <v>0.99938299262352115</v>
      </c>
      <c r="AE37" s="55">
        <f t="shared" si="16"/>
        <v>0.99969863410959814</v>
      </c>
      <c r="AF37" s="55">
        <f t="shared" si="16"/>
        <v>0.99999989751489826</v>
      </c>
      <c r="AG37" s="55">
        <f t="shared" si="16"/>
        <v>0.99999800128732563</v>
      </c>
      <c r="AI37" s="55">
        <f t="shared" si="17"/>
        <v>6.361623635539411E-2</v>
      </c>
      <c r="AJ37" s="55">
        <f t="shared" si="17"/>
        <v>7.7741135408197141E-4</v>
      </c>
      <c r="AK37" s="55">
        <f t="shared" si="17"/>
        <v>4.2553207413558385E-2</v>
      </c>
      <c r="AL37" s="55">
        <f t="shared" si="17"/>
        <v>1.7543227653426485E-2</v>
      </c>
      <c r="AM37" s="55">
        <f t="shared" si="17"/>
        <v>1.1120929172520598E-2</v>
      </c>
      <c r="AN37" s="55">
        <f t="shared" si="17"/>
        <v>5.1562021057615319E-5</v>
      </c>
      <c r="AO37" s="55">
        <f t="shared" si="17"/>
        <v>2.5989924387876474E-4</v>
      </c>
      <c r="AQ37" s="155">
        <f t="shared" si="18"/>
        <v>-12</v>
      </c>
      <c r="AR37" s="155">
        <f t="shared" si="18"/>
        <v>2</v>
      </c>
      <c r="AS37" s="155">
        <f t="shared" si="18"/>
        <v>-7</v>
      </c>
      <c r="AT37" s="155">
        <f t="shared" si="18"/>
        <v>-5</v>
      </c>
      <c r="AU37" s="155">
        <f t="shared" si="18"/>
        <v>-5</v>
      </c>
      <c r="AV37" s="155">
        <f t="shared" si="18"/>
        <v>6</v>
      </c>
      <c r="AW37" s="155">
        <f t="shared" si="18"/>
        <v>5</v>
      </c>
      <c r="AY37" s="162">
        <f t="shared" si="19"/>
        <v>268.54881051436456</v>
      </c>
      <c r="AZ37" s="162">
        <f t="shared" si="19"/>
        <v>260.59882572773654</v>
      </c>
      <c r="BA37" s="162">
        <f t="shared" si="19"/>
        <v>276.12822146464691</v>
      </c>
      <c r="BB37" s="162">
        <f t="shared" si="19"/>
        <v>264.33680154892136</v>
      </c>
      <c r="BC37" s="162">
        <f t="shared" si="19"/>
        <v>252.69049141510274</v>
      </c>
      <c r="BD37" s="162">
        <f t="shared" si="19"/>
        <v>266.39997269796885</v>
      </c>
      <c r="BE37" s="162">
        <f t="shared" si="19"/>
        <v>209.96624700362881</v>
      </c>
    </row>
    <row r="38" spans="1:57" x14ac:dyDescent="0.2">
      <c r="A38" s="143">
        <f t="shared" si="8"/>
        <v>256.08571428571429</v>
      </c>
      <c r="B38" s="147">
        <f t="shared" si="20"/>
        <v>0.52083333333333315</v>
      </c>
      <c r="C38" s="135">
        <f>'Global LMT'!C38-'8911'!C38</f>
        <v>265.66666666666669</v>
      </c>
      <c r="D38" s="135">
        <f>'Global LMT'!D38-'8911'!D38</f>
        <v>257.10000000000002</v>
      </c>
      <c r="E38" s="135">
        <f>'Global LMT'!E38-'8911'!E38</f>
        <v>267.0333333333333</v>
      </c>
      <c r="F38" s="135">
        <f>'Global LMT'!F38-'8911'!F38</f>
        <v>256.66666666666669</v>
      </c>
      <c r="G38" s="135">
        <f>'Global LMT'!G38-'8911'!G38</f>
        <v>257.39999999999998</v>
      </c>
      <c r="H38" s="135">
        <f>'Global LMT'!H38-'8911'!H38</f>
        <v>270.93333333333334</v>
      </c>
      <c r="I38" s="135">
        <f>'Global LMT'!I38-'8911'!I38</f>
        <v>217.8</v>
      </c>
      <c r="J38">
        <v>12</v>
      </c>
      <c r="K38" s="43">
        <f t="shared" si="9"/>
        <v>59</v>
      </c>
      <c r="L38" s="43">
        <f t="shared" si="10"/>
        <v>53</v>
      </c>
      <c r="M38" s="43">
        <f t="shared" si="11"/>
        <v>56</v>
      </c>
      <c r="N38" s="43">
        <f t="shared" si="12"/>
        <v>56</v>
      </c>
      <c r="O38" s="43">
        <f t="shared" si="13"/>
        <v>55</v>
      </c>
      <c r="P38" s="43">
        <f t="shared" si="14"/>
        <v>60</v>
      </c>
      <c r="Q38" s="43">
        <f t="shared" si="15"/>
        <v>50</v>
      </c>
      <c r="R38">
        <v>12</v>
      </c>
      <c r="S38" s="146">
        <f>FR!S38+FFD!S38+EN_PIG!S38</f>
        <v>59</v>
      </c>
      <c r="T38" s="146">
        <f>FR!T38+FFD!T38+EN_PIG!T38</f>
        <v>57</v>
      </c>
      <c r="U38" s="146">
        <f>FR!U38+FFD!U38+EN_PIG!U38</f>
        <v>56</v>
      </c>
      <c r="V38" s="146">
        <f>FR!V38+FFD!V38+EN_PIG!V38</f>
        <v>58</v>
      </c>
      <c r="W38" s="146">
        <f>FR!W38+FFD!W38+EN_PIG!W38</f>
        <v>57</v>
      </c>
      <c r="X38" s="146">
        <f>FR!X38+FFD!X38+EN_PIG!X38</f>
        <v>66</v>
      </c>
      <c r="Y38" s="146">
        <f>FR!Y38+FFD!Y38+EN_PIG!Y38</f>
        <v>58</v>
      </c>
      <c r="AA38" s="55">
        <f t="shared" si="16"/>
        <v>0.99999770995087878</v>
      </c>
      <c r="AB38" s="55">
        <f t="shared" si="16"/>
        <v>0.99999871951341845</v>
      </c>
      <c r="AC38" s="55">
        <f t="shared" si="16"/>
        <v>0.99996110962761653</v>
      </c>
      <c r="AD38" s="55">
        <f t="shared" si="16"/>
        <v>0.9999949395826927</v>
      </c>
      <c r="AE38" s="55">
        <f t="shared" si="16"/>
        <v>0.99999653216047479</v>
      </c>
      <c r="AF38" s="55">
        <f t="shared" si="16"/>
        <v>0.99999990693597829</v>
      </c>
      <c r="AG38" s="55">
        <f t="shared" si="16"/>
        <v>0.99999988552967978</v>
      </c>
      <c r="AI38" s="55">
        <f t="shared" si="17"/>
        <v>4.8285705704571435E-4</v>
      </c>
      <c r="AJ38" s="55">
        <f t="shared" si="17"/>
        <v>3.2326007256690476E-4</v>
      </c>
      <c r="AK38" s="55">
        <f t="shared" si="17"/>
        <v>3.1157550485852816E-3</v>
      </c>
      <c r="AL38" s="55">
        <f t="shared" si="17"/>
        <v>7.3801493840274846E-4</v>
      </c>
      <c r="AM38" s="55">
        <f t="shared" si="17"/>
        <v>6.0442669296381201E-4</v>
      </c>
      <c r="AN38" s="55">
        <f t="shared" si="17"/>
        <v>4.9989058985010248E-5</v>
      </c>
      <c r="AO38" s="55">
        <f t="shared" si="17"/>
        <v>3.492794592784558E-5</v>
      </c>
      <c r="AQ38" s="155">
        <f t="shared" si="18"/>
        <v>0</v>
      </c>
      <c r="AR38" s="155">
        <f t="shared" si="18"/>
        <v>4</v>
      </c>
      <c r="AS38" s="155">
        <f t="shared" si="18"/>
        <v>0</v>
      </c>
      <c r="AT38" s="155">
        <f t="shared" si="18"/>
        <v>2</v>
      </c>
      <c r="AU38" s="155">
        <f t="shared" si="18"/>
        <v>2</v>
      </c>
      <c r="AV38" s="155">
        <f t="shared" si="18"/>
        <v>6</v>
      </c>
      <c r="AW38" s="155">
        <f t="shared" si="18"/>
        <v>8</v>
      </c>
      <c r="AY38" s="162">
        <f t="shared" si="19"/>
        <v>265.66605827695014</v>
      </c>
      <c r="AZ38" s="162">
        <f t="shared" si="19"/>
        <v>257.09967078689994</v>
      </c>
      <c r="BA38" s="162">
        <f t="shared" si="19"/>
        <v>267.02294830756119</v>
      </c>
      <c r="BB38" s="162">
        <f t="shared" si="19"/>
        <v>256.6653678262245</v>
      </c>
      <c r="BC38" s="162">
        <f t="shared" si="19"/>
        <v>257.39910737810618</v>
      </c>
      <c r="BD38" s="162">
        <f t="shared" si="19"/>
        <v>270.9333081191877</v>
      </c>
      <c r="BE38" s="162">
        <f t="shared" si="19"/>
        <v>217.79997506836426</v>
      </c>
    </row>
    <row r="39" spans="1:57" ht="13.5" customHeight="1" x14ac:dyDescent="0.2">
      <c r="A39" s="143">
        <f t="shared" si="8"/>
        <v>254.61428571428567</v>
      </c>
      <c r="B39" s="147">
        <f t="shared" si="20"/>
        <v>0.54166666666666652</v>
      </c>
      <c r="C39" s="135">
        <f>'Global LMT'!C39-'8911'!C39</f>
        <v>260.63333333333333</v>
      </c>
      <c r="D39" s="135">
        <f>'Global LMT'!D39-'8911'!D39</f>
        <v>257.96666666666664</v>
      </c>
      <c r="E39" s="135">
        <f>'Global LMT'!E39-'8911'!E39</f>
        <v>265.83333333333331</v>
      </c>
      <c r="F39" s="135">
        <f>'Global LMT'!F39-'8911'!F39</f>
        <v>267.56666666666666</v>
      </c>
      <c r="G39" s="135">
        <f>'Global LMT'!G39-'8911'!G39</f>
        <v>244.03333333333333</v>
      </c>
      <c r="H39" s="135">
        <f>'Global LMT'!H39-'8911'!H39</f>
        <v>269.23333333333335</v>
      </c>
      <c r="I39" s="135">
        <f>'Global LMT'!I39-'8911'!I39</f>
        <v>217.03333333333333</v>
      </c>
      <c r="J39">
        <v>13</v>
      </c>
      <c r="K39" s="43">
        <f t="shared" si="9"/>
        <v>58</v>
      </c>
      <c r="L39" s="43">
        <f t="shared" si="10"/>
        <v>53</v>
      </c>
      <c r="M39" s="43">
        <f t="shared" si="11"/>
        <v>56</v>
      </c>
      <c r="N39" s="43">
        <f t="shared" si="12"/>
        <v>58</v>
      </c>
      <c r="O39" s="43">
        <f t="shared" si="13"/>
        <v>53</v>
      </c>
      <c r="P39" s="43">
        <f t="shared" si="14"/>
        <v>60</v>
      </c>
      <c r="Q39" s="43">
        <f t="shared" si="15"/>
        <v>50</v>
      </c>
      <c r="R39">
        <v>13</v>
      </c>
      <c r="S39" s="146">
        <f>FR!S39+FFD!S39+EN_PIG!S39</f>
        <v>55</v>
      </c>
      <c r="T39" s="146">
        <f>FR!T39+FFD!T39+EN_PIG!T39</f>
        <v>52</v>
      </c>
      <c r="U39" s="146">
        <f>FR!U39+FFD!U39+EN_PIG!U39</f>
        <v>64</v>
      </c>
      <c r="V39" s="146">
        <f>FR!V39+FFD!V39+EN_PIG!V39</f>
        <v>56</v>
      </c>
      <c r="W39" s="146">
        <f>FR!W39+FFD!W39+EN_PIG!W39</f>
        <v>56</v>
      </c>
      <c r="X39" s="146">
        <f>FR!X39+FFD!X39+EN_PIG!X39</f>
        <v>62</v>
      </c>
      <c r="Y39" s="146">
        <f>FR!Y39+FFD!Y39+EN_PIG!Y39</f>
        <v>51</v>
      </c>
      <c r="AA39" s="55">
        <f t="shared" si="16"/>
        <v>0.99997666919582529</v>
      </c>
      <c r="AB39" s="55">
        <f t="shared" si="16"/>
        <v>0.99994181727137421</v>
      </c>
      <c r="AC39" s="55">
        <f t="shared" si="16"/>
        <v>0.99999991084785034</v>
      </c>
      <c r="AD39" s="55">
        <f t="shared" si="16"/>
        <v>0.99992776289419349</v>
      </c>
      <c r="AE39" s="55">
        <f t="shared" si="16"/>
        <v>0.99999856563205825</v>
      </c>
      <c r="AF39" s="55">
        <f t="shared" si="16"/>
        <v>0.9999984773135796</v>
      </c>
      <c r="AG39" s="55">
        <f t="shared" si="16"/>
        <v>0.99997659628088398</v>
      </c>
      <c r="AI39" s="55">
        <f t="shared" si="17"/>
        <v>2.2164653434517704E-3</v>
      </c>
      <c r="AJ39" s="55">
        <f t="shared" si="17"/>
        <v>4.124977250463473E-3</v>
      </c>
      <c r="AK39" s="55">
        <f t="shared" si="17"/>
        <v>4.9256561680414769E-5</v>
      </c>
      <c r="AL39" s="55">
        <f t="shared" si="17"/>
        <v>4.5760393288495384E-3</v>
      </c>
      <c r="AM39" s="55">
        <f t="shared" si="17"/>
        <v>3.030732085889205E-4</v>
      </c>
      <c r="AN39" s="55">
        <f t="shared" si="17"/>
        <v>3.4548654043186939E-4</v>
      </c>
      <c r="AO39" s="55">
        <f t="shared" si="17"/>
        <v>1.5399591599396878E-3</v>
      </c>
      <c r="AQ39" s="155">
        <f t="shared" si="18"/>
        <v>-3</v>
      </c>
      <c r="AR39" s="155">
        <f t="shared" si="18"/>
        <v>-1</v>
      </c>
      <c r="AS39" s="155">
        <f t="shared" si="18"/>
        <v>8</v>
      </c>
      <c r="AT39" s="155">
        <f t="shared" si="18"/>
        <v>-2</v>
      </c>
      <c r="AU39" s="155">
        <f t="shared" si="18"/>
        <v>3</v>
      </c>
      <c r="AV39" s="155">
        <f t="shared" si="18"/>
        <v>2</v>
      </c>
      <c r="AW39" s="155">
        <f t="shared" si="18"/>
        <v>1</v>
      </c>
      <c r="AY39" s="162">
        <f t="shared" si="19"/>
        <v>260.62725254807191</v>
      </c>
      <c r="AZ39" s="162">
        <f t="shared" si="19"/>
        <v>257.95165746210546</v>
      </c>
      <c r="BA39" s="162">
        <f t="shared" si="19"/>
        <v>265.83330963372021</v>
      </c>
      <c r="BB39" s="162">
        <f t="shared" si="19"/>
        <v>267.54733842505635</v>
      </c>
      <c r="BC39" s="162">
        <f t="shared" si="19"/>
        <v>244.03298329974328</v>
      </c>
      <c r="BD39" s="162">
        <f t="shared" si="19"/>
        <v>269.23292337539277</v>
      </c>
      <c r="BE39" s="162">
        <f t="shared" si="19"/>
        <v>217.02825394616119</v>
      </c>
    </row>
    <row r="40" spans="1:57" ht="13.5" customHeight="1" x14ac:dyDescent="0.2">
      <c r="A40" s="143">
        <f t="shared" si="8"/>
        <v>246.91428571428568</v>
      </c>
      <c r="B40" s="147">
        <f t="shared" si="20"/>
        <v>0.56249999999999989</v>
      </c>
      <c r="C40" s="135">
        <f>'Global LMT'!C40-'8911'!C40</f>
        <v>251.46666666666667</v>
      </c>
      <c r="D40" s="135">
        <f>'Global LMT'!D40-'8911'!D40</f>
        <v>247.1</v>
      </c>
      <c r="E40" s="135">
        <f>'Global LMT'!E40-'8911'!E40</f>
        <v>250.93333333333334</v>
      </c>
      <c r="F40" s="135">
        <f>'Global LMT'!F40-'8911'!F40</f>
        <v>249.56666666666666</v>
      </c>
      <c r="G40" s="135">
        <f>'Global LMT'!G40-'8911'!G40</f>
        <v>249.46666666666667</v>
      </c>
      <c r="H40" s="135">
        <f>'Global LMT'!H40-'8911'!H40</f>
        <v>259.13333333333333</v>
      </c>
      <c r="I40" s="135">
        <f>'Global LMT'!I40-'8911'!I40</f>
        <v>220.73333333333332</v>
      </c>
      <c r="J40">
        <v>14</v>
      </c>
      <c r="K40" s="43">
        <f t="shared" si="9"/>
        <v>56</v>
      </c>
      <c r="L40" s="43">
        <f t="shared" si="10"/>
        <v>51</v>
      </c>
      <c r="M40" s="43">
        <f t="shared" si="11"/>
        <v>53</v>
      </c>
      <c r="N40" s="43">
        <f t="shared" si="12"/>
        <v>54</v>
      </c>
      <c r="O40" s="43">
        <f t="shared" si="13"/>
        <v>54</v>
      </c>
      <c r="P40" s="43">
        <f t="shared" si="14"/>
        <v>58</v>
      </c>
      <c r="Q40" s="43">
        <f t="shared" si="15"/>
        <v>50</v>
      </c>
      <c r="R40">
        <v>14</v>
      </c>
      <c r="S40" s="146">
        <f>FR!S40+FFD!S40+EN_PIG!S40</f>
        <v>54</v>
      </c>
      <c r="T40" s="146">
        <f>FR!T40+FFD!T40+EN_PIG!T40</f>
        <v>52</v>
      </c>
      <c r="U40" s="146">
        <f>FR!U40+FFD!U40+EN_PIG!U40</f>
        <v>64</v>
      </c>
      <c r="V40" s="146">
        <f>FR!V40+FFD!V40+EN_PIG!V40</f>
        <v>57</v>
      </c>
      <c r="W40" s="146">
        <f>FR!W40+FFD!W40+EN_PIG!W40</f>
        <v>56</v>
      </c>
      <c r="X40" s="146">
        <f>FR!X40+FFD!X40+EN_PIG!X40</f>
        <v>63</v>
      </c>
      <c r="Y40" s="146">
        <f>FR!Y40+FFD!Y40+EN_PIG!Y40</f>
        <v>55</v>
      </c>
      <c r="AA40" s="55">
        <f t="shared" si="16"/>
        <v>0.99998491624042607</v>
      </c>
      <c r="AB40" s="55">
        <f t="shared" si="16"/>
        <v>0.99998303087983886</v>
      </c>
      <c r="AC40" s="55">
        <f t="shared" si="16"/>
        <v>0.99999998995326844</v>
      </c>
      <c r="AD40" s="55">
        <f t="shared" si="16"/>
        <v>0.99999557351661883</v>
      </c>
      <c r="AE40" s="55">
        <f t="shared" si="16"/>
        <v>0.99999727381517967</v>
      </c>
      <c r="AF40" s="55">
        <f t="shared" si="16"/>
        <v>0.99999981133705884</v>
      </c>
      <c r="AG40" s="55">
        <f t="shared" si="16"/>
        <v>0.99999800466858213</v>
      </c>
      <c r="AI40" s="55">
        <f t="shared" si="17"/>
        <v>1.571626795690445E-3</v>
      </c>
      <c r="AJ40" s="55">
        <f t="shared" si="17"/>
        <v>1.7359136095104735E-3</v>
      </c>
      <c r="AK40" s="55">
        <f t="shared" si="17"/>
        <v>9.1517534579234999E-6</v>
      </c>
      <c r="AL40" s="55">
        <f t="shared" si="17"/>
        <v>6.4538517880243819E-4</v>
      </c>
      <c r="AM40" s="55">
        <f t="shared" si="17"/>
        <v>4.8759569021726893E-4</v>
      </c>
      <c r="AN40" s="55">
        <f t="shared" si="17"/>
        <v>7.5349165867162859E-5</v>
      </c>
      <c r="AO40" s="55">
        <f t="shared" si="17"/>
        <v>2.8139950210189575E-4</v>
      </c>
      <c r="AQ40" s="155">
        <f t="shared" si="18"/>
        <v>-2</v>
      </c>
      <c r="AR40" s="155">
        <f t="shared" si="18"/>
        <v>1</v>
      </c>
      <c r="AS40" s="155">
        <f t="shared" si="18"/>
        <v>11</v>
      </c>
      <c r="AT40" s="155">
        <f t="shared" si="18"/>
        <v>3</v>
      </c>
      <c r="AU40" s="155">
        <f t="shared" si="18"/>
        <v>2</v>
      </c>
      <c r="AV40" s="155">
        <f t="shared" si="18"/>
        <v>5</v>
      </c>
      <c r="AW40" s="155">
        <f t="shared" si="18"/>
        <v>5</v>
      </c>
      <c r="AY40" s="162">
        <f t="shared" si="19"/>
        <v>251.4628736039258</v>
      </c>
      <c r="AZ40" s="162">
        <f t="shared" si="19"/>
        <v>247.09580693040817</v>
      </c>
      <c r="BA40" s="162">
        <f t="shared" si="19"/>
        <v>250.93333081227351</v>
      </c>
      <c r="BB40" s="162">
        <f t="shared" si="19"/>
        <v>249.56556196396417</v>
      </c>
      <c r="BC40" s="162">
        <f t="shared" si="19"/>
        <v>249.46598657442684</v>
      </c>
      <c r="BD40" s="162">
        <f t="shared" si="19"/>
        <v>259.13328444447649</v>
      </c>
      <c r="BE40" s="162">
        <f t="shared" si="19"/>
        <v>220.73289289717835</v>
      </c>
    </row>
    <row r="41" spans="1:57" ht="13.5" customHeight="1" x14ac:dyDescent="0.2">
      <c r="A41" s="143">
        <f t="shared" si="8"/>
        <v>254.76666666666668</v>
      </c>
      <c r="B41" s="147">
        <f t="shared" si="20"/>
        <v>0.58333333333333326</v>
      </c>
      <c r="C41" s="135">
        <f>'Global LMT'!C41-'8911'!C41</f>
        <v>257.39999999999998</v>
      </c>
      <c r="D41" s="135">
        <f>'Global LMT'!D41-'8911'!D41</f>
        <v>262.8</v>
      </c>
      <c r="E41" s="135">
        <f>'Global LMT'!E41-'8911'!E41</f>
        <v>265.3</v>
      </c>
      <c r="F41" s="135">
        <f>'Global LMT'!F41-'8911'!F41</f>
        <v>250.2</v>
      </c>
      <c r="G41" s="135">
        <f>'Global LMT'!G41-'8911'!G41</f>
        <v>265.5</v>
      </c>
      <c r="H41" s="135">
        <f>'Global LMT'!H41-'8911'!H41</f>
        <v>261.03333333333336</v>
      </c>
      <c r="I41" s="135">
        <f>'Global LMT'!I41-'8911'!I41</f>
        <v>221.13333333333333</v>
      </c>
      <c r="J41">
        <v>15</v>
      </c>
      <c r="K41" s="43">
        <f t="shared" si="9"/>
        <v>57</v>
      </c>
      <c r="L41" s="43">
        <f t="shared" si="10"/>
        <v>54</v>
      </c>
      <c r="M41" s="43">
        <f t="shared" si="11"/>
        <v>56</v>
      </c>
      <c r="N41" s="43">
        <f t="shared" si="12"/>
        <v>54</v>
      </c>
      <c r="O41" s="43">
        <f t="shared" si="13"/>
        <v>57</v>
      </c>
      <c r="P41" s="43">
        <f t="shared" si="14"/>
        <v>58</v>
      </c>
      <c r="Q41" s="43">
        <f t="shared" si="15"/>
        <v>50</v>
      </c>
      <c r="R41">
        <v>15</v>
      </c>
      <c r="S41" s="146">
        <f>FR!S41+FFD!S41+EN_PIG!S41</f>
        <v>55</v>
      </c>
      <c r="T41" s="146">
        <f>FR!T41+FFD!T41+EN_PIG!T41</f>
        <v>53</v>
      </c>
      <c r="U41" s="146">
        <f>FR!U41+FFD!U41+EN_PIG!U41</f>
        <v>56</v>
      </c>
      <c r="V41" s="146">
        <f>FR!V41+FFD!V41+EN_PIG!V41</f>
        <v>51</v>
      </c>
      <c r="W41" s="146">
        <f>FR!W41+FFD!W41+EN_PIG!W41</f>
        <v>50</v>
      </c>
      <c r="X41" s="146">
        <f>FR!X41+FFD!X41+EN_PIG!X41</f>
        <v>56</v>
      </c>
      <c r="Y41" s="146">
        <f>FR!Y41+FFD!Y41+EN_PIG!Y41</f>
        <v>56</v>
      </c>
      <c r="AA41" s="55">
        <f t="shared" si="16"/>
        <v>0.9999852462665646</v>
      </c>
      <c r="AB41" s="55">
        <f t="shared" si="16"/>
        <v>0.99995034032782393</v>
      </c>
      <c r="AC41" s="55">
        <f t="shared" si="16"/>
        <v>0.99996884341097436</v>
      </c>
      <c r="AD41" s="55">
        <f t="shared" si="16"/>
        <v>0.99971647469308111</v>
      </c>
      <c r="AE41" s="55">
        <f t="shared" si="16"/>
        <v>0.99893219299506131</v>
      </c>
      <c r="AF41" s="55">
        <f t="shared" si="16"/>
        <v>0.99995855008076273</v>
      </c>
      <c r="AG41" s="55">
        <f t="shared" si="16"/>
        <v>0.99999908721905806</v>
      </c>
      <c r="AI41" s="55">
        <f t="shared" si="17"/>
        <v>1.6015448308869511E-3</v>
      </c>
      <c r="AJ41" s="55">
        <f t="shared" si="17"/>
        <v>3.8164846795912429E-3</v>
      </c>
      <c r="AK41" s="55">
        <f t="shared" si="17"/>
        <v>2.6682350019848937E-3</v>
      </c>
      <c r="AL41" s="55">
        <f t="shared" si="17"/>
        <v>1.0177185271436342E-2</v>
      </c>
      <c r="AM41" s="55">
        <f t="shared" si="17"/>
        <v>2.5547327123760358E-2</v>
      </c>
      <c r="AN41" s="55">
        <f t="shared" si="17"/>
        <v>3.0501277530212167E-3</v>
      </c>
      <c r="AO41" s="55">
        <f t="shared" si="17"/>
        <v>1.6103575722525092E-4</v>
      </c>
      <c r="AQ41" s="155">
        <f t="shared" si="18"/>
        <v>-2</v>
      </c>
      <c r="AR41" s="155">
        <f t="shared" si="18"/>
        <v>-1</v>
      </c>
      <c r="AS41" s="155">
        <f t="shared" si="18"/>
        <v>0</v>
      </c>
      <c r="AT41" s="155">
        <f t="shared" si="18"/>
        <v>-3</v>
      </c>
      <c r="AU41" s="155">
        <f t="shared" si="18"/>
        <v>-7</v>
      </c>
      <c r="AV41" s="155">
        <f t="shared" si="18"/>
        <v>-2</v>
      </c>
      <c r="AW41" s="155">
        <f t="shared" si="18"/>
        <v>6</v>
      </c>
      <c r="AY41" s="162">
        <f t="shared" si="19"/>
        <v>257.39620238901369</v>
      </c>
      <c r="AZ41" s="162">
        <f t="shared" si="19"/>
        <v>262.78694943815213</v>
      </c>
      <c r="BA41" s="162">
        <f t="shared" si="19"/>
        <v>265.29173415693151</v>
      </c>
      <c r="BB41" s="162">
        <f t="shared" si="19"/>
        <v>250.12906196820887</v>
      </c>
      <c r="BC41" s="162">
        <f t="shared" si="19"/>
        <v>265.2164972401888</v>
      </c>
      <c r="BD41" s="162">
        <f t="shared" si="19"/>
        <v>261.02251352274845</v>
      </c>
      <c r="BE41" s="162">
        <f t="shared" si="19"/>
        <v>221.13313148704103</v>
      </c>
    </row>
    <row r="42" spans="1:57" ht="13.5" customHeight="1" x14ac:dyDescent="0.2">
      <c r="A42" s="143">
        <f t="shared" si="8"/>
        <v>252.22380952380954</v>
      </c>
      <c r="B42" s="147">
        <f t="shared" si="20"/>
        <v>0.60416666666666663</v>
      </c>
      <c r="C42" s="135">
        <f>'Global LMT'!C42-'8911'!C42</f>
        <v>263.26666666666665</v>
      </c>
      <c r="D42" s="135">
        <f>'Global LMT'!D42-'8911'!D42</f>
        <v>248</v>
      </c>
      <c r="E42" s="135">
        <f>'Global LMT'!E42-'8911'!E42</f>
        <v>262.7</v>
      </c>
      <c r="F42" s="135">
        <f>'Global LMT'!F42-'8911'!F42</f>
        <v>249.86666666666667</v>
      </c>
      <c r="G42" s="135">
        <f>'Global LMT'!G42-'8911'!G42</f>
        <v>262.36666666666667</v>
      </c>
      <c r="H42" s="135">
        <f>'Global LMT'!H42-'8911'!H42</f>
        <v>252.43333333333334</v>
      </c>
      <c r="I42" s="135">
        <f>'Global LMT'!I42-'8911'!I42</f>
        <v>226.93333333333334</v>
      </c>
      <c r="J42">
        <v>16</v>
      </c>
      <c r="K42" s="43">
        <f t="shared" si="9"/>
        <v>58</v>
      </c>
      <c r="L42" s="43">
        <f t="shared" si="10"/>
        <v>51</v>
      </c>
      <c r="M42" s="43">
        <f t="shared" si="11"/>
        <v>55</v>
      </c>
      <c r="N42" s="43">
        <f t="shared" si="12"/>
        <v>54</v>
      </c>
      <c r="O42" s="43">
        <f t="shared" si="13"/>
        <v>56</v>
      </c>
      <c r="P42" s="43">
        <f t="shared" si="14"/>
        <v>55</v>
      </c>
      <c r="Q42" s="43">
        <f t="shared" si="15"/>
        <v>52</v>
      </c>
      <c r="R42">
        <v>16</v>
      </c>
      <c r="S42" s="146">
        <f>FR!S42+FFD!S42+EN_PIG!S42</f>
        <v>55</v>
      </c>
      <c r="T42" s="146">
        <f>FR!T42+FFD!T42+EN_PIG!T42</f>
        <v>52</v>
      </c>
      <c r="U42" s="146">
        <f>FR!U42+FFD!U42+EN_PIG!U42</f>
        <v>56</v>
      </c>
      <c r="V42" s="146">
        <f>FR!V42+FFD!V42+EN_PIG!V42</f>
        <v>50</v>
      </c>
      <c r="W42" s="146">
        <f>FR!W42+FFD!W42+EN_PIG!W42</f>
        <v>49</v>
      </c>
      <c r="X42" s="146">
        <f>FR!X42+FFD!X42+EN_PIG!X42</f>
        <v>56</v>
      </c>
      <c r="Y42" s="146">
        <f>FR!Y42+FFD!Y42+EN_PIG!Y42</f>
        <v>56</v>
      </c>
      <c r="AA42" s="55">
        <f t="shared" si="16"/>
        <v>0.99997079457104443</v>
      </c>
      <c r="AB42" s="55">
        <f t="shared" si="16"/>
        <v>0.99998094606690879</v>
      </c>
      <c r="AC42" s="55">
        <f t="shared" si="16"/>
        <v>0.99997511332507805</v>
      </c>
      <c r="AD42" s="55">
        <f t="shared" si="16"/>
        <v>0.99946337024073451</v>
      </c>
      <c r="AE42" s="55">
        <f t="shared" si="16"/>
        <v>0.9986447609369451</v>
      </c>
      <c r="AF42" s="55">
        <f t="shared" si="16"/>
        <v>0.99998534889785473</v>
      </c>
      <c r="AG42" s="55">
        <f t="shared" si="16"/>
        <v>0.99999787222264702</v>
      </c>
      <c r="AI42" s="55">
        <f t="shared" si="17"/>
        <v>2.5956244742304582E-3</v>
      </c>
      <c r="AJ42" s="55">
        <f t="shared" si="17"/>
        <v>1.8852846701046264E-3</v>
      </c>
      <c r="AK42" s="55">
        <f t="shared" si="17"/>
        <v>2.2782113523549608E-3</v>
      </c>
      <c r="AL42" s="55">
        <f t="shared" si="17"/>
        <v>1.5249533382354366E-2</v>
      </c>
      <c r="AM42" s="55">
        <f t="shared" si="17"/>
        <v>2.91194121469696E-2</v>
      </c>
      <c r="AN42" s="55">
        <f t="shared" si="17"/>
        <v>1.4553015168486424E-3</v>
      </c>
      <c r="AO42" s="55">
        <f t="shared" si="17"/>
        <v>3.073427987090492E-4</v>
      </c>
      <c r="AQ42" s="155">
        <f t="shared" si="18"/>
        <v>-3</v>
      </c>
      <c r="AR42" s="155">
        <f t="shared" si="18"/>
        <v>1</v>
      </c>
      <c r="AS42" s="155">
        <f t="shared" si="18"/>
        <v>1</v>
      </c>
      <c r="AT42" s="155">
        <f t="shared" si="18"/>
        <v>-4</v>
      </c>
      <c r="AU42" s="155">
        <f t="shared" si="18"/>
        <v>-7</v>
      </c>
      <c r="AV42" s="155">
        <f t="shared" si="18"/>
        <v>1</v>
      </c>
      <c r="AW42" s="155">
        <f t="shared" si="18"/>
        <v>4</v>
      </c>
      <c r="AY42" s="162">
        <f t="shared" si="19"/>
        <v>263.25897785073693</v>
      </c>
      <c r="AZ42" s="162">
        <f t="shared" si="19"/>
        <v>247.99527462459338</v>
      </c>
      <c r="BA42" s="162">
        <f t="shared" si="19"/>
        <v>262.693462270498</v>
      </c>
      <c r="BB42" s="162">
        <f t="shared" si="19"/>
        <v>249.73258077748486</v>
      </c>
      <c r="BC42" s="162">
        <f t="shared" si="19"/>
        <v>262.01109711115652</v>
      </c>
      <c r="BD42" s="162">
        <f t="shared" si="19"/>
        <v>252.42963490678179</v>
      </c>
      <c r="BE42" s="162">
        <f t="shared" si="19"/>
        <v>226.93285046972605</v>
      </c>
    </row>
    <row r="43" spans="1:57" ht="13.5" customHeight="1" x14ac:dyDescent="0.2">
      <c r="A43" s="143">
        <f t="shared" si="8"/>
        <v>253.13809523809525</v>
      </c>
      <c r="B43" s="147">
        <f t="shared" si="20"/>
        <v>0.625</v>
      </c>
      <c r="C43" s="135">
        <f>'Global LMT'!C43-'8911'!C43</f>
        <v>260.36666666666667</v>
      </c>
      <c r="D43" s="135">
        <f>'Global LMT'!D43-'8911'!D43</f>
        <v>257.5</v>
      </c>
      <c r="E43" s="135">
        <f>'Global LMT'!E43-'8911'!E43</f>
        <v>250.56666666666666</v>
      </c>
      <c r="F43" s="135">
        <f>'Global LMT'!F43-'8911'!F43</f>
        <v>252.66666666666666</v>
      </c>
      <c r="G43" s="135">
        <f>'Global LMT'!G43-'8911'!G43</f>
        <v>275.66666666666669</v>
      </c>
      <c r="H43" s="135">
        <f>'Global LMT'!H43-'8911'!H43</f>
        <v>251.83333333333334</v>
      </c>
      <c r="I43" s="135">
        <f>'Global LMT'!I43-'8911'!I43</f>
        <v>223.36666666666667</v>
      </c>
      <c r="J43">
        <v>17</v>
      </c>
      <c r="K43" s="43">
        <f t="shared" si="9"/>
        <v>58</v>
      </c>
      <c r="L43" s="43">
        <f t="shared" si="10"/>
        <v>53</v>
      </c>
      <c r="M43" s="43">
        <f t="shared" si="11"/>
        <v>53</v>
      </c>
      <c r="N43" s="43">
        <f t="shared" si="12"/>
        <v>55</v>
      </c>
      <c r="O43" s="43">
        <f t="shared" si="13"/>
        <v>59</v>
      </c>
      <c r="P43" s="43">
        <f t="shared" si="14"/>
        <v>55</v>
      </c>
      <c r="Q43" s="43">
        <f t="shared" si="15"/>
        <v>51</v>
      </c>
      <c r="R43">
        <v>17</v>
      </c>
      <c r="S43" s="146">
        <f>FR!S43+FFD!S43+EN_PIG!S43</f>
        <v>60</v>
      </c>
      <c r="T43" s="146">
        <f>FR!T43+FFD!T43+EN_PIG!T43</f>
        <v>59</v>
      </c>
      <c r="U43" s="146">
        <f>FR!U43+FFD!U43+EN_PIG!U43</f>
        <v>66</v>
      </c>
      <c r="V43" s="146">
        <f>FR!V43+FFD!V43+EN_PIG!V43</f>
        <v>57</v>
      </c>
      <c r="W43" s="146">
        <f>FR!W43+FFD!W43+EN_PIG!W43</f>
        <v>60</v>
      </c>
      <c r="X43" s="146">
        <f>FR!X43+FFD!X43+EN_PIG!X43</f>
        <v>64</v>
      </c>
      <c r="Y43" s="146">
        <f>FR!Y43+FFD!Y43+EN_PIG!Y43</f>
        <v>64</v>
      </c>
      <c r="AA43" s="55">
        <f t="shared" si="16"/>
        <v>0.99999950475725152</v>
      </c>
      <c r="AB43" s="55">
        <f t="shared" si="16"/>
        <v>0.99999970284889006</v>
      </c>
      <c r="AC43" s="55">
        <f t="shared" si="16"/>
        <v>0.99999999825206054</v>
      </c>
      <c r="AD43" s="55">
        <f t="shared" si="16"/>
        <v>0.99999357803430144</v>
      </c>
      <c r="AE43" s="55">
        <f t="shared" si="16"/>
        <v>0.99999625463871089</v>
      </c>
      <c r="AF43" s="55">
        <f t="shared" si="16"/>
        <v>0.99999996929538248</v>
      </c>
      <c r="AG43" s="55">
        <f t="shared" si="16"/>
        <v>0.99999999858308219</v>
      </c>
      <c r="AI43" s="55">
        <f t="shared" si="17"/>
        <v>1.6229571261474734E-4</v>
      </c>
      <c r="AJ43" s="55">
        <f t="shared" si="17"/>
        <v>1.1898908908955501E-4</v>
      </c>
      <c r="AK43" s="55">
        <f t="shared" si="17"/>
        <v>2.558818946169938E-6</v>
      </c>
      <c r="AL43" s="55">
        <f t="shared" si="17"/>
        <v>8.4722484489125293E-4</v>
      </c>
      <c r="AM43" s="55">
        <f t="shared" si="17"/>
        <v>7.136758739309416E-4</v>
      </c>
      <c r="AN43" s="55">
        <f t="shared" si="17"/>
        <v>1.9531575776206237E-5</v>
      </c>
      <c r="AO43" s="55">
        <f t="shared" si="17"/>
        <v>1.402578610742762E-6</v>
      </c>
      <c r="AQ43" s="155">
        <f t="shared" si="18"/>
        <v>2</v>
      </c>
      <c r="AR43" s="155">
        <f t="shared" si="18"/>
        <v>6</v>
      </c>
      <c r="AS43" s="155">
        <f t="shared" si="18"/>
        <v>13</v>
      </c>
      <c r="AT43" s="155">
        <f t="shared" si="18"/>
        <v>2</v>
      </c>
      <c r="AU43" s="155">
        <f t="shared" si="18"/>
        <v>1</v>
      </c>
      <c r="AV43" s="155">
        <f t="shared" si="18"/>
        <v>9</v>
      </c>
      <c r="AW43" s="155">
        <f t="shared" si="18"/>
        <v>13</v>
      </c>
      <c r="AY43" s="162">
        <f t="shared" si="19"/>
        <v>260.36653772196308</v>
      </c>
      <c r="AZ43" s="162">
        <f t="shared" si="19"/>
        <v>257.49992348358921</v>
      </c>
      <c r="BA43" s="162">
        <f t="shared" si="19"/>
        <v>250.5666662286913</v>
      </c>
      <c r="BB43" s="162">
        <f t="shared" si="19"/>
        <v>252.66504405000015</v>
      </c>
      <c r="BC43" s="162">
        <f t="shared" si="19"/>
        <v>275.66563419540466</v>
      </c>
      <c r="BD43" s="162">
        <f t="shared" si="19"/>
        <v>251.83332560088718</v>
      </c>
      <c r="BE43" s="162">
        <f t="shared" si="19"/>
        <v>223.36666635017446</v>
      </c>
    </row>
    <row r="44" spans="1:57" x14ac:dyDescent="0.2">
      <c r="A44" s="143">
        <f t="shared" si="8"/>
        <v>243.35714285714286</v>
      </c>
      <c r="B44" s="147">
        <f t="shared" si="20"/>
        <v>0.64583333333333337</v>
      </c>
      <c r="C44" s="135">
        <f>'Global LMT'!C44-'8911'!C44</f>
        <v>250.96666666666667</v>
      </c>
      <c r="D44" s="135">
        <f>'Global LMT'!D44-'8911'!D44</f>
        <v>238.63333333333333</v>
      </c>
      <c r="E44" s="135">
        <f>'Global LMT'!E44-'8911'!E44</f>
        <v>252.7</v>
      </c>
      <c r="F44" s="135">
        <f>'Global LMT'!F44-'8911'!F44</f>
        <v>252.36666666666667</v>
      </c>
      <c r="G44" s="135">
        <f>'Global LMT'!G44-'8911'!G44</f>
        <v>253.2</v>
      </c>
      <c r="H44" s="135">
        <f>'Global LMT'!H44-'8911'!H44</f>
        <v>239.9</v>
      </c>
      <c r="I44" s="135">
        <f>'Global LMT'!I44-'8911'!I44</f>
        <v>215.73333333333335</v>
      </c>
      <c r="J44">
        <v>18</v>
      </c>
      <c r="K44" s="43">
        <f t="shared" si="9"/>
        <v>56</v>
      </c>
      <c r="L44" s="43">
        <f t="shared" si="10"/>
        <v>50</v>
      </c>
      <c r="M44" s="43">
        <f t="shared" si="11"/>
        <v>53</v>
      </c>
      <c r="N44" s="43">
        <f t="shared" si="12"/>
        <v>55</v>
      </c>
      <c r="O44" s="43">
        <f t="shared" si="13"/>
        <v>55</v>
      </c>
      <c r="P44" s="43">
        <f t="shared" si="14"/>
        <v>53</v>
      </c>
      <c r="Q44" s="43">
        <f t="shared" si="15"/>
        <v>49</v>
      </c>
      <c r="R44">
        <v>18</v>
      </c>
      <c r="S44" s="146">
        <f>FR!S44+FFD!S44+EN_PIG!S44</f>
        <v>59</v>
      </c>
      <c r="T44" s="146">
        <f>FR!T44+FFD!T44+EN_PIG!T44</f>
        <v>59</v>
      </c>
      <c r="U44" s="146">
        <f>FR!U44+FFD!U44+EN_PIG!U44</f>
        <v>65</v>
      </c>
      <c r="V44" s="146">
        <f>FR!V44+FFD!V44+EN_PIG!V44</f>
        <v>57</v>
      </c>
      <c r="W44" s="146">
        <f>FR!W44+FFD!W44+EN_PIG!W44</f>
        <v>60</v>
      </c>
      <c r="X44" s="146">
        <f>FR!X44+FFD!X44+EN_PIG!X44</f>
        <v>64</v>
      </c>
      <c r="Y44" s="146">
        <f>FR!Y44+FFD!Y44+EN_PIG!Y44</f>
        <v>61</v>
      </c>
      <c r="AA44" s="55">
        <f t="shared" si="16"/>
        <v>0.99999967058173234</v>
      </c>
      <c r="AB44" s="55">
        <f t="shared" si="16"/>
        <v>0.99999997975620936</v>
      </c>
      <c r="AC44" s="55">
        <f t="shared" si="16"/>
        <v>0.99999999423953001</v>
      </c>
      <c r="AD44" s="55">
        <f t="shared" si="16"/>
        <v>0.99999432233903507</v>
      </c>
      <c r="AE44" s="55">
        <f t="shared" si="16"/>
        <v>0.99999980203916605</v>
      </c>
      <c r="AF44" s="55">
        <f t="shared" si="16"/>
        <v>0.99999999521729976</v>
      </c>
      <c r="AG44" s="55">
        <f t="shared" si="16"/>
        <v>0.99999999380988258</v>
      </c>
      <c r="AI44" s="55">
        <f t="shared" si="17"/>
        <v>1.1451666846425476E-4</v>
      </c>
      <c r="AJ44" s="55">
        <f t="shared" si="17"/>
        <v>1.5271257204552758E-5</v>
      </c>
      <c r="AK44" s="55">
        <f t="shared" si="17"/>
        <v>6.2230213585524325E-6</v>
      </c>
      <c r="AL44" s="55">
        <f t="shared" si="17"/>
        <v>7.7442014138083656E-4</v>
      </c>
      <c r="AM44" s="55">
        <f t="shared" si="17"/>
        <v>8.1198064194271742E-5</v>
      </c>
      <c r="AN44" s="55">
        <f t="shared" si="17"/>
        <v>4.5386275486337979E-6</v>
      </c>
      <c r="AO44" s="55">
        <f t="shared" si="17"/>
        <v>3.9525231005241306E-6</v>
      </c>
      <c r="AQ44" s="155">
        <f t="shared" si="18"/>
        <v>3</v>
      </c>
      <c r="AR44" s="155">
        <f t="shared" si="18"/>
        <v>9</v>
      </c>
      <c r="AS44" s="155">
        <f t="shared" si="18"/>
        <v>12</v>
      </c>
      <c r="AT44" s="155">
        <f t="shared" si="18"/>
        <v>2</v>
      </c>
      <c r="AU44" s="155">
        <f t="shared" si="18"/>
        <v>5</v>
      </c>
      <c r="AV44" s="155">
        <f t="shared" si="18"/>
        <v>11</v>
      </c>
      <c r="AW44" s="155">
        <f t="shared" si="18"/>
        <v>12</v>
      </c>
      <c r="AY44" s="162">
        <f t="shared" si="19"/>
        <v>250.96658399366208</v>
      </c>
      <c r="AZ44" s="162">
        <f t="shared" si="19"/>
        <v>238.63332850249009</v>
      </c>
      <c r="BA44" s="162">
        <f t="shared" si="19"/>
        <v>252.69999854432922</v>
      </c>
      <c r="BB44" s="162">
        <f t="shared" si="19"/>
        <v>252.3652338142945</v>
      </c>
      <c r="BC44" s="162">
        <f t="shared" si="19"/>
        <v>253.19994987631682</v>
      </c>
      <c r="BD44" s="162">
        <f t="shared" si="19"/>
        <v>239.89999885263023</v>
      </c>
      <c r="BE44" s="162">
        <f t="shared" si="19"/>
        <v>215.7333319979187</v>
      </c>
    </row>
    <row r="45" spans="1:57" x14ac:dyDescent="0.2">
      <c r="A45" s="143">
        <f t="shared" si="8"/>
        <v>247.34285714285713</v>
      </c>
      <c r="B45" s="147">
        <f t="shared" si="20"/>
        <v>0.66666666666666674</v>
      </c>
      <c r="C45" s="135">
        <f>'Global LMT'!C45-'8911'!C45</f>
        <v>261.53333333333336</v>
      </c>
      <c r="D45" s="135">
        <f>'Global LMT'!D45-'8911'!D45</f>
        <v>246.8</v>
      </c>
      <c r="E45" s="135">
        <f>'Global LMT'!E45-'8911'!E45</f>
        <v>260.60000000000002</v>
      </c>
      <c r="F45" s="135">
        <f>'Global LMT'!F45-'8911'!F45</f>
        <v>245.83333333333334</v>
      </c>
      <c r="G45" s="135">
        <f>'Global LMT'!G45-'8911'!G45</f>
        <v>261.26666666666665</v>
      </c>
      <c r="H45" s="135">
        <f>'Global LMT'!H45-'8911'!H45</f>
        <v>247.53333333333333</v>
      </c>
      <c r="I45" s="135">
        <f>'Global LMT'!I45-'8911'!I45</f>
        <v>207.83333333333334</v>
      </c>
      <c r="J45">
        <v>19</v>
      </c>
      <c r="K45" s="43">
        <f t="shared" si="9"/>
        <v>58</v>
      </c>
      <c r="L45" s="43">
        <f t="shared" si="10"/>
        <v>51</v>
      </c>
      <c r="M45" s="43">
        <f t="shared" si="11"/>
        <v>55</v>
      </c>
      <c r="N45" s="43">
        <f t="shared" si="12"/>
        <v>54</v>
      </c>
      <c r="O45" s="43">
        <f t="shared" si="13"/>
        <v>56</v>
      </c>
      <c r="P45" s="43">
        <f t="shared" si="14"/>
        <v>54</v>
      </c>
      <c r="Q45" s="43">
        <f t="shared" si="15"/>
        <v>48</v>
      </c>
      <c r="R45">
        <v>19</v>
      </c>
      <c r="S45" s="146">
        <f>FR!S45+FFD!S45+EN_PIG!S45</f>
        <v>69</v>
      </c>
      <c r="T45" s="146">
        <f>FR!T45+FFD!T45+EN_PIG!T45</f>
        <v>60</v>
      </c>
      <c r="U45" s="146">
        <f>FR!U45+FFD!U45+EN_PIG!U45</f>
        <v>63</v>
      </c>
      <c r="V45" s="146">
        <f>FR!V45+FFD!V45+EN_PIG!V45</f>
        <v>60</v>
      </c>
      <c r="W45" s="146">
        <f>FR!W45+FFD!W45+EN_PIG!W45</f>
        <v>61</v>
      </c>
      <c r="X45" s="146">
        <f>FR!X45+FFD!X45+EN_PIG!X45</f>
        <v>71</v>
      </c>
      <c r="Y45" s="146">
        <f>FR!Y45+FFD!Y45+EN_PIG!Y45</f>
        <v>69</v>
      </c>
      <c r="AA45" s="55">
        <f t="shared" si="16"/>
        <v>0.99999999967842479</v>
      </c>
      <c r="AB45" s="55">
        <f t="shared" si="16"/>
        <v>0.99999997227950443</v>
      </c>
      <c r="AC45" s="55">
        <f t="shared" si="16"/>
        <v>0.99999990038954889</v>
      </c>
      <c r="AD45" s="55">
        <f t="shared" si="16"/>
        <v>0.99999974236339961</v>
      </c>
      <c r="AE45" s="55">
        <f t="shared" si="16"/>
        <v>0.9999997371923135</v>
      </c>
      <c r="AF45" s="55">
        <f t="shared" si="16"/>
        <v>0.99999999996808397</v>
      </c>
      <c r="AG45" s="55">
        <f t="shared" si="16"/>
        <v>0.99999999999944067</v>
      </c>
      <c r="AI45" s="55">
        <f t="shared" si="17"/>
        <v>8.6243170302328632E-7</v>
      </c>
      <c r="AJ45" s="55">
        <f t="shared" si="17"/>
        <v>2.051099356380278E-5</v>
      </c>
      <c r="AK45" s="55">
        <f t="shared" si="17"/>
        <v>5.1286465589392042E-5</v>
      </c>
      <c r="AL45" s="55">
        <f t="shared" si="17"/>
        <v>8.6503920232466341E-5</v>
      </c>
      <c r="AM45" s="55">
        <f t="shared" si="17"/>
        <v>1.0504721535409395E-4</v>
      </c>
      <c r="AN45" s="55">
        <f t="shared" si="17"/>
        <v>1.1778583179831778E-7</v>
      </c>
      <c r="AO45" s="55">
        <f t="shared" si="17"/>
        <v>2.796667129349457E-9</v>
      </c>
      <c r="AQ45" s="155">
        <f t="shared" si="18"/>
        <v>11</v>
      </c>
      <c r="AR45" s="155">
        <f t="shared" si="18"/>
        <v>9</v>
      </c>
      <c r="AS45" s="155">
        <f t="shared" si="18"/>
        <v>8</v>
      </c>
      <c r="AT45" s="155">
        <f t="shared" si="18"/>
        <v>6</v>
      </c>
      <c r="AU45" s="155">
        <f t="shared" si="18"/>
        <v>5</v>
      </c>
      <c r="AV45" s="155">
        <f t="shared" si="18"/>
        <v>17</v>
      </c>
      <c r="AW45" s="155">
        <f t="shared" si="18"/>
        <v>21</v>
      </c>
      <c r="AY45" s="162">
        <f t="shared" si="19"/>
        <v>261.53333324923074</v>
      </c>
      <c r="AZ45" s="162">
        <f t="shared" si="19"/>
        <v>246.79999315858171</v>
      </c>
      <c r="BA45" s="162">
        <f t="shared" si="19"/>
        <v>260.59997404151648</v>
      </c>
      <c r="BB45" s="162">
        <f t="shared" si="19"/>
        <v>245.83326999766908</v>
      </c>
      <c r="BC45" s="162">
        <f t="shared" si="19"/>
        <v>261.26659800377843</v>
      </c>
      <c r="BD45" s="162">
        <f t="shared" si="19"/>
        <v>247.53333332543306</v>
      </c>
      <c r="BE45" s="162">
        <f t="shared" si="19"/>
        <v>207.8333333332171</v>
      </c>
    </row>
    <row r="46" spans="1:57" ht="13.5" customHeight="1" x14ac:dyDescent="0.2">
      <c r="A46" s="143">
        <f t="shared" si="8"/>
        <v>249.30952380952382</v>
      </c>
      <c r="B46" s="147">
        <f t="shared" si="20"/>
        <v>0.68750000000000011</v>
      </c>
      <c r="C46" s="135">
        <f>'Global LMT'!C46-'8911'!C46</f>
        <v>275.53333333333336</v>
      </c>
      <c r="D46" s="135">
        <f>'Global LMT'!D46-'8911'!D46</f>
        <v>248.4</v>
      </c>
      <c r="E46" s="135">
        <f>'Global LMT'!E46-'8911'!E46</f>
        <v>262.86666666666667</v>
      </c>
      <c r="F46" s="135">
        <f>'Global LMT'!F46-'8911'!F46</f>
        <v>255.6</v>
      </c>
      <c r="G46" s="135">
        <f>'Global LMT'!G46-'8911'!G46</f>
        <v>261.96666666666664</v>
      </c>
      <c r="H46" s="135">
        <f>'Global LMT'!H46-'8911'!H46</f>
        <v>232.96666666666667</v>
      </c>
      <c r="I46" s="135">
        <f>'Global LMT'!I46-'8911'!I46</f>
        <v>207.83333333333334</v>
      </c>
      <c r="J46">
        <v>20</v>
      </c>
      <c r="K46" s="43">
        <f t="shared" si="9"/>
        <v>62</v>
      </c>
      <c r="L46" s="43">
        <f t="shared" si="10"/>
        <v>51</v>
      </c>
      <c r="M46" s="43">
        <f t="shared" si="11"/>
        <v>55</v>
      </c>
      <c r="N46" s="43">
        <f t="shared" si="12"/>
        <v>56</v>
      </c>
      <c r="O46" s="43">
        <f t="shared" si="13"/>
        <v>56</v>
      </c>
      <c r="P46" s="43">
        <f t="shared" si="14"/>
        <v>51</v>
      </c>
      <c r="Q46" s="43">
        <f t="shared" si="15"/>
        <v>48</v>
      </c>
      <c r="R46">
        <v>20</v>
      </c>
      <c r="S46" s="146">
        <f>FR!S46+FFD!S46+EN_PIG!S46</f>
        <v>58</v>
      </c>
      <c r="T46" s="146">
        <f>FR!T46+FFD!T46+EN_PIG!T46</f>
        <v>53</v>
      </c>
      <c r="U46" s="146">
        <f>FR!U46+FFD!U46+EN_PIG!U46</f>
        <v>51</v>
      </c>
      <c r="V46" s="146">
        <f>FR!V46+FFD!V46+EN_PIG!V46</f>
        <v>55</v>
      </c>
      <c r="W46" s="146">
        <f>FR!W46+FFD!W46+EN_PIG!W46</f>
        <v>55</v>
      </c>
      <c r="X46" s="146">
        <f>FR!X46+FFD!X46+EN_PIG!X46</f>
        <v>68</v>
      </c>
      <c r="Y46" s="146">
        <f>FR!Y46+FFD!Y46+EN_PIG!Y46</f>
        <v>67</v>
      </c>
      <c r="AA46" s="55">
        <f t="shared" si="16"/>
        <v>0.99998468798676332</v>
      </c>
      <c r="AB46" s="55">
        <f t="shared" si="16"/>
        <v>0.99999092443203008</v>
      </c>
      <c r="AC46" s="55">
        <f t="shared" si="16"/>
        <v>0.99933248813873088</v>
      </c>
      <c r="AD46" s="55">
        <f t="shared" si="16"/>
        <v>0.99996226457629156</v>
      </c>
      <c r="AE46" s="55">
        <f t="shared" si="16"/>
        <v>0.99997333667601607</v>
      </c>
      <c r="AF46" s="55">
        <f t="shared" si="16"/>
        <v>0.99999999996416</v>
      </c>
      <c r="AG46" s="55">
        <f t="shared" si="16"/>
        <v>0.99999999999560951</v>
      </c>
      <c r="AI46" s="55">
        <f t="shared" si="17"/>
        <v>1.8179628873607803E-3</v>
      </c>
      <c r="AJ46" s="55">
        <f t="shared" si="17"/>
        <v>1.1499546924343431E-3</v>
      </c>
      <c r="AK46" s="55">
        <f t="shared" si="17"/>
        <v>1.8663883216877824E-2</v>
      </c>
      <c r="AL46" s="55">
        <f t="shared" si="17"/>
        <v>2.8232048059408238E-3</v>
      </c>
      <c r="AM46" s="55">
        <f t="shared" si="17"/>
        <v>2.430147504638513E-3</v>
      </c>
      <c r="AN46" s="55">
        <f t="shared" si="17"/>
        <v>1.086875742458138E-7</v>
      </c>
      <c r="AO46" s="55">
        <f t="shared" si="17"/>
        <v>1.4027691511685088E-8</v>
      </c>
      <c r="AQ46" s="155">
        <f t="shared" si="18"/>
        <v>-4</v>
      </c>
      <c r="AR46" s="155">
        <f t="shared" si="18"/>
        <v>2</v>
      </c>
      <c r="AS46" s="155">
        <f t="shared" si="18"/>
        <v>-4</v>
      </c>
      <c r="AT46" s="155">
        <f t="shared" si="18"/>
        <v>-1</v>
      </c>
      <c r="AU46" s="155">
        <f t="shared" si="18"/>
        <v>-1</v>
      </c>
      <c r="AV46" s="155">
        <f t="shared" si="18"/>
        <v>17</v>
      </c>
      <c r="AW46" s="155">
        <f t="shared" si="18"/>
        <v>19</v>
      </c>
      <c r="AY46" s="162">
        <f t="shared" si="19"/>
        <v>275.52911436328623</v>
      </c>
      <c r="AZ46" s="162">
        <f t="shared" si="19"/>
        <v>248.39774562891628</v>
      </c>
      <c r="BA46" s="162">
        <f t="shared" si="19"/>
        <v>262.6912000487344</v>
      </c>
      <c r="BB46" s="162">
        <f t="shared" si="19"/>
        <v>255.5903548257001</v>
      </c>
      <c r="BC46" s="162">
        <f t="shared" si="19"/>
        <v>261.95968176456034</v>
      </c>
      <c r="BD46" s="162">
        <f t="shared" si="19"/>
        <v>232.96666665831714</v>
      </c>
      <c r="BE46" s="162">
        <f t="shared" si="19"/>
        <v>207.83333333242086</v>
      </c>
    </row>
    <row r="47" spans="1:57" x14ac:dyDescent="0.2">
      <c r="A47" s="143">
        <f t="shared" si="8"/>
        <v>244.52857142857147</v>
      </c>
      <c r="B47" s="147">
        <f t="shared" si="20"/>
        <v>0.70833333333333348</v>
      </c>
      <c r="C47" s="135">
        <f>'Global LMT'!C47-'8911'!C47</f>
        <v>270.26666666666665</v>
      </c>
      <c r="D47" s="135">
        <f>'Global LMT'!D47-'8911'!D47</f>
        <v>257.16666666666669</v>
      </c>
      <c r="E47" s="135">
        <f>'Global LMT'!E47-'8911'!E47</f>
        <v>245.2</v>
      </c>
      <c r="F47" s="135">
        <f>'Global LMT'!F47-'8911'!F47</f>
        <v>257.03333333333336</v>
      </c>
      <c r="G47" s="135">
        <f>'Global LMT'!G47-'8911'!G47</f>
        <v>256.10000000000002</v>
      </c>
      <c r="H47" s="135">
        <f>'Global LMT'!H47-'8911'!H47</f>
        <v>227.8</v>
      </c>
      <c r="I47" s="135">
        <f>'Global LMT'!I47-'8911'!I47</f>
        <v>198.13333333333333</v>
      </c>
      <c r="J47">
        <v>21</v>
      </c>
      <c r="K47" s="43">
        <f t="shared" si="9"/>
        <v>60</v>
      </c>
      <c r="L47" s="43">
        <f t="shared" si="10"/>
        <v>53</v>
      </c>
      <c r="M47" s="43">
        <f t="shared" si="11"/>
        <v>52</v>
      </c>
      <c r="N47" s="43">
        <f t="shared" si="12"/>
        <v>56</v>
      </c>
      <c r="O47" s="43">
        <f t="shared" si="13"/>
        <v>55</v>
      </c>
      <c r="P47" s="43">
        <f t="shared" si="14"/>
        <v>50</v>
      </c>
      <c r="Q47" s="43">
        <f t="shared" si="15"/>
        <v>46</v>
      </c>
      <c r="R47">
        <v>21</v>
      </c>
      <c r="S47" s="146">
        <f>FR!S47+FFD!S47+EN_PIG!S47</f>
        <v>64</v>
      </c>
      <c r="T47" s="146">
        <f>FR!T47+FFD!T47+EN_PIG!T47</f>
        <v>61</v>
      </c>
      <c r="U47" s="146">
        <f>FR!U47+FFD!U47+EN_PIG!U47</f>
        <v>68</v>
      </c>
      <c r="V47" s="146">
        <f>FR!V47+FFD!V47+EN_PIG!V47</f>
        <v>63</v>
      </c>
      <c r="W47" s="146">
        <f>FR!W47+FFD!W47+EN_PIG!W47</f>
        <v>63</v>
      </c>
      <c r="X47" s="146">
        <f>FR!X47+FFD!X47+EN_PIG!X47</f>
        <v>57</v>
      </c>
      <c r="Y47" s="146">
        <f>FR!Y47+FFD!Y47+EN_PIG!Y47</f>
        <v>52</v>
      </c>
      <c r="AA47" s="55">
        <f t="shared" si="16"/>
        <v>0.99999992190834663</v>
      </c>
      <c r="AB47" s="55">
        <f t="shared" si="16"/>
        <v>0.99999995033093747</v>
      </c>
      <c r="AC47" s="55">
        <f t="shared" si="16"/>
        <v>0.99999999989717525</v>
      </c>
      <c r="AD47" s="55">
        <f t="shared" si="16"/>
        <v>0.99999989111910492</v>
      </c>
      <c r="AE47" s="55">
        <f t="shared" si="16"/>
        <v>0.99999997472718916</v>
      </c>
      <c r="AF47" s="55">
        <f t="shared" si="16"/>
        <v>0.9999997119960633</v>
      </c>
      <c r="AG47" s="55">
        <f t="shared" si="16"/>
        <v>0.99999924692449893</v>
      </c>
      <c r="AI47" s="55">
        <f t="shared" si="17"/>
        <v>4.8078806085757499E-5</v>
      </c>
      <c r="AJ47" s="55">
        <f t="shared" si="17"/>
        <v>3.3722631757374211E-5</v>
      </c>
      <c r="AK47" s="55">
        <f t="shared" si="17"/>
        <v>2.9546324325053528E-7</v>
      </c>
      <c r="AL47" s="55">
        <f t="shared" si="17"/>
        <v>5.1062344446604296E-5</v>
      </c>
      <c r="AM47" s="55">
        <f t="shared" si="17"/>
        <v>1.9318185239619915E-5</v>
      </c>
      <c r="AN47" s="55">
        <f t="shared" si="17"/>
        <v>8.0301389198355783E-5</v>
      </c>
      <c r="AO47" s="55">
        <f t="shared" si="17"/>
        <v>1.16778660561989E-4</v>
      </c>
      <c r="AQ47" s="155">
        <f t="shared" si="18"/>
        <v>4</v>
      </c>
      <c r="AR47" s="155">
        <f t="shared" si="18"/>
        <v>8</v>
      </c>
      <c r="AS47" s="155">
        <f t="shared" si="18"/>
        <v>16</v>
      </c>
      <c r="AT47" s="155">
        <f t="shared" si="18"/>
        <v>7</v>
      </c>
      <c r="AU47" s="155">
        <f t="shared" si="18"/>
        <v>8</v>
      </c>
      <c r="AV47" s="155">
        <f t="shared" si="18"/>
        <v>7</v>
      </c>
      <c r="AW47" s="155">
        <f t="shared" si="18"/>
        <v>6</v>
      </c>
      <c r="AY47" s="162">
        <f t="shared" si="19"/>
        <v>270.2666455610958</v>
      </c>
      <c r="AZ47" s="162">
        <f t="shared" si="19"/>
        <v>257.16665389343945</v>
      </c>
      <c r="BA47" s="162">
        <f t="shared" si="19"/>
        <v>245.19999997478737</v>
      </c>
      <c r="BB47" s="162">
        <f t="shared" si="19"/>
        <v>257.03330534731396</v>
      </c>
      <c r="BC47" s="162">
        <f t="shared" si="19"/>
        <v>256.09999352763316</v>
      </c>
      <c r="BD47" s="162">
        <f t="shared" si="19"/>
        <v>227.79993439270322</v>
      </c>
      <c r="BE47" s="162">
        <f t="shared" si="19"/>
        <v>198.13318412397405</v>
      </c>
    </row>
    <row r="48" spans="1:57" ht="13.5" customHeight="1" x14ac:dyDescent="0.2">
      <c r="A48" s="143">
        <f t="shared" si="8"/>
        <v>246.38095238095235</v>
      </c>
      <c r="B48" s="147">
        <f t="shared" si="20"/>
        <v>0.72916666666666685</v>
      </c>
      <c r="C48" s="135">
        <f>'Global LMT'!C48-'8911'!C48</f>
        <v>260.96666666666664</v>
      </c>
      <c r="D48" s="135">
        <f>'Global LMT'!D48-'8911'!D48</f>
        <v>260.2</v>
      </c>
      <c r="E48" s="135">
        <f>'Global LMT'!E48-'8911'!E48</f>
        <v>242.7</v>
      </c>
      <c r="F48" s="135">
        <f>'Global LMT'!F48-'8911'!F48</f>
        <v>255.9</v>
      </c>
      <c r="G48" s="135">
        <f>'Global LMT'!G48-'8911'!G48</f>
        <v>262.66666666666669</v>
      </c>
      <c r="H48" s="135">
        <f>'Global LMT'!H48-'8911'!H48</f>
        <v>238.2</v>
      </c>
      <c r="I48" s="135">
        <f>'Global LMT'!I48-'8911'!I48</f>
        <v>204.03333333333333</v>
      </c>
      <c r="J48">
        <v>22</v>
      </c>
      <c r="K48" s="43">
        <f t="shared" si="9"/>
        <v>58</v>
      </c>
      <c r="L48" s="43">
        <f t="shared" si="10"/>
        <v>54</v>
      </c>
      <c r="M48" s="43">
        <f t="shared" si="11"/>
        <v>51</v>
      </c>
      <c r="N48" s="43">
        <f t="shared" si="12"/>
        <v>56</v>
      </c>
      <c r="O48" s="43">
        <f t="shared" si="13"/>
        <v>57</v>
      </c>
      <c r="P48" s="43">
        <f t="shared" si="14"/>
        <v>52</v>
      </c>
      <c r="Q48" s="43">
        <f t="shared" si="15"/>
        <v>47</v>
      </c>
      <c r="R48">
        <v>22</v>
      </c>
      <c r="S48" s="146">
        <f>FR!S48+FFD!S48+EN_PIG!S48</f>
        <v>62</v>
      </c>
      <c r="T48" s="146">
        <f>FR!T48+FFD!T48+EN_PIG!T48</f>
        <v>56</v>
      </c>
      <c r="U48" s="146">
        <f>FR!U48+FFD!U48+EN_PIG!U48</f>
        <v>63</v>
      </c>
      <c r="V48" s="146">
        <f>FR!V48+FFD!V48+EN_PIG!V48</f>
        <v>59</v>
      </c>
      <c r="W48" s="146">
        <f>FR!W48+FFD!W48+EN_PIG!W48</f>
        <v>59</v>
      </c>
      <c r="X48" s="146">
        <f>FR!X48+FFD!X48+EN_PIG!X48</f>
        <v>54</v>
      </c>
      <c r="Y48" s="146">
        <f>FR!Y48+FFD!Y48+EN_PIG!Y48</f>
        <v>47</v>
      </c>
      <c r="AA48" s="55">
        <f t="shared" si="16"/>
        <v>0.99999988541240736</v>
      </c>
      <c r="AB48" s="55">
        <f t="shared" si="16"/>
        <v>0.9999960034228853</v>
      </c>
      <c r="AC48" s="55">
        <f t="shared" si="16"/>
        <v>0.99999999306168108</v>
      </c>
      <c r="AD48" s="55">
        <f t="shared" si="16"/>
        <v>0.99999786905405785</v>
      </c>
      <c r="AE48" s="55">
        <f t="shared" si="16"/>
        <v>0.99999838479323788</v>
      </c>
      <c r="AF48" s="55">
        <f t="shared" si="16"/>
        <v>0.99998870534364803</v>
      </c>
      <c r="AG48" s="55">
        <f t="shared" si="16"/>
        <v>0.99991949550086401</v>
      </c>
      <c r="AI48" s="55">
        <f t="shared" si="17"/>
        <v>5.881153516111535E-5</v>
      </c>
      <c r="AJ48" s="55">
        <f t="shared" si="17"/>
        <v>7.1288777556903732E-4</v>
      </c>
      <c r="AK48" s="55">
        <f t="shared" si="17"/>
        <v>6.5092178975513332E-6</v>
      </c>
      <c r="AL48" s="55">
        <f t="shared" si="17"/>
        <v>4.0586517193573376E-4</v>
      </c>
      <c r="AM48" s="55">
        <f t="shared" si="17"/>
        <v>3.7311074439083945E-4</v>
      </c>
      <c r="AN48" s="55">
        <f t="shared" si="17"/>
        <v>1.1246405531052067E-3</v>
      </c>
      <c r="AO48" s="55">
        <f t="shared" si="17"/>
        <v>3.3361753220609545E-3</v>
      </c>
      <c r="AQ48" s="155">
        <f t="shared" si="18"/>
        <v>4</v>
      </c>
      <c r="AR48" s="155">
        <f t="shared" si="18"/>
        <v>2</v>
      </c>
      <c r="AS48" s="155">
        <f t="shared" si="18"/>
        <v>12</v>
      </c>
      <c r="AT48" s="155">
        <f t="shared" si="18"/>
        <v>3</v>
      </c>
      <c r="AU48" s="155">
        <f t="shared" si="18"/>
        <v>2</v>
      </c>
      <c r="AV48" s="155">
        <f t="shared" si="18"/>
        <v>2</v>
      </c>
      <c r="AW48" s="155">
        <f t="shared" si="18"/>
        <v>0</v>
      </c>
      <c r="AY48" s="162">
        <f t="shared" si="19"/>
        <v>260.96663676312454</v>
      </c>
      <c r="AZ48" s="162">
        <f t="shared" si="19"/>
        <v>260.19896009063473</v>
      </c>
      <c r="BA48" s="162">
        <f t="shared" si="19"/>
        <v>242.69999831606998</v>
      </c>
      <c r="BB48" s="162">
        <f t="shared" si="19"/>
        <v>255.8994546909334</v>
      </c>
      <c r="BC48" s="162">
        <f t="shared" si="19"/>
        <v>262.66624240569053</v>
      </c>
      <c r="BD48" s="162">
        <f t="shared" si="19"/>
        <v>238.19730961285694</v>
      </c>
      <c r="BE48" s="162">
        <f t="shared" si="19"/>
        <v>204.01690773202628</v>
      </c>
    </row>
    <row r="49" spans="1:57" x14ac:dyDescent="0.2">
      <c r="A49" s="143">
        <f t="shared" si="8"/>
        <v>245.22857142857146</v>
      </c>
      <c r="B49" s="147">
        <f t="shared" si="20"/>
        <v>0.75000000000000022</v>
      </c>
      <c r="C49" s="135">
        <f>'Global LMT'!C49-'8911'!C49</f>
        <v>249.63333333333333</v>
      </c>
      <c r="D49" s="135">
        <f>'Global LMT'!D49-'8911'!D49</f>
        <v>252.96666666666667</v>
      </c>
      <c r="E49" s="135">
        <f>'Global LMT'!E49-'8911'!E49</f>
        <v>255.9</v>
      </c>
      <c r="F49" s="135">
        <f>'Global LMT'!F49-'8911'!F49</f>
        <v>242.2</v>
      </c>
      <c r="G49" s="135">
        <f>'Global LMT'!G49-'8911'!G49</f>
        <v>261.66666666666669</v>
      </c>
      <c r="H49" s="135">
        <f>'Global LMT'!H49-'8911'!H49</f>
        <v>239.46666666666667</v>
      </c>
      <c r="I49" s="135">
        <f>'Global LMT'!I49-'8911'!I49</f>
        <v>214.76666666666668</v>
      </c>
      <c r="J49">
        <v>23</v>
      </c>
      <c r="K49" s="43">
        <f t="shared" si="9"/>
        <v>56</v>
      </c>
      <c r="L49" s="43">
        <f t="shared" si="10"/>
        <v>52</v>
      </c>
      <c r="M49" s="43">
        <f t="shared" si="11"/>
        <v>54</v>
      </c>
      <c r="N49" s="43">
        <f t="shared" si="12"/>
        <v>53</v>
      </c>
      <c r="O49" s="43">
        <f t="shared" si="13"/>
        <v>56</v>
      </c>
      <c r="P49" s="43">
        <f t="shared" si="14"/>
        <v>53</v>
      </c>
      <c r="Q49" s="43">
        <f t="shared" si="15"/>
        <v>49</v>
      </c>
      <c r="R49">
        <v>23</v>
      </c>
      <c r="S49" s="146">
        <f>FR!S49+FFD!S49+EN_PIG!S49</f>
        <v>57</v>
      </c>
      <c r="T49" s="146">
        <f>FR!T49+FFD!T49+EN_PIG!T49</f>
        <v>59</v>
      </c>
      <c r="U49" s="146">
        <f>FR!U49+FFD!U49+EN_PIG!U49</f>
        <v>60</v>
      </c>
      <c r="V49" s="146">
        <f>FR!V49+FFD!V49+EN_PIG!V49</f>
        <v>56</v>
      </c>
      <c r="W49" s="146">
        <f>FR!W49+FFD!W49+EN_PIG!W49</f>
        <v>52</v>
      </c>
      <c r="X49" s="146">
        <f>FR!X49+FFD!X49+EN_PIG!X49</f>
        <v>53</v>
      </c>
      <c r="Y49" s="146">
        <f>FR!Y49+FFD!Y49+EN_PIG!Y49</f>
        <v>48</v>
      </c>
      <c r="AA49" s="55">
        <f t="shared" si="16"/>
        <v>0.99999859836660521</v>
      </c>
      <c r="AB49" s="55">
        <f t="shared" si="16"/>
        <v>0.9999998486842917</v>
      </c>
      <c r="AC49" s="55">
        <f t="shared" si="16"/>
        <v>0.99999945243931543</v>
      </c>
      <c r="AD49" s="55">
        <f t="shared" si="16"/>
        <v>0.99999661574317733</v>
      </c>
      <c r="AE49" s="55">
        <f t="shared" si="16"/>
        <v>0.99979609788081547</v>
      </c>
      <c r="AF49" s="55">
        <f t="shared" si="16"/>
        <v>0.99997378207954479</v>
      </c>
      <c r="AG49" s="55">
        <f t="shared" si="16"/>
        <v>0.99984911163487977</v>
      </c>
      <c r="AI49" s="55">
        <f t="shared" si="17"/>
        <v>3.1111393506996418E-4</v>
      </c>
      <c r="AJ49" s="55">
        <f t="shared" si="17"/>
        <v>7.1580744601999988E-5</v>
      </c>
      <c r="AK49" s="55">
        <f t="shared" si="17"/>
        <v>1.6347903523577048E-4</v>
      </c>
      <c r="AL49" s="55">
        <f t="shared" si="17"/>
        <v>5.1001303368913039E-4</v>
      </c>
      <c r="AM49" s="55">
        <f t="shared" si="17"/>
        <v>9.0232763462924151E-3</v>
      </c>
      <c r="AN49" s="55">
        <f t="shared" si="17"/>
        <v>2.0019633080639609E-3</v>
      </c>
      <c r="AO49" s="55">
        <f t="shared" si="17"/>
        <v>5.4211400653115709E-3</v>
      </c>
      <c r="AQ49" s="155">
        <f t="shared" si="18"/>
        <v>1</v>
      </c>
      <c r="AR49" s="155">
        <f t="shared" si="18"/>
        <v>7</v>
      </c>
      <c r="AS49" s="155">
        <f t="shared" si="18"/>
        <v>6</v>
      </c>
      <c r="AT49" s="155">
        <f t="shared" si="18"/>
        <v>3</v>
      </c>
      <c r="AU49" s="155">
        <f t="shared" si="18"/>
        <v>-4</v>
      </c>
      <c r="AV49" s="155">
        <f t="shared" si="18"/>
        <v>0</v>
      </c>
      <c r="AW49" s="155">
        <f t="shared" si="18"/>
        <v>-1</v>
      </c>
      <c r="AY49" s="162">
        <f t="shared" si="19"/>
        <v>249.63298343891688</v>
      </c>
      <c r="AZ49" s="162">
        <f t="shared" si="19"/>
        <v>252.96662838883631</v>
      </c>
      <c r="BA49" s="162">
        <f t="shared" si="19"/>
        <v>255.89985987922083</v>
      </c>
      <c r="BB49" s="162">
        <f t="shared" si="19"/>
        <v>242.19918033299754</v>
      </c>
      <c r="BC49" s="162">
        <f t="shared" si="19"/>
        <v>261.6133122788134</v>
      </c>
      <c r="BD49" s="162">
        <f t="shared" si="19"/>
        <v>239.46038834864834</v>
      </c>
      <c r="BE49" s="162">
        <f t="shared" si="19"/>
        <v>214.73426087545101</v>
      </c>
    </row>
    <row r="50" spans="1:57" x14ac:dyDescent="0.2">
      <c r="A50" s="143">
        <f t="shared" si="8"/>
        <v>260.94761904761907</v>
      </c>
      <c r="B50" s="147">
        <f t="shared" si="20"/>
        <v>0.77083333333333359</v>
      </c>
      <c r="C50" s="135">
        <f>'Global LMT'!C50-'8911'!C50</f>
        <v>268.93333333333334</v>
      </c>
      <c r="D50" s="135">
        <f>'Global LMT'!D50-'8911'!D50</f>
        <v>261.60000000000002</v>
      </c>
      <c r="E50" s="135">
        <f>'Global LMT'!E50-'8911'!E50</f>
        <v>265.5</v>
      </c>
      <c r="F50" s="135">
        <f>'Global LMT'!F50-'8911'!F50</f>
        <v>271.89999999999998</v>
      </c>
      <c r="G50" s="135">
        <f>'Global LMT'!G50-'8911'!G50</f>
        <v>271.63333333333333</v>
      </c>
      <c r="H50" s="135">
        <f>'Global LMT'!H50-'8911'!H50</f>
        <v>261.16666666666669</v>
      </c>
      <c r="I50" s="135">
        <f>'Global LMT'!I50-'8911'!I50</f>
        <v>225.9</v>
      </c>
      <c r="J50">
        <v>24</v>
      </c>
      <c r="K50" s="43">
        <f t="shared" si="9"/>
        <v>60</v>
      </c>
      <c r="L50" s="43">
        <f t="shared" si="10"/>
        <v>54</v>
      </c>
      <c r="M50" s="43">
        <f t="shared" si="11"/>
        <v>56</v>
      </c>
      <c r="N50" s="43">
        <f t="shared" si="12"/>
        <v>59</v>
      </c>
      <c r="O50" s="43">
        <f t="shared" si="13"/>
        <v>58</v>
      </c>
      <c r="P50" s="43">
        <f t="shared" si="14"/>
        <v>58</v>
      </c>
      <c r="Q50" s="43">
        <f t="shared" si="15"/>
        <v>52</v>
      </c>
      <c r="R50">
        <v>24</v>
      </c>
      <c r="S50" s="146">
        <f>FR!S50+FFD!S50+EN_PIG!S50</f>
        <v>58</v>
      </c>
      <c r="T50" s="146">
        <f>FR!T50+FFD!T50+EN_PIG!T50</f>
        <v>58</v>
      </c>
      <c r="U50" s="146">
        <f>FR!U50+FFD!U50+EN_PIG!U50</f>
        <v>60</v>
      </c>
      <c r="V50" s="146">
        <f>FR!V50+FFD!V50+EN_PIG!V50</f>
        <v>58</v>
      </c>
      <c r="W50" s="146">
        <f>FR!W50+FFD!W50+EN_PIG!W50</f>
        <v>54</v>
      </c>
      <c r="X50" s="146">
        <f>FR!X50+FFD!X50+EN_PIG!X50</f>
        <v>54</v>
      </c>
      <c r="Y50" s="146">
        <f>FR!Y50+FFD!Y50+EN_PIG!Y50</f>
        <v>50</v>
      </c>
      <c r="AA50" s="55">
        <f t="shared" si="16"/>
        <v>0.99999313827986236</v>
      </c>
      <c r="AB50" s="55">
        <f t="shared" si="16"/>
        <v>0.99999889741109504</v>
      </c>
      <c r="AC50" s="55">
        <f t="shared" si="16"/>
        <v>0.99999801586560988</v>
      </c>
      <c r="AD50" s="55">
        <f t="shared" si="16"/>
        <v>0.99997072318800262</v>
      </c>
      <c r="AE50" s="55">
        <f t="shared" si="16"/>
        <v>0.99984710505484609</v>
      </c>
      <c r="AF50" s="55">
        <f t="shared" si="16"/>
        <v>0.9998437944212879</v>
      </c>
      <c r="AG50" s="55">
        <f t="shared" si="16"/>
        <v>0.99986035540103724</v>
      </c>
      <c r="AI50" s="55">
        <f t="shared" si="17"/>
        <v>1.0287766469709635E-3</v>
      </c>
      <c r="AJ50" s="55">
        <f t="shared" si="17"/>
        <v>3.017330302879624E-4</v>
      </c>
      <c r="AK50" s="55">
        <f t="shared" si="17"/>
        <v>4.2445931180390786E-4</v>
      </c>
      <c r="AL50" s="55">
        <f t="shared" si="17"/>
        <v>2.5897352197779078E-3</v>
      </c>
      <c r="AM50" s="55">
        <f t="shared" si="17"/>
        <v>7.8479224581811478E-3</v>
      </c>
      <c r="AN50" s="55">
        <f t="shared" si="17"/>
        <v>7.2256705318587315E-3</v>
      </c>
      <c r="AO50" s="55">
        <f t="shared" si="17"/>
        <v>5.4414250631261447E-3</v>
      </c>
      <c r="AQ50" s="155">
        <f t="shared" si="18"/>
        <v>-2</v>
      </c>
      <c r="AR50" s="155">
        <f t="shared" si="18"/>
        <v>4</v>
      </c>
      <c r="AS50" s="155">
        <f t="shared" si="18"/>
        <v>4</v>
      </c>
      <c r="AT50" s="155">
        <f t="shared" si="18"/>
        <v>-1</v>
      </c>
      <c r="AU50" s="155">
        <f t="shared" si="18"/>
        <v>-4</v>
      </c>
      <c r="AV50" s="155">
        <f t="shared" si="18"/>
        <v>-4</v>
      </c>
      <c r="AW50" s="155">
        <f t="shared" si="18"/>
        <v>-2</v>
      </c>
      <c r="AY50" s="162">
        <f t="shared" si="19"/>
        <v>268.9314879880643</v>
      </c>
      <c r="AZ50" s="162">
        <f t="shared" si="19"/>
        <v>261.59971156274247</v>
      </c>
      <c r="BA50" s="162">
        <f t="shared" si="19"/>
        <v>265.4994732123194</v>
      </c>
      <c r="BB50" s="162">
        <f t="shared" si="19"/>
        <v>271.89203963481788</v>
      </c>
      <c r="BC50" s="162">
        <f t="shared" si="19"/>
        <v>271.59180196973136</v>
      </c>
      <c r="BD50" s="162">
        <f t="shared" si="19"/>
        <v>261.12587097635969</v>
      </c>
      <c r="BE50" s="162">
        <f t="shared" si="19"/>
        <v>225.86845428509432</v>
      </c>
    </row>
    <row r="51" spans="1:57" x14ac:dyDescent="0.2">
      <c r="A51" s="143">
        <f t="shared" si="8"/>
        <v>285.81904761904764</v>
      </c>
      <c r="B51" s="147">
        <f t="shared" si="20"/>
        <v>0.79166666666666696</v>
      </c>
      <c r="C51" s="135">
        <f>'Global LMT'!C51-'8911'!C51</f>
        <v>277.46666666666664</v>
      </c>
      <c r="D51" s="135">
        <f>'Global LMT'!D51-'8911'!D51</f>
        <v>299.96666666666664</v>
      </c>
      <c r="E51" s="135">
        <f>'Global LMT'!E51-'8911'!E51</f>
        <v>294.46666666666664</v>
      </c>
      <c r="F51" s="135">
        <f>'Global LMT'!F51-'8911'!F51</f>
        <v>294.60000000000002</v>
      </c>
      <c r="G51" s="135">
        <f>'Global LMT'!G51-'8911'!G51</f>
        <v>292.10000000000002</v>
      </c>
      <c r="H51" s="135">
        <f>'Global LMT'!H51-'8911'!H51</f>
        <v>295.43333333333334</v>
      </c>
      <c r="I51" s="135">
        <f>'Global LMT'!I51-'8911'!I51</f>
        <v>246.7</v>
      </c>
      <c r="J51">
        <v>25</v>
      </c>
      <c r="K51" s="43">
        <f t="shared" si="9"/>
        <v>62</v>
      </c>
      <c r="L51" s="43">
        <f t="shared" si="10"/>
        <v>61</v>
      </c>
      <c r="M51" s="43">
        <f t="shared" si="11"/>
        <v>63</v>
      </c>
      <c r="N51" s="43">
        <f t="shared" si="12"/>
        <v>65</v>
      </c>
      <c r="O51" s="43">
        <f t="shared" si="13"/>
        <v>62</v>
      </c>
      <c r="P51" s="43">
        <f t="shared" si="14"/>
        <v>65</v>
      </c>
      <c r="Q51" s="43">
        <f t="shared" si="15"/>
        <v>57</v>
      </c>
      <c r="R51">
        <v>25</v>
      </c>
      <c r="S51" s="146">
        <f>FR!S51+FFD!S51+EN_PIG!S51</f>
        <v>61</v>
      </c>
      <c r="T51" s="146">
        <f>FR!T51+FFD!T51+EN_PIG!T51</f>
        <v>59</v>
      </c>
      <c r="U51" s="146">
        <f>FR!U51+FFD!U51+EN_PIG!U51</f>
        <v>62</v>
      </c>
      <c r="V51" s="146">
        <f>FR!V51+FFD!V51+EN_PIG!V51</f>
        <v>61</v>
      </c>
      <c r="W51" s="146">
        <f>FR!W51+FFD!W51+EN_PIG!W51</f>
        <v>59</v>
      </c>
      <c r="X51" s="146">
        <f>FR!X51+FFD!X51+EN_PIG!X51</f>
        <v>57</v>
      </c>
      <c r="Y51" s="146">
        <f>FR!Y51+FFD!Y51+EN_PIG!Y51</f>
        <v>52</v>
      </c>
      <c r="AA51" s="55">
        <f t="shared" si="16"/>
        <v>0.9999980241642773</v>
      </c>
      <c r="AB51" s="55">
        <f t="shared" si="16"/>
        <v>0.99995994094630025</v>
      </c>
      <c r="AC51" s="55">
        <f t="shared" si="16"/>
        <v>0.99998730869788899</v>
      </c>
      <c r="AD51" s="55">
        <f t="shared" si="16"/>
        <v>0.99995201731722128</v>
      </c>
      <c r="AE51" s="55">
        <f t="shared" si="16"/>
        <v>0.99995534885140469</v>
      </c>
      <c r="AF51" s="55">
        <f t="shared" si="16"/>
        <v>0.9992977247120588</v>
      </c>
      <c r="AG51" s="55">
        <f t="shared" si="16"/>
        <v>0.99961860302318384</v>
      </c>
      <c r="AI51" s="55">
        <f t="shared" si="17"/>
        <v>4.6751525800445547E-4</v>
      </c>
      <c r="AJ51" s="55">
        <f t="shared" si="17"/>
        <v>3.9556530646561415E-3</v>
      </c>
      <c r="AK51" s="55">
        <f t="shared" si="17"/>
        <v>1.7157866847981689E-3</v>
      </c>
      <c r="AL51" s="55">
        <f t="shared" si="17"/>
        <v>3.9739202915566631E-3</v>
      </c>
      <c r="AM51" s="55">
        <f t="shared" si="17"/>
        <v>3.9230538294622629E-3</v>
      </c>
      <c r="AN51" s="55">
        <f t="shared" si="17"/>
        <v>2.0984937399746044E-2</v>
      </c>
      <c r="AO51" s="55">
        <f t="shared" si="17"/>
        <v>1.1549270750454413E-2</v>
      </c>
      <c r="AQ51" s="155">
        <f t="shared" si="18"/>
        <v>-1</v>
      </c>
      <c r="AR51" s="155">
        <f t="shared" si="18"/>
        <v>-2</v>
      </c>
      <c r="AS51" s="155">
        <f t="shared" si="18"/>
        <v>-1</v>
      </c>
      <c r="AT51" s="155">
        <f t="shared" si="18"/>
        <v>-4</v>
      </c>
      <c r="AU51" s="155">
        <f t="shared" si="18"/>
        <v>-3</v>
      </c>
      <c r="AV51" s="155">
        <f t="shared" si="18"/>
        <v>-8</v>
      </c>
      <c r="AW51" s="155">
        <f t="shared" si="18"/>
        <v>-5</v>
      </c>
      <c r="AY51" s="162">
        <f t="shared" si="19"/>
        <v>277.46611843811479</v>
      </c>
      <c r="AZ51" s="162">
        <f t="shared" si="19"/>
        <v>299.95465028585852</v>
      </c>
      <c r="BA51" s="162">
        <f t="shared" si="19"/>
        <v>294.46292950123836</v>
      </c>
      <c r="BB51" s="162">
        <f t="shared" si="19"/>
        <v>294.58586430165343</v>
      </c>
      <c r="BC51" s="162">
        <f t="shared" si="19"/>
        <v>292.08695739949536</v>
      </c>
      <c r="BD51" s="162">
        <f t="shared" si="19"/>
        <v>295.22585780409923</v>
      </c>
      <c r="BE51" s="162">
        <f t="shared" si="19"/>
        <v>246.60590936581943</v>
      </c>
    </row>
    <row r="52" spans="1:57" x14ac:dyDescent="0.2">
      <c r="A52" s="143">
        <f t="shared" si="8"/>
        <v>284.82380952380953</v>
      </c>
      <c r="B52" s="147">
        <f t="shared" si="20"/>
        <v>0.81250000000000033</v>
      </c>
      <c r="C52" s="135">
        <f>'Global LMT'!C52-'8911'!C52</f>
        <v>277.66666666666669</v>
      </c>
      <c r="D52" s="135">
        <f>'Global LMT'!D52-'8911'!D52</f>
        <v>293.46666666666664</v>
      </c>
      <c r="E52" s="135">
        <f>'Global LMT'!E52-'8911'!E52</f>
        <v>289</v>
      </c>
      <c r="F52" s="135">
        <f>'Global LMT'!F52-'8911'!F52</f>
        <v>307.5</v>
      </c>
      <c r="G52" s="135">
        <f>'Global LMT'!G52-'8911'!G52</f>
        <v>283.89999999999998</v>
      </c>
      <c r="H52" s="135">
        <f>'Global LMT'!H52-'8911'!H52</f>
        <v>288.33333333333331</v>
      </c>
      <c r="I52" s="135">
        <f>'Global LMT'!I52-'8911'!I52</f>
        <v>253.9</v>
      </c>
      <c r="J52">
        <v>26</v>
      </c>
      <c r="K52" s="43">
        <f t="shared" si="9"/>
        <v>62</v>
      </c>
      <c r="L52" s="43">
        <f t="shared" si="10"/>
        <v>60</v>
      </c>
      <c r="M52" s="43">
        <f t="shared" si="11"/>
        <v>62</v>
      </c>
      <c r="N52" s="43">
        <f t="shared" si="12"/>
        <v>67</v>
      </c>
      <c r="O52" s="43">
        <f t="shared" si="13"/>
        <v>61</v>
      </c>
      <c r="P52" s="43">
        <f t="shared" si="14"/>
        <v>64</v>
      </c>
      <c r="Q52" s="43">
        <f t="shared" si="15"/>
        <v>59</v>
      </c>
      <c r="R52">
        <v>26</v>
      </c>
      <c r="S52" s="146">
        <f>FR!S52+FFD!S52+EN_PIG!S52</f>
        <v>64</v>
      </c>
      <c r="T52" s="146">
        <f>FR!T52+FFD!T52+EN_PIG!T52</f>
        <v>60</v>
      </c>
      <c r="U52" s="146">
        <f>FR!U52+FFD!U52+EN_PIG!U52</f>
        <v>61</v>
      </c>
      <c r="V52" s="146">
        <f>FR!V52+FFD!V52+EN_PIG!V52</f>
        <v>63</v>
      </c>
      <c r="W52" s="146">
        <f>FR!W52+FFD!W52+EN_PIG!W52</f>
        <v>60</v>
      </c>
      <c r="X52" s="146">
        <f>FR!X52+FFD!X52+EN_PIG!X52</f>
        <v>57</v>
      </c>
      <c r="Y52" s="146">
        <f>FR!Y52+FFD!Y52+EN_PIG!Y52</f>
        <v>53</v>
      </c>
      <c r="AA52" s="55">
        <f t="shared" si="16"/>
        <v>0.99999977205474888</v>
      </c>
      <c r="AB52" s="55">
        <f t="shared" si="16"/>
        <v>0.99999042389937143</v>
      </c>
      <c r="AC52" s="55">
        <f t="shared" si="16"/>
        <v>0.99998553290976555</v>
      </c>
      <c r="AD52" s="55">
        <f t="shared" si="16"/>
        <v>0.9999489439188467</v>
      </c>
      <c r="AE52" s="55">
        <f t="shared" si="16"/>
        <v>0.9999905464457719</v>
      </c>
      <c r="AF52" s="55">
        <f t="shared" si="16"/>
        <v>0.99963783363112402</v>
      </c>
      <c r="AG52" s="55">
        <f t="shared" si="16"/>
        <v>0.99957658021344986</v>
      </c>
      <c r="AI52" s="55">
        <f t="shared" si="17"/>
        <v>1.0748992101274011E-4</v>
      </c>
      <c r="AJ52" s="55">
        <f t="shared" si="17"/>
        <v>1.5291715319746626E-3</v>
      </c>
      <c r="AK52" s="55">
        <f t="shared" si="17"/>
        <v>1.8226525669725879E-3</v>
      </c>
      <c r="AL52" s="55">
        <f t="shared" si="17"/>
        <v>4.3741727081007672E-3</v>
      </c>
      <c r="AM52" s="55">
        <f t="shared" si="17"/>
        <v>1.3797187173973653E-3</v>
      </c>
      <c r="AN52" s="55">
        <f t="shared" si="17"/>
        <v>1.3666074674245736E-2</v>
      </c>
      <c r="AO52" s="55">
        <f t="shared" si="17"/>
        <v>1.2701662194422134E-2</v>
      </c>
      <c r="AQ52" s="155">
        <f t="shared" si="18"/>
        <v>2</v>
      </c>
      <c r="AR52" s="155">
        <f t="shared" si="18"/>
        <v>0</v>
      </c>
      <c r="AS52" s="155">
        <f t="shared" si="18"/>
        <v>-1</v>
      </c>
      <c r="AT52" s="155">
        <f t="shared" si="18"/>
        <v>-4</v>
      </c>
      <c r="AU52" s="155">
        <f t="shared" si="18"/>
        <v>-1</v>
      </c>
      <c r="AV52" s="155">
        <f t="shared" si="18"/>
        <v>-7</v>
      </c>
      <c r="AW52" s="155">
        <f t="shared" si="18"/>
        <v>-6</v>
      </c>
      <c r="AY52" s="162">
        <f t="shared" si="19"/>
        <v>277.66660337386861</v>
      </c>
      <c r="AZ52" s="162">
        <f t="shared" si="19"/>
        <v>293.46385640033549</v>
      </c>
      <c r="BA52" s="162">
        <f t="shared" si="19"/>
        <v>288.99581901092222</v>
      </c>
      <c r="BB52" s="162">
        <f t="shared" si="19"/>
        <v>307.48430025504535</v>
      </c>
      <c r="BC52" s="162">
        <f t="shared" si="19"/>
        <v>283.89731613595461</v>
      </c>
      <c r="BD52" s="162">
        <f t="shared" si="19"/>
        <v>288.22890869697409</v>
      </c>
      <c r="BE52" s="162">
        <f t="shared" si="19"/>
        <v>253.79249371619491</v>
      </c>
    </row>
    <row r="53" spans="1:57" x14ac:dyDescent="0.2">
      <c r="A53" s="143">
        <f t="shared" si="8"/>
        <v>278.8095238095238</v>
      </c>
      <c r="B53" s="147">
        <f t="shared" si="20"/>
        <v>0.8333333333333337</v>
      </c>
      <c r="C53" s="135">
        <f>'Global LMT'!C53-'8911'!C53</f>
        <v>262.96666666666664</v>
      </c>
      <c r="D53" s="135">
        <f>'Global LMT'!D53-'8911'!D53</f>
        <v>292.86666666666667</v>
      </c>
      <c r="E53" s="135">
        <f>'Global LMT'!E53-'8911'!E53</f>
        <v>285.13333333333333</v>
      </c>
      <c r="F53" s="135">
        <f>'Global LMT'!F53-'8911'!F53</f>
        <v>295.7</v>
      </c>
      <c r="G53" s="135">
        <f>'Global LMT'!G53-'8911'!G53</f>
        <v>289.46666666666664</v>
      </c>
      <c r="H53" s="135">
        <f>'Global LMT'!H53-'8911'!H53</f>
        <v>280</v>
      </c>
      <c r="I53" s="135">
        <f>'Global LMT'!I53-'8911'!I53</f>
        <v>245.53333333333333</v>
      </c>
      <c r="J53">
        <v>27</v>
      </c>
      <c r="K53" s="43">
        <f t="shared" si="9"/>
        <v>58</v>
      </c>
      <c r="L53" s="43">
        <f t="shared" si="10"/>
        <v>60</v>
      </c>
      <c r="M53" s="43">
        <f t="shared" si="11"/>
        <v>60</v>
      </c>
      <c r="N53" s="43">
        <f t="shared" si="12"/>
        <v>65</v>
      </c>
      <c r="O53" s="43">
        <f t="shared" si="13"/>
        <v>62</v>
      </c>
      <c r="P53" s="43">
        <f t="shared" si="14"/>
        <v>62</v>
      </c>
      <c r="Q53" s="43">
        <f t="shared" si="15"/>
        <v>57</v>
      </c>
      <c r="R53">
        <v>27</v>
      </c>
      <c r="S53" s="146">
        <f>FR!S53+FFD!S53+EN_PIG!S53</f>
        <v>72</v>
      </c>
      <c r="T53" s="146">
        <f>FR!T53+FFD!T53+EN_PIG!T53</f>
        <v>61</v>
      </c>
      <c r="U53" s="146">
        <f>FR!U53+FFD!U53+EN_PIG!U53</f>
        <v>69</v>
      </c>
      <c r="V53" s="146">
        <f>FR!V53+FFD!V53+EN_PIG!V53</f>
        <v>66</v>
      </c>
      <c r="W53" s="146">
        <f>FR!W53+FFD!W53+EN_PIG!W53</f>
        <v>64</v>
      </c>
      <c r="X53" s="146">
        <f>FR!X53+FFD!X53+EN_PIG!X53</f>
        <v>59</v>
      </c>
      <c r="Y53" s="146">
        <f>FR!Y53+FFD!Y53+EN_PIG!Y53</f>
        <v>60</v>
      </c>
      <c r="AA53" s="55">
        <f t="shared" si="16"/>
        <v>0.99999999997640288</v>
      </c>
      <c r="AB53" s="55">
        <f t="shared" si="16"/>
        <v>0.99999530714131457</v>
      </c>
      <c r="AC53" s="55">
        <f t="shared" si="16"/>
        <v>0.99999997773994564</v>
      </c>
      <c r="AD53" s="55">
        <f t="shared" si="16"/>
        <v>0.99999822549179751</v>
      </c>
      <c r="AE53" s="55">
        <f t="shared" si="16"/>
        <v>0.99999906137413763</v>
      </c>
      <c r="AF53" s="55">
        <f t="shared" si="16"/>
        <v>0.99995498880560618</v>
      </c>
      <c r="AG53" s="55">
        <f t="shared" si="16"/>
        <v>0.99999863615141282</v>
      </c>
      <c r="AI53" s="55">
        <f t="shared" si="17"/>
        <v>1.2612261743054154E-7</v>
      </c>
      <c r="AJ53" s="55">
        <f t="shared" si="17"/>
        <v>9.5966486662265129E-4</v>
      </c>
      <c r="AK53" s="55">
        <f t="shared" si="17"/>
        <v>2.1374178733615387E-5</v>
      </c>
      <c r="AL53" s="55">
        <f t="shared" si="17"/>
        <v>4.5709492806343845E-4</v>
      </c>
      <c r="AM53" s="55">
        <f t="shared" si="17"/>
        <v>3.0385984201941108E-4</v>
      </c>
      <c r="AN53" s="55">
        <f t="shared" si="17"/>
        <v>3.5276118756751543E-3</v>
      </c>
      <c r="AO53" s="55">
        <f t="shared" si="17"/>
        <v>2.5609419505651549E-4</v>
      </c>
      <c r="AQ53" s="155">
        <f t="shared" si="18"/>
        <v>14</v>
      </c>
      <c r="AR53" s="155">
        <f t="shared" si="18"/>
        <v>1</v>
      </c>
      <c r="AS53" s="155">
        <f t="shared" si="18"/>
        <v>9</v>
      </c>
      <c r="AT53" s="155">
        <f t="shared" si="18"/>
        <v>1</v>
      </c>
      <c r="AU53" s="155">
        <f t="shared" si="18"/>
        <v>2</v>
      </c>
      <c r="AV53" s="155">
        <f t="shared" si="18"/>
        <v>-3</v>
      </c>
      <c r="AW53" s="155">
        <f t="shared" si="18"/>
        <v>3</v>
      </c>
      <c r="AY53" s="162">
        <f t="shared" si="19"/>
        <v>262.96666666046139</v>
      </c>
      <c r="AZ53" s="162">
        <f t="shared" si="19"/>
        <v>292.86529228478634</v>
      </c>
      <c r="BA53" s="162">
        <f t="shared" si="19"/>
        <v>285.13332698624981</v>
      </c>
      <c r="BB53" s="162">
        <f t="shared" si="19"/>
        <v>295.69947527792453</v>
      </c>
      <c r="BC53" s="162">
        <f t="shared" si="19"/>
        <v>289.46639496576699</v>
      </c>
      <c r="BD53" s="162">
        <f t="shared" si="19"/>
        <v>279.98739686556974</v>
      </c>
      <c r="BE53" s="162">
        <f t="shared" si="19"/>
        <v>245.53299846304355</v>
      </c>
    </row>
    <row r="54" spans="1:57" x14ac:dyDescent="0.2">
      <c r="A54" s="143">
        <f t="shared" si="8"/>
        <v>258.52380952380952</v>
      </c>
      <c r="B54" s="147">
        <f t="shared" si="20"/>
        <v>0.85416666666666707</v>
      </c>
      <c r="C54" s="135">
        <f>'Global LMT'!C54-'8911'!C54</f>
        <v>252</v>
      </c>
      <c r="D54" s="135">
        <f>'Global LMT'!D54-'8911'!D54</f>
        <v>262.39999999999998</v>
      </c>
      <c r="E54" s="135">
        <f>'Global LMT'!E54-'8911'!E54</f>
        <v>266.3</v>
      </c>
      <c r="F54" s="135">
        <f>'Global LMT'!F54-'8911'!F54</f>
        <v>270.26666666666665</v>
      </c>
      <c r="G54" s="135">
        <f>'Global LMT'!G54-'8911'!G54</f>
        <v>261</v>
      </c>
      <c r="H54" s="135">
        <f>'Global LMT'!H54-'8911'!H54</f>
        <v>261.53333333333336</v>
      </c>
      <c r="I54" s="135">
        <f>'Global LMT'!I54-'8911'!I54</f>
        <v>236.16666666666666</v>
      </c>
      <c r="J54">
        <v>28</v>
      </c>
      <c r="K54" s="43">
        <f t="shared" si="9"/>
        <v>56</v>
      </c>
      <c r="L54" s="43">
        <f t="shared" si="10"/>
        <v>54</v>
      </c>
      <c r="M54" s="43">
        <f t="shared" si="11"/>
        <v>56</v>
      </c>
      <c r="N54" s="43">
        <f t="shared" si="12"/>
        <v>59</v>
      </c>
      <c r="O54" s="43">
        <f t="shared" si="13"/>
        <v>56</v>
      </c>
      <c r="P54" s="43">
        <f t="shared" si="14"/>
        <v>58</v>
      </c>
      <c r="Q54" s="43">
        <f t="shared" si="15"/>
        <v>54</v>
      </c>
      <c r="R54">
        <v>28</v>
      </c>
      <c r="S54" s="146">
        <f>FR!S54+FFD!S54+EN_PIG!S54</f>
        <v>71</v>
      </c>
      <c r="T54" s="146">
        <f>FR!T54+FFD!T54+EN_PIG!T54</f>
        <v>60</v>
      </c>
      <c r="U54" s="146">
        <f>FR!U54+FFD!U54+EN_PIG!U54</f>
        <v>69</v>
      </c>
      <c r="V54" s="146">
        <f>FR!V54+FFD!V54+EN_PIG!V54</f>
        <v>66</v>
      </c>
      <c r="W54" s="146">
        <f>FR!W54+FFD!W54+EN_PIG!W54</f>
        <v>62</v>
      </c>
      <c r="X54" s="146">
        <f>FR!X54+FFD!X54+EN_PIG!X54</f>
        <v>57</v>
      </c>
      <c r="Y54" s="146">
        <f>FR!Y54+FFD!Y54+EN_PIG!Y54</f>
        <v>57</v>
      </c>
      <c r="AA54" s="55">
        <f t="shared" si="16"/>
        <v>0.99999999999117417</v>
      </c>
      <c r="AB54" s="55">
        <f t="shared" si="16"/>
        <v>0.99999977487458058</v>
      </c>
      <c r="AC54" s="55">
        <f t="shared" si="16"/>
        <v>0.9999999986626128</v>
      </c>
      <c r="AD54" s="55">
        <f t="shared" si="16"/>
        <v>0.99999993895344208</v>
      </c>
      <c r="AE54" s="55">
        <f t="shared" si="16"/>
        <v>0.99999988240048276</v>
      </c>
      <c r="AF54" s="55">
        <f t="shared" si="16"/>
        <v>0.9999765833917037</v>
      </c>
      <c r="AG54" s="55">
        <f t="shared" si="16"/>
        <v>0.99999661981409871</v>
      </c>
      <c r="AI54" s="55">
        <f t="shared" si="17"/>
        <v>5.3489979344298592E-8</v>
      </c>
      <c r="AJ54" s="55">
        <f t="shared" si="17"/>
        <v>1.0103294275344189E-4</v>
      </c>
      <c r="AK54" s="55">
        <f t="shared" si="17"/>
        <v>2.4192098060569493E-6</v>
      </c>
      <c r="AL54" s="55">
        <f t="shared" si="17"/>
        <v>3.7409174382649597E-5</v>
      </c>
      <c r="AM54" s="55">
        <f t="shared" si="17"/>
        <v>5.9805890619826146E-5</v>
      </c>
      <c r="AN54" s="55">
        <f t="shared" si="17"/>
        <v>2.1020750277450542E-3</v>
      </c>
      <c r="AO54" s="55">
        <f t="shared" si="17"/>
        <v>4.5247706745500768E-4</v>
      </c>
      <c r="AQ54" s="155">
        <f t="shared" si="18"/>
        <v>15</v>
      </c>
      <c r="AR54" s="155">
        <f t="shared" si="18"/>
        <v>6</v>
      </c>
      <c r="AS54" s="155">
        <f t="shared" si="18"/>
        <v>13</v>
      </c>
      <c r="AT54" s="155">
        <f t="shared" si="18"/>
        <v>7</v>
      </c>
      <c r="AU54" s="155">
        <f t="shared" si="18"/>
        <v>6</v>
      </c>
      <c r="AV54" s="155">
        <f t="shared" si="18"/>
        <v>-1</v>
      </c>
      <c r="AW54" s="155">
        <f t="shared" si="18"/>
        <v>3</v>
      </c>
      <c r="AY54" s="162">
        <f t="shared" si="19"/>
        <v>251.99999999777589</v>
      </c>
      <c r="AZ54" s="162">
        <f t="shared" si="19"/>
        <v>262.39994092708992</v>
      </c>
      <c r="BA54" s="162">
        <f t="shared" si="19"/>
        <v>266.29999964385382</v>
      </c>
      <c r="BB54" s="162">
        <f t="shared" si="19"/>
        <v>270.26665016781692</v>
      </c>
      <c r="BC54" s="162">
        <f t="shared" si="19"/>
        <v>260.999969306526</v>
      </c>
      <c r="BD54" s="162">
        <f t="shared" si="19"/>
        <v>261.52720910971027</v>
      </c>
      <c r="BE54" s="162">
        <f t="shared" si="19"/>
        <v>236.16586837942964</v>
      </c>
    </row>
    <row r="55" spans="1:57" ht="13.5" customHeight="1" x14ac:dyDescent="0.2">
      <c r="A55" s="143">
        <f t="shared" si="8"/>
        <v>220.06666666666666</v>
      </c>
      <c r="B55" s="147">
        <f t="shared" si="20"/>
        <v>0.87500000000000044</v>
      </c>
      <c r="C55" s="135">
        <f>'Global LMT'!C55-'8911'!C55</f>
        <v>207.83333333333334</v>
      </c>
      <c r="D55" s="135">
        <f>'Global LMT'!D55-'8911'!D55</f>
        <v>223.63333333333333</v>
      </c>
      <c r="E55" s="135">
        <f>'Global LMT'!E55-'8911'!E55</f>
        <v>224.1</v>
      </c>
      <c r="F55" s="135">
        <f>'Global LMT'!F55-'8911'!F55</f>
        <v>229.9</v>
      </c>
      <c r="G55" s="135">
        <f>'Global LMT'!G55-'8911'!G55</f>
        <v>241.93333333333334</v>
      </c>
      <c r="H55" s="135">
        <f>'Global LMT'!H55-'8911'!H55</f>
        <v>215.26666666666668</v>
      </c>
      <c r="I55" s="135">
        <f>'Global LMT'!I55-'8911'!I55</f>
        <v>197.8</v>
      </c>
      <c r="J55">
        <v>29</v>
      </c>
      <c r="K55" s="43">
        <f t="shared" si="9"/>
        <v>47</v>
      </c>
      <c r="L55" s="43">
        <f t="shared" si="10"/>
        <v>47</v>
      </c>
      <c r="M55" s="43">
        <f t="shared" si="11"/>
        <v>47</v>
      </c>
      <c r="N55" s="43">
        <f t="shared" si="12"/>
        <v>50</v>
      </c>
      <c r="O55" s="43">
        <f t="shared" si="13"/>
        <v>51</v>
      </c>
      <c r="P55" s="43">
        <f t="shared" si="14"/>
        <v>48</v>
      </c>
      <c r="Q55" s="43">
        <f t="shared" si="15"/>
        <v>46</v>
      </c>
      <c r="R55">
        <v>29</v>
      </c>
      <c r="S55" s="146">
        <f>FR!S55+FFD!S55+EN_PIG!S55</f>
        <v>65</v>
      </c>
      <c r="T55" s="146">
        <f>FR!T55+FFD!T55+EN_PIG!T55</f>
        <v>56</v>
      </c>
      <c r="U55" s="146">
        <f>FR!U55+FFD!U55+EN_PIG!U55</f>
        <v>60</v>
      </c>
      <c r="V55" s="146">
        <f>FR!V55+FFD!V55+EN_PIG!V55</f>
        <v>61</v>
      </c>
      <c r="W55" s="146">
        <f>FR!W55+FFD!W55+EN_PIG!W55</f>
        <v>58</v>
      </c>
      <c r="X55" s="146">
        <f>FR!X55+FFD!X55+EN_PIG!X55</f>
        <v>49</v>
      </c>
      <c r="Y55" s="146">
        <f>FR!Y55+FFD!Y55+EN_PIG!Y55</f>
        <v>51</v>
      </c>
      <c r="AA55" s="55">
        <f t="shared" si="16"/>
        <v>0.99999999999923583</v>
      </c>
      <c r="AB55" s="55">
        <f t="shared" si="16"/>
        <v>0.99999997030983578</v>
      </c>
      <c r="AC55" s="55">
        <f t="shared" si="16"/>
        <v>0.99999999527827621</v>
      </c>
      <c r="AD55" s="55">
        <f t="shared" si="16"/>
        <v>0.99999998997266859</v>
      </c>
      <c r="AE55" s="55">
        <f t="shared" si="16"/>
        <v>0.9999997801497148</v>
      </c>
      <c r="AF55" s="55">
        <f t="shared" si="16"/>
        <v>0.99997472322009773</v>
      </c>
      <c r="AG55" s="55">
        <f t="shared" si="16"/>
        <v>0.99999829421108088</v>
      </c>
      <c r="AI55" s="55">
        <f t="shared" si="17"/>
        <v>4.7287443814427201E-9</v>
      </c>
      <c r="AJ55" s="55">
        <f t="shared" si="17"/>
        <v>1.7583241791881643E-5</v>
      </c>
      <c r="AK55" s="55">
        <f t="shared" si="17"/>
        <v>4.0961686941952462E-6</v>
      </c>
      <c r="AL55" s="55">
        <f t="shared" si="17"/>
        <v>7.2492214955040521E-6</v>
      </c>
      <c r="AM55" s="55">
        <f t="shared" si="17"/>
        <v>8.0380528964205445E-5</v>
      </c>
      <c r="AN55" s="55">
        <f t="shared" si="17"/>
        <v>1.6974217077989017E-3</v>
      </c>
      <c r="AO55" s="55">
        <f t="shared" si="17"/>
        <v>2.1144761305992154E-4</v>
      </c>
      <c r="AQ55" s="155">
        <f t="shared" si="18"/>
        <v>18</v>
      </c>
      <c r="AR55" s="155">
        <f t="shared" si="18"/>
        <v>9</v>
      </c>
      <c r="AS55" s="155">
        <f t="shared" si="18"/>
        <v>13</v>
      </c>
      <c r="AT55" s="155">
        <f t="shared" si="18"/>
        <v>11</v>
      </c>
      <c r="AU55" s="155">
        <f t="shared" si="18"/>
        <v>7</v>
      </c>
      <c r="AV55" s="155">
        <f t="shared" si="18"/>
        <v>1</v>
      </c>
      <c r="AW55" s="155">
        <f t="shared" si="18"/>
        <v>5</v>
      </c>
      <c r="AY55" s="162">
        <f t="shared" si="19"/>
        <v>207.83333333317452</v>
      </c>
      <c r="AZ55" s="162">
        <f t="shared" si="19"/>
        <v>223.63332669362293</v>
      </c>
      <c r="BA55" s="162">
        <f t="shared" si="19"/>
        <v>224.09999894186168</v>
      </c>
      <c r="BB55" s="162">
        <f t="shared" si="19"/>
        <v>229.89999769471652</v>
      </c>
      <c r="BC55" s="162">
        <f t="shared" si="19"/>
        <v>241.93328014422102</v>
      </c>
      <c r="BD55" s="162">
        <f t="shared" si="19"/>
        <v>215.26122541851305</v>
      </c>
      <c r="BE55" s="162">
        <f t="shared" si="19"/>
        <v>197.7996625949518</v>
      </c>
    </row>
    <row r="56" spans="1:57" x14ac:dyDescent="0.2">
      <c r="A56" s="143">
        <f t="shared" si="8"/>
        <v>174.12380952380951</v>
      </c>
      <c r="B56" s="147">
        <f t="shared" si="20"/>
        <v>0.89583333333333381</v>
      </c>
      <c r="C56" s="135">
        <f>'Global LMT'!C56-'8911'!C56</f>
        <v>169.73333333333335</v>
      </c>
      <c r="D56" s="135">
        <f>'Global LMT'!D56-'8911'!D56</f>
        <v>176.2</v>
      </c>
      <c r="E56" s="135">
        <f>'Global LMT'!E56-'8911'!E56</f>
        <v>174.7</v>
      </c>
      <c r="F56" s="135">
        <f>'Global LMT'!F56-'8911'!F56</f>
        <v>187.16666666666666</v>
      </c>
      <c r="G56" s="135">
        <f>'Global LMT'!G56-'8911'!G56</f>
        <v>180.36666666666667</v>
      </c>
      <c r="H56" s="135">
        <f>'Global LMT'!H56-'8911'!H56</f>
        <v>177.4</v>
      </c>
      <c r="I56" s="135">
        <f>'Global LMT'!I56-'8911'!I56</f>
        <v>153.30000000000001</v>
      </c>
      <c r="J56">
        <v>30</v>
      </c>
      <c r="K56" s="43">
        <f t="shared" si="9"/>
        <v>38</v>
      </c>
      <c r="L56" s="43">
        <f t="shared" si="10"/>
        <v>36</v>
      </c>
      <c r="M56" s="43">
        <f t="shared" si="11"/>
        <v>38</v>
      </c>
      <c r="N56" s="43">
        <f t="shared" si="12"/>
        <v>41</v>
      </c>
      <c r="O56" s="43">
        <f t="shared" si="13"/>
        <v>39</v>
      </c>
      <c r="P56" s="43">
        <f t="shared" si="14"/>
        <v>39</v>
      </c>
      <c r="Q56" s="43">
        <f t="shared" si="15"/>
        <v>35</v>
      </c>
      <c r="R56">
        <v>30</v>
      </c>
      <c r="S56" s="146">
        <f>FR!S56+FFD!S56+EN_PIG!S56</f>
        <v>58</v>
      </c>
      <c r="T56" s="146">
        <f>FR!T56+FFD!T56+EN_PIG!T56</f>
        <v>55</v>
      </c>
      <c r="U56" s="146">
        <f>FR!U56+FFD!U56+EN_PIG!U56</f>
        <v>56</v>
      </c>
      <c r="V56" s="146">
        <f>FR!V56+FFD!V56+EN_PIG!V56</f>
        <v>57</v>
      </c>
      <c r="W56" s="146">
        <f>FR!W56+FFD!W56+EN_PIG!W56</f>
        <v>55</v>
      </c>
      <c r="X56" s="146">
        <f>FR!X56+FFD!X56+EN_PIG!X56</f>
        <v>49</v>
      </c>
      <c r="Y56" s="146">
        <f>FR!Y56+FFD!Y56+EN_PIG!Y56</f>
        <v>44</v>
      </c>
      <c r="AA56" s="55">
        <f t="shared" si="16"/>
        <v>0.99999999999962741</v>
      </c>
      <c r="AB56" s="55">
        <f t="shared" si="16"/>
        <v>0.99999999998708067</v>
      </c>
      <c r="AC56" s="55">
        <f t="shared" si="16"/>
        <v>0.99999999997666655</v>
      </c>
      <c r="AD56" s="55">
        <f t="shared" si="16"/>
        <v>0.99999999980149035</v>
      </c>
      <c r="AE56" s="55">
        <f t="shared" si="16"/>
        <v>0.99999999990098165</v>
      </c>
      <c r="AF56" s="55">
        <f t="shared" si="16"/>
        <v>0.99999990677363637</v>
      </c>
      <c r="AG56" s="55">
        <f t="shared" si="16"/>
        <v>0.99999953705827238</v>
      </c>
      <c r="AI56" s="55">
        <f t="shared" si="17"/>
        <v>1.5144886996803011E-9</v>
      </c>
      <c r="AJ56" s="55">
        <f t="shared" si="17"/>
        <v>2.9592580070137992E-8</v>
      </c>
      <c r="AK56" s="55">
        <f t="shared" si="17"/>
        <v>4.0136159988916859E-8</v>
      </c>
      <c r="AL56" s="55">
        <f t="shared" si="17"/>
        <v>2.3635245160666259E-7</v>
      </c>
      <c r="AM56" s="55">
        <f t="shared" si="17"/>
        <v>1.3883716225234617E-7</v>
      </c>
      <c r="AN56" s="55">
        <f t="shared" si="17"/>
        <v>2.2218415981477132E-5</v>
      </c>
      <c r="AO56" s="55">
        <f t="shared" si="17"/>
        <v>5.3643022991394312E-5</v>
      </c>
      <c r="AQ56" s="155">
        <f t="shared" si="18"/>
        <v>20</v>
      </c>
      <c r="AR56" s="155">
        <f t="shared" si="18"/>
        <v>19</v>
      </c>
      <c r="AS56" s="155">
        <f t="shared" si="18"/>
        <v>18</v>
      </c>
      <c r="AT56" s="155">
        <f t="shared" si="18"/>
        <v>16</v>
      </c>
      <c r="AU56" s="155">
        <f t="shared" si="18"/>
        <v>16</v>
      </c>
      <c r="AV56" s="155">
        <f t="shared" si="18"/>
        <v>10</v>
      </c>
      <c r="AW56" s="155">
        <f t="shared" si="18"/>
        <v>9</v>
      </c>
      <c r="AY56" s="162">
        <f t="shared" si="19"/>
        <v>169.73333333327011</v>
      </c>
      <c r="AZ56" s="162">
        <f t="shared" si="19"/>
        <v>176.19999999772361</v>
      </c>
      <c r="BA56" s="162">
        <f t="shared" si="19"/>
        <v>174.69999999592363</v>
      </c>
      <c r="BB56" s="162">
        <f t="shared" si="19"/>
        <v>187.16666662951226</v>
      </c>
      <c r="BC56" s="162">
        <f t="shared" si="19"/>
        <v>180.36666664880707</v>
      </c>
      <c r="BD56" s="162">
        <f t="shared" si="19"/>
        <v>177.3999834616431</v>
      </c>
      <c r="BE56" s="162">
        <f t="shared" si="19"/>
        <v>153.29992903103317</v>
      </c>
    </row>
    <row r="57" spans="1:57" x14ac:dyDescent="0.2">
      <c r="A57" s="143">
        <f t="shared" si="8"/>
        <v>118.71904761904761</v>
      </c>
      <c r="B57" s="147">
        <f t="shared" si="20"/>
        <v>0.91666666666666718</v>
      </c>
      <c r="C57" s="135">
        <f>'Global LMT'!C57-'8911'!C57</f>
        <v>109.4</v>
      </c>
      <c r="D57" s="135">
        <f>'Global LMT'!D57-'8911'!D57</f>
        <v>121.63333333333333</v>
      </c>
      <c r="E57" s="135">
        <f>'Global LMT'!E57-'8911'!E57</f>
        <v>117.16666666666667</v>
      </c>
      <c r="F57" s="135">
        <f>'Global LMT'!F57-'8911'!F57</f>
        <v>124.5</v>
      </c>
      <c r="G57" s="135">
        <f>'Global LMT'!G57-'8911'!G57</f>
        <v>123.3</v>
      </c>
      <c r="H57" s="135">
        <f>'Global LMT'!H57-'8911'!H57</f>
        <v>125.9</v>
      </c>
      <c r="I57" s="135">
        <f>'Global LMT'!I57-'8911'!I57</f>
        <v>109.13333333333333</v>
      </c>
      <c r="K57" s="43">
        <f t="shared" si="9"/>
        <v>25</v>
      </c>
      <c r="L57" s="43">
        <f t="shared" si="10"/>
        <v>25</v>
      </c>
      <c r="M57" s="43">
        <f t="shared" si="11"/>
        <v>25</v>
      </c>
      <c r="N57" s="43">
        <f t="shared" si="12"/>
        <v>28</v>
      </c>
      <c r="O57" s="43">
        <f t="shared" si="13"/>
        <v>27</v>
      </c>
      <c r="P57" s="43">
        <f t="shared" si="14"/>
        <v>28</v>
      </c>
      <c r="Q57" s="43">
        <f t="shared" si="15"/>
        <v>26</v>
      </c>
      <c r="S57" s="146">
        <f>FR!S57+FFD!S57+EN_PIG!S57</f>
        <v>34</v>
      </c>
      <c r="T57" s="146">
        <f>FR!T57+FFD!T57+EN_PIG!T57</f>
        <v>37</v>
      </c>
      <c r="U57" s="146">
        <f>FR!U57+FFD!U57+EN_PIG!U57</f>
        <v>38</v>
      </c>
      <c r="V57" s="146">
        <f>FR!V57+FFD!V57+EN_PIG!V57</f>
        <v>39</v>
      </c>
      <c r="W57" s="146">
        <f>FR!W57+FFD!W57+EN_PIG!W57</f>
        <v>36</v>
      </c>
      <c r="X57" s="146">
        <f>FR!X57+FFD!X57+EN_PIG!X57</f>
        <v>41</v>
      </c>
      <c r="Y57" s="146">
        <f>FR!Y57+FFD!Y57+EN_PIG!Y57</f>
        <v>41</v>
      </c>
      <c r="AA57" s="55">
        <f t="shared" si="16"/>
        <v>0.99999979155788765</v>
      </c>
      <c r="AB57" s="55">
        <f t="shared" si="16"/>
        <v>0.99999994271646542</v>
      </c>
      <c r="AC57" s="55">
        <f t="shared" si="16"/>
        <v>0.99999997644621941</v>
      </c>
      <c r="AD57" s="55">
        <f t="shared" si="16"/>
        <v>0.99999994085397392</v>
      </c>
      <c r="AE57" s="55">
        <f t="shared" si="16"/>
        <v>0.99999955555947773</v>
      </c>
      <c r="AF57" s="55">
        <f t="shared" si="16"/>
        <v>0.99999998680414492</v>
      </c>
      <c r="AG57" s="55">
        <f t="shared" si="16"/>
        <v>0.9999999992806321</v>
      </c>
      <c r="AI57" s="55">
        <f t="shared" si="17"/>
        <v>1.9923288599614464E-5</v>
      </c>
      <c r="AJ57" s="55">
        <f t="shared" si="17"/>
        <v>9.252086742182995E-6</v>
      </c>
      <c r="AK57" s="55">
        <f t="shared" si="17"/>
        <v>3.9169806408774889E-6</v>
      </c>
      <c r="AL57" s="55">
        <f t="shared" si="17"/>
        <v>8.581232127740784E-6</v>
      </c>
      <c r="AM57" s="55">
        <f t="shared" si="17"/>
        <v>4.2905818615473507E-5</v>
      </c>
      <c r="AN57" s="55">
        <f t="shared" si="17"/>
        <v>2.6882001562232928E-6</v>
      </c>
      <c r="AO57" s="55">
        <f t="shared" si="17"/>
        <v>1.8456987380418886E-7</v>
      </c>
      <c r="AQ57" s="155">
        <f t="shared" si="18"/>
        <v>9</v>
      </c>
      <c r="AR57" s="155">
        <f t="shared" si="18"/>
        <v>12</v>
      </c>
      <c r="AS57" s="155">
        <f t="shared" si="18"/>
        <v>13</v>
      </c>
      <c r="AT57" s="155">
        <f t="shared" si="18"/>
        <v>11</v>
      </c>
      <c r="AU57" s="155">
        <f t="shared" si="18"/>
        <v>9</v>
      </c>
      <c r="AV57" s="155">
        <f t="shared" si="18"/>
        <v>13</v>
      </c>
      <c r="AW57" s="155">
        <f t="shared" si="18"/>
        <v>15</v>
      </c>
      <c r="AY57" s="162">
        <f t="shared" si="19"/>
        <v>109.39997719643291</v>
      </c>
      <c r="AZ57" s="162">
        <f t="shared" si="19"/>
        <v>121.63332636574607</v>
      </c>
      <c r="BA57" s="162">
        <f t="shared" si="19"/>
        <v>117.16666390694871</v>
      </c>
      <c r="BB57" s="162">
        <f t="shared" si="19"/>
        <v>124.49999263631976</v>
      </c>
      <c r="BC57" s="162">
        <f t="shared" si="19"/>
        <v>123.29994520048361</v>
      </c>
      <c r="BD57" s="162">
        <f t="shared" si="19"/>
        <v>125.89999833864185</v>
      </c>
      <c r="BE57" s="162">
        <f t="shared" si="19"/>
        <v>109.13333325482631</v>
      </c>
    </row>
    <row r="58" spans="1:57" x14ac:dyDescent="0.2">
      <c r="A58" s="143">
        <f t="shared" si="8"/>
        <v>79.247619047619054</v>
      </c>
      <c r="B58" s="147">
        <f t="shared" si="20"/>
        <v>0.93750000000000056</v>
      </c>
      <c r="C58" s="135">
        <f>'Global LMT'!C58-'8911'!C58</f>
        <v>73.8</v>
      </c>
      <c r="D58" s="135">
        <f>'Global LMT'!D58-'8911'!D58</f>
        <v>79.2</v>
      </c>
      <c r="E58" s="135">
        <f>'Global LMT'!E58-'8911'!E58</f>
        <v>75</v>
      </c>
      <c r="F58" s="135">
        <f>'Global LMT'!F58-'8911'!F58</f>
        <v>83.733333333333334</v>
      </c>
      <c r="G58" s="135">
        <f>'Global LMT'!G58-'8911'!G58</f>
        <v>80.766666666666666</v>
      </c>
      <c r="H58" s="135">
        <f>'Global LMT'!H58-'8911'!H58</f>
        <v>85.63333333333334</v>
      </c>
      <c r="I58" s="135">
        <f>'Global LMT'!I58-'8911'!I58</f>
        <v>76.599999999999994</v>
      </c>
      <c r="K58" s="43">
        <f t="shared" si="9"/>
        <v>17</v>
      </c>
      <c r="L58" s="43">
        <f t="shared" si="10"/>
        <v>17</v>
      </c>
      <c r="M58" s="43">
        <f t="shared" si="11"/>
        <v>17</v>
      </c>
      <c r="N58" s="43">
        <f t="shared" si="12"/>
        <v>19</v>
      </c>
      <c r="O58" s="43">
        <f t="shared" si="13"/>
        <v>18</v>
      </c>
      <c r="P58" s="43">
        <f t="shared" si="14"/>
        <v>19</v>
      </c>
      <c r="Q58" s="43">
        <f t="shared" si="15"/>
        <v>18</v>
      </c>
      <c r="S58" s="146">
        <f>FR!S58+FFD!S58+EN_PIG!S58</f>
        <v>11</v>
      </c>
      <c r="T58" s="146">
        <f>FR!T58+FFD!T58+EN_PIG!T58</f>
        <v>12</v>
      </c>
      <c r="U58" s="146">
        <f>FR!U58+FFD!U58+EN_PIG!U58</f>
        <v>14</v>
      </c>
      <c r="V58" s="146">
        <f>FR!V58+FFD!V58+EN_PIG!V58</f>
        <v>13</v>
      </c>
      <c r="W58" s="146">
        <f>FR!W58+FFD!W58+EN_PIG!W58</f>
        <v>14</v>
      </c>
      <c r="X58" s="146">
        <f>FR!X58+FFD!X58+EN_PIG!X58</f>
        <v>14</v>
      </c>
      <c r="Y58" s="146">
        <f>FR!Y58+FFD!Y58+EN_PIG!Y58</f>
        <v>12</v>
      </c>
      <c r="AA58" s="55">
        <f t="shared" si="16"/>
        <v>0.37509379783180741</v>
      </c>
      <c r="AB58" s="55">
        <f t="shared" si="16"/>
        <v>0.57027838610203896</v>
      </c>
      <c r="AC58" s="55">
        <f t="shared" si="16"/>
        <v>0.89540246574280691</v>
      </c>
      <c r="AD58" s="55">
        <f t="shared" si="16"/>
        <v>0.44713260349524842</v>
      </c>
      <c r="AE58" s="55">
        <f t="shared" si="16"/>
        <v>0.82816924243079848</v>
      </c>
      <c r="AF58" s="55">
        <f t="shared" si="16"/>
        <v>0.62032669989803035</v>
      </c>
      <c r="AG58" s="55">
        <f t="shared" si="16"/>
        <v>0.2660256112633696</v>
      </c>
      <c r="AI58" s="55">
        <f t="shared" si="17"/>
        <v>0.75123144593114632</v>
      </c>
      <c r="AJ58" s="55">
        <f t="shared" si="17"/>
        <v>0.60051028648350324</v>
      </c>
      <c r="AK58" s="55">
        <f t="shared" si="17"/>
        <v>0.23769539373379242</v>
      </c>
      <c r="AL58" s="55">
        <f t="shared" si="17"/>
        <v>0.70064669255724188</v>
      </c>
      <c r="AM58" s="55">
        <f t="shared" si="17"/>
        <v>0.33635121001681717</v>
      </c>
      <c r="AN58" s="55">
        <f t="shared" si="17"/>
        <v>0.55682871832941117</v>
      </c>
      <c r="AO58" s="55">
        <f t="shared" si="17"/>
        <v>0.82786858208888114</v>
      </c>
      <c r="AQ58" s="155">
        <f t="shared" si="18"/>
        <v>-6</v>
      </c>
      <c r="AR58" s="155">
        <f t="shared" si="18"/>
        <v>-5</v>
      </c>
      <c r="AS58" s="155">
        <f t="shared" si="18"/>
        <v>-3</v>
      </c>
      <c r="AT58" s="155">
        <f t="shared" si="18"/>
        <v>-6</v>
      </c>
      <c r="AU58" s="155">
        <f t="shared" si="18"/>
        <v>-4</v>
      </c>
      <c r="AV58" s="155">
        <f t="shared" si="18"/>
        <v>-5</v>
      </c>
      <c r="AW58" s="155">
        <f t="shared" si="18"/>
        <v>-6</v>
      </c>
      <c r="AY58" s="162">
        <f t="shared" si="19"/>
        <v>27.681922279987386</v>
      </c>
      <c r="AZ58" s="162">
        <f t="shared" si="19"/>
        <v>45.166048179281489</v>
      </c>
      <c r="BA58" s="162">
        <f t="shared" si="19"/>
        <v>67.155184930710519</v>
      </c>
      <c r="BB58" s="162">
        <f t="shared" si="19"/>
        <v>37.439903332668798</v>
      </c>
      <c r="BC58" s="162">
        <f t="shared" si="19"/>
        <v>66.888469146994154</v>
      </c>
      <c r="BD58" s="162">
        <f t="shared" si="19"/>
        <v>53.120643067934672</v>
      </c>
      <c r="BE58" s="162">
        <f t="shared" si="19"/>
        <v>20.377561822774108</v>
      </c>
    </row>
    <row r="59" spans="1:57" x14ac:dyDescent="0.2">
      <c r="A59" s="143">
        <f t="shared" si="8"/>
        <v>52.449999999999996</v>
      </c>
      <c r="B59" s="147">
        <f t="shared" si="20"/>
        <v>0.95833333333333393</v>
      </c>
      <c r="C59" s="135">
        <f>'Global LMT'!C59-'8911'!C59</f>
        <v>48.5</v>
      </c>
      <c r="D59" s="135">
        <f>'Global LMT'!D59-'8911'!D59</f>
        <v>50.2</v>
      </c>
      <c r="E59" s="135">
        <f>'Global LMT'!E59-'8911'!E59</f>
        <v>49</v>
      </c>
      <c r="F59" s="135">
        <f>'Global LMT'!F59-'8911'!F59</f>
        <v>53.95</v>
      </c>
      <c r="G59" s="135">
        <f>'Global LMT'!G59-'8911'!G59</f>
        <v>55.6</v>
      </c>
      <c r="H59" s="135">
        <f>'Global LMT'!H59-'8911'!H59</f>
        <v>58.7</v>
      </c>
      <c r="I59" s="135">
        <f>'Global LMT'!I59-'8911'!I59</f>
        <v>51.2</v>
      </c>
      <c r="K59" s="43">
        <f t="shared" si="9"/>
        <v>11</v>
      </c>
      <c r="L59" s="43">
        <f t="shared" si="10"/>
        <v>11</v>
      </c>
      <c r="M59" s="43">
        <f t="shared" si="11"/>
        <v>10</v>
      </c>
      <c r="N59" s="43">
        <f t="shared" si="12"/>
        <v>13</v>
      </c>
      <c r="O59" s="43">
        <f t="shared" si="13"/>
        <v>13</v>
      </c>
      <c r="P59" s="43">
        <f t="shared" si="14"/>
        <v>14</v>
      </c>
      <c r="Q59" s="43">
        <f t="shared" si="15"/>
        <v>12</v>
      </c>
      <c r="S59" s="146">
        <f>FR!S59+FFD!S59+EN_PIG!S59</f>
        <v>11</v>
      </c>
      <c r="T59" s="146">
        <f>FR!T59+FFD!T59+EN_PIG!T59</f>
        <v>12</v>
      </c>
      <c r="U59" s="146">
        <f>FR!U59+FFD!U59+EN_PIG!U59</f>
        <v>14</v>
      </c>
      <c r="V59" s="146">
        <f>FR!V59+FFD!V59+EN_PIG!V59</f>
        <v>13</v>
      </c>
      <c r="W59" s="146">
        <f>FR!W59+FFD!W59+EN_PIG!W59</f>
        <v>14</v>
      </c>
      <c r="X59" s="146">
        <f>FR!X59+FFD!X59+EN_PIG!X59</f>
        <v>14</v>
      </c>
      <c r="Y59" s="146">
        <f>FR!Y59+FFD!Y59+EN_PIG!Y59</f>
        <v>12</v>
      </c>
      <c r="AA59" s="55">
        <f t="shared" si="16"/>
        <v>0.9685741517733143</v>
      </c>
      <c r="AB59" s="55">
        <f t="shared" si="16"/>
        <v>0.98663866182973448</v>
      </c>
      <c r="AC59" s="55">
        <f t="shared" si="16"/>
        <v>0.99770347816548821</v>
      </c>
      <c r="AD59" s="55">
        <f t="shared" si="16"/>
        <v>0.98276101775984637</v>
      </c>
      <c r="AE59" s="55">
        <f t="shared" si="16"/>
        <v>0.99309153999474131</v>
      </c>
      <c r="AF59" s="55">
        <f t="shared" si="16"/>
        <v>0.98360595212619206</v>
      </c>
      <c r="AG59" s="55">
        <f t="shared" si="16"/>
        <v>0.96160521467168814</v>
      </c>
      <c r="AI59" s="55">
        <f t="shared" si="17"/>
        <v>8.9874085332524584E-2</v>
      </c>
      <c r="AJ59" s="55">
        <f t="shared" si="17"/>
        <v>4.9090924171344065E-2</v>
      </c>
      <c r="AK59" s="55">
        <f t="shared" si="17"/>
        <v>1.2415335179546657E-2</v>
      </c>
      <c r="AL59" s="55">
        <f t="shared" si="17"/>
        <v>5.9386017338915929E-2</v>
      </c>
      <c r="AM59" s="55">
        <f t="shared" si="17"/>
        <v>3.1116117695205257E-2</v>
      </c>
      <c r="AN59" s="55">
        <f t="shared" si="17"/>
        <v>5.913747825281878E-2</v>
      </c>
      <c r="AO59" s="55">
        <f t="shared" si="17"/>
        <v>0.10302468374465525</v>
      </c>
      <c r="AQ59" s="155">
        <f t="shared" si="18"/>
        <v>0</v>
      </c>
      <c r="AR59" s="155">
        <f t="shared" si="18"/>
        <v>1</v>
      </c>
      <c r="AS59" s="155">
        <f t="shared" si="18"/>
        <v>4</v>
      </c>
      <c r="AT59" s="155">
        <f t="shared" si="18"/>
        <v>0</v>
      </c>
      <c r="AU59" s="155">
        <f t="shared" si="18"/>
        <v>1</v>
      </c>
      <c r="AV59" s="155">
        <f t="shared" si="18"/>
        <v>0</v>
      </c>
      <c r="AW59" s="155">
        <f t="shared" si="18"/>
        <v>0</v>
      </c>
      <c r="AY59" s="162">
        <f t="shared" si="19"/>
        <v>46.975846361005743</v>
      </c>
      <c r="AZ59" s="162">
        <f t="shared" si="19"/>
        <v>49.529260823852674</v>
      </c>
      <c r="BA59" s="162">
        <f t="shared" si="19"/>
        <v>48.88747043010892</v>
      </c>
      <c r="BB59" s="162">
        <f t="shared" si="19"/>
        <v>53.019956908143712</v>
      </c>
      <c r="BC59" s="162">
        <f t="shared" si="19"/>
        <v>55.215889623707618</v>
      </c>
      <c r="BD59" s="162">
        <f t="shared" si="19"/>
        <v>57.737669389807479</v>
      </c>
      <c r="BE59" s="162">
        <f t="shared" si="19"/>
        <v>49.234186991190434</v>
      </c>
    </row>
    <row r="60" spans="1:57" ht="13.5" thickBot="1" x14ac:dyDescent="0.25">
      <c r="A60" s="143">
        <f t="shared" si="8"/>
        <v>34.385714285714286</v>
      </c>
      <c r="B60" s="147">
        <f t="shared" si="20"/>
        <v>0.9791666666666673</v>
      </c>
      <c r="C60" s="135">
        <f>'Global LMT'!C60-'8911'!C60</f>
        <v>32.299999999999997</v>
      </c>
      <c r="D60" s="135">
        <f>'Global LMT'!D60-'8911'!D60</f>
        <v>34.1</v>
      </c>
      <c r="E60" s="135">
        <f>'Global LMT'!E60-'8911'!E60</f>
        <v>32.200000000000003</v>
      </c>
      <c r="F60" s="135">
        <f>'Global LMT'!F60-'8911'!F60</f>
        <v>32.549999999999997</v>
      </c>
      <c r="G60" s="135">
        <f>'Global LMT'!G60-'8911'!G60</f>
        <v>35.35</v>
      </c>
      <c r="H60" s="135">
        <f>'Global LMT'!H60-'8911'!H60</f>
        <v>42.45</v>
      </c>
      <c r="I60" s="135">
        <f>'Global LMT'!I60-'8911'!I60</f>
        <v>31.75</v>
      </c>
      <c r="K60" s="43">
        <f t="shared" si="9"/>
        <v>8</v>
      </c>
      <c r="L60" s="43">
        <f t="shared" si="10"/>
        <v>7</v>
      </c>
      <c r="M60" s="43">
        <f t="shared" si="11"/>
        <v>7</v>
      </c>
      <c r="N60" s="43">
        <f t="shared" si="12"/>
        <v>7</v>
      </c>
      <c r="O60" s="43">
        <f t="shared" si="13"/>
        <v>8</v>
      </c>
      <c r="P60" s="43">
        <f t="shared" si="14"/>
        <v>10</v>
      </c>
      <c r="Q60" s="43">
        <f t="shared" si="15"/>
        <v>7</v>
      </c>
      <c r="S60" s="146">
        <f>FR!S60+FFD!S60+EN_PIG!S60</f>
        <v>11</v>
      </c>
      <c r="T60" s="146">
        <f>FR!T60+FFD!T60+EN_PIG!T60</f>
        <v>12</v>
      </c>
      <c r="U60" s="146">
        <f>FR!U60+FFD!U60+EN_PIG!U60</f>
        <v>14</v>
      </c>
      <c r="V60" s="146">
        <f>FR!V60+FFD!V60+EN_PIG!V60</f>
        <v>13</v>
      </c>
      <c r="W60" s="146">
        <f>FR!W60+FFD!W60+EN_PIG!W60</f>
        <v>14</v>
      </c>
      <c r="X60" s="146">
        <f>FR!X60+FFD!X60+EN_PIG!X60</f>
        <v>14</v>
      </c>
      <c r="Y60" s="146">
        <f>FR!Y60+FFD!Y60+EN_PIG!Y60</f>
        <v>12</v>
      </c>
      <c r="AA60" s="55">
        <f t="shared" si="16"/>
        <v>0.99868648802124371</v>
      </c>
      <c r="AB60" s="55">
        <f t="shared" si="16"/>
        <v>0.99952726814498405</v>
      </c>
      <c r="AC60" s="55">
        <f t="shared" si="16"/>
        <v>0.99997267344926621</v>
      </c>
      <c r="AD60" s="55">
        <f t="shared" si="16"/>
        <v>0.99981691971196074</v>
      </c>
      <c r="AE60" s="55">
        <f t="shared" si="16"/>
        <v>0.99994032306458391</v>
      </c>
      <c r="AF60" s="55">
        <f t="shared" si="16"/>
        <v>0.99935813861378031</v>
      </c>
      <c r="AG60" s="55">
        <f t="shared" si="16"/>
        <v>0.99920219706933155</v>
      </c>
      <c r="AI60" s="55">
        <f t="shared" si="17"/>
        <v>6.4033204480360593E-3</v>
      </c>
      <c r="AJ60" s="55">
        <f t="shared" si="17"/>
        <v>2.9606689155690902E-3</v>
      </c>
      <c r="AK60" s="55">
        <f t="shared" si="17"/>
        <v>2.6035917881330769E-4</v>
      </c>
      <c r="AL60" s="55">
        <f t="shared" si="17"/>
        <v>1.2700484911173382E-3</v>
      </c>
      <c r="AM60" s="55">
        <f t="shared" si="17"/>
        <v>5.4127355328008071E-4</v>
      </c>
      <c r="AN60" s="55">
        <f t="shared" si="17"/>
        <v>4.0805439374641955E-3</v>
      </c>
      <c r="AO60" s="55">
        <f t="shared" si="17"/>
        <v>4.0329036417176747E-3</v>
      </c>
      <c r="AQ60" s="155">
        <f t="shared" si="18"/>
        <v>3</v>
      </c>
      <c r="AR60" s="155">
        <f t="shared" si="18"/>
        <v>5</v>
      </c>
      <c r="AS60" s="155">
        <f t="shared" si="18"/>
        <v>7</v>
      </c>
      <c r="AT60" s="155">
        <f t="shared" si="18"/>
        <v>6</v>
      </c>
      <c r="AU60" s="155">
        <f t="shared" si="18"/>
        <v>6</v>
      </c>
      <c r="AV60" s="155">
        <f t="shared" si="18"/>
        <v>4</v>
      </c>
      <c r="AW60" s="155">
        <f t="shared" si="18"/>
        <v>5</v>
      </c>
      <c r="AY60" s="162">
        <f t="shared" si="19"/>
        <v>32.257573563086169</v>
      </c>
      <c r="AZ60" s="162">
        <f t="shared" si="19"/>
        <v>34.083879843743958</v>
      </c>
      <c r="BA60" s="162">
        <f t="shared" si="19"/>
        <v>32.199120085066376</v>
      </c>
      <c r="BB60" s="162">
        <f t="shared" si="19"/>
        <v>32.544040736624318</v>
      </c>
      <c r="BC60" s="162">
        <f t="shared" si="19"/>
        <v>35.347890420333044</v>
      </c>
      <c r="BD60" s="162">
        <f t="shared" si="19"/>
        <v>42.422752984154975</v>
      </c>
      <c r="BE60" s="162">
        <f t="shared" si="19"/>
        <v>31.724669756951275</v>
      </c>
    </row>
    <row r="61" spans="1:57" ht="13.5" thickBot="1" x14ac:dyDescent="0.25">
      <c r="A61" s="158">
        <f>SUM(K61:Q61)</f>
        <v>6006.5</v>
      </c>
      <c r="B61" s="153">
        <f>SUM(C61:I61)</f>
        <v>54804.666666666657</v>
      </c>
      <c r="C61" s="160">
        <f>SUM(C13:C60)</f>
        <v>7955.3833333333323</v>
      </c>
      <c r="D61" s="160">
        <f t="shared" ref="D61:I61" si="21">SUM(D13:D60)</f>
        <v>7924.5499999999984</v>
      </c>
      <c r="E61" s="160">
        <f t="shared" si="21"/>
        <v>8083.333333333333</v>
      </c>
      <c r="F61" s="160">
        <f t="shared" si="21"/>
        <v>7960.6666666666661</v>
      </c>
      <c r="G61" s="160">
        <f t="shared" si="21"/>
        <v>8059.8166666666675</v>
      </c>
      <c r="H61" s="160">
        <f t="shared" si="21"/>
        <v>7937.7333333333308</v>
      </c>
      <c r="I61" s="160">
        <f t="shared" si="21"/>
        <v>6883.1833333333334</v>
      </c>
      <c r="K61" s="148">
        <f>SUM(K13:K60)/2</f>
        <v>894.5</v>
      </c>
      <c r="L61" s="149">
        <f t="shared" ref="L61:Q61" si="22">SUM(L13:L60)/2</f>
        <v>823.5</v>
      </c>
      <c r="M61" s="149">
        <f t="shared" si="22"/>
        <v>859.5</v>
      </c>
      <c r="N61" s="149">
        <f t="shared" si="22"/>
        <v>875</v>
      </c>
      <c r="O61" s="149">
        <f t="shared" si="22"/>
        <v>871.5</v>
      </c>
      <c r="P61" s="149">
        <f t="shared" si="22"/>
        <v>884</v>
      </c>
      <c r="Q61" s="150">
        <f t="shared" si="22"/>
        <v>798.5</v>
      </c>
      <c r="S61" s="148">
        <f>SUM(S13:S60)/2</f>
        <v>924</v>
      </c>
      <c r="T61" s="148">
        <f t="shared" ref="T61:Y61" si="23">SUM(T13:T60)/2</f>
        <v>897</v>
      </c>
      <c r="U61" s="148">
        <f t="shared" si="23"/>
        <v>934.5</v>
      </c>
      <c r="V61" s="148">
        <f t="shared" si="23"/>
        <v>942</v>
      </c>
      <c r="W61" s="148">
        <f t="shared" si="23"/>
        <v>941</v>
      </c>
      <c r="X61" s="148">
        <f t="shared" si="23"/>
        <v>946.5</v>
      </c>
      <c r="Y61" s="148">
        <f t="shared" si="23"/>
        <v>870</v>
      </c>
      <c r="AP61" s="21" t="s">
        <v>146</v>
      </c>
      <c r="AQ61" s="151">
        <f>COUNTIF(AQ13:AQ60,$AP$61)/48</f>
        <v>0.375</v>
      </c>
      <c r="AR61" s="151">
        <f t="shared" ref="AR61:AW61" si="24">COUNTIF(AR13:AR60,$AP$61)/48</f>
        <v>0.1875</v>
      </c>
      <c r="AS61" s="151">
        <f t="shared" si="24"/>
        <v>0.3125</v>
      </c>
      <c r="AT61" s="151">
        <f t="shared" si="24"/>
        <v>0.3125</v>
      </c>
      <c r="AU61" s="151">
        <f t="shared" si="24"/>
        <v>0.22916666666666666</v>
      </c>
      <c r="AV61" s="151">
        <f t="shared" si="24"/>
        <v>0.29166666666666669</v>
      </c>
      <c r="AW61" s="151">
        <f t="shared" si="24"/>
        <v>0.22916666666666666</v>
      </c>
    </row>
    <row r="62" spans="1:57" x14ac:dyDescent="0.2">
      <c r="A62" s="158">
        <f>SUM(S61:Y61)</f>
        <v>6455</v>
      </c>
    </row>
    <row r="63" spans="1:57" x14ac:dyDescent="0.2">
      <c r="C63" s="151">
        <f>C61/$B$61</f>
        <v>0.14515886724974761</v>
      </c>
      <c r="D63" s="151">
        <f t="shared" ref="D63:I63" si="25">D61/$B$61</f>
        <v>0.14459626309195081</v>
      </c>
      <c r="E63" s="151">
        <f t="shared" si="25"/>
        <v>0.14749352244942646</v>
      </c>
      <c r="F63" s="151">
        <f t="shared" si="25"/>
        <v>0.14525527023246196</v>
      </c>
      <c r="G63" s="151">
        <f t="shared" si="25"/>
        <v>0.14706442273772311</v>
      </c>
      <c r="H63" s="151">
        <f t="shared" si="25"/>
        <v>0.14483681438320337</v>
      </c>
      <c r="I63" s="151">
        <f t="shared" si="25"/>
        <v>0.12559483985548678</v>
      </c>
      <c r="K63" s="151">
        <f>K61/$A$61</f>
        <v>0.14892200116540413</v>
      </c>
      <c r="L63" s="151">
        <f t="shared" ref="L63:Q63" si="26">L61/$A$61</f>
        <v>0.13710147340381254</v>
      </c>
      <c r="M63" s="151">
        <f t="shared" si="26"/>
        <v>0.14309498043785898</v>
      </c>
      <c r="N63" s="151">
        <f t="shared" si="26"/>
        <v>0.14567551818862898</v>
      </c>
      <c r="O63" s="151">
        <f t="shared" si="26"/>
        <v>0.14509281611587446</v>
      </c>
      <c r="P63" s="151">
        <f t="shared" si="26"/>
        <v>0.14717389494714059</v>
      </c>
      <c r="Q63" s="151">
        <f t="shared" si="26"/>
        <v>0.13293931574128029</v>
      </c>
      <c r="S63" s="151">
        <f>S61/$A$62</f>
        <v>0.14314484895429899</v>
      </c>
      <c r="T63" s="151">
        <f t="shared" ref="T63:Y63" si="27">T61/$A$62</f>
        <v>0.13896204492641362</v>
      </c>
      <c r="U63" s="151">
        <f t="shared" si="27"/>
        <v>0.1447714949651433</v>
      </c>
      <c r="V63" s="151">
        <f t="shared" si="27"/>
        <v>0.14593338497288924</v>
      </c>
      <c r="W63" s="151">
        <f t="shared" si="27"/>
        <v>0.14577846630518979</v>
      </c>
      <c r="X63" s="151">
        <f t="shared" si="27"/>
        <v>0.14663051897753679</v>
      </c>
      <c r="Y63" s="151">
        <f t="shared" si="27"/>
        <v>0.13477924089852827</v>
      </c>
    </row>
    <row r="64" spans="1:57" x14ac:dyDescent="0.2">
      <c r="AQ64" s="322" t="s">
        <v>147</v>
      </c>
      <c r="AR64" s="322"/>
    </row>
    <row r="65" spans="11:45" x14ac:dyDescent="0.2">
      <c r="K65" s="314" t="str">
        <f>"ETP HEBDO =  "&amp;A61/40</f>
        <v>ETP HEBDO =  150,1625</v>
      </c>
      <c r="L65" s="314"/>
      <c r="M65" s="314"/>
      <c r="N65" s="314"/>
      <c r="O65" s="314"/>
      <c r="P65" s="314"/>
      <c r="Q65" s="314"/>
      <c r="S65" s="315" t="str">
        <f>"ETP HEBDO =  "&amp;A62/40</f>
        <v>ETP HEBDO =  161,375</v>
      </c>
      <c r="T65" s="315"/>
      <c r="U65" s="315"/>
      <c r="V65" s="315"/>
      <c r="W65" s="315"/>
      <c r="X65" s="315"/>
      <c r="Y65" s="315"/>
      <c r="AP65" s="21" t="s">
        <v>148</v>
      </c>
      <c r="AQ65" s="316" t="s">
        <v>149</v>
      </c>
      <c r="AR65" s="316"/>
      <c r="AS65" s="156">
        <f>COUNTIF(AQ13:AW60, AP65)</f>
        <v>31</v>
      </c>
    </row>
    <row r="67" spans="11:45" x14ac:dyDescent="0.2">
      <c r="AQ67" s="320" t="s">
        <v>150</v>
      </c>
      <c r="AR67" s="320"/>
    </row>
    <row r="68" spans="11:45" x14ac:dyDescent="0.2">
      <c r="AP68" s="21" t="s">
        <v>151</v>
      </c>
      <c r="AQ68" s="321" t="s">
        <v>152</v>
      </c>
      <c r="AR68" s="321"/>
      <c r="AS68" s="156">
        <f>COUNTIF(AQ13:AW60, AP68)</f>
        <v>6</v>
      </c>
    </row>
    <row r="70" spans="11:45" x14ac:dyDescent="0.2">
      <c r="AP70" t="s">
        <v>146</v>
      </c>
      <c r="AQ70" s="157">
        <f>COUNTIF(AQ27:AW56,AP70)/336</f>
        <v>0.20535714285714285</v>
      </c>
      <c r="AR70" s="21" t="s">
        <v>153</v>
      </c>
    </row>
  </sheetData>
  <mergeCells count="16">
    <mergeCell ref="AQ67:AR67"/>
    <mergeCell ref="AQ68:AR68"/>
    <mergeCell ref="AA11:AG11"/>
    <mergeCell ref="AI11:AO11"/>
    <mergeCell ref="AQ11:AW11"/>
    <mergeCell ref="AQ64:AR64"/>
    <mergeCell ref="K65:Q65"/>
    <mergeCell ref="S65:Y65"/>
    <mergeCell ref="AQ65:AR65"/>
    <mergeCell ref="A4:B4"/>
    <mergeCell ref="A6:B6"/>
    <mergeCell ref="A8:B8"/>
    <mergeCell ref="C11:I11"/>
    <mergeCell ref="K11:Q11"/>
    <mergeCell ref="S11:Y11"/>
    <mergeCell ref="S7:Y7"/>
  </mergeCells>
  <conditionalFormatting sqref="AA13:AG60">
    <cfRule type="cellIs" dxfId="1583" priority="35" operator="lessThan">
      <formula>0.8</formula>
    </cfRule>
    <cfRule type="cellIs" dxfId="1582" priority="36" operator="greaterThan">
      <formula>0.9</formula>
    </cfRule>
    <cfRule type="cellIs" dxfId="1581" priority="37" operator="between">
      <formula>0.8</formula>
      <formula>0.9</formula>
    </cfRule>
  </conditionalFormatting>
  <conditionalFormatting sqref="AI13:AO60">
    <cfRule type="cellIs" dxfId="1580" priority="29" operator="greaterThan">
      <formula>0.2</formula>
    </cfRule>
  </conditionalFormatting>
  <conditionalFormatting sqref="AQ10:AW10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13:AW60">
    <cfRule type="cellIs" dxfId="1579" priority="23" operator="between">
      <formula>-9</formula>
      <formula>-1</formula>
    </cfRule>
    <cfRule type="cellIs" dxfId="1578" priority="24" operator="between">
      <formula>1</formula>
      <formula>9</formula>
    </cfRule>
    <cfRule type="cellIs" dxfId="1577" priority="25" operator="lessThan">
      <formula>-9</formula>
    </cfRule>
    <cfRule type="cellIs" dxfId="1576" priority="26" operator="greaterThan">
      <formula>9</formula>
    </cfRule>
  </conditionalFormatting>
  <conditionalFormatting sqref="AQ61:AW61">
    <cfRule type="cellIs" dxfId="1575" priority="22" operator="greaterThan">
      <formula>0.15</formula>
    </cfRule>
  </conditionalFormatting>
  <conditionalFormatting sqref="AS68">
    <cfRule type="cellIs" dxfId="1574" priority="21" operator="greaterThan">
      <formula>0</formula>
    </cfRule>
  </conditionalFormatting>
  <conditionalFormatting sqref="AQ70">
    <cfRule type="cellIs" dxfId="1573" priority="20" operator="greaterThan">
      <formula>0.1</formula>
    </cfRule>
  </conditionalFormatting>
  <conditionalFormatting sqref="AS65">
    <cfRule type="cellIs" dxfId="1572" priority="19" operator="greaterThan">
      <formula>0</formula>
    </cfRule>
  </conditionalFormatting>
  <conditionalFormatting sqref="AY13:BE60">
    <cfRule type="cellIs" dxfId="1571" priority="14" operator="between">
      <formula>-9</formula>
      <formula>-1</formula>
    </cfRule>
    <cfRule type="cellIs" dxfId="1570" priority="15" operator="between">
      <formula>1</formula>
      <formula>9</formula>
    </cfRule>
    <cfRule type="cellIs" dxfId="1569" priority="16" operator="lessThan">
      <formula>-9</formula>
    </cfRule>
    <cfRule type="cellIs" dxfId="1568" priority="17" operator="greaterThan">
      <formula>9</formula>
    </cfRule>
  </conditionalFormatting>
  <conditionalFormatting sqref="AA10:AG10">
    <cfRule type="cellIs" dxfId="1567" priority="13" operator="lessThan">
      <formula>0.8</formula>
    </cfRule>
  </conditionalFormatting>
  <conditionalFormatting sqref="C13:I6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Y60">
    <cfRule type="cellIs" dxfId="1566" priority="10" operator="greaterThan">
      <formula>$S$10</formula>
    </cfRule>
  </conditionalFormatting>
  <conditionalFormatting sqref="K13:Q60">
    <cfRule type="cellIs" dxfId="1565" priority="1" operator="greaterThan">
      <formula>50</formula>
    </cfRule>
    <cfRule type="cellIs" dxfId="1564" priority="2" operator="greaterThan">
      <formula>69</formula>
    </cfRule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BE70"/>
  <sheetViews>
    <sheetView topLeftCell="A10" zoomScale="80" zoomScaleNormal="80" workbookViewId="0">
      <selection activeCell="K10" sqref="K10:Q10"/>
    </sheetView>
  </sheetViews>
  <sheetFormatPr baseColWidth="10" defaultRowHeight="12.75" x14ac:dyDescent="0.2"/>
  <cols>
    <col min="3" max="3" width="7.85546875" bestFit="1" customWidth="1"/>
    <col min="4" max="4" width="5.85546875" bestFit="1" customWidth="1"/>
    <col min="5" max="5" width="8.7109375" bestFit="1" customWidth="1"/>
    <col min="6" max="6" width="5.7109375" bestFit="1" customWidth="1"/>
    <col min="7" max="7" width="9.140625" bestFit="1" customWidth="1"/>
    <col min="8" max="8" width="7.42578125" bestFit="1" customWidth="1"/>
    <col min="9" max="9" width="9.5703125" bestFit="1" customWidth="1"/>
    <col min="10" max="10" width="12.140625" bestFit="1" customWidth="1"/>
    <col min="11" max="12" width="6.5703125" bestFit="1" customWidth="1"/>
    <col min="13" max="13" width="8.85546875" bestFit="1" customWidth="1"/>
    <col min="14" max="14" width="6.5703125" bestFit="1" customWidth="1"/>
    <col min="15" max="15" width="9.28515625" bestFit="1" customWidth="1"/>
    <col min="16" max="16" width="7.5703125" bestFit="1" customWidth="1"/>
    <col min="17" max="17" width="9.710937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7" max="27" width="8" hidden="1" customWidth="1"/>
    <col min="28" max="28" width="6" hidden="1" customWidth="1"/>
    <col min="29" max="29" width="8.7109375" hidden="1" customWidth="1"/>
    <col min="30" max="30" width="6" hidden="1" customWidth="1"/>
    <col min="31" max="31" width="9.140625" hidden="1" customWidth="1"/>
    <col min="32" max="32" width="7.42578125" hidden="1" customWidth="1"/>
    <col min="33" max="33" width="9.5703125" hidden="1" customWidth="1"/>
    <col min="35" max="36" width="5.85546875" bestFit="1" customWidth="1"/>
    <col min="37" max="37" width="8.7109375" bestFit="1" customWidth="1"/>
    <col min="38" max="38" width="5.7109375" bestFit="1" customWidth="1"/>
    <col min="39" max="39" width="9.140625" bestFit="1" customWidth="1"/>
    <col min="40" max="40" width="7.42578125" bestFit="1" customWidth="1"/>
    <col min="41" max="41" width="9.5703125" bestFit="1" customWidth="1"/>
    <col min="43" max="43" width="8.7109375" bestFit="1" customWidth="1"/>
    <col min="44" max="44" width="7.28515625" bestFit="1" customWidth="1"/>
    <col min="45" max="45" width="8.85546875" bestFit="1" customWidth="1"/>
    <col min="46" max="46" width="7.28515625" bestFit="1" customWidth="1"/>
    <col min="47" max="47" width="9.28515625" bestFit="1" customWidth="1"/>
    <col min="48" max="48" width="7.5703125" bestFit="1" customWidth="1"/>
    <col min="49" max="49" width="9.5703125" customWidth="1"/>
    <col min="51" max="57" width="7.42578125" hidden="1" customWidth="1"/>
  </cols>
  <sheetData>
    <row r="1" spans="1:57" ht="13.5" thickBot="1" x14ac:dyDescent="0.25"/>
    <row r="2" spans="1:57" ht="13.5" thickBot="1" x14ac:dyDescent="0.25">
      <c r="A2" s="131" t="s">
        <v>126</v>
      </c>
      <c r="C2" s="132">
        <v>0.7</v>
      </c>
      <c r="K2" s="161">
        <f>(EN!K2+PIG!K2)/C61</f>
        <v>155.36078687454079</v>
      </c>
      <c r="L2" s="161">
        <f>(EN!L2+PIG!L2)/D61</f>
        <v>155.52613924568436</v>
      </c>
      <c r="M2" s="161">
        <f>(EN!M2+PIG!M2)/E61</f>
        <v>151.56817265026226</v>
      </c>
      <c r="N2" s="161">
        <f>(EN!N2+PIG!N2)/F61</f>
        <v>152.39271271766938</v>
      </c>
      <c r="O2" s="161">
        <f>(EN!O2+PIG!O2)/G61</f>
        <v>150.5471530625185</v>
      </c>
      <c r="P2" s="161">
        <f>(EN!P2+PIG!P2)/H61</f>
        <v>151.79141346381499</v>
      </c>
      <c r="Q2" s="161">
        <f>(EN!Q2+PIG!Q2)/I61</f>
        <v>130.30749753229475</v>
      </c>
    </row>
    <row r="3" spans="1:57" ht="13.5" thickBot="1" x14ac:dyDescent="0.25"/>
    <row r="4" spans="1:57" ht="13.5" thickBot="1" x14ac:dyDescent="0.25">
      <c r="A4" s="317" t="s">
        <v>132</v>
      </c>
      <c r="B4" s="317"/>
      <c r="C4" s="132">
        <v>0.8</v>
      </c>
    </row>
    <row r="5" spans="1:57" ht="13.5" thickBot="1" x14ac:dyDescent="0.25">
      <c r="C5" s="133"/>
      <c r="H5" t="s">
        <v>133</v>
      </c>
      <c r="S5" s="21"/>
    </row>
    <row r="6" spans="1:57" ht="13.5" thickBot="1" x14ac:dyDescent="0.25">
      <c r="A6" s="317" t="s">
        <v>134</v>
      </c>
      <c r="B6" s="317"/>
      <c r="C6" s="134">
        <v>60</v>
      </c>
    </row>
    <row r="7" spans="1:57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7" t="s">
        <v>135</v>
      </c>
      <c r="B8" s="318"/>
      <c r="C8" s="172">
        <f>PIG!C8</f>
        <v>3.2631162976630254E-2</v>
      </c>
      <c r="D8" s="172">
        <f>PIG!D8</f>
        <v>2.6248042974200105E-2</v>
      </c>
      <c r="E8" s="172">
        <f>PIG!E8</f>
        <v>1.7253561281182953E-2</v>
      </c>
      <c r="F8" s="172">
        <f>PIG!F8</f>
        <v>3.5416383600561416E-2</v>
      </c>
      <c r="G8" s="172">
        <f>PIG!G8</f>
        <v>2.0181329239738793E-2</v>
      </c>
      <c r="H8" s="172">
        <f>PIG!H8</f>
        <v>1.3571501429999633E-2</v>
      </c>
      <c r="I8" s="172">
        <f>PIG!I8</f>
        <v>1.9741035862935862E-2</v>
      </c>
      <c r="J8" s="21"/>
      <c r="K8" s="135"/>
      <c r="L8" s="135"/>
      <c r="M8" s="135"/>
      <c r="N8" s="135"/>
      <c r="O8" s="135"/>
      <c r="P8" s="135"/>
      <c r="Q8" s="135"/>
      <c r="S8" s="204"/>
      <c r="T8" s="204"/>
      <c r="U8" s="204"/>
      <c r="V8" s="204"/>
      <c r="W8" s="204"/>
      <c r="X8" s="204"/>
      <c r="Y8" s="204"/>
    </row>
    <row r="9" spans="1:57" ht="13.5" thickBot="1" x14ac:dyDescent="0.25">
      <c r="S9" s="136"/>
      <c r="T9" s="136"/>
      <c r="U9" s="136"/>
      <c r="V9" s="136"/>
      <c r="W9" s="136"/>
      <c r="X9" s="136"/>
      <c r="Y9" s="136"/>
    </row>
    <row r="10" spans="1:57" ht="13.5" thickBot="1" x14ac:dyDescent="0.25">
      <c r="A10" s="137" t="s">
        <v>136</v>
      </c>
      <c r="B10" s="134">
        <v>30</v>
      </c>
      <c r="C10" s="21" t="s">
        <v>17</v>
      </c>
      <c r="J10" s="138" t="s">
        <v>137</v>
      </c>
      <c r="K10" s="135">
        <f>K2</f>
        <v>155.36078687454079</v>
      </c>
      <c r="L10" s="135">
        <f t="shared" ref="L10:Q10" si="0">L2</f>
        <v>155.52613924568436</v>
      </c>
      <c r="M10" s="135">
        <f t="shared" si="0"/>
        <v>151.56817265026226</v>
      </c>
      <c r="N10" s="135">
        <f t="shared" si="0"/>
        <v>152.39271271766938</v>
      </c>
      <c r="O10" s="135">
        <f t="shared" si="0"/>
        <v>150.5471530625185</v>
      </c>
      <c r="P10" s="135">
        <f t="shared" si="0"/>
        <v>151.79141346381499</v>
      </c>
      <c r="Q10" s="135">
        <f t="shared" si="0"/>
        <v>130.30749753229475</v>
      </c>
      <c r="S10">
        <f>MAX(K13:K60)</f>
        <v>3</v>
      </c>
      <c r="T10">
        <f t="shared" ref="T10:Y10" si="1">MAX(L13:L60)</f>
        <v>3</v>
      </c>
      <c r="U10">
        <f t="shared" si="1"/>
        <v>3</v>
      </c>
      <c r="V10">
        <f t="shared" si="1"/>
        <v>3</v>
      </c>
      <c r="W10">
        <f t="shared" si="1"/>
        <v>3</v>
      </c>
      <c r="X10">
        <f t="shared" si="1"/>
        <v>3</v>
      </c>
      <c r="Y10">
        <f t="shared" si="1"/>
        <v>3</v>
      </c>
      <c r="AA10" s="139">
        <f>AY10/C61</f>
        <v>0.93119980225717558</v>
      </c>
      <c r="AB10" s="139">
        <f t="shared" ref="AB10:AG10" si="2">AZ10/D61</f>
        <v>0.93583556910873744</v>
      </c>
      <c r="AC10" s="139">
        <f t="shared" si="2"/>
        <v>0.90976190631188025</v>
      </c>
      <c r="AD10" s="139">
        <f t="shared" si="2"/>
        <v>0.91905280777335163</v>
      </c>
      <c r="AE10" s="139">
        <f t="shared" si="2"/>
        <v>0.90563409393075878</v>
      </c>
      <c r="AF10" s="139">
        <f t="shared" si="2"/>
        <v>0.90751432863777204</v>
      </c>
      <c r="AG10" s="139">
        <f t="shared" si="2"/>
        <v>0.92545029937693768</v>
      </c>
      <c r="AI10" s="139"/>
      <c r="AJ10" s="139"/>
      <c r="AK10" s="139"/>
      <c r="AL10" s="139"/>
      <c r="AM10" s="139"/>
      <c r="AN10" s="139"/>
      <c r="AO10" s="139"/>
      <c r="AQ10" s="323" t="s">
        <v>158</v>
      </c>
      <c r="AR10" s="324"/>
      <c r="AS10" s="324"/>
      <c r="AT10" s="324"/>
      <c r="AU10" s="324"/>
      <c r="AV10" s="324"/>
      <c r="AW10" s="325"/>
      <c r="AY10" s="163">
        <f>SUM(AY13:AY60)</f>
        <v>380.270959248422</v>
      </c>
      <c r="AZ10" s="163">
        <f t="shared" ref="AZ10:BE10" si="3">SUM(AZ13:AZ60)</f>
        <v>381.29060537386994</v>
      </c>
      <c r="BA10" s="163">
        <f t="shared" si="3"/>
        <v>375.88329429119176</v>
      </c>
      <c r="BB10" s="163">
        <f t="shared" si="3"/>
        <v>371.20542905965669</v>
      </c>
      <c r="BC10" s="163">
        <f t="shared" si="3"/>
        <v>357.0764293353327</v>
      </c>
      <c r="BD10" s="163">
        <f t="shared" si="3"/>
        <v>383.30380193897372</v>
      </c>
      <c r="BE10" s="163">
        <f t="shared" si="3"/>
        <v>359.3986237630337</v>
      </c>
    </row>
    <row r="11" spans="1:57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A11" s="319" t="s">
        <v>11</v>
      </c>
      <c r="AB11" s="319"/>
      <c r="AC11" s="319"/>
      <c r="AD11" s="319"/>
      <c r="AE11" s="319"/>
      <c r="AF11" s="319"/>
      <c r="AG11" s="319"/>
      <c r="AI11" s="319" t="s">
        <v>45</v>
      </c>
      <c r="AJ11" s="319"/>
      <c r="AK11" s="319"/>
      <c r="AL11" s="319"/>
      <c r="AM11" s="319"/>
      <c r="AN11" s="319"/>
      <c r="AO11" s="319"/>
      <c r="AQ11" s="319" t="s">
        <v>45</v>
      </c>
      <c r="AR11" s="319"/>
      <c r="AS11" s="319"/>
      <c r="AT11" s="319"/>
      <c r="AU11" s="319"/>
      <c r="AV11" s="319"/>
      <c r="AW11" s="319"/>
    </row>
    <row r="12" spans="1:57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A12" s="142" t="s">
        <v>139</v>
      </c>
      <c r="AB12" s="142" t="s">
        <v>140</v>
      </c>
      <c r="AC12" s="142" t="s">
        <v>141</v>
      </c>
      <c r="AD12" s="142" t="s">
        <v>142</v>
      </c>
      <c r="AE12" s="142" t="s">
        <v>143</v>
      </c>
      <c r="AF12" s="142" t="s">
        <v>144</v>
      </c>
      <c r="AG12" s="142" t="s">
        <v>145</v>
      </c>
      <c r="AI12" s="142" t="s">
        <v>139</v>
      </c>
      <c r="AJ12" s="142" t="s">
        <v>140</v>
      </c>
      <c r="AK12" s="142" t="s">
        <v>141</v>
      </c>
      <c r="AL12" s="142" t="s">
        <v>142</v>
      </c>
      <c r="AM12" s="142" t="s">
        <v>143</v>
      </c>
      <c r="AN12" s="142" t="s">
        <v>144</v>
      </c>
      <c r="AO12" s="142" t="s">
        <v>145</v>
      </c>
      <c r="AQ12" s="142" t="s">
        <v>139</v>
      </c>
      <c r="AR12" s="142" t="s">
        <v>140</v>
      </c>
      <c r="AS12" s="142" t="s">
        <v>141</v>
      </c>
      <c r="AT12" s="142" t="s">
        <v>142</v>
      </c>
      <c r="AU12" s="142" t="s">
        <v>143</v>
      </c>
      <c r="AV12" s="142" t="s">
        <v>144</v>
      </c>
      <c r="AW12" s="142" t="s">
        <v>145</v>
      </c>
    </row>
    <row r="13" spans="1:57" x14ac:dyDescent="0.2">
      <c r="A13" s="143">
        <f>AVERAGE(C13:I13)</f>
        <v>1.2285714285714284</v>
      </c>
      <c r="B13" s="144">
        <v>0</v>
      </c>
      <c r="C13" s="145">
        <f>EN!C13+PIG!C13</f>
        <v>1.6</v>
      </c>
      <c r="D13" s="145">
        <f>EN!D13+PIG!D13</f>
        <v>0.9</v>
      </c>
      <c r="E13" s="145">
        <f>EN!E13+PIG!E13</f>
        <v>0.8</v>
      </c>
      <c r="F13" s="145">
        <f>EN!F13+PIG!F13</f>
        <v>1.3</v>
      </c>
      <c r="G13" s="145">
        <f>EN!G13+PIG!G13</f>
        <v>1.6</v>
      </c>
      <c r="H13" s="145">
        <f>EN!H13+PIG!H13</f>
        <v>1.1000000000000001</v>
      </c>
      <c r="I13" s="145">
        <f>EN!I13+PIG!I13</f>
        <v>1.3</v>
      </c>
      <c r="J13" s="165">
        <v>1</v>
      </c>
      <c r="K13" s="43">
        <f>AgentsRequired(C13,$B$10,K$10,$C$4,$C$6,$C$2,$C$8)</f>
        <v>1</v>
      </c>
      <c r="L13" s="43">
        <f>AgentsRequired(D13,$B$10,L$10,$C$4,$C$6,$C$2,$D$8)</f>
        <v>1</v>
      </c>
      <c r="M13" s="43">
        <f>AgentsRequired(E13,$B$10,M$10,$C$4,$C$6,$C$2,$E$8)</f>
        <v>1</v>
      </c>
      <c r="N13" s="43">
        <f>AgentsRequired(F13,$B$10,N$10,$C$4,$C$6,$C$2,$F$8)</f>
        <v>1</v>
      </c>
      <c r="O13" s="43">
        <f>AgentsRequired(G13,$B$10,O$10,$C$4,$C$6,$C$2,$G$8)</f>
        <v>1</v>
      </c>
      <c r="P13" s="43">
        <f>AgentsRequired(H13,$B$10,P$10,$C$4,$C$6,$C$2,$H$8)</f>
        <v>1</v>
      </c>
      <c r="Q13" s="43">
        <f>AgentsRequired(I13,$B$10,Q$10,$C$4,$C$6,$C$2,$I$8)</f>
        <v>1</v>
      </c>
      <c r="R13" s="165">
        <v>1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AA13" s="55">
        <f>ServiceLevel(C13,$B$10,K$10,$C$6,S13)</f>
        <v>0</v>
      </c>
      <c r="AB13" s="55">
        <f>ServiceLevel(D13,$B$10,L$10,$C$6,T13)</f>
        <v>0</v>
      </c>
      <c r="AC13" s="55">
        <f t="shared" ref="AC13:AG28" si="4">ServiceLevel(E13,$B$10,M$10,$C$6,U13)</f>
        <v>0</v>
      </c>
      <c r="AD13" s="55">
        <f t="shared" si="4"/>
        <v>0</v>
      </c>
      <c r="AE13" s="55">
        <f t="shared" si="4"/>
        <v>0</v>
      </c>
      <c r="AF13" s="55">
        <f t="shared" si="4"/>
        <v>0</v>
      </c>
      <c r="AG13" s="55">
        <f t="shared" si="4"/>
        <v>0</v>
      </c>
      <c r="AI13" s="214">
        <f>S13-K13</f>
        <v>-1</v>
      </c>
      <c r="AJ13" s="214">
        <f t="shared" ref="AJ13:AO28" si="5">T13-L13</f>
        <v>-1</v>
      </c>
      <c r="AK13" s="214">
        <f t="shared" si="5"/>
        <v>-1</v>
      </c>
      <c r="AL13" s="214">
        <f t="shared" si="5"/>
        <v>-1</v>
      </c>
      <c r="AM13" s="214">
        <f t="shared" si="5"/>
        <v>-1</v>
      </c>
      <c r="AN13" s="214">
        <f t="shared" si="5"/>
        <v>-1</v>
      </c>
      <c r="AO13" s="214">
        <f t="shared" si="5"/>
        <v>-1</v>
      </c>
      <c r="AP13" s="206">
        <f>B13</f>
        <v>0</v>
      </c>
      <c r="AQ13" s="213">
        <f>S13/K13-1</f>
        <v>-1</v>
      </c>
      <c r="AR13" s="213">
        <f t="shared" ref="AR13:AW28" si="6">T13/L13-1</f>
        <v>-1</v>
      </c>
      <c r="AS13" s="213">
        <f t="shared" si="6"/>
        <v>-1</v>
      </c>
      <c r="AT13" s="213">
        <f t="shared" si="6"/>
        <v>-1</v>
      </c>
      <c r="AU13" s="213">
        <f t="shared" si="6"/>
        <v>-1</v>
      </c>
      <c r="AV13" s="213">
        <f t="shared" si="6"/>
        <v>-1</v>
      </c>
      <c r="AW13" s="213">
        <f t="shared" si="6"/>
        <v>-1</v>
      </c>
      <c r="AY13" s="162">
        <f>AA13*C13</f>
        <v>0</v>
      </c>
      <c r="AZ13" s="162">
        <f t="shared" ref="AZ13:BE28" si="7">AB13*D13</f>
        <v>0</v>
      </c>
      <c r="BA13" s="162">
        <f t="shared" si="7"/>
        <v>0</v>
      </c>
      <c r="BB13" s="162">
        <f t="shared" si="7"/>
        <v>0</v>
      </c>
      <c r="BC13" s="162">
        <f t="shared" si="7"/>
        <v>0</v>
      </c>
      <c r="BD13" s="162">
        <f t="shared" si="7"/>
        <v>0</v>
      </c>
      <c r="BE13" s="162">
        <f t="shared" si="7"/>
        <v>0</v>
      </c>
    </row>
    <row r="14" spans="1:57" x14ac:dyDescent="0.2">
      <c r="A14" s="143">
        <f t="shared" ref="A14:A60" si="8">AVERAGE(C14:I14)</f>
        <v>1.0642857142857145</v>
      </c>
      <c r="B14" s="147">
        <f>B13+TIME(0,$B$10,0)</f>
        <v>2.0833333333333332E-2</v>
      </c>
      <c r="C14" s="145">
        <f>EN!C14+PIG!C14</f>
        <v>1.2</v>
      </c>
      <c r="D14" s="145">
        <f>EN!D14+PIG!D14</f>
        <v>0.79999999999999993</v>
      </c>
      <c r="E14" s="145">
        <f>EN!E14+PIG!E14</f>
        <v>0.95</v>
      </c>
      <c r="F14" s="145">
        <f>EN!F14+PIG!F14</f>
        <v>1.05</v>
      </c>
      <c r="G14" s="145">
        <f>EN!G14+PIG!G14</f>
        <v>1.2</v>
      </c>
      <c r="H14" s="145">
        <f>EN!H14+PIG!H14</f>
        <v>0.9</v>
      </c>
      <c r="I14" s="145">
        <f>EN!I14+PIG!I14</f>
        <v>1.35</v>
      </c>
      <c r="J14" s="165">
        <v>2</v>
      </c>
      <c r="K14" s="43">
        <f t="shared" ref="K14:K60" si="9">AgentsRequired(C14,$B$10,K$10,$C$4,$C$6,$C$2,$C$8)</f>
        <v>1</v>
      </c>
      <c r="L14" s="43">
        <f t="shared" ref="L14:L60" si="10">AgentsRequired(D14,$B$10,L$10,$C$4,$C$6,$C$2,$D$8)</f>
        <v>1</v>
      </c>
      <c r="M14" s="43">
        <f t="shared" ref="M14:M60" si="11">AgentsRequired(E14,$B$10,M$10,$C$4,$C$6,$C$2,$E$8)</f>
        <v>1</v>
      </c>
      <c r="N14" s="43">
        <f t="shared" ref="N14:N60" si="12">AgentsRequired(F14,$B$10,N$10,$C$4,$C$6,$C$2,$F$8)</f>
        <v>1</v>
      </c>
      <c r="O14" s="43">
        <f t="shared" ref="O14:O60" si="13">AgentsRequired(G14,$B$10,O$10,$C$4,$C$6,$C$2,$G$8)</f>
        <v>1</v>
      </c>
      <c r="P14" s="43">
        <f t="shared" ref="P14:P60" si="14">AgentsRequired(H14,$B$10,P$10,$C$4,$C$6,$C$2,$H$8)</f>
        <v>1</v>
      </c>
      <c r="Q14" s="43">
        <f t="shared" ref="Q14:Q60" si="15">AgentsRequired(I14,$B$10,Q$10,$C$4,$C$6,$C$2,$I$8)</f>
        <v>1</v>
      </c>
      <c r="R14" s="165">
        <v>2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AA14" s="55">
        <f t="shared" ref="AA14:AG60" si="16">ServiceLevel(C14,$B$10,K$10,$C$6,S14)</f>
        <v>0</v>
      </c>
      <c r="AB14" s="55">
        <f t="shared" si="16"/>
        <v>0</v>
      </c>
      <c r="AC14" s="55">
        <f t="shared" si="4"/>
        <v>0</v>
      </c>
      <c r="AD14" s="55">
        <f t="shared" si="4"/>
        <v>0</v>
      </c>
      <c r="AE14" s="55">
        <f t="shared" si="4"/>
        <v>0</v>
      </c>
      <c r="AF14" s="55">
        <f t="shared" si="4"/>
        <v>0</v>
      </c>
      <c r="AG14" s="55">
        <f t="shared" si="4"/>
        <v>0</v>
      </c>
      <c r="AI14" s="214">
        <f t="shared" ref="AI14:AO60" si="17">S14-K14</f>
        <v>-1</v>
      </c>
      <c r="AJ14" s="214">
        <f t="shared" si="5"/>
        <v>-1</v>
      </c>
      <c r="AK14" s="214">
        <f t="shared" si="5"/>
        <v>-1</v>
      </c>
      <c r="AL14" s="214">
        <f t="shared" si="5"/>
        <v>-1</v>
      </c>
      <c r="AM14" s="214">
        <f t="shared" si="5"/>
        <v>-1</v>
      </c>
      <c r="AN14" s="214">
        <f t="shared" si="5"/>
        <v>-1</v>
      </c>
      <c r="AO14" s="214">
        <f t="shared" si="5"/>
        <v>-1</v>
      </c>
      <c r="AP14" s="206">
        <f t="shared" ref="AP14:AP60" si="18">B14</f>
        <v>2.0833333333333332E-2</v>
      </c>
      <c r="AQ14" s="213">
        <f t="shared" ref="AQ14:AW60" si="19">S14/K14-1</f>
        <v>-1</v>
      </c>
      <c r="AR14" s="213">
        <f t="shared" si="6"/>
        <v>-1</v>
      </c>
      <c r="AS14" s="213">
        <f t="shared" si="6"/>
        <v>-1</v>
      </c>
      <c r="AT14" s="213">
        <f t="shared" si="6"/>
        <v>-1</v>
      </c>
      <c r="AU14" s="213">
        <f t="shared" si="6"/>
        <v>-1</v>
      </c>
      <c r="AV14" s="213">
        <f t="shared" si="6"/>
        <v>-1</v>
      </c>
      <c r="AW14" s="213">
        <f t="shared" si="6"/>
        <v>-1</v>
      </c>
      <c r="AY14" s="162">
        <f t="shared" ref="AY14:BE60" si="20">AA14*C14</f>
        <v>0</v>
      </c>
      <c r="AZ14" s="162">
        <f t="shared" si="7"/>
        <v>0</v>
      </c>
      <c r="BA14" s="162">
        <f t="shared" si="7"/>
        <v>0</v>
      </c>
      <c r="BB14" s="162">
        <f t="shared" si="7"/>
        <v>0</v>
      </c>
      <c r="BC14" s="162">
        <f t="shared" si="7"/>
        <v>0</v>
      </c>
      <c r="BD14" s="162">
        <f t="shared" si="7"/>
        <v>0</v>
      </c>
      <c r="BE14" s="162">
        <f t="shared" si="7"/>
        <v>0</v>
      </c>
    </row>
    <row r="15" spans="1:57" x14ac:dyDescent="0.2">
      <c r="A15" s="143">
        <f t="shared" si="8"/>
        <v>0.90476190476190488</v>
      </c>
      <c r="B15" s="147">
        <f t="shared" ref="B15:B60" si="21">B14+TIME(0,$B$10,0)</f>
        <v>4.1666666666666664E-2</v>
      </c>
      <c r="C15" s="145">
        <f>EN!C15+PIG!C15</f>
        <v>0.89999999999999991</v>
      </c>
      <c r="D15" s="145">
        <f>EN!D15+PIG!D15</f>
        <v>0.86666666666666659</v>
      </c>
      <c r="E15" s="145">
        <f>EN!E15+PIG!E15</f>
        <v>0.89999999999999991</v>
      </c>
      <c r="F15" s="145">
        <f>EN!F15+PIG!F15</f>
        <v>0.8</v>
      </c>
      <c r="G15" s="145">
        <f>EN!G15+PIG!G15</f>
        <v>0.96666666666666667</v>
      </c>
      <c r="H15" s="145">
        <f>EN!H15+PIG!H15</f>
        <v>0.8666666666666667</v>
      </c>
      <c r="I15" s="145">
        <f>EN!I15+PIG!I15</f>
        <v>1.0333333333333334</v>
      </c>
      <c r="J15" s="165">
        <v>3</v>
      </c>
      <c r="K15" s="43">
        <f t="shared" si="9"/>
        <v>1</v>
      </c>
      <c r="L15" s="43">
        <f t="shared" si="10"/>
        <v>1</v>
      </c>
      <c r="M15" s="43">
        <f t="shared" si="11"/>
        <v>1</v>
      </c>
      <c r="N15" s="43">
        <f t="shared" si="12"/>
        <v>1</v>
      </c>
      <c r="O15" s="43">
        <f t="shared" si="13"/>
        <v>1</v>
      </c>
      <c r="P15" s="43">
        <f t="shared" si="14"/>
        <v>1</v>
      </c>
      <c r="Q15" s="43">
        <f t="shared" si="15"/>
        <v>1</v>
      </c>
      <c r="R15" s="165">
        <v>3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AA15" s="55">
        <f t="shared" si="16"/>
        <v>0</v>
      </c>
      <c r="AB15" s="55">
        <f t="shared" si="16"/>
        <v>0</v>
      </c>
      <c r="AC15" s="55">
        <f t="shared" si="4"/>
        <v>0</v>
      </c>
      <c r="AD15" s="55">
        <f t="shared" si="4"/>
        <v>0</v>
      </c>
      <c r="AE15" s="55">
        <f t="shared" si="4"/>
        <v>0</v>
      </c>
      <c r="AF15" s="55">
        <f t="shared" si="4"/>
        <v>0</v>
      </c>
      <c r="AG15" s="55">
        <f t="shared" si="4"/>
        <v>0</v>
      </c>
      <c r="AI15" s="214">
        <f t="shared" si="17"/>
        <v>-1</v>
      </c>
      <c r="AJ15" s="214">
        <f t="shared" si="5"/>
        <v>-1</v>
      </c>
      <c r="AK15" s="214">
        <f t="shared" si="5"/>
        <v>-1</v>
      </c>
      <c r="AL15" s="214">
        <f t="shared" si="5"/>
        <v>-1</v>
      </c>
      <c r="AM15" s="214">
        <f t="shared" si="5"/>
        <v>-1</v>
      </c>
      <c r="AN15" s="214">
        <f t="shared" si="5"/>
        <v>-1</v>
      </c>
      <c r="AO15" s="214">
        <f t="shared" si="5"/>
        <v>-1</v>
      </c>
      <c r="AP15" s="206">
        <f t="shared" si="18"/>
        <v>4.1666666666666664E-2</v>
      </c>
      <c r="AQ15" s="213">
        <f t="shared" si="19"/>
        <v>-1</v>
      </c>
      <c r="AR15" s="213">
        <f t="shared" si="6"/>
        <v>-1</v>
      </c>
      <c r="AS15" s="213">
        <f t="shared" si="6"/>
        <v>-1</v>
      </c>
      <c r="AT15" s="213">
        <f t="shared" si="6"/>
        <v>-1</v>
      </c>
      <c r="AU15" s="213">
        <f t="shared" si="6"/>
        <v>-1</v>
      </c>
      <c r="AV15" s="213">
        <f t="shared" si="6"/>
        <v>-1</v>
      </c>
      <c r="AW15" s="213">
        <f t="shared" si="6"/>
        <v>-1</v>
      </c>
      <c r="AY15" s="162">
        <f t="shared" si="20"/>
        <v>0</v>
      </c>
      <c r="AZ15" s="162">
        <f t="shared" si="7"/>
        <v>0</v>
      </c>
      <c r="BA15" s="162">
        <f t="shared" si="7"/>
        <v>0</v>
      </c>
      <c r="BB15" s="162">
        <f t="shared" si="7"/>
        <v>0</v>
      </c>
      <c r="BC15" s="162">
        <f t="shared" si="7"/>
        <v>0</v>
      </c>
      <c r="BD15" s="162">
        <f t="shared" si="7"/>
        <v>0</v>
      </c>
      <c r="BE15" s="162">
        <f t="shared" si="7"/>
        <v>0</v>
      </c>
    </row>
    <row r="16" spans="1:57" x14ac:dyDescent="0.2">
      <c r="A16" s="143">
        <f t="shared" si="8"/>
        <v>0.58571428571428563</v>
      </c>
      <c r="B16" s="147">
        <f t="shared" si="21"/>
        <v>6.25E-2</v>
      </c>
      <c r="C16" s="145">
        <f>EN!C16+PIG!C16</f>
        <v>0.39999999999999997</v>
      </c>
      <c r="D16" s="145">
        <f>EN!D16+PIG!D16</f>
        <v>0.6333333333333333</v>
      </c>
      <c r="E16" s="145">
        <f>EN!E16+PIG!E16</f>
        <v>0.70000000000000007</v>
      </c>
      <c r="F16" s="145">
        <f>EN!F16+PIG!F16</f>
        <v>0.53333333333333333</v>
      </c>
      <c r="G16" s="145">
        <f>EN!G16+PIG!G16</f>
        <v>0.46666666666666673</v>
      </c>
      <c r="H16" s="145">
        <f>EN!H16+PIG!H16</f>
        <v>0.66666666666666663</v>
      </c>
      <c r="I16" s="145">
        <f>EN!I16+PIG!I16</f>
        <v>0.7</v>
      </c>
      <c r="J16" s="165">
        <v>4</v>
      </c>
      <c r="K16" s="43">
        <f t="shared" si="9"/>
        <v>0</v>
      </c>
      <c r="L16" s="43">
        <f t="shared" si="10"/>
        <v>1</v>
      </c>
      <c r="M16" s="43">
        <f t="shared" si="11"/>
        <v>1</v>
      </c>
      <c r="N16" s="43">
        <f t="shared" si="12"/>
        <v>1</v>
      </c>
      <c r="O16" s="43">
        <f t="shared" si="13"/>
        <v>0</v>
      </c>
      <c r="P16" s="43">
        <f t="shared" si="14"/>
        <v>1</v>
      </c>
      <c r="Q16" s="43">
        <f t="shared" si="15"/>
        <v>1</v>
      </c>
      <c r="R16" s="165">
        <v>4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AA16" s="55">
        <f t="shared" si="16"/>
        <v>0</v>
      </c>
      <c r="AB16" s="55">
        <f t="shared" si="16"/>
        <v>0</v>
      </c>
      <c r="AC16" s="55">
        <f t="shared" si="4"/>
        <v>0</v>
      </c>
      <c r="AD16" s="55">
        <f t="shared" si="4"/>
        <v>0</v>
      </c>
      <c r="AE16" s="55">
        <f t="shared" si="4"/>
        <v>0</v>
      </c>
      <c r="AF16" s="55">
        <f t="shared" si="4"/>
        <v>0</v>
      </c>
      <c r="AG16" s="55">
        <f t="shared" si="4"/>
        <v>0</v>
      </c>
      <c r="AI16" s="214">
        <f t="shared" si="17"/>
        <v>0</v>
      </c>
      <c r="AJ16" s="214">
        <f t="shared" si="5"/>
        <v>-1</v>
      </c>
      <c r="AK16" s="214">
        <f t="shared" si="5"/>
        <v>-1</v>
      </c>
      <c r="AL16" s="214">
        <f t="shared" si="5"/>
        <v>-1</v>
      </c>
      <c r="AM16" s="214">
        <f t="shared" si="5"/>
        <v>0</v>
      </c>
      <c r="AN16" s="214">
        <f t="shared" si="5"/>
        <v>-1</v>
      </c>
      <c r="AO16" s="214">
        <f t="shared" si="5"/>
        <v>-1</v>
      </c>
      <c r="AP16" s="206">
        <f t="shared" si="18"/>
        <v>6.25E-2</v>
      </c>
      <c r="AQ16" s="213" t="e">
        <f t="shared" si="19"/>
        <v>#DIV/0!</v>
      </c>
      <c r="AR16" s="213">
        <f t="shared" si="6"/>
        <v>-1</v>
      </c>
      <c r="AS16" s="213">
        <f t="shared" si="6"/>
        <v>-1</v>
      </c>
      <c r="AT16" s="213">
        <f t="shared" si="6"/>
        <v>-1</v>
      </c>
      <c r="AU16" s="213" t="e">
        <f t="shared" si="6"/>
        <v>#DIV/0!</v>
      </c>
      <c r="AV16" s="213">
        <f t="shared" si="6"/>
        <v>-1</v>
      </c>
      <c r="AW16" s="213">
        <f t="shared" si="6"/>
        <v>-1</v>
      </c>
      <c r="AY16" s="162">
        <f t="shared" si="20"/>
        <v>0</v>
      </c>
      <c r="AZ16" s="162">
        <f t="shared" si="7"/>
        <v>0</v>
      </c>
      <c r="BA16" s="162">
        <f t="shared" si="7"/>
        <v>0</v>
      </c>
      <c r="BB16" s="162">
        <f t="shared" si="7"/>
        <v>0</v>
      </c>
      <c r="BC16" s="162">
        <f t="shared" si="7"/>
        <v>0</v>
      </c>
      <c r="BD16" s="162">
        <f t="shared" si="7"/>
        <v>0</v>
      </c>
      <c r="BE16" s="162">
        <f t="shared" si="7"/>
        <v>0</v>
      </c>
    </row>
    <row r="17" spans="1:57" x14ac:dyDescent="0.2">
      <c r="A17" s="143">
        <f t="shared" si="8"/>
        <v>0.35714285714285715</v>
      </c>
      <c r="B17" s="147">
        <f t="shared" si="21"/>
        <v>8.3333333333333329E-2</v>
      </c>
      <c r="C17" s="145">
        <f>EN!C17+PIG!C17</f>
        <v>0.13333333333333333</v>
      </c>
      <c r="D17" s="145">
        <f>EN!D17+PIG!D17</f>
        <v>0.46666666666666662</v>
      </c>
      <c r="E17" s="145">
        <f>EN!E17+PIG!E17</f>
        <v>0.36666666666666664</v>
      </c>
      <c r="F17" s="145">
        <f>EN!F17+PIG!F17</f>
        <v>0.3</v>
      </c>
      <c r="G17" s="145">
        <f>EN!G17+PIG!G17</f>
        <v>0.26666666666666666</v>
      </c>
      <c r="H17" s="145">
        <f>EN!H17+PIG!H17</f>
        <v>0.53333333333333333</v>
      </c>
      <c r="I17" s="145">
        <f>EN!I17+PIG!I17</f>
        <v>0.43333333333333335</v>
      </c>
      <c r="J17" s="165">
        <v>5</v>
      </c>
      <c r="K17" s="43">
        <f t="shared" si="9"/>
        <v>0</v>
      </c>
      <c r="L17" s="43">
        <f t="shared" si="10"/>
        <v>0</v>
      </c>
      <c r="M17" s="43">
        <f t="shared" si="11"/>
        <v>0</v>
      </c>
      <c r="N17" s="43">
        <f t="shared" si="12"/>
        <v>0</v>
      </c>
      <c r="O17" s="43">
        <f t="shared" si="13"/>
        <v>0</v>
      </c>
      <c r="P17" s="43">
        <f t="shared" si="14"/>
        <v>1</v>
      </c>
      <c r="Q17" s="43">
        <f t="shared" si="15"/>
        <v>0</v>
      </c>
      <c r="R17" s="165">
        <v>5</v>
      </c>
      <c r="S17" s="146">
        <v>0</v>
      </c>
      <c r="T17" s="146">
        <v>0</v>
      </c>
      <c r="U17" s="146">
        <v>0</v>
      </c>
      <c r="V17" s="146">
        <v>0</v>
      </c>
      <c r="W17" s="146">
        <v>0</v>
      </c>
      <c r="X17" s="146">
        <v>0</v>
      </c>
      <c r="Y17" s="146">
        <v>0</v>
      </c>
      <c r="AA17" s="55">
        <f t="shared" si="16"/>
        <v>0</v>
      </c>
      <c r="AB17" s="55">
        <f t="shared" si="16"/>
        <v>0</v>
      </c>
      <c r="AC17" s="55">
        <f t="shared" si="4"/>
        <v>0</v>
      </c>
      <c r="AD17" s="55">
        <f t="shared" si="4"/>
        <v>0</v>
      </c>
      <c r="AE17" s="55">
        <f t="shared" si="4"/>
        <v>0</v>
      </c>
      <c r="AF17" s="55">
        <f t="shared" si="4"/>
        <v>0</v>
      </c>
      <c r="AG17" s="55">
        <f t="shared" si="4"/>
        <v>0</v>
      </c>
      <c r="AI17" s="214">
        <f t="shared" si="17"/>
        <v>0</v>
      </c>
      <c r="AJ17" s="214">
        <f t="shared" si="5"/>
        <v>0</v>
      </c>
      <c r="AK17" s="214">
        <f t="shared" si="5"/>
        <v>0</v>
      </c>
      <c r="AL17" s="214">
        <f t="shared" si="5"/>
        <v>0</v>
      </c>
      <c r="AM17" s="214">
        <f t="shared" si="5"/>
        <v>0</v>
      </c>
      <c r="AN17" s="214">
        <f t="shared" si="5"/>
        <v>-1</v>
      </c>
      <c r="AO17" s="214">
        <f t="shared" si="5"/>
        <v>0</v>
      </c>
      <c r="AP17" s="206">
        <f t="shared" si="18"/>
        <v>8.3333333333333329E-2</v>
      </c>
      <c r="AQ17" s="213" t="e">
        <f t="shared" si="19"/>
        <v>#DIV/0!</v>
      </c>
      <c r="AR17" s="213" t="e">
        <f t="shared" si="6"/>
        <v>#DIV/0!</v>
      </c>
      <c r="AS17" s="213" t="e">
        <f t="shared" si="6"/>
        <v>#DIV/0!</v>
      </c>
      <c r="AT17" s="213" t="e">
        <f t="shared" si="6"/>
        <v>#DIV/0!</v>
      </c>
      <c r="AU17" s="213" t="e">
        <f t="shared" si="6"/>
        <v>#DIV/0!</v>
      </c>
      <c r="AV17" s="213">
        <f t="shared" si="6"/>
        <v>-1</v>
      </c>
      <c r="AW17" s="213" t="e">
        <f t="shared" si="6"/>
        <v>#DIV/0!</v>
      </c>
      <c r="AY17" s="162">
        <f t="shared" si="20"/>
        <v>0</v>
      </c>
      <c r="AZ17" s="162">
        <f t="shared" si="7"/>
        <v>0</v>
      </c>
      <c r="BA17" s="162">
        <f t="shared" si="7"/>
        <v>0</v>
      </c>
      <c r="BB17" s="162">
        <f t="shared" si="7"/>
        <v>0</v>
      </c>
      <c r="BC17" s="162">
        <f t="shared" si="7"/>
        <v>0</v>
      </c>
      <c r="BD17" s="162">
        <f t="shared" si="7"/>
        <v>0</v>
      </c>
      <c r="BE17" s="162">
        <f t="shared" si="7"/>
        <v>0</v>
      </c>
    </row>
    <row r="18" spans="1:57" x14ac:dyDescent="0.2">
      <c r="A18" s="143">
        <f t="shared" si="8"/>
        <v>0.2857142857142857</v>
      </c>
      <c r="B18" s="147">
        <f t="shared" si="21"/>
        <v>0.10416666666666666</v>
      </c>
      <c r="C18" s="145">
        <f>EN!C18+PIG!C18</f>
        <v>0.19999999999999998</v>
      </c>
      <c r="D18" s="145">
        <f>EN!D18+PIG!D18</f>
        <v>0.26666666666666666</v>
      </c>
      <c r="E18" s="145">
        <f>EN!E18+PIG!E18</f>
        <v>0.13333333333333333</v>
      </c>
      <c r="F18" s="145">
        <f>EN!F18+PIG!F18</f>
        <v>0.26666666666666666</v>
      </c>
      <c r="G18" s="145">
        <f>EN!G18+PIG!G18</f>
        <v>0.26666666666666672</v>
      </c>
      <c r="H18" s="145">
        <f>EN!H18+PIG!H18</f>
        <v>0.43333333333333329</v>
      </c>
      <c r="I18" s="145">
        <f>EN!I18+PIG!I18</f>
        <v>0.43333333333333335</v>
      </c>
      <c r="J18" s="165">
        <v>6</v>
      </c>
      <c r="K18" s="43">
        <f t="shared" si="9"/>
        <v>0</v>
      </c>
      <c r="L18" s="43">
        <f t="shared" si="10"/>
        <v>0</v>
      </c>
      <c r="M18" s="43">
        <f t="shared" si="11"/>
        <v>0</v>
      </c>
      <c r="N18" s="43">
        <f t="shared" si="12"/>
        <v>0</v>
      </c>
      <c r="O18" s="43">
        <f t="shared" si="13"/>
        <v>0</v>
      </c>
      <c r="P18" s="43">
        <f t="shared" si="14"/>
        <v>0</v>
      </c>
      <c r="Q18" s="43">
        <f t="shared" si="15"/>
        <v>0</v>
      </c>
      <c r="R18" s="165">
        <v>6</v>
      </c>
      <c r="S18" s="146">
        <v>0</v>
      </c>
      <c r="T18" s="146">
        <v>0</v>
      </c>
      <c r="U18" s="146">
        <v>0</v>
      </c>
      <c r="V18" s="146">
        <v>0</v>
      </c>
      <c r="W18" s="146">
        <v>0</v>
      </c>
      <c r="X18" s="146">
        <v>0</v>
      </c>
      <c r="Y18" s="146">
        <v>0</v>
      </c>
      <c r="AA18" s="55">
        <f t="shared" si="16"/>
        <v>0</v>
      </c>
      <c r="AB18" s="55">
        <f t="shared" si="16"/>
        <v>0</v>
      </c>
      <c r="AC18" s="55">
        <f t="shared" si="4"/>
        <v>0</v>
      </c>
      <c r="AD18" s="55">
        <f t="shared" si="4"/>
        <v>0</v>
      </c>
      <c r="AE18" s="55">
        <f t="shared" si="4"/>
        <v>0</v>
      </c>
      <c r="AF18" s="55">
        <f t="shared" si="4"/>
        <v>0</v>
      </c>
      <c r="AG18" s="55">
        <f t="shared" si="4"/>
        <v>0</v>
      </c>
      <c r="AI18" s="214">
        <f t="shared" si="17"/>
        <v>0</v>
      </c>
      <c r="AJ18" s="214">
        <f t="shared" si="5"/>
        <v>0</v>
      </c>
      <c r="AK18" s="214">
        <f t="shared" si="5"/>
        <v>0</v>
      </c>
      <c r="AL18" s="214">
        <f t="shared" si="5"/>
        <v>0</v>
      </c>
      <c r="AM18" s="214">
        <f t="shared" si="5"/>
        <v>0</v>
      </c>
      <c r="AN18" s="214">
        <f t="shared" si="5"/>
        <v>0</v>
      </c>
      <c r="AO18" s="214">
        <f t="shared" si="5"/>
        <v>0</v>
      </c>
      <c r="AP18" s="206">
        <f t="shared" si="18"/>
        <v>0.10416666666666666</v>
      </c>
      <c r="AQ18" s="213" t="e">
        <f t="shared" si="19"/>
        <v>#DIV/0!</v>
      </c>
      <c r="AR18" s="213" t="e">
        <f t="shared" si="6"/>
        <v>#DIV/0!</v>
      </c>
      <c r="AS18" s="213" t="e">
        <f t="shared" si="6"/>
        <v>#DIV/0!</v>
      </c>
      <c r="AT18" s="213" t="e">
        <f t="shared" si="6"/>
        <v>#DIV/0!</v>
      </c>
      <c r="AU18" s="213" t="e">
        <f t="shared" si="6"/>
        <v>#DIV/0!</v>
      </c>
      <c r="AV18" s="213" t="e">
        <f t="shared" si="6"/>
        <v>#DIV/0!</v>
      </c>
      <c r="AW18" s="213" t="e">
        <f t="shared" si="6"/>
        <v>#DIV/0!</v>
      </c>
      <c r="AY18" s="162">
        <f t="shared" si="20"/>
        <v>0</v>
      </c>
      <c r="AZ18" s="162">
        <f t="shared" si="7"/>
        <v>0</v>
      </c>
      <c r="BA18" s="162">
        <f t="shared" si="7"/>
        <v>0</v>
      </c>
      <c r="BB18" s="162">
        <f t="shared" si="7"/>
        <v>0</v>
      </c>
      <c r="BC18" s="162">
        <f t="shared" si="7"/>
        <v>0</v>
      </c>
      <c r="BD18" s="162">
        <f t="shared" si="7"/>
        <v>0</v>
      </c>
      <c r="BE18" s="162">
        <f t="shared" si="7"/>
        <v>0</v>
      </c>
    </row>
    <row r="19" spans="1:57" x14ac:dyDescent="0.2">
      <c r="A19" s="143">
        <f t="shared" si="8"/>
        <v>0.25714285714285717</v>
      </c>
      <c r="B19" s="147">
        <f t="shared" si="21"/>
        <v>0.12499999999999999</v>
      </c>
      <c r="C19" s="145">
        <f>EN!C19+PIG!C19</f>
        <v>0.19999999999999998</v>
      </c>
      <c r="D19" s="145">
        <f>EN!D19+PIG!D19</f>
        <v>0.30000000000000004</v>
      </c>
      <c r="E19" s="145">
        <f>EN!E19+PIG!E19</f>
        <v>0.16666666666666666</v>
      </c>
      <c r="F19" s="145">
        <f>EN!F19+PIG!F19</f>
        <v>0.13333333333333336</v>
      </c>
      <c r="G19" s="145">
        <f>EN!G19+PIG!G19</f>
        <v>0.3666666666666667</v>
      </c>
      <c r="H19" s="145">
        <f>EN!H19+PIG!H19</f>
        <v>0.3</v>
      </c>
      <c r="I19" s="145">
        <f>EN!I19+PIG!I19</f>
        <v>0.33333333333333331</v>
      </c>
      <c r="J19" s="165">
        <v>7</v>
      </c>
      <c r="K19" s="43">
        <f t="shared" si="9"/>
        <v>0</v>
      </c>
      <c r="L19" s="43">
        <f t="shared" si="10"/>
        <v>0</v>
      </c>
      <c r="M19" s="43">
        <f t="shared" si="11"/>
        <v>0</v>
      </c>
      <c r="N19" s="43">
        <f t="shared" si="12"/>
        <v>0</v>
      </c>
      <c r="O19" s="43">
        <f t="shared" si="13"/>
        <v>0</v>
      </c>
      <c r="P19" s="43">
        <f t="shared" si="14"/>
        <v>0</v>
      </c>
      <c r="Q19" s="43">
        <f t="shared" si="15"/>
        <v>0</v>
      </c>
      <c r="R19" s="165">
        <v>7</v>
      </c>
      <c r="S19" s="146">
        <v>0</v>
      </c>
      <c r="T19" s="146">
        <v>0</v>
      </c>
      <c r="U19" s="146">
        <v>0</v>
      </c>
      <c r="V19" s="146">
        <v>0</v>
      </c>
      <c r="W19" s="146">
        <v>0</v>
      </c>
      <c r="X19" s="146">
        <v>0</v>
      </c>
      <c r="Y19" s="146">
        <v>0</v>
      </c>
      <c r="AA19" s="55">
        <f t="shared" si="16"/>
        <v>0</v>
      </c>
      <c r="AB19" s="55">
        <f t="shared" si="16"/>
        <v>0</v>
      </c>
      <c r="AC19" s="55">
        <f t="shared" si="4"/>
        <v>0</v>
      </c>
      <c r="AD19" s="55">
        <f t="shared" si="4"/>
        <v>0</v>
      </c>
      <c r="AE19" s="55">
        <f t="shared" si="4"/>
        <v>0</v>
      </c>
      <c r="AF19" s="55">
        <f t="shared" si="4"/>
        <v>0</v>
      </c>
      <c r="AG19" s="55">
        <f t="shared" si="4"/>
        <v>0</v>
      </c>
      <c r="AI19" s="214">
        <f t="shared" si="17"/>
        <v>0</v>
      </c>
      <c r="AJ19" s="214">
        <f t="shared" si="5"/>
        <v>0</v>
      </c>
      <c r="AK19" s="214">
        <f t="shared" si="5"/>
        <v>0</v>
      </c>
      <c r="AL19" s="214">
        <f t="shared" si="5"/>
        <v>0</v>
      </c>
      <c r="AM19" s="214">
        <f t="shared" si="5"/>
        <v>0</v>
      </c>
      <c r="AN19" s="214">
        <f t="shared" si="5"/>
        <v>0</v>
      </c>
      <c r="AO19" s="214">
        <f t="shared" si="5"/>
        <v>0</v>
      </c>
      <c r="AP19" s="206">
        <f t="shared" si="18"/>
        <v>0.12499999999999999</v>
      </c>
      <c r="AQ19" s="213" t="e">
        <f t="shared" si="19"/>
        <v>#DIV/0!</v>
      </c>
      <c r="AR19" s="213" t="e">
        <f t="shared" si="6"/>
        <v>#DIV/0!</v>
      </c>
      <c r="AS19" s="213" t="e">
        <f t="shared" si="6"/>
        <v>#DIV/0!</v>
      </c>
      <c r="AT19" s="213" t="e">
        <f t="shared" si="6"/>
        <v>#DIV/0!</v>
      </c>
      <c r="AU19" s="213" t="e">
        <f t="shared" si="6"/>
        <v>#DIV/0!</v>
      </c>
      <c r="AV19" s="213" t="e">
        <f t="shared" si="6"/>
        <v>#DIV/0!</v>
      </c>
      <c r="AW19" s="213" t="e">
        <f t="shared" si="6"/>
        <v>#DIV/0!</v>
      </c>
      <c r="AY19" s="162">
        <f t="shared" si="20"/>
        <v>0</v>
      </c>
      <c r="AZ19" s="162">
        <f t="shared" si="7"/>
        <v>0</v>
      </c>
      <c r="BA19" s="162">
        <f t="shared" si="7"/>
        <v>0</v>
      </c>
      <c r="BB19" s="162">
        <f t="shared" si="7"/>
        <v>0</v>
      </c>
      <c r="BC19" s="162">
        <f t="shared" si="7"/>
        <v>0</v>
      </c>
      <c r="BD19" s="162">
        <f t="shared" si="7"/>
        <v>0</v>
      </c>
      <c r="BE19" s="162">
        <f t="shared" si="7"/>
        <v>0</v>
      </c>
    </row>
    <row r="20" spans="1:57" x14ac:dyDescent="0.2">
      <c r="A20" s="143">
        <f t="shared" si="8"/>
        <v>0.25714285714285712</v>
      </c>
      <c r="B20" s="147">
        <f t="shared" si="21"/>
        <v>0.14583333333333331</v>
      </c>
      <c r="C20" s="145">
        <f>EN!C20+PIG!C20</f>
        <v>0.23333333333333331</v>
      </c>
      <c r="D20" s="145">
        <f>EN!D20+PIG!D20</f>
        <v>0.33333333333333331</v>
      </c>
      <c r="E20" s="145">
        <f>EN!E20+PIG!E20</f>
        <v>0.30000000000000004</v>
      </c>
      <c r="F20" s="145">
        <f>EN!F20+PIG!F20</f>
        <v>0.1</v>
      </c>
      <c r="G20" s="145">
        <f>EN!G20+PIG!G20</f>
        <v>0.3</v>
      </c>
      <c r="H20" s="145">
        <f>EN!H20+PIG!H20</f>
        <v>0.33333333333333331</v>
      </c>
      <c r="I20" s="145">
        <f>EN!I20+PIG!I20</f>
        <v>0.19999999999999998</v>
      </c>
      <c r="J20" s="165">
        <v>8</v>
      </c>
      <c r="K20" s="43">
        <f t="shared" si="9"/>
        <v>0</v>
      </c>
      <c r="L20" s="43">
        <f t="shared" si="10"/>
        <v>0</v>
      </c>
      <c r="M20" s="43">
        <f t="shared" si="11"/>
        <v>0</v>
      </c>
      <c r="N20" s="43">
        <f t="shared" si="12"/>
        <v>0</v>
      </c>
      <c r="O20" s="43">
        <f t="shared" si="13"/>
        <v>0</v>
      </c>
      <c r="P20" s="43">
        <f t="shared" si="14"/>
        <v>0</v>
      </c>
      <c r="Q20" s="43">
        <f t="shared" si="15"/>
        <v>0</v>
      </c>
      <c r="R20" s="165">
        <v>8</v>
      </c>
      <c r="S20" s="146">
        <v>0</v>
      </c>
      <c r="T20" s="146">
        <v>0</v>
      </c>
      <c r="U20" s="146">
        <v>0</v>
      </c>
      <c r="V20" s="146">
        <v>0</v>
      </c>
      <c r="W20" s="146">
        <v>0</v>
      </c>
      <c r="X20" s="146">
        <v>0</v>
      </c>
      <c r="Y20" s="146">
        <v>0</v>
      </c>
      <c r="AA20" s="55">
        <f t="shared" si="16"/>
        <v>0</v>
      </c>
      <c r="AB20" s="55">
        <f t="shared" si="16"/>
        <v>0</v>
      </c>
      <c r="AC20" s="55">
        <f t="shared" si="4"/>
        <v>0</v>
      </c>
      <c r="AD20" s="55">
        <f t="shared" si="4"/>
        <v>0</v>
      </c>
      <c r="AE20" s="55">
        <f t="shared" si="4"/>
        <v>0</v>
      </c>
      <c r="AF20" s="55">
        <f t="shared" si="4"/>
        <v>0</v>
      </c>
      <c r="AG20" s="55">
        <f t="shared" si="4"/>
        <v>0</v>
      </c>
      <c r="AI20" s="214">
        <f t="shared" si="17"/>
        <v>0</v>
      </c>
      <c r="AJ20" s="214">
        <f t="shared" si="5"/>
        <v>0</v>
      </c>
      <c r="AK20" s="214">
        <f t="shared" si="5"/>
        <v>0</v>
      </c>
      <c r="AL20" s="214">
        <f t="shared" si="5"/>
        <v>0</v>
      </c>
      <c r="AM20" s="214">
        <f t="shared" si="5"/>
        <v>0</v>
      </c>
      <c r="AN20" s="214">
        <f t="shared" si="5"/>
        <v>0</v>
      </c>
      <c r="AO20" s="214">
        <f t="shared" si="5"/>
        <v>0</v>
      </c>
      <c r="AP20" s="206">
        <f t="shared" si="18"/>
        <v>0.14583333333333331</v>
      </c>
      <c r="AQ20" s="213" t="e">
        <f t="shared" si="19"/>
        <v>#DIV/0!</v>
      </c>
      <c r="AR20" s="213" t="e">
        <f t="shared" si="6"/>
        <v>#DIV/0!</v>
      </c>
      <c r="AS20" s="213" t="e">
        <f t="shared" si="6"/>
        <v>#DIV/0!</v>
      </c>
      <c r="AT20" s="213" t="e">
        <f t="shared" si="6"/>
        <v>#DIV/0!</v>
      </c>
      <c r="AU20" s="213" t="e">
        <f t="shared" si="6"/>
        <v>#DIV/0!</v>
      </c>
      <c r="AV20" s="213" t="e">
        <f t="shared" si="6"/>
        <v>#DIV/0!</v>
      </c>
      <c r="AW20" s="213" t="e">
        <f t="shared" si="6"/>
        <v>#DIV/0!</v>
      </c>
      <c r="AY20" s="162">
        <f t="shared" si="20"/>
        <v>0</v>
      </c>
      <c r="AZ20" s="162">
        <f t="shared" si="7"/>
        <v>0</v>
      </c>
      <c r="BA20" s="162">
        <f t="shared" si="7"/>
        <v>0</v>
      </c>
      <c r="BB20" s="162">
        <f t="shared" si="7"/>
        <v>0</v>
      </c>
      <c r="BC20" s="162">
        <f t="shared" si="7"/>
        <v>0</v>
      </c>
      <c r="BD20" s="162">
        <f t="shared" si="7"/>
        <v>0</v>
      </c>
      <c r="BE20" s="162">
        <f t="shared" si="7"/>
        <v>0</v>
      </c>
    </row>
    <row r="21" spans="1:57" x14ac:dyDescent="0.2">
      <c r="A21" s="143">
        <f t="shared" si="8"/>
        <v>0.22857142857142856</v>
      </c>
      <c r="B21" s="147">
        <f t="shared" si="21"/>
        <v>0.16666666666666666</v>
      </c>
      <c r="C21" s="145">
        <f>EN!C21+PIG!C21</f>
        <v>0.16666666666666666</v>
      </c>
      <c r="D21" s="145">
        <f>EN!D21+PIG!D21</f>
        <v>0.23333333333333331</v>
      </c>
      <c r="E21" s="145">
        <f>EN!E21+PIG!E21</f>
        <v>0.3</v>
      </c>
      <c r="F21" s="145">
        <f>EN!F21+PIG!F21</f>
        <v>0.23333333333333331</v>
      </c>
      <c r="G21" s="145">
        <f>EN!G21+PIG!G21</f>
        <v>0.23333333333333331</v>
      </c>
      <c r="H21" s="145">
        <f>EN!H21+PIG!H21</f>
        <v>0.33333333333333331</v>
      </c>
      <c r="I21" s="145">
        <f>EN!I21+PIG!I21</f>
        <v>0.10000000000000002</v>
      </c>
      <c r="J21" s="165">
        <v>9</v>
      </c>
      <c r="K21" s="43">
        <f t="shared" si="9"/>
        <v>0</v>
      </c>
      <c r="L21" s="43">
        <f t="shared" si="10"/>
        <v>0</v>
      </c>
      <c r="M21" s="43">
        <f t="shared" si="11"/>
        <v>0</v>
      </c>
      <c r="N21" s="43">
        <f t="shared" si="12"/>
        <v>0</v>
      </c>
      <c r="O21" s="43">
        <f t="shared" si="13"/>
        <v>0</v>
      </c>
      <c r="P21" s="43">
        <f t="shared" si="14"/>
        <v>0</v>
      </c>
      <c r="Q21" s="43">
        <f t="shared" si="15"/>
        <v>0</v>
      </c>
      <c r="R21" s="165">
        <v>9</v>
      </c>
      <c r="S21" s="146">
        <v>0</v>
      </c>
      <c r="T21" s="146">
        <v>0</v>
      </c>
      <c r="U21" s="146">
        <v>0</v>
      </c>
      <c r="V21" s="146">
        <v>0</v>
      </c>
      <c r="W21" s="146">
        <v>0</v>
      </c>
      <c r="X21" s="146">
        <v>0</v>
      </c>
      <c r="Y21" s="146">
        <v>0</v>
      </c>
      <c r="AA21" s="55">
        <f t="shared" si="16"/>
        <v>0</v>
      </c>
      <c r="AB21" s="55">
        <f t="shared" si="16"/>
        <v>0</v>
      </c>
      <c r="AC21" s="55">
        <f t="shared" si="4"/>
        <v>0</v>
      </c>
      <c r="AD21" s="55">
        <f t="shared" si="4"/>
        <v>0</v>
      </c>
      <c r="AE21" s="55">
        <f t="shared" si="4"/>
        <v>0</v>
      </c>
      <c r="AF21" s="55">
        <f t="shared" si="4"/>
        <v>0</v>
      </c>
      <c r="AG21" s="55">
        <f t="shared" si="4"/>
        <v>0</v>
      </c>
      <c r="AI21" s="214">
        <f t="shared" si="17"/>
        <v>0</v>
      </c>
      <c r="AJ21" s="214">
        <f t="shared" si="5"/>
        <v>0</v>
      </c>
      <c r="AK21" s="214">
        <f t="shared" si="5"/>
        <v>0</v>
      </c>
      <c r="AL21" s="214">
        <f t="shared" si="5"/>
        <v>0</v>
      </c>
      <c r="AM21" s="214">
        <f t="shared" si="5"/>
        <v>0</v>
      </c>
      <c r="AN21" s="214">
        <f t="shared" si="5"/>
        <v>0</v>
      </c>
      <c r="AO21" s="214">
        <f t="shared" si="5"/>
        <v>0</v>
      </c>
      <c r="AP21" s="206">
        <f t="shared" si="18"/>
        <v>0.16666666666666666</v>
      </c>
      <c r="AQ21" s="213" t="e">
        <f t="shared" si="19"/>
        <v>#DIV/0!</v>
      </c>
      <c r="AR21" s="213" t="e">
        <f t="shared" si="6"/>
        <v>#DIV/0!</v>
      </c>
      <c r="AS21" s="213" t="e">
        <f t="shared" si="6"/>
        <v>#DIV/0!</v>
      </c>
      <c r="AT21" s="213" t="e">
        <f t="shared" si="6"/>
        <v>#DIV/0!</v>
      </c>
      <c r="AU21" s="213" t="e">
        <f t="shared" si="6"/>
        <v>#DIV/0!</v>
      </c>
      <c r="AV21" s="213" t="e">
        <f t="shared" si="6"/>
        <v>#DIV/0!</v>
      </c>
      <c r="AW21" s="213" t="e">
        <f t="shared" si="6"/>
        <v>#DIV/0!</v>
      </c>
      <c r="AY21" s="162">
        <f t="shared" si="20"/>
        <v>0</v>
      </c>
      <c r="AZ21" s="162">
        <f t="shared" si="7"/>
        <v>0</v>
      </c>
      <c r="BA21" s="162">
        <f t="shared" si="7"/>
        <v>0</v>
      </c>
      <c r="BB21" s="162">
        <f t="shared" si="7"/>
        <v>0</v>
      </c>
      <c r="BC21" s="162">
        <f t="shared" si="7"/>
        <v>0</v>
      </c>
      <c r="BD21" s="162">
        <f t="shared" si="7"/>
        <v>0</v>
      </c>
      <c r="BE21" s="162">
        <f t="shared" si="7"/>
        <v>0</v>
      </c>
    </row>
    <row r="22" spans="1:57" x14ac:dyDescent="0.2">
      <c r="A22" s="143">
        <f t="shared" si="8"/>
        <v>0.28095238095238095</v>
      </c>
      <c r="B22" s="147">
        <f t="shared" si="21"/>
        <v>0.1875</v>
      </c>
      <c r="C22" s="145">
        <f>EN!C22+PIG!C22</f>
        <v>0.26666666666666666</v>
      </c>
      <c r="D22" s="145">
        <f>EN!D22+PIG!D22</f>
        <v>0.3</v>
      </c>
      <c r="E22" s="145">
        <f>EN!E22+PIG!E22</f>
        <v>0.3</v>
      </c>
      <c r="F22" s="145">
        <f>EN!F22+PIG!F22</f>
        <v>0.33333333333333331</v>
      </c>
      <c r="G22" s="145">
        <f>EN!G22+PIG!G22</f>
        <v>0.13333333333333333</v>
      </c>
      <c r="H22" s="145">
        <f>EN!H22+PIG!H22</f>
        <v>0.39999999999999997</v>
      </c>
      <c r="I22" s="145">
        <f>EN!I22+PIG!I22</f>
        <v>0.23333333333333334</v>
      </c>
      <c r="J22" s="165">
        <v>10</v>
      </c>
      <c r="K22" s="43">
        <f t="shared" si="9"/>
        <v>0</v>
      </c>
      <c r="L22" s="43">
        <f t="shared" si="10"/>
        <v>0</v>
      </c>
      <c r="M22" s="43">
        <f t="shared" si="11"/>
        <v>0</v>
      </c>
      <c r="N22" s="43">
        <f t="shared" si="12"/>
        <v>0</v>
      </c>
      <c r="O22" s="43">
        <f t="shared" si="13"/>
        <v>0</v>
      </c>
      <c r="P22" s="43">
        <f t="shared" si="14"/>
        <v>0</v>
      </c>
      <c r="Q22" s="43">
        <f t="shared" si="15"/>
        <v>0</v>
      </c>
      <c r="R22" s="165">
        <v>10</v>
      </c>
      <c r="S22" s="146">
        <v>0</v>
      </c>
      <c r="T22" s="146">
        <v>0</v>
      </c>
      <c r="U22" s="146">
        <v>0</v>
      </c>
      <c r="V22" s="146">
        <v>0</v>
      </c>
      <c r="W22" s="146">
        <v>0</v>
      </c>
      <c r="X22" s="146">
        <v>0</v>
      </c>
      <c r="Y22" s="146">
        <v>0</v>
      </c>
      <c r="AA22" s="55">
        <f t="shared" si="16"/>
        <v>0</v>
      </c>
      <c r="AB22" s="55">
        <f t="shared" si="16"/>
        <v>0</v>
      </c>
      <c r="AC22" s="55">
        <f t="shared" si="4"/>
        <v>0</v>
      </c>
      <c r="AD22" s="55">
        <f t="shared" si="4"/>
        <v>0</v>
      </c>
      <c r="AE22" s="55">
        <f t="shared" si="4"/>
        <v>0</v>
      </c>
      <c r="AF22" s="55">
        <f t="shared" si="4"/>
        <v>0</v>
      </c>
      <c r="AG22" s="55">
        <f t="shared" si="4"/>
        <v>0</v>
      </c>
      <c r="AI22" s="214">
        <f t="shared" si="17"/>
        <v>0</v>
      </c>
      <c r="AJ22" s="214">
        <f t="shared" si="5"/>
        <v>0</v>
      </c>
      <c r="AK22" s="214">
        <f t="shared" si="5"/>
        <v>0</v>
      </c>
      <c r="AL22" s="214">
        <f t="shared" si="5"/>
        <v>0</v>
      </c>
      <c r="AM22" s="214">
        <f t="shared" si="5"/>
        <v>0</v>
      </c>
      <c r="AN22" s="214">
        <f t="shared" si="5"/>
        <v>0</v>
      </c>
      <c r="AO22" s="214">
        <f t="shared" si="5"/>
        <v>0</v>
      </c>
      <c r="AP22" s="206">
        <f t="shared" si="18"/>
        <v>0.1875</v>
      </c>
      <c r="AQ22" s="213" t="e">
        <f t="shared" si="19"/>
        <v>#DIV/0!</v>
      </c>
      <c r="AR22" s="213" t="e">
        <f t="shared" si="6"/>
        <v>#DIV/0!</v>
      </c>
      <c r="AS22" s="213" t="e">
        <f t="shared" si="6"/>
        <v>#DIV/0!</v>
      </c>
      <c r="AT22" s="213" t="e">
        <f t="shared" si="6"/>
        <v>#DIV/0!</v>
      </c>
      <c r="AU22" s="213" t="e">
        <f t="shared" si="6"/>
        <v>#DIV/0!</v>
      </c>
      <c r="AV22" s="213" t="e">
        <f t="shared" si="6"/>
        <v>#DIV/0!</v>
      </c>
      <c r="AW22" s="213" t="e">
        <f t="shared" si="6"/>
        <v>#DIV/0!</v>
      </c>
      <c r="AY22" s="162">
        <f t="shared" si="20"/>
        <v>0</v>
      </c>
      <c r="AZ22" s="162">
        <f t="shared" si="7"/>
        <v>0</v>
      </c>
      <c r="BA22" s="162">
        <f t="shared" si="7"/>
        <v>0</v>
      </c>
      <c r="BB22" s="162">
        <f t="shared" si="7"/>
        <v>0</v>
      </c>
      <c r="BC22" s="162">
        <f t="shared" si="7"/>
        <v>0</v>
      </c>
      <c r="BD22" s="162">
        <f t="shared" si="7"/>
        <v>0</v>
      </c>
      <c r="BE22" s="162">
        <f t="shared" si="7"/>
        <v>0</v>
      </c>
    </row>
    <row r="23" spans="1:57" x14ac:dyDescent="0.2">
      <c r="A23" s="143">
        <f t="shared" si="8"/>
        <v>0.44761904761904764</v>
      </c>
      <c r="B23" s="147">
        <f t="shared" si="21"/>
        <v>0.20833333333333334</v>
      </c>
      <c r="C23" s="145">
        <f>EN!C23+PIG!C23</f>
        <v>0.3666666666666667</v>
      </c>
      <c r="D23" s="145">
        <f>EN!D23+PIG!D23</f>
        <v>0.39999999999999997</v>
      </c>
      <c r="E23" s="145">
        <f>EN!E23+PIG!E23</f>
        <v>0.46666666666666673</v>
      </c>
      <c r="F23" s="145">
        <f>EN!F23+PIG!F23</f>
        <v>0.6333333333333333</v>
      </c>
      <c r="G23" s="145">
        <f>EN!G23+PIG!G23</f>
        <v>0.43333333333333335</v>
      </c>
      <c r="H23" s="145">
        <f>EN!H23+PIG!H23</f>
        <v>0.43333333333333335</v>
      </c>
      <c r="I23" s="145">
        <f>EN!I23+PIG!I23</f>
        <v>0.39999999999999997</v>
      </c>
      <c r="J23" s="165">
        <v>11</v>
      </c>
      <c r="K23" s="43">
        <f>AgentsRequired(C23,$B$10,K$10,$C$4,$C$6,$C$2,$C$8)</f>
        <v>0</v>
      </c>
      <c r="L23" s="43">
        <f t="shared" si="10"/>
        <v>0</v>
      </c>
      <c r="M23" s="43">
        <f t="shared" si="11"/>
        <v>0</v>
      </c>
      <c r="N23" s="43">
        <f t="shared" si="12"/>
        <v>1</v>
      </c>
      <c r="O23" s="43">
        <f t="shared" si="13"/>
        <v>0</v>
      </c>
      <c r="P23" s="43">
        <f t="shared" si="14"/>
        <v>0</v>
      </c>
      <c r="Q23" s="43">
        <f t="shared" si="15"/>
        <v>0</v>
      </c>
      <c r="R23" s="165">
        <v>11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6">
        <v>0</v>
      </c>
      <c r="Y23" s="146">
        <v>0</v>
      </c>
      <c r="AA23" s="55">
        <f t="shared" si="16"/>
        <v>0</v>
      </c>
      <c r="AB23" s="55">
        <f t="shared" si="16"/>
        <v>0</v>
      </c>
      <c r="AC23" s="55">
        <f t="shared" si="4"/>
        <v>0</v>
      </c>
      <c r="AD23" s="55">
        <f t="shared" si="4"/>
        <v>0</v>
      </c>
      <c r="AE23" s="55">
        <f t="shared" si="4"/>
        <v>0</v>
      </c>
      <c r="AF23" s="55">
        <f t="shared" si="4"/>
        <v>0</v>
      </c>
      <c r="AG23" s="55">
        <f t="shared" si="4"/>
        <v>0</v>
      </c>
      <c r="AI23" s="214">
        <f t="shared" si="17"/>
        <v>0</v>
      </c>
      <c r="AJ23" s="214">
        <f t="shared" si="5"/>
        <v>0</v>
      </c>
      <c r="AK23" s="214">
        <f t="shared" si="5"/>
        <v>0</v>
      </c>
      <c r="AL23" s="214">
        <f t="shared" si="5"/>
        <v>-1</v>
      </c>
      <c r="AM23" s="214">
        <f t="shared" si="5"/>
        <v>0</v>
      </c>
      <c r="AN23" s="214">
        <f t="shared" si="5"/>
        <v>0</v>
      </c>
      <c r="AO23" s="214">
        <f t="shared" si="5"/>
        <v>0</v>
      </c>
      <c r="AP23" s="206">
        <f t="shared" si="18"/>
        <v>0.20833333333333334</v>
      </c>
      <c r="AQ23" s="213" t="e">
        <f t="shared" si="19"/>
        <v>#DIV/0!</v>
      </c>
      <c r="AR23" s="213" t="e">
        <f t="shared" si="6"/>
        <v>#DIV/0!</v>
      </c>
      <c r="AS23" s="213" t="e">
        <f t="shared" si="6"/>
        <v>#DIV/0!</v>
      </c>
      <c r="AT23" s="213">
        <f t="shared" si="6"/>
        <v>-1</v>
      </c>
      <c r="AU23" s="213" t="e">
        <f t="shared" si="6"/>
        <v>#DIV/0!</v>
      </c>
      <c r="AV23" s="213" t="e">
        <f t="shared" si="6"/>
        <v>#DIV/0!</v>
      </c>
      <c r="AW23" s="213" t="e">
        <f t="shared" si="6"/>
        <v>#DIV/0!</v>
      </c>
      <c r="AY23" s="162">
        <f t="shared" si="20"/>
        <v>0</v>
      </c>
      <c r="AZ23" s="162">
        <f t="shared" si="7"/>
        <v>0</v>
      </c>
      <c r="BA23" s="162">
        <f t="shared" si="7"/>
        <v>0</v>
      </c>
      <c r="BB23" s="162">
        <f t="shared" si="7"/>
        <v>0</v>
      </c>
      <c r="BC23" s="162">
        <f t="shared" si="7"/>
        <v>0</v>
      </c>
      <c r="BD23" s="162">
        <f t="shared" si="7"/>
        <v>0</v>
      </c>
      <c r="BE23" s="162">
        <f t="shared" si="7"/>
        <v>0</v>
      </c>
    </row>
    <row r="24" spans="1:57" x14ac:dyDescent="0.2">
      <c r="A24" s="143">
        <f t="shared" si="8"/>
        <v>0.81428571428571439</v>
      </c>
      <c r="B24" s="147">
        <f t="shared" si="21"/>
        <v>0.22916666666666669</v>
      </c>
      <c r="C24" s="145">
        <f>EN!C24+PIG!C24</f>
        <v>0.66666666666666663</v>
      </c>
      <c r="D24" s="145">
        <f>EN!D24+PIG!D24</f>
        <v>1.0333333333333334</v>
      </c>
      <c r="E24" s="145">
        <f>EN!E24+PIG!E24</f>
        <v>1.0666666666666667</v>
      </c>
      <c r="F24" s="145">
        <f>EN!F24+PIG!F24</f>
        <v>1.0666666666666669</v>
      </c>
      <c r="G24" s="145">
        <f>EN!G24+PIG!G24</f>
        <v>0.79999999999999993</v>
      </c>
      <c r="H24" s="145">
        <f>EN!H24+PIG!H24</f>
        <v>0.43333333333333335</v>
      </c>
      <c r="I24" s="145">
        <f>EN!I24+PIG!I24</f>
        <v>0.6333333333333333</v>
      </c>
      <c r="J24" s="165">
        <v>12</v>
      </c>
      <c r="K24" s="43">
        <f t="shared" si="9"/>
        <v>1</v>
      </c>
      <c r="L24" s="43">
        <f t="shared" si="10"/>
        <v>1</v>
      </c>
      <c r="M24" s="43">
        <f t="shared" si="11"/>
        <v>1</v>
      </c>
      <c r="N24" s="43">
        <f t="shared" si="12"/>
        <v>1</v>
      </c>
      <c r="O24" s="43">
        <f t="shared" si="13"/>
        <v>1</v>
      </c>
      <c r="P24" s="43">
        <f t="shared" si="14"/>
        <v>0</v>
      </c>
      <c r="Q24" s="43">
        <f t="shared" si="15"/>
        <v>1</v>
      </c>
      <c r="R24" s="165">
        <v>12</v>
      </c>
      <c r="S24" s="146">
        <v>0</v>
      </c>
      <c r="T24" s="146">
        <v>0</v>
      </c>
      <c r="U24" s="146">
        <v>0</v>
      </c>
      <c r="V24" s="146">
        <v>0</v>
      </c>
      <c r="W24" s="146">
        <v>0</v>
      </c>
      <c r="X24" s="146">
        <v>0</v>
      </c>
      <c r="Y24" s="146">
        <v>0</v>
      </c>
      <c r="AA24" s="55">
        <f t="shared" si="16"/>
        <v>0</v>
      </c>
      <c r="AB24" s="55">
        <f t="shared" si="16"/>
        <v>0</v>
      </c>
      <c r="AC24" s="55">
        <f t="shared" si="4"/>
        <v>0</v>
      </c>
      <c r="AD24" s="55">
        <f t="shared" si="4"/>
        <v>0</v>
      </c>
      <c r="AE24" s="55">
        <f t="shared" si="4"/>
        <v>0</v>
      </c>
      <c r="AF24" s="55">
        <f t="shared" si="4"/>
        <v>0</v>
      </c>
      <c r="AG24" s="55">
        <f t="shared" si="4"/>
        <v>0</v>
      </c>
      <c r="AI24" s="214">
        <f t="shared" si="17"/>
        <v>-1</v>
      </c>
      <c r="AJ24" s="214">
        <f t="shared" si="5"/>
        <v>-1</v>
      </c>
      <c r="AK24" s="214">
        <f t="shared" si="5"/>
        <v>-1</v>
      </c>
      <c r="AL24" s="214">
        <f t="shared" si="5"/>
        <v>-1</v>
      </c>
      <c r="AM24" s="214">
        <f t="shared" si="5"/>
        <v>-1</v>
      </c>
      <c r="AN24" s="214">
        <f t="shared" si="5"/>
        <v>0</v>
      </c>
      <c r="AO24" s="214">
        <f t="shared" si="5"/>
        <v>-1</v>
      </c>
      <c r="AP24" s="206">
        <f t="shared" si="18"/>
        <v>0.22916666666666669</v>
      </c>
      <c r="AQ24" s="213">
        <f t="shared" si="19"/>
        <v>-1</v>
      </c>
      <c r="AR24" s="213">
        <f t="shared" si="6"/>
        <v>-1</v>
      </c>
      <c r="AS24" s="213">
        <f t="shared" si="6"/>
        <v>-1</v>
      </c>
      <c r="AT24" s="213">
        <f t="shared" si="6"/>
        <v>-1</v>
      </c>
      <c r="AU24" s="213">
        <f t="shared" si="6"/>
        <v>-1</v>
      </c>
      <c r="AV24" s="213" t="e">
        <f t="shared" si="6"/>
        <v>#DIV/0!</v>
      </c>
      <c r="AW24" s="213">
        <f t="shared" si="6"/>
        <v>-1</v>
      </c>
      <c r="AY24" s="162">
        <f t="shared" si="20"/>
        <v>0</v>
      </c>
      <c r="AZ24" s="162">
        <f t="shared" si="7"/>
        <v>0</v>
      </c>
      <c r="BA24" s="162">
        <f t="shared" si="7"/>
        <v>0</v>
      </c>
      <c r="BB24" s="162">
        <f t="shared" si="7"/>
        <v>0</v>
      </c>
      <c r="BC24" s="162">
        <f t="shared" si="7"/>
        <v>0</v>
      </c>
      <c r="BD24" s="162">
        <f t="shared" si="7"/>
        <v>0</v>
      </c>
      <c r="BE24" s="162">
        <f t="shared" si="7"/>
        <v>0</v>
      </c>
    </row>
    <row r="25" spans="1:57" x14ac:dyDescent="0.2">
      <c r="A25" s="143">
        <f t="shared" si="8"/>
        <v>1.7952380952380955</v>
      </c>
      <c r="B25" s="147">
        <f t="shared" si="21"/>
        <v>0.25</v>
      </c>
      <c r="C25" s="145">
        <f>EN!C25+PIG!C25</f>
        <v>1.4666666666666666</v>
      </c>
      <c r="D25" s="145">
        <f>EN!D25+PIG!D25</f>
        <v>1.9666666666666668</v>
      </c>
      <c r="E25" s="145">
        <f>EN!E25+PIG!E25</f>
        <v>1.9333333333333333</v>
      </c>
      <c r="F25" s="145">
        <f>EN!F25+PIG!F25</f>
        <v>2.2000000000000002</v>
      </c>
      <c r="G25" s="145">
        <f>EN!G25+PIG!G25</f>
        <v>2.1</v>
      </c>
      <c r="H25" s="145">
        <f>EN!H25+PIG!H25</f>
        <v>1.5666666666666664</v>
      </c>
      <c r="I25" s="145">
        <f>EN!I25+PIG!I25</f>
        <v>1.3333333333333333</v>
      </c>
      <c r="J25" s="165">
        <v>13</v>
      </c>
      <c r="K25" s="43">
        <f t="shared" si="9"/>
        <v>1</v>
      </c>
      <c r="L25" s="43">
        <f t="shared" si="10"/>
        <v>1</v>
      </c>
      <c r="M25" s="43">
        <f t="shared" si="11"/>
        <v>1</v>
      </c>
      <c r="N25" s="43">
        <f t="shared" si="12"/>
        <v>1</v>
      </c>
      <c r="O25" s="43">
        <f t="shared" si="13"/>
        <v>1</v>
      </c>
      <c r="P25" s="43">
        <f t="shared" si="14"/>
        <v>1</v>
      </c>
      <c r="Q25" s="43">
        <f t="shared" si="15"/>
        <v>1</v>
      </c>
      <c r="R25" s="165">
        <v>13</v>
      </c>
      <c r="S25" s="146">
        <v>1</v>
      </c>
      <c r="T25" s="146">
        <v>1</v>
      </c>
      <c r="U25" s="146">
        <v>1</v>
      </c>
      <c r="V25" s="146">
        <v>1</v>
      </c>
      <c r="W25" s="146">
        <v>1</v>
      </c>
      <c r="X25" s="146">
        <v>1</v>
      </c>
      <c r="Y25" s="146">
        <v>1</v>
      </c>
      <c r="AA25" s="55">
        <f t="shared" si="16"/>
        <v>0.93935125759966198</v>
      </c>
      <c r="AB25" s="55">
        <f t="shared" si="16"/>
        <v>0.87440609096577204</v>
      </c>
      <c r="AC25" s="55">
        <f t="shared" si="4"/>
        <v>0.87882918817397593</v>
      </c>
      <c r="AD25" s="55">
        <f t="shared" si="4"/>
        <v>0.87790878933478189</v>
      </c>
      <c r="AE25" s="55">
        <f t="shared" si="4"/>
        <v>0.87996812905154165</v>
      </c>
      <c r="AF25" s="55">
        <f t="shared" si="4"/>
        <v>0.87858004913880539</v>
      </c>
      <c r="AG25" s="55">
        <f t="shared" si="4"/>
        <v>0.95277164938346071</v>
      </c>
      <c r="AI25" s="214">
        <f t="shared" si="17"/>
        <v>0</v>
      </c>
      <c r="AJ25" s="214">
        <f t="shared" si="5"/>
        <v>0</v>
      </c>
      <c r="AK25" s="214">
        <f t="shared" si="5"/>
        <v>0</v>
      </c>
      <c r="AL25" s="214">
        <f t="shared" si="5"/>
        <v>0</v>
      </c>
      <c r="AM25" s="214">
        <f t="shared" si="5"/>
        <v>0</v>
      </c>
      <c r="AN25" s="214">
        <f t="shared" si="5"/>
        <v>0</v>
      </c>
      <c r="AO25" s="214">
        <f t="shared" si="5"/>
        <v>0</v>
      </c>
      <c r="AP25" s="206">
        <f t="shared" si="18"/>
        <v>0.25</v>
      </c>
      <c r="AQ25" s="213">
        <f t="shared" si="19"/>
        <v>0</v>
      </c>
      <c r="AR25" s="213">
        <f t="shared" si="6"/>
        <v>0</v>
      </c>
      <c r="AS25" s="213">
        <f t="shared" si="6"/>
        <v>0</v>
      </c>
      <c r="AT25" s="213">
        <f t="shared" si="6"/>
        <v>0</v>
      </c>
      <c r="AU25" s="213">
        <f t="shared" si="6"/>
        <v>0</v>
      </c>
      <c r="AV25" s="213">
        <f t="shared" si="6"/>
        <v>0</v>
      </c>
      <c r="AW25" s="213">
        <f t="shared" si="6"/>
        <v>0</v>
      </c>
      <c r="AY25" s="162">
        <f t="shared" si="20"/>
        <v>1.3777151778128374</v>
      </c>
      <c r="AZ25" s="162">
        <f t="shared" si="7"/>
        <v>1.719665312232685</v>
      </c>
      <c r="BA25" s="162">
        <f t="shared" si="7"/>
        <v>1.6990697638030201</v>
      </c>
      <c r="BB25" s="162">
        <f t="shared" si="7"/>
        <v>1.9313993365365203</v>
      </c>
      <c r="BC25" s="162">
        <f t="shared" si="7"/>
        <v>1.8479330710082376</v>
      </c>
      <c r="BD25" s="162">
        <f t="shared" si="7"/>
        <v>1.3764420769841281</v>
      </c>
      <c r="BE25" s="162">
        <f t="shared" si="7"/>
        <v>1.2703621991779475</v>
      </c>
    </row>
    <row r="26" spans="1:57" x14ac:dyDescent="0.2">
      <c r="A26" s="143">
        <f t="shared" si="8"/>
        <v>3.1333333333333333</v>
      </c>
      <c r="B26" s="147">
        <f t="shared" si="21"/>
        <v>0.27083333333333331</v>
      </c>
      <c r="C26" s="145">
        <f>EN!C26+PIG!C26</f>
        <v>2.9333333333333331</v>
      </c>
      <c r="D26" s="145">
        <f>EN!D26+PIG!D26</f>
        <v>3.5666666666666664</v>
      </c>
      <c r="E26" s="145">
        <f>EN!E26+PIG!E26</f>
        <v>2.7</v>
      </c>
      <c r="F26" s="145">
        <f>EN!F26+PIG!F26</f>
        <v>3.0666666666666669</v>
      </c>
      <c r="G26" s="145">
        <f>EN!G26+PIG!G26</f>
        <v>3.4999999999999996</v>
      </c>
      <c r="H26" s="145">
        <f>EN!H26+PIG!H26</f>
        <v>3.3</v>
      </c>
      <c r="I26" s="145">
        <f>EN!I26+PIG!I26</f>
        <v>2.8666666666666663</v>
      </c>
      <c r="J26" s="165">
        <v>14</v>
      </c>
      <c r="K26" s="43">
        <f t="shared" si="9"/>
        <v>1</v>
      </c>
      <c r="L26" s="43">
        <f t="shared" si="10"/>
        <v>2</v>
      </c>
      <c r="M26" s="43">
        <f t="shared" si="11"/>
        <v>1</v>
      </c>
      <c r="N26" s="43">
        <f t="shared" si="12"/>
        <v>1</v>
      </c>
      <c r="O26" s="43">
        <f t="shared" si="13"/>
        <v>1</v>
      </c>
      <c r="P26" s="43">
        <f t="shared" si="14"/>
        <v>1</v>
      </c>
      <c r="Q26" s="43">
        <f t="shared" si="15"/>
        <v>1</v>
      </c>
      <c r="R26" s="165">
        <v>14</v>
      </c>
      <c r="S26" s="146">
        <v>1</v>
      </c>
      <c r="T26" s="146">
        <v>1</v>
      </c>
      <c r="U26" s="146">
        <v>1</v>
      </c>
      <c r="V26" s="146">
        <v>1</v>
      </c>
      <c r="W26" s="146">
        <v>1</v>
      </c>
      <c r="X26" s="146">
        <v>1</v>
      </c>
      <c r="Y26" s="146">
        <v>1</v>
      </c>
      <c r="AA26" s="55">
        <f t="shared" si="16"/>
        <v>0.80551056260166287</v>
      </c>
      <c r="AB26" s="55">
        <f t="shared" si="16"/>
        <v>0.73149551837930271</v>
      </c>
      <c r="AC26" s="55">
        <f t="shared" si="4"/>
        <v>0.81208313462890136</v>
      </c>
      <c r="AD26" s="55">
        <f t="shared" si="4"/>
        <v>0.81065574083541181</v>
      </c>
      <c r="AE26" s="55">
        <f t="shared" si="4"/>
        <v>0.81384945274074549</v>
      </c>
      <c r="AF26" s="55">
        <f t="shared" si="4"/>
        <v>0.81169675918232898</v>
      </c>
      <c r="AG26" s="55">
        <f t="shared" si="4"/>
        <v>0.84854730737811723</v>
      </c>
      <c r="AI26" s="214">
        <f t="shared" si="17"/>
        <v>0</v>
      </c>
      <c r="AJ26" s="214">
        <f t="shared" si="5"/>
        <v>-1</v>
      </c>
      <c r="AK26" s="214">
        <f t="shared" si="5"/>
        <v>0</v>
      </c>
      <c r="AL26" s="214">
        <f t="shared" si="5"/>
        <v>0</v>
      </c>
      <c r="AM26" s="214">
        <f t="shared" si="5"/>
        <v>0</v>
      </c>
      <c r="AN26" s="214">
        <f t="shared" si="5"/>
        <v>0</v>
      </c>
      <c r="AO26" s="214">
        <f t="shared" si="5"/>
        <v>0</v>
      </c>
      <c r="AP26" s="206">
        <f t="shared" si="18"/>
        <v>0.27083333333333331</v>
      </c>
      <c r="AQ26" s="213">
        <f t="shared" si="19"/>
        <v>0</v>
      </c>
      <c r="AR26" s="213">
        <f t="shared" si="6"/>
        <v>-0.5</v>
      </c>
      <c r="AS26" s="213">
        <f t="shared" si="6"/>
        <v>0</v>
      </c>
      <c r="AT26" s="213">
        <f t="shared" si="6"/>
        <v>0</v>
      </c>
      <c r="AU26" s="213">
        <f t="shared" si="6"/>
        <v>0</v>
      </c>
      <c r="AV26" s="213">
        <f t="shared" si="6"/>
        <v>0</v>
      </c>
      <c r="AW26" s="213">
        <f t="shared" si="6"/>
        <v>0</v>
      </c>
      <c r="AY26" s="162">
        <f t="shared" si="20"/>
        <v>2.3628309836315444</v>
      </c>
      <c r="AZ26" s="162">
        <f t="shared" si="7"/>
        <v>2.6090006822195129</v>
      </c>
      <c r="BA26" s="162">
        <f t="shared" si="7"/>
        <v>2.1926244634980336</v>
      </c>
      <c r="BB26" s="162">
        <f t="shared" si="7"/>
        <v>2.4860109385619298</v>
      </c>
      <c r="BC26" s="162">
        <f t="shared" si="7"/>
        <v>2.8484730845926087</v>
      </c>
      <c r="BD26" s="162">
        <f t="shared" si="7"/>
        <v>2.6785993053016854</v>
      </c>
      <c r="BE26" s="162">
        <f t="shared" si="7"/>
        <v>2.4325022811506023</v>
      </c>
    </row>
    <row r="27" spans="1:57" x14ac:dyDescent="0.2">
      <c r="A27" s="143">
        <f t="shared" si="8"/>
        <v>4.9095238095238098</v>
      </c>
      <c r="B27" s="147">
        <f t="shared" si="21"/>
        <v>0.29166666666666663</v>
      </c>
      <c r="C27" s="145">
        <f>EN!C27+PIG!C27</f>
        <v>4.5999999999999996</v>
      </c>
      <c r="D27" s="145">
        <f>EN!D27+PIG!D27</f>
        <v>4.9666666666666668</v>
      </c>
      <c r="E27" s="145">
        <f>EN!E27+PIG!E27</f>
        <v>4.0333333333333332</v>
      </c>
      <c r="F27" s="145">
        <f>EN!F27+PIG!F27</f>
        <v>4.7666666666666675</v>
      </c>
      <c r="G27" s="145">
        <f>EN!G27+PIG!G27</f>
        <v>5.3</v>
      </c>
      <c r="H27" s="145">
        <f>EN!H27+PIG!H27</f>
        <v>5.6666666666666661</v>
      </c>
      <c r="I27" s="145">
        <f>EN!I27+PIG!I27</f>
        <v>5.0333333333333332</v>
      </c>
      <c r="J27" s="165">
        <v>15</v>
      </c>
      <c r="K27" s="43">
        <f t="shared" si="9"/>
        <v>2</v>
      </c>
      <c r="L27" s="43">
        <f t="shared" si="10"/>
        <v>2</v>
      </c>
      <c r="M27" s="43">
        <f t="shared" si="11"/>
        <v>2</v>
      </c>
      <c r="N27" s="43">
        <f t="shared" si="12"/>
        <v>2</v>
      </c>
      <c r="O27" s="43">
        <f t="shared" si="13"/>
        <v>2</v>
      </c>
      <c r="P27" s="43">
        <f t="shared" si="14"/>
        <v>2</v>
      </c>
      <c r="Q27" s="43">
        <f t="shared" si="15"/>
        <v>2</v>
      </c>
      <c r="R27" s="165">
        <v>15</v>
      </c>
      <c r="S27" s="146">
        <v>3</v>
      </c>
      <c r="T27" s="146">
        <v>3</v>
      </c>
      <c r="U27" s="146">
        <v>2</v>
      </c>
      <c r="V27" s="146">
        <v>2</v>
      </c>
      <c r="W27" s="146">
        <v>2</v>
      </c>
      <c r="X27" s="146">
        <v>2</v>
      </c>
      <c r="Y27" s="146">
        <v>4</v>
      </c>
      <c r="AA27" s="55">
        <f t="shared" si="16"/>
        <v>0.99623282206021457</v>
      </c>
      <c r="AB27" s="55">
        <f t="shared" si="16"/>
        <v>0.99621719079231219</v>
      </c>
      <c r="AC27" s="55">
        <f t="shared" si="4"/>
        <v>0.9748677652701937</v>
      </c>
      <c r="AD27" s="55">
        <f t="shared" si="4"/>
        <v>0.96025195505949601</v>
      </c>
      <c r="AE27" s="55">
        <f t="shared" si="4"/>
        <v>0.96150007776086011</v>
      </c>
      <c r="AF27" s="55">
        <f t="shared" si="4"/>
        <v>0.94340220992032731</v>
      </c>
      <c r="AG27" s="55">
        <f t="shared" si="4"/>
        <v>0.99989744776302147</v>
      </c>
      <c r="AI27" s="214">
        <f t="shared" si="17"/>
        <v>1</v>
      </c>
      <c r="AJ27" s="214">
        <f t="shared" si="5"/>
        <v>1</v>
      </c>
      <c r="AK27" s="214">
        <f t="shared" si="5"/>
        <v>0</v>
      </c>
      <c r="AL27" s="214">
        <f t="shared" si="5"/>
        <v>0</v>
      </c>
      <c r="AM27" s="214">
        <f t="shared" si="5"/>
        <v>0</v>
      </c>
      <c r="AN27" s="214">
        <f t="shared" si="5"/>
        <v>0</v>
      </c>
      <c r="AO27" s="214">
        <f t="shared" si="5"/>
        <v>2</v>
      </c>
      <c r="AP27" s="206">
        <f t="shared" si="18"/>
        <v>0.29166666666666663</v>
      </c>
      <c r="AQ27" s="213">
        <f t="shared" si="19"/>
        <v>0.5</v>
      </c>
      <c r="AR27" s="213">
        <f t="shared" si="6"/>
        <v>0.5</v>
      </c>
      <c r="AS27" s="213">
        <f t="shared" si="6"/>
        <v>0</v>
      </c>
      <c r="AT27" s="213">
        <f t="shared" si="6"/>
        <v>0</v>
      </c>
      <c r="AU27" s="213">
        <f t="shared" si="6"/>
        <v>0</v>
      </c>
      <c r="AV27" s="213">
        <f t="shared" si="6"/>
        <v>0</v>
      </c>
      <c r="AW27" s="213">
        <f t="shared" si="6"/>
        <v>1</v>
      </c>
      <c r="AY27" s="162">
        <f t="shared" si="20"/>
        <v>4.582670981476987</v>
      </c>
      <c r="AZ27" s="162">
        <f t="shared" si="7"/>
        <v>4.9478787142684837</v>
      </c>
      <c r="BA27" s="162">
        <f t="shared" si="7"/>
        <v>3.9319666532564477</v>
      </c>
      <c r="BB27" s="162">
        <f t="shared" si="7"/>
        <v>4.5772009857835982</v>
      </c>
      <c r="BC27" s="162">
        <f t="shared" si="7"/>
        <v>5.0959504121325585</v>
      </c>
      <c r="BD27" s="162">
        <f t="shared" si="7"/>
        <v>5.3459458562151871</v>
      </c>
      <c r="BE27" s="162">
        <f t="shared" si="7"/>
        <v>5.0328171537405417</v>
      </c>
    </row>
    <row r="28" spans="1:57" x14ac:dyDescent="0.2">
      <c r="A28" s="143">
        <f t="shared" si="8"/>
        <v>6.0857142857142863</v>
      </c>
      <c r="B28" s="147">
        <f t="shared" si="21"/>
        <v>0.31249999999999994</v>
      </c>
      <c r="C28" s="145">
        <f>EN!C28+PIG!C28</f>
        <v>5.8</v>
      </c>
      <c r="D28" s="145">
        <f>EN!D28+PIG!D28</f>
        <v>6.1</v>
      </c>
      <c r="E28" s="145">
        <f>EN!E28+PIG!E28</f>
        <v>5.3333333333333339</v>
      </c>
      <c r="F28" s="145">
        <f>EN!F28+PIG!F28</f>
        <v>5.666666666666667</v>
      </c>
      <c r="G28" s="145">
        <f>EN!G28+PIG!G28</f>
        <v>6.1000000000000005</v>
      </c>
      <c r="H28" s="145">
        <f>EN!H28+PIG!H28</f>
        <v>6.7</v>
      </c>
      <c r="I28" s="145">
        <f>EN!I28+PIG!I28</f>
        <v>6.8999999999999995</v>
      </c>
      <c r="J28" s="165">
        <v>16</v>
      </c>
      <c r="K28" s="43">
        <f t="shared" si="9"/>
        <v>2</v>
      </c>
      <c r="L28" s="43">
        <f t="shared" si="10"/>
        <v>2</v>
      </c>
      <c r="M28" s="43">
        <f t="shared" si="11"/>
        <v>2</v>
      </c>
      <c r="N28" s="43">
        <f t="shared" si="12"/>
        <v>2</v>
      </c>
      <c r="O28" s="43">
        <f t="shared" si="13"/>
        <v>2</v>
      </c>
      <c r="P28" s="43">
        <f t="shared" si="14"/>
        <v>2</v>
      </c>
      <c r="Q28" s="43">
        <f t="shared" si="15"/>
        <v>2</v>
      </c>
      <c r="R28" s="165">
        <v>16</v>
      </c>
      <c r="S28" s="146">
        <v>3</v>
      </c>
      <c r="T28" s="146">
        <v>3</v>
      </c>
      <c r="U28" s="146">
        <v>2</v>
      </c>
      <c r="V28" s="146">
        <v>2</v>
      </c>
      <c r="W28" s="146">
        <v>2</v>
      </c>
      <c r="X28" s="146">
        <v>2</v>
      </c>
      <c r="Y28" s="146">
        <v>4</v>
      </c>
      <c r="AA28" s="55">
        <f t="shared" si="16"/>
        <v>0.9936144258291274</v>
      </c>
      <c r="AB28" s="55">
        <f t="shared" si="16"/>
        <v>0.99358825383586047</v>
      </c>
      <c r="AC28" s="55">
        <f t="shared" si="4"/>
        <v>0.96081194819750249</v>
      </c>
      <c r="AD28" s="55">
        <f t="shared" si="4"/>
        <v>0.94282042150712908</v>
      </c>
      <c r="AE28" s="55">
        <f t="shared" si="4"/>
        <v>0.9445971764409048</v>
      </c>
      <c r="AF28" s="55">
        <f t="shared" si="4"/>
        <v>0.92294592935586806</v>
      </c>
      <c r="AG28" s="55">
        <f t="shared" si="4"/>
        <v>0.99962055585915177</v>
      </c>
      <c r="AI28" s="214">
        <f t="shared" si="17"/>
        <v>1</v>
      </c>
      <c r="AJ28" s="214">
        <f t="shared" si="5"/>
        <v>1</v>
      </c>
      <c r="AK28" s="214">
        <f t="shared" si="5"/>
        <v>0</v>
      </c>
      <c r="AL28" s="214">
        <f t="shared" si="5"/>
        <v>0</v>
      </c>
      <c r="AM28" s="214">
        <f t="shared" si="5"/>
        <v>0</v>
      </c>
      <c r="AN28" s="214">
        <f t="shared" si="5"/>
        <v>0</v>
      </c>
      <c r="AO28" s="214">
        <f t="shared" si="5"/>
        <v>2</v>
      </c>
      <c r="AP28" s="206">
        <f t="shared" si="18"/>
        <v>0.31249999999999994</v>
      </c>
      <c r="AQ28" s="213">
        <f t="shared" si="19"/>
        <v>0.5</v>
      </c>
      <c r="AR28" s="213">
        <f t="shared" si="6"/>
        <v>0.5</v>
      </c>
      <c r="AS28" s="213">
        <f t="shared" si="6"/>
        <v>0</v>
      </c>
      <c r="AT28" s="213">
        <f t="shared" si="6"/>
        <v>0</v>
      </c>
      <c r="AU28" s="213">
        <f t="shared" si="6"/>
        <v>0</v>
      </c>
      <c r="AV28" s="213">
        <f t="shared" si="6"/>
        <v>0</v>
      </c>
      <c r="AW28" s="213">
        <f t="shared" si="6"/>
        <v>1</v>
      </c>
      <c r="AY28" s="162">
        <f t="shared" si="20"/>
        <v>5.762963669808939</v>
      </c>
      <c r="AZ28" s="162">
        <f t="shared" si="7"/>
        <v>6.0608883483987483</v>
      </c>
      <c r="BA28" s="162">
        <f t="shared" si="7"/>
        <v>5.1243303903866808</v>
      </c>
      <c r="BB28" s="162">
        <f t="shared" si="7"/>
        <v>5.3426490552070653</v>
      </c>
      <c r="BC28" s="162">
        <f t="shared" si="7"/>
        <v>5.7620427762895199</v>
      </c>
      <c r="BD28" s="162">
        <f t="shared" si="7"/>
        <v>6.1837377266843161</v>
      </c>
      <c r="BE28" s="162">
        <f t="shared" si="7"/>
        <v>6.8973818354281464</v>
      </c>
    </row>
    <row r="29" spans="1:57" x14ac:dyDescent="0.2">
      <c r="A29" s="143">
        <f t="shared" si="8"/>
        <v>7.352380952380952</v>
      </c>
      <c r="B29" s="147">
        <f t="shared" si="21"/>
        <v>0.33333333333333326</v>
      </c>
      <c r="C29" s="145">
        <f>EN!C29+PIG!C29</f>
        <v>6.4666666666666659</v>
      </c>
      <c r="D29" s="145">
        <f>EN!D29+PIG!D29</f>
        <v>7.1666666666666661</v>
      </c>
      <c r="E29" s="145">
        <f>EN!E29+PIG!E29</f>
        <v>7.1</v>
      </c>
      <c r="F29" s="145">
        <f>EN!F29+PIG!F29</f>
        <v>7.2333333333333334</v>
      </c>
      <c r="G29" s="145">
        <f>EN!G29+PIG!G29</f>
        <v>7.5666666666666664</v>
      </c>
      <c r="H29" s="145">
        <f>EN!H29+PIG!H29</f>
        <v>8.3000000000000007</v>
      </c>
      <c r="I29" s="145">
        <f>EN!I29+PIG!I29</f>
        <v>7.6333333333333329</v>
      </c>
      <c r="J29" s="165">
        <v>17</v>
      </c>
      <c r="K29" s="43">
        <f t="shared" si="9"/>
        <v>2</v>
      </c>
      <c r="L29" s="43">
        <f t="shared" si="10"/>
        <v>2</v>
      </c>
      <c r="M29" s="43">
        <f t="shared" si="11"/>
        <v>2</v>
      </c>
      <c r="N29" s="43">
        <f t="shared" si="12"/>
        <v>2</v>
      </c>
      <c r="O29" s="43">
        <f t="shared" si="13"/>
        <v>2</v>
      </c>
      <c r="P29" s="43">
        <f t="shared" si="14"/>
        <v>2</v>
      </c>
      <c r="Q29" s="43">
        <f t="shared" si="15"/>
        <v>2</v>
      </c>
      <c r="R29" s="165">
        <v>17</v>
      </c>
      <c r="S29" s="146">
        <v>4</v>
      </c>
      <c r="T29" s="146">
        <v>3</v>
      </c>
      <c r="U29" s="146">
        <v>2</v>
      </c>
      <c r="V29" s="146">
        <v>3</v>
      </c>
      <c r="W29" s="146">
        <v>4</v>
      </c>
      <c r="X29" s="146">
        <v>4</v>
      </c>
      <c r="Y29" s="146">
        <v>5</v>
      </c>
      <c r="AA29" s="55">
        <f t="shared" si="16"/>
        <v>0.99946554204771543</v>
      </c>
      <c r="AB29" s="55">
        <f t="shared" si="16"/>
        <v>0.99000370019048245</v>
      </c>
      <c r="AC29" s="55">
        <f t="shared" si="16"/>
        <v>0.92323608817697123</v>
      </c>
      <c r="AD29" s="55">
        <f t="shared" si="16"/>
        <v>0.9907502709198085</v>
      </c>
      <c r="AE29" s="55">
        <f t="shared" si="16"/>
        <v>0.99863845026267783</v>
      </c>
      <c r="AF29" s="55">
        <f t="shared" si="16"/>
        <v>0.99857988466660097</v>
      </c>
      <c r="AG29" s="55">
        <f t="shared" si="16"/>
        <v>0.99995505793143102</v>
      </c>
      <c r="AI29" s="214">
        <f t="shared" si="17"/>
        <v>2</v>
      </c>
      <c r="AJ29" s="214">
        <f t="shared" si="17"/>
        <v>1</v>
      </c>
      <c r="AK29" s="214">
        <f t="shared" si="17"/>
        <v>0</v>
      </c>
      <c r="AL29" s="214">
        <f t="shared" si="17"/>
        <v>1</v>
      </c>
      <c r="AM29" s="214">
        <f t="shared" si="17"/>
        <v>2</v>
      </c>
      <c r="AN29" s="214">
        <f t="shared" si="17"/>
        <v>2</v>
      </c>
      <c r="AO29" s="214">
        <f t="shared" si="17"/>
        <v>3</v>
      </c>
      <c r="AP29" s="206">
        <f t="shared" si="18"/>
        <v>0.33333333333333326</v>
      </c>
      <c r="AQ29" s="213">
        <f t="shared" si="19"/>
        <v>1</v>
      </c>
      <c r="AR29" s="213">
        <f t="shared" si="19"/>
        <v>0.5</v>
      </c>
      <c r="AS29" s="213">
        <f t="shared" si="19"/>
        <v>0</v>
      </c>
      <c r="AT29" s="213">
        <f t="shared" si="19"/>
        <v>0.5</v>
      </c>
      <c r="AU29" s="213">
        <f t="shared" si="19"/>
        <v>1</v>
      </c>
      <c r="AV29" s="213">
        <f t="shared" si="19"/>
        <v>1</v>
      </c>
      <c r="AW29" s="213">
        <f t="shared" si="19"/>
        <v>1.5</v>
      </c>
      <c r="AY29" s="162">
        <f t="shared" si="20"/>
        <v>6.463210505241892</v>
      </c>
      <c r="AZ29" s="162">
        <f t="shared" si="20"/>
        <v>7.0950265180317906</v>
      </c>
      <c r="BA29" s="162">
        <f t="shared" si="20"/>
        <v>6.5549762260564952</v>
      </c>
      <c r="BB29" s="162">
        <f t="shared" si="20"/>
        <v>7.1664269596532817</v>
      </c>
      <c r="BC29" s="162">
        <f t="shared" si="20"/>
        <v>7.5563642736542622</v>
      </c>
      <c r="BD29" s="162">
        <f t="shared" si="20"/>
        <v>8.2882130427327887</v>
      </c>
      <c r="BE29" s="162">
        <f t="shared" si="20"/>
        <v>7.6329902755432562</v>
      </c>
    </row>
    <row r="30" spans="1:57" x14ac:dyDescent="0.2">
      <c r="A30" s="143">
        <f t="shared" si="8"/>
        <v>8.3142857142857149</v>
      </c>
      <c r="B30" s="147">
        <f t="shared" si="21"/>
        <v>0.35416666666666657</v>
      </c>
      <c r="C30" s="145">
        <f>EN!C30+PIG!C30</f>
        <v>7.2333333333333325</v>
      </c>
      <c r="D30" s="145">
        <f>EN!D30+PIG!D30</f>
        <v>8.4333333333333318</v>
      </c>
      <c r="E30" s="145">
        <f>EN!E30+PIG!E30</f>
        <v>8.1</v>
      </c>
      <c r="F30" s="145">
        <f>EN!F30+PIG!F30</f>
        <v>7.9333333333333336</v>
      </c>
      <c r="G30" s="145">
        <f>EN!G30+PIG!G30</f>
        <v>8.7333333333333343</v>
      </c>
      <c r="H30" s="145">
        <f>EN!H30+PIG!H30</f>
        <v>9.5666666666666664</v>
      </c>
      <c r="I30" s="145">
        <f>EN!I30+PIG!I30</f>
        <v>8.1999999999999993</v>
      </c>
      <c r="J30" s="165">
        <v>18</v>
      </c>
      <c r="K30" s="43">
        <f t="shared" si="9"/>
        <v>2</v>
      </c>
      <c r="L30" s="43">
        <f t="shared" si="10"/>
        <v>2</v>
      </c>
      <c r="M30" s="43">
        <f t="shared" si="11"/>
        <v>2</v>
      </c>
      <c r="N30" s="43">
        <f t="shared" si="12"/>
        <v>2</v>
      </c>
      <c r="O30" s="43">
        <f t="shared" si="13"/>
        <v>2</v>
      </c>
      <c r="P30" s="43">
        <f t="shared" si="14"/>
        <v>2</v>
      </c>
      <c r="Q30" s="43">
        <f t="shared" si="15"/>
        <v>2</v>
      </c>
      <c r="R30" s="165">
        <v>18</v>
      </c>
      <c r="S30" s="146">
        <v>4</v>
      </c>
      <c r="T30" s="146">
        <v>3</v>
      </c>
      <c r="U30" s="146">
        <v>2</v>
      </c>
      <c r="V30" s="146">
        <v>3</v>
      </c>
      <c r="W30" s="146">
        <v>4</v>
      </c>
      <c r="X30" s="146">
        <v>4</v>
      </c>
      <c r="Y30" s="146">
        <v>5</v>
      </c>
      <c r="AA30" s="55">
        <f>ServiceLevel(C30,$B$10,K$10,$C$6,S30)</f>
        <v>0.9990371405224594</v>
      </c>
      <c r="AB30" s="55">
        <f t="shared" si="16"/>
        <v>0.98533643347619537</v>
      </c>
      <c r="AC30" s="55">
        <f t="shared" si="16"/>
        <v>0.89960325882733261</v>
      </c>
      <c r="AD30" s="55">
        <f t="shared" si="16"/>
        <v>0.98641954373881802</v>
      </c>
      <c r="AE30" s="55">
        <f t="shared" si="16"/>
        <v>0.99787298557690096</v>
      </c>
      <c r="AF30" s="55">
        <f t="shared" si="16"/>
        <v>0.99670321557524111</v>
      </c>
      <c r="AG30" s="55">
        <f t="shared" si="16"/>
        <v>0.99995505793143102</v>
      </c>
      <c r="AI30" s="214">
        <f t="shared" si="17"/>
        <v>2</v>
      </c>
      <c r="AJ30" s="214">
        <f t="shared" si="17"/>
        <v>1</v>
      </c>
      <c r="AK30" s="214">
        <f t="shared" si="17"/>
        <v>0</v>
      </c>
      <c r="AL30" s="214">
        <f t="shared" si="17"/>
        <v>1</v>
      </c>
      <c r="AM30" s="214">
        <f t="shared" si="17"/>
        <v>2</v>
      </c>
      <c r="AN30" s="214">
        <f t="shared" si="17"/>
        <v>2</v>
      </c>
      <c r="AO30" s="214">
        <f t="shared" si="17"/>
        <v>3</v>
      </c>
      <c r="AP30" s="206">
        <f t="shared" si="18"/>
        <v>0.35416666666666657</v>
      </c>
      <c r="AQ30" s="213">
        <f t="shared" si="19"/>
        <v>1</v>
      </c>
      <c r="AR30" s="213">
        <f t="shared" si="19"/>
        <v>0.5</v>
      </c>
      <c r="AS30" s="213">
        <f t="shared" si="19"/>
        <v>0</v>
      </c>
      <c r="AT30" s="213">
        <f t="shared" si="19"/>
        <v>0.5</v>
      </c>
      <c r="AU30" s="213">
        <f t="shared" si="19"/>
        <v>1</v>
      </c>
      <c r="AV30" s="213">
        <f t="shared" si="19"/>
        <v>1</v>
      </c>
      <c r="AW30" s="213">
        <f t="shared" si="19"/>
        <v>1.5</v>
      </c>
      <c r="AY30" s="162">
        <f t="shared" si="20"/>
        <v>7.226368649779122</v>
      </c>
      <c r="AZ30" s="162">
        <f t="shared" si="20"/>
        <v>8.3096705889825788</v>
      </c>
      <c r="BA30" s="162">
        <f t="shared" si="20"/>
        <v>7.2867863965013937</v>
      </c>
      <c r="BB30" s="162">
        <f t="shared" si="20"/>
        <v>7.8255950469946232</v>
      </c>
      <c r="BC30" s="162">
        <f t="shared" si="20"/>
        <v>8.7147574073716019</v>
      </c>
      <c r="BD30" s="162">
        <f t="shared" si="20"/>
        <v>9.5351274290031398</v>
      </c>
      <c r="BE30" s="162">
        <f t="shared" si="20"/>
        <v>8.1996314750377337</v>
      </c>
    </row>
    <row r="31" spans="1:57" x14ac:dyDescent="0.2">
      <c r="A31" s="143">
        <f t="shared" si="8"/>
        <v>9.7809523809523817</v>
      </c>
      <c r="B31" s="147">
        <f t="shared" si="21"/>
        <v>0.37499999999999989</v>
      </c>
      <c r="C31" s="145">
        <f>EN!C31+PIG!C31</f>
        <v>8.4666666666666668</v>
      </c>
      <c r="D31" s="145">
        <f>EN!D31+PIG!D31</f>
        <v>9.6</v>
      </c>
      <c r="E31" s="145">
        <f>EN!E31+PIG!E31</f>
        <v>10.166666666666666</v>
      </c>
      <c r="F31" s="145">
        <f>EN!F31+PIG!F31</f>
        <v>9.6</v>
      </c>
      <c r="G31" s="145">
        <f>EN!G31+PIG!G31</f>
        <v>10.5</v>
      </c>
      <c r="H31" s="145">
        <f>EN!H31+PIG!H31</f>
        <v>11.700000000000001</v>
      </c>
      <c r="I31" s="145">
        <f>EN!I31+PIG!I31</f>
        <v>8.4333333333333336</v>
      </c>
      <c r="J31" s="165">
        <v>19</v>
      </c>
      <c r="K31" s="43">
        <f t="shared" si="9"/>
        <v>2</v>
      </c>
      <c r="L31" s="43">
        <f>AgentsRequired(D31,$B$10,L$10,$C$4,$C$6,$C$2,$D$8)</f>
        <v>2</v>
      </c>
      <c r="M31" s="43">
        <f t="shared" si="11"/>
        <v>2</v>
      </c>
      <c r="N31" s="43">
        <f t="shared" si="12"/>
        <v>2</v>
      </c>
      <c r="O31" s="43">
        <f t="shared" si="13"/>
        <v>2</v>
      </c>
      <c r="P31" s="43">
        <f t="shared" si="14"/>
        <v>3</v>
      </c>
      <c r="Q31" s="43">
        <f t="shared" si="15"/>
        <v>2</v>
      </c>
      <c r="R31" s="165">
        <v>19</v>
      </c>
      <c r="S31" s="146">
        <v>4</v>
      </c>
      <c r="T31" s="146">
        <v>3</v>
      </c>
      <c r="U31" s="146">
        <v>3</v>
      </c>
      <c r="V31" s="146">
        <v>3</v>
      </c>
      <c r="W31" s="146">
        <v>4</v>
      </c>
      <c r="X31" s="146">
        <v>4</v>
      </c>
      <c r="Y31" s="146">
        <v>5</v>
      </c>
      <c r="AA31" s="55">
        <f t="shared" si="16"/>
        <v>0.99840172221228984</v>
      </c>
      <c r="AB31" s="55">
        <f t="shared" si="16"/>
        <v>0.97226635654033755</v>
      </c>
      <c r="AC31" s="55">
        <f t="shared" si="16"/>
        <v>0.97478440808349875</v>
      </c>
      <c r="AD31" s="55">
        <f t="shared" si="16"/>
        <v>0.97427195841734504</v>
      </c>
      <c r="AE31" s="55">
        <f t="shared" si="16"/>
        <v>0.99683641501605091</v>
      </c>
      <c r="AF31" s="55">
        <f t="shared" si="16"/>
        <v>0.99348394608374246</v>
      </c>
      <c r="AG31" s="55">
        <f t="shared" si="16"/>
        <v>0.99995505793143102</v>
      </c>
      <c r="AI31" s="214">
        <f t="shared" si="17"/>
        <v>2</v>
      </c>
      <c r="AJ31" s="214">
        <f t="shared" si="17"/>
        <v>1</v>
      </c>
      <c r="AK31" s="214">
        <f t="shared" si="17"/>
        <v>1</v>
      </c>
      <c r="AL31" s="214">
        <f t="shared" si="17"/>
        <v>1</v>
      </c>
      <c r="AM31" s="214">
        <f t="shared" si="17"/>
        <v>2</v>
      </c>
      <c r="AN31" s="214">
        <f t="shared" si="17"/>
        <v>1</v>
      </c>
      <c r="AO31" s="214">
        <f t="shared" si="17"/>
        <v>3</v>
      </c>
      <c r="AP31" s="206">
        <f t="shared" si="18"/>
        <v>0.37499999999999989</v>
      </c>
      <c r="AQ31" s="213">
        <f t="shared" si="19"/>
        <v>1</v>
      </c>
      <c r="AR31" s="213">
        <f t="shared" si="19"/>
        <v>0.5</v>
      </c>
      <c r="AS31" s="213">
        <f t="shared" si="19"/>
        <v>0.5</v>
      </c>
      <c r="AT31" s="213">
        <f t="shared" si="19"/>
        <v>0.5</v>
      </c>
      <c r="AU31" s="213">
        <f t="shared" si="19"/>
        <v>1</v>
      </c>
      <c r="AV31" s="213">
        <f t="shared" si="19"/>
        <v>0.33333333333333326</v>
      </c>
      <c r="AW31" s="213">
        <f t="shared" si="19"/>
        <v>1.5</v>
      </c>
      <c r="AY31" s="162">
        <f t="shared" si="20"/>
        <v>8.4531345813973875</v>
      </c>
      <c r="AZ31" s="162">
        <f t="shared" si="20"/>
        <v>9.3337570227872408</v>
      </c>
      <c r="BA31" s="162">
        <f t="shared" si="20"/>
        <v>9.9103081488489035</v>
      </c>
      <c r="BB31" s="162">
        <f t="shared" si="20"/>
        <v>9.353010800806512</v>
      </c>
      <c r="BC31" s="162">
        <f t="shared" si="20"/>
        <v>10.466782357668535</v>
      </c>
      <c r="BD31" s="162">
        <f t="shared" si="20"/>
        <v>11.623762169179788</v>
      </c>
      <c r="BE31" s="162">
        <f t="shared" si="20"/>
        <v>8.4329543218884027</v>
      </c>
    </row>
    <row r="32" spans="1:57" x14ac:dyDescent="0.2">
      <c r="A32" s="143">
        <f t="shared" si="8"/>
        <v>10.828571428571427</v>
      </c>
      <c r="B32" s="147">
        <f t="shared" si="21"/>
        <v>0.3958333333333332</v>
      </c>
      <c r="C32" s="145">
        <f>EN!C32+PIG!C32</f>
        <v>10.166666666666666</v>
      </c>
      <c r="D32" s="145">
        <f>EN!D32+PIG!D32</f>
        <v>10.533333333333333</v>
      </c>
      <c r="E32" s="145">
        <f>EN!E32+PIG!E32</f>
        <v>10.866666666666665</v>
      </c>
      <c r="F32" s="145">
        <f>EN!F32+PIG!F32</f>
        <v>10.3</v>
      </c>
      <c r="G32" s="145">
        <f>EN!G32+PIG!G32</f>
        <v>11.600000000000001</v>
      </c>
      <c r="H32" s="145">
        <f>EN!H32+PIG!H32</f>
        <v>12.833333333333334</v>
      </c>
      <c r="I32" s="145">
        <f>EN!I32+PIG!I32</f>
        <v>9.5</v>
      </c>
      <c r="J32" s="165">
        <v>20</v>
      </c>
      <c r="K32" s="43">
        <f t="shared" si="9"/>
        <v>2</v>
      </c>
      <c r="L32" s="43">
        <f t="shared" si="10"/>
        <v>3</v>
      </c>
      <c r="M32" s="43">
        <f t="shared" si="11"/>
        <v>2</v>
      </c>
      <c r="N32" s="43">
        <f t="shared" si="12"/>
        <v>2</v>
      </c>
      <c r="O32" s="43">
        <f t="shared" si="13"/>
        <v>3</v>
      </c>
      <c r="P32" s="43">
        <f t="shared" si="14"/>
        <v>3</v>
      </c>
      <c r="Q32" s="43">
        <f t="shared" si="15"/>
        <v>2</v>
      </c>
      <c r="R32" s="165">
        <v>20</v>
      </c>
      <c r="S32" s="146">
        <v>4</v>
      </c>
      <c r="T32" s="146">
        <v>3</v>
      </c>
      <c r="U32" s="146">
        <v>3</v>
      </c>
      <c r="V32" s="146">
        <v>3</v>
      </c>
      <c r="W32" s="146">
        <v>4</v>
      </c>
      <c r="X32" s="146">
        <v>4</v>
      </c>
      <c r="Y32" s="146">
        <v>5</v>
      </c>
      <c r="AA32" s="55">
        <f t="shared" si="16"/>
        <v>0.99629886008525492</v>
      </c>
      <c r="AB32" s="55">
        <f t="shared" si="16"/>
        <v>0.96362640426116508</v>
      </c>
      <c r="AC32" s="55">
        <f t="shared" si="16"/>
        <v>0.96689605329967054</v>
      </c>
      <c r="AD32" s="55">
        <f t="shared" si="16"/>
        <v>0.97427195841734504</v>
      </c>
      <c r="AE32" s="55">
        <f t="shared" si="16"/>
        <v>0.99374201506288506</v>
      </c>
      <c r="AF32" s="55">
        <f t="shared" si="16"/>
        <v>0.99122966502998033</v>
      </c>
      <c r="AG32" s="55">
        <f t="shared" si="16"/>
        <v>0.99986886184007584</v>
      </c>
      <c r="AI32" s="214">
        <f t="shared" si="17"/>
        <v>2</v>
      </c>
      <c r="AJ32" s="214">
        <f t="shared" si="17"/>
        <v>0</v>
      </c>
      <c r="AK32" s="214">
        <f t="shared" si="17"/>
        <v>1</v>
      </c>
      <c r="AL32" s="214">
        <f t="shared" si="17"/>
        <v>1</v>
      </c>
      <c r="AM32" s="214">
        <f t="shared" si="17"/>
        <v>1</v>
      </c>
      <c r="AN32" s="214">
        <f t="shared" si="17"/>
        <v>1</v>
      </c>
      <c r="AO32" s="214">
        <f t="shared" si="17"/>
        <v>3</v>
      </c>
      <c r="AP32" s="206">
        <f t="shared" si="18"/>
        <v>0.3958333333333332</v>
      </c>
      <c r="AQ32" s="213">
        <f t="shared" si="19"/>
        <v>1</v>
      </c>
      <c r="AR32" s="213">
        <f t="shared" si="19"/>
        <v>0</v>
      </c>
      <c r="AS32" s="213">
        <f t="shared" si="19"/>
        <v>0.5</v>
      </c>
      <c r="AT32" s="213">
        <f t="shared" si="19"/>
        <v>0.5</v>
      </c>
      <c r="AU32" s="213">
        <f t="shared" si="19"/>
        <v>0.33333333333333326</v>
      </c>
      <c r="AV32" s="213">
        <f t="shared" si="19"/>
        <v>0.33333333333333326</v>
      </c>
      <c r="AW32" s="213">
        <f t="shared" si="19"/>
        <v>1.5</v>
      </c>
      <c r="AY32" s="162">
        <f t="shared" si="20"/>
        <v>10.129038410866757</v>
      </c>
      <c r="AZ32" s="162">
        <f t="shared" si="20"/>
        <v>10.150198124884271</v>
      </c>
      <c r="BA32" s="162">
        <f t="shared" si="20"/>
        <v>10.506937112523085</v>
      </c>
      <c r="BB32" s="162">
        <f t="shared" si="20"/>
        <v>10.035001171698655</v>
      </c>
      <c r="BC32" s="162">
        <f t="shared" si="20"/>
        <v>11.527407374729469</v>
      </c>
      <c r="BD32" s="162">
        <f t="shared" si="20"/>
        <v>12.720780701218082</v>
      </c>
      <c r="BE32" s="162">
        <f t="shared" si="20"/>
        <v>9.4987541874807206</v>
      </c>
    </row>
    <row r="33" spans="1:57" x14ac:dyDescent="0.2">
      <c r="A33" s="143">
        <f t="shared" si="8"/>
        <v>11.461904761904762</v>
      </c>
      <c r="B33" s="147">
        <f t="shared" si="21"/>
        <v>0.41666666666666652</v>
      </c>
      <c r="C33" s="145">
        <f>EN!C33+PIG!C33</f>
        <v>11.333333333333334</v>
      </c>
      <c r="D33" s="145">
        <f>EN!D33+PIG!D33</f>
        <v>10.966666666666667</v>
      </c>
      <c r="E33" s="145">
        <f>EN!E33+PIG!E33</f>
        <v>11.966666666666667</v>
      </c>
      <c r="F33" s="145">
        <f>EN!F33+PIG!F33</f>
        <v>11.266666666666667</v>
      </c>
      <c r="G33" s="145">
        <f>EN!G33+PIG!G33</f>
        <v>11.533333333333333</v>
      </c>
      <c r="H33" s="145">
        <f>EN!H33+PIG!H33</f>
        <v>13.5</v>
      </c>
      <c r="I33" s="145">
        <f>EN!I33+PIG!I33</f>
        <v>9.6666666666666679</v>
      </c>
      <c r="J33" s="165">
        <v>21</v>
      </c>
      <c r="K33" s="43">
        <f t="shared" si="9"/>
        <v>3</v>
      </c>
      <c r="L33" s="43">
        <f t="shared" si="10"/>
        <v>3</v>
      </c>
      <c r="M33" s="43">
        <f t="shared" si="11"/>
        <v>3</v>
      </c>
      <c r="N33" s="43">
        <f t="shared" si="12"/>
        <v>2</v>
      </c>
      <c r="O33" s="43">
        <f t="shared" si="13"/>
        <v>3</v>
      </c>
      <c r="P33" s="43">
        <f t="shared" si="14"/>
        <v>3</v>
      </c>
      <c r="Q33" s="43">
        <f t="shared" si="15"/>
        <v>2</v>
      </c>
      <c r="R33" s="165">
        <v>21</v>
      </c>
      <c r="S33" s="146">
        <v>4</v>
      </c>
      <c r="T33" s="146">
        <v>3</v>
      </c>
      <c r="U33" s="146">
        <v>3</v>
      </c>
      <c r="V33" s="146">
        <v>3</v>
      </c>
      <c r="W33" s="146">
        <v>4</v>
      </c>
      <c r="X33" s="146">
        <v>4</v>
      </c>
      <c r="Y33" s="146">
        <v>5</v>
      </c>
      <c r="AA33" s="55">
        <f t="shared" si="16"/>
        <v>0.99471753265700957</v>
      </c>
      <c r="AB33" s="55">
        <f t="shared" si="16"/>
        <v>0.96362640426116508</v>
      </c>
      <c r="AC33" s="55">
        <f t="shared" si="16"/>
        <v>0.95757320572799254</v>
      </c>
      <c r="AD33" s="55">
        <f t="shared" si="16"/>
        <v>0.96623030835564072</v>
      </c>
      <c r="AE33" s="55">
        <f t="shared" si="16"/>
        <v>0.99374201506288506</v>
      </c>
      <c r="AF33" s="55">
        <f t="shared" si="16"/>
        <v>0.98846529714532283</v>
      </c>
      <c r="AG33" s="55">
        <f t="shared" si="16"/>
        <v>0.99986886184007584</v>
      </c>
      <c r="AI33" s="214">
        <f t="shared" si="17"/>
        <v>1</v>
      </c>
      <c r="AJ33" s="214">
        <f t="shared" si="17"/>
        <v>0</v>
      </c>
      <c r="AK33" s="214">
        <f t="shared" si="17"/>
        <v>0</v>
      </c>
      <c r="AL33" s="214">
        <f t="shared" si="17"/>
        <v>1</v>
      </c>
      <c r="AM33" s="214">
        <f t="shared" si="17"/>
        <v>1</v>
      </c>
      <c r="AN33" s="214">
        <f t="shared" si="17"/>
        <v>1</v>
      </c>
      <c r="AO33" s="214">
        <f t="shared" si="17"/>
        <v>3</v>
      </c>
      <c r="AP33" s="206">
        <f t="shared" si="18"/>
        <v>0.41666666666666652</v>
      </c>
      <c r="AQ33" s="213">
        <f t="shared" si="19"/>
        <v>0.33333333333333326</v>
      </c>
      <c r="AR33" s="213">
        <f t="shared" si="19"/>
        <v>0</v>
      </c>
      <c r="AS33" s="213">
        <f t="shared" si="19"/>
        <v>0</v>
      </c>
      <c r="AT33" s="213">
        <f t="shared" si="19"/>
        <v>0.5</v>
      </c>
      <c r="AU33" s="213">
        <f t="shared" si="19"/>
        <v>0.33333333333333326</v>
      </c>
      <c r="AV33" s="213">
        <f t="shared" si="19"/>
        <v>0.33333333333333326</v>
      </c>
      <c r="AW33" s="213">
        <f t="shared" si="19"/>
        <v>1.5</v>
      </c>
      <c r="AY33" s="162">
        <f t="shared" si="20"/>
        <v>11.273465370112776</v>
      </c>
      <c r="AZ33" s="162">
        <f t="shared" si="20"/>
        <v>10.567769566730778</v>
      </c>
      <c r="BA33" s="162">
        <f t="shared" si="20"/>
        <v>11.458959361878311</v>
      </c>
      <c r="BB33" s="162">
        <f t="shared" si="20"/>
        <v>10.886194807473553</v>
      </c>
      <c r="BC33" s="162">
        <f t="shared" si="20"/>
        <v>11.461157907058608</v>
      </c>
      <c r="BD33" s="162">
        <f t="shared" si="20"/>
        <v>13.344281511461858</v>
      </c>
      <c r="BE33" s="162">
        <f t="shared" si="20"/>
        <v>9.6653989977874009</v>
      </c>
    </row>
    <row r="34" spans="1:57" x14ac:dyDescent="0.2">
      <c r="A34" s="143">
        <f t="shared" si="8"/>
        <v>11.80952380952381</v>
      </c>
      <c r="B34" s="147">
        <f t="shared" si="21"/>
        <v>0.43749999999999983</v>
      </c>
      <c r="C34" s="145">
        <f>EN!C34+PIG!C34</f>
        <v>11.899999999999999</v>
      </c>
      <c r="D34" s="145">
        <f>EN!D34+PIG!D34</f>
        <v>11.433333333333334</v>
      </c>
      <c r="E34" s="145">
        <f>EN!E34+PIG!E34</f>
        <v>11.566666666666666</v>
      </c>
      <c r="F34" s="145">
        <f>EN!F34+PIG!F34</f>
        <v>11.3</v>
      </c>
      <c r="G34" s="145">
        <f>EN!G34+PIG!G34</f>
        <v>11.966666666666669</v>
      </c>
      <c r="H34" s="145">
        <f>EN!H34+PIG!H34</f>
        <v>13.566666666666666</v>
      </c>
      <c r="I34" s="145">
        <f>EN!I34+PIG!I34</f>
        <v>10.933333333333334</v>
      </c>
      <c r="J34" s="165">
        <v>22</v>
      </c>
      <c r="K34" s="43">
        <f t="shared" si="9"/>
        <v>3</v>
      </c>
      <c r="L34" s="43">
        <f t="shared" si="10"/>
        <v>3</v>
      </c>
      <c r="M34" s="43">
        <f t="shared" si="11"/>
        <v>3</v>
      </c>
      <c r="N34" s="43">
        <f t="shared" si="12"/>
        <v>2</v>
      </c>
      <c r="O34" s="43">
        <f t="shared" si="13"/>
        <v>3</v>
      </c>
      <c r="P34" s="43">
        <f t="shared" si="14"/>
        <v>3</v>
      </c>
      <c r="Q34" s="43">
        <f t="shared" si="15"/>
        <v>2</v>
      </c>
      <c r="R34" s="165">
        <v>22</v>
      </c>
      <c r="S34" s="146">
        <v>4</v>
      </c>
      <c r="T34" s="146">
        <v>3</v>
      </c>
      <c r="U34" s="146">
        <v>3</v>
      </c>
      <c r="V34" s="146">
        <v>3</v>
      </c>
      <c r="W34" s="146">
        <v>4</v>
      </c>
      <c r="X34" s="146">
        <v>4</v>
      </c>
      <c r="Y34" s="146">
        <v>5</v>
      </c>
      <c r="AA34" s="55">
        <f t="shared" si="16"/>
        <v>0.99270208263962678</v>
      </c>
      <c r="AB34" s="55">
        <f t="shared" si="16"/>
        <v>0.96362640426116508</v>
      </c>
      <c r="AC34" s="55">
        <f t="shared" si="16"/>
        <v>0.95757320572799254</v>
      </c>
      <c r="AD34" s="55">
        <f t="shared" si="16"/>
        <v>0.96623030835564072</v>
      </c>
      <c r="AE34" s="55">
        <f t="shared" si="16"/>
        <v>0.99374201506288506</v>
      </c>
      <c r="AF34" s="55">
        <f t="shared" si="16"/>
        <v>0.98846529714532283</v>
      </c>
      <c r="AG34" s="55">
        <f t="shared" si="16"/>
        <v>0.99979339736114403</v>
      </c>
      <c r="AI34" s="214">
        <f t="shared" si="17"/>
        <v>1</v>
      </c>
      <c r="AJ34" s="214">
        <f t="shared" si="17"/>
        <v>0</v>
      </c>
      <c r="AK34" s="214">
        <f t="shared" si="17"/>
        <v>0</v>
      </c>
      <c r="AL34" s="214">
        <f t="shared" si="17"/>
        <v>1</v>
      </c>
      <c r="AM34" s="214">
        <f t="shared" si="17"/>
        <v>1</v>
      </c>
      <c r="AN34" s="214">
        <f t="shared" si="17"/>
        <v>1</v>
      </c>
      <c r="AO34" s="214">
        <f t="shared" si="17"/>
        <v>3</v>
      </c>
      <c r="AP34" s="206">
        <f t="shared" si="18"/>
        <v>0.43749999999999983</v>
      </c>
      <c r="AQ34" s="213">
        <f t="shared" si="19"/>
        <v>0.33333333333333326</v>
      </c>
      <c r="AR34" s="213">
        <f t="shared" si="19"/>
        <v>0</v>
      </c>
      <c r="AS34" s="213">
        <f t="shared" si="19"/>
        <v>0</v>
      </c>
      <c r="AT34" s="213">
        <f t="shared" si="19"/>
        <v>0.5</v>
      </c>
      <c r="AU34" s="213">
        <f t="shared" si="19"/>
        <v>0.33333333333333326</v>
      </c>
      <c r="AV34" s="213">
        <f t="shared" si="19"/>
        <v>0.33333333333333326</v>
      </c>
      <c r="AW34" s="213">
        <f t="shared" si="19"/>
        <v>1.5</v>
      </c>
      <c r="AY34" s="162">
        <f t="shared" si="20"/>
        <v>11.813154783411557</v>
      </c>
      <c r="AZ34" s="162">
        <f t="shared" si="20"/>
        <v>11.017461888719321</v>
      </c>
      <c r="BA34" s="162">
        <f t="shared" si="20"/>
        <v>11.075930079587113</v>
      </c>
      <c r="BB34" s="162">
        <f t="shared" si="20"/>
        <v>10.91840248441874</v>
      </c>
      <c r="BC34" s="162">
        <f t="shared" si="20"/>
        <v>11.891779446919193</v>
      </c>
      <c r="BD34" s="162">
        <f t="shared" si="20"/>
        <v>13.410179197938213</v>
      </c>
      <c r="BE34" s="162">
        <f t="shared" si="20"/>
        <v>10.931074477815175</v>
      </c>
    </row>
    <row r="35" spans="1:57" x14ac:dyDescent="0.2">
      <c r="A35" s="143">
        <f t="shared" si="8"/>
        <v>12.409523809523808</v>
      </c>
      <c r="B35" s="147">
        <f t="shared" si="21"/>
        <v>0.45833333333333315</v>
      </c>
      <c r="C35" s="145">
        <f>EN!C35+PIG!C35</f>
        <v>12</v>
      </c>
      <c r="D35" s="145">
        <f>EN!D35+PIG!D35</f>
        <v>12.5</v>
      </c>
      <c r="E35" s="145">
        <f>EN!E35+PIG!E35</f>
        <v>11.8</v>
      </c>
      <c r="F35" s="145">
        <f>EN!F35+PIG!F35</f>
        <v>12.233333333333334</v>
      </c>
      <c r="G35" s="145">
        <f>EN!G35+PIG!G35</f>
        <v>12.299999999999999</v>
      </c>
      <c r="H35" s="145">
        <f>EN!H35+PIG!H35</f>
        <v>13.766666666666667</v>
      </c>
      <c r="I35" s="145">
        <f>EN!I35+PIG!I35</f>
        <v>12.266666666666667</v>
      </c>
      <c r="J35" s="165">
        <v>23</v>
      </c>
      <c r="K35" s="43">
        <f t="shared" si="9"/>
        <v>3</v>
      </c>
      <c r="L35" s="43">
        <f t="shared" si="10"/>
        <v>3</v>
      </c>
      <c r="M35" s="43">
        <f t="shared" si="11"/>
        <v>3</v>
      </c>
      <c r="N35" s="43">
        <f t="shared" si="12"/>
        <v>3</v>
      </c>
      <c r="O35" s="43">
        <f t="shared" si="13"/>
        <v>3</v>
      </c>
      <c r="P35" s="43">
        <f t="shared" si="14"/>
        <v>3</v>
      </c>
      <c r="Q35" s="43">
        <f t="shared" si="15"/>
        <v>2</v>
      </c>
      <c r="R35" s="165">
        <v>23</v>
      </c>
      <c r="S35" s="146">
        <v>4</v>
      </c>
      <c r="T35" s="146">
        <v>3</v>
      </c>
      <c r="U35" s="146">
        <v>3</v>
      </c>
      <c r="V35" s="146">
        <v>3</v>
      </c>
      <c r="W35" s="146">
        <v>4</v>
      </c>
      <c r="X35" s="146">
        <v>4</v>
      </c>
      <c r="Y35" s="146">
        <v>5</v>
      </c>
      <c r="AA35" s="55">
        <f t="shared" si="16"/>
        <v>0.99270208263962678</v>
      </c>
      <c r="AB35" s="55">
        <f t="shared" si="16"/>
        <v>0.95342718085275946</v>
      </c>
      <c r="AC35" s="55">
        <f t="shared" si="16"/>
        <v>0.95757320572799254</v>
      </c>
      <c r="AD35" s="55">
        <f t="shared" si="16"/>
        <v>0.95672860961124095</v>
      </c>
      <c r="AE35" s="55">
        <f t="shared" si="16"/>
        <v>0.99374201506288506</v>
      </c>
      <c r="AF35" s="55">
        <f t="shared" si="16"/>
        <v>0.98846529714532283</v>
      </c>
      <c r="AG35" s="55">
        <f t="shared" si="16"/>
        <v>0.99968764651444364</v>
      </c>
      <c r="AI35" s="214">
        <f t="shared" si="17"/>
        <v>1</v>
      </c>
      <c r="AJ35" s="214">
        <f t="shared" si="17"/>
        <v>0</v>
      </c>
      <c r="AK35" s="214">
        <f t="shared" si="17"/>
        <v>0</v>
      </c>
      <c r="AL35" s="214">
        <f t="shared" si="17"/>
        <v>0</v>
      </c>
      <c r="AM35" s="214">
        <f t="shared" si="17"/>
        <v>1</v>
      </c>
      <c r="AN35" s="214">
        <f t="shared" si="17"/>
        <v>1</v>
      </c>
      <c r="AO35" s="214">
        <f t="shared" si="17"/>
        <v>3</v>
      </c>
      <c r="AP35" s="206">
        <f t="shared" si="18"/>
        <v>0.45833333333333315</v>
      </c>
      <c r="AQ35" s="213">
        <f t="shared" si="19"/>
        <v>0.33333333333333326</v>
      </c>
      <c r="AR35" s="213">
        <f t="shared" si="19"/>
        <v>0</v>
      </c>
      <c r="AS35" s="213">
        <f t="shared" si="19"/>
        <v>0</v>
      </c>
      <c r="AT35" s="213">
        <f t="shared" si="19"/>
        <v>0</v>
      </c>
      <c r="AU35" s="213">
        <f t="shared" si="19"/>
        <v>0.33333333333333326</v>
      </c>
      <c r="AV35" s="213">
        <f t="shared" si="19"/>
        <v>0.33333333333333326</v>
      </c>
      <c r="AW35" s="213">
        <f t="shared" si="19"/>
        <v>1.5</v>
      </c>
      <c r="AY35" s="162">
        <f t="shared" si="20"/>
        <v>11.912424991675522</v>
      </c>
      <c r="AZ35" s="162">
        <f t="shared" si="20"/>
        <v>11.917839760659493</v>
      </c>
      <c r="BA35" s="162">
        <f t="shared" si="20"/>
        <v>11.299363827590312</v>
      </c>
      <c r="BB35" s="162">
        <f t="shared" si="20"/>
        <v>11.703979990910849</v>
      </c>
      <c r="BC35" s="162">
        <f t="shared" si="20"/>
        <v>12.223026785273484</v>
      </c>
      <c r="BD35" s="162">
        <f t="shared" si="20"/>
        <v>13.607872257367278</v>
      </c>
      <c r="BE35" s="162">
        <f t="shared" si="20"/>
        <v>12.262835130577177</v>
      </c>
    </row>
    <row r="36" spans="1:57" x14ac:dyDescent="0.2">
      <c r="A36" s="143">
        <f t="shared" si="8"/>
        <v>13.076190476190476</v>
      </c>
      <c r="B36" s="147">
        <f t="shared" si="21"/>
        <v>0.47916666666666646</v>
      </c>
      <c r="C36" s="145">
        <f>EN!C36+PIG!C36</f>
        <v>12.666666666666664</v>
      </c>
      <c r="D36" s="145">
        <f>EN!D36+PIG!D36</f>
        <v>13.033333333333331</v>
      </c>
      <c r="E36" s="145">
        <f>EN!E36+PIG!E36</f>
        <v>12.133333333333333</v>
      </c>
      <c r="F36" s="145">
        <f>EN!F36+PIG!F36</f>
        <v>12.466666666666669</v>
      </c>
      <c r="G36" s="145">
        <f>EN!G36+PIG!G36</f>
        <v>12.833333333333334</v>
      </c>
      <c r="H36" s="145">
        <f>EN!H36+PIG!H36</f>
        <v>14.7</v>
      </c>
      <c r="I36" s="145">
        <f>EN!I36+PIG!I36</f>
        <v>13.7</v>
      </c>
      <c r="J36" s="165">
        <v>24</v>
      </c>
      <c r="K36" s="43">
        <f t="shared" si="9"/>
        <v>3</v>
      </c>
      <c r="L36" s="43">
        <f t="shared" si="10"/>
        <v>3</v>
      </c>
      <c r="M36" s="43">
        <f t="shared" si="11"/>
        <v>3</v>
      </c>
      <c r="N36" s="43">
        <f t="shared" si="12"/>
        <v>3</v>
      </c>
      <c r="O36" s="43">
        <f t="shared" si="13"/>
        <v>3</v>
      </c>
      <c r="P36" s="43">
        <f t="shared" si="14"/>
        <v>3</v>
      </c>
      <c r="Q36" s="43">
        <f t="shared" si="15"/>
        <v>3</v>
      </c>
      <c r="R36" s="165">
        <v>24</v>
      </c>
      <c r="S36" s="146">
        <v>4</v>
      </c>
      <c r="T36" s="146">
        <v>3</v>
      </c>
      <c r="U36" s="146">
        <v>3</v>
      </c>
      <c r="V36" s="146">
        <v>3</v>
      </c>
      <c r="W36" s="146">
        <v>4</v>
      </c>
      <c r="X36" s="146">
        <v>4</v>
      </c>
      <c r="Y36" s="146">
        <v>5</v>
      </c>
      <c r="AA36" s="55">
        <f t="shared" si="16"/>
        <v>0.99018850753314802</v>
      </c>
      <c r="AB36" s="55">
        <f t="shared" si="16"/>
        <v>0.94155178021815489</v>
      </c>
      <c r="AC36" s="55">
        <f t="shared" si="16"/>
        <v>0.95757320572799254</v>
      </c>
      <c r="AD36" s="55">
        <f t="shared" si="16"/>
        <v>0.95672860961124095</v>
      </c>
      <c r="AE36" s="55">
        <f t="shared" si="16"/>
        <v>0.99157364759562727</v>
      </c>
      <c r="AF36" s="55">
        <f t="shared" si="16"/>
        <v>0.98512762001387677</v>
      </c>
      <c r="AG36" s="55">
        <f t="shared" si="16"/>
        <v>0.99935300567876284</v>
      </c>
      <c r="AI36" s="214">
        <f t="shared" si="17"/>
        <v>1</v>
      </c>
      <c r="AJ36" s="214">
        <f t="shared" si="17"/>
        <v>0</v>
      </c>
      <c r="AK36" s="214">
        <f t="shared" si="17"/>
        <v>0</v>
      </c>
      <c r="AL36" s="214">
        <f t="shared" si="17"/>
        <v>0</v>
      </c>
      <c r="AM36" s="214">
        <f t="shared" si="17"/>
        <v>1</v>
      </c>
      <c r="AN36" s="214">
        <f t="shared" si="17"/>
        <v>1</v>
      </c>
      <c r="AO36" s="214">
        <f t="shared" si="17"/>
        <v>2</v>
      </c>
      <c r="AP36" s="206">
        <f t="shared" si="18"/>
        <v>0.47916666666666646</v>
      </c>
      <c r="AQ36" s="213">
        <f t="shared" si="19"/>
        <v>0.33333333333333326</v>
      </c>
      <c r="AR36" s="213">
        <f t="shared" si="19"/>
        <v>0</v>
      </c>
      <c r="AS36" s="213">
        <f t="shared" si="19"/>
        <v>0</v>
      </c>
      <c r="AT36" s="213">
        <f t="shared" si="19"/>
        <v>0</v>
      </c>
      <c r="AU36" s="213">
        <f t="shared" si="19"/>
        <v>0.33333333333333326</v>
      </c>
      <c r="AV36" s="213">
        <f t="shared" si="19"/>
        <v>0.33333333333333326</v>
      </c>
      <c r="AW36" s="213">
        <f t="shared" si="19"/>
        <v>0.66666666666666674</v>
      </c>
      <c r="AY36" s="162">
        <f t="shared" si="20"/>
        <v>12.542387762086539</v>
      </c>
      <c r="AZ36" s="162">
        <f t="shared" si="20"/>
        <v>12.271558202176617</v>
      </c>
      <c r="BA36" s="162">
        <f t="shared" si="20"/>
        <v>11.618554896166309</v>
      </c>
      <c r="BB36" s="162">
        <f t="shared" si="20"/>
        <v>11.927216666486805</v>
      </c>
      <c r="BC36" s="162">
        <f t="shared" si="20"/>
        <v>12.725195144143884</v>
      </c>
      <c r="BD36" s="162">
        <f t="shared" si="20"/>
        <v>14.481376014203988</v>
      </c>
      <c r="BE36" s="162">
        <f t="shared" si="20"/>
        <v>13.69113617779905</v>
      </c>
    </row>
    <row r="37" spans="1:57" x14ac:dyDescent="0.2">
      <c r="A37" s="143">
        <f t="shared" si="8"/>
        <v>13.614285714285712</v>
      </c>
      <c r="B37" s="147">
        <f t="shared" si="21"/>
        <v>0.49999999999999978</v>
      </c>
      <c r="C37" s="145">
        <f>EN!C37+PIG!C37</f>
        <v>13.5</v>
      </c>
      <c r="D37" s="145">
        <f>EN!D37+PIG!D37</f>
        <v>13.933333333333334</v>
      </c>
      <c r="E37" s="145">
        <f>EN!E37+PIG!E37</f>
        <v>12.333333333333332</v>
      </c>
      <c r="F37" s="145">
        <f>EN!F37+PIG!F37</f>
        <v>13.166666666666666</v>
      </c>
      <c r="G37" s="145">
        <f>EN!G37+PIG!G37</f>
        <v>12.866666666666669</v>
      </c>
      <c r="H37" s="145">
        <f>EN!H37+PIG!H37</f>
        <v>15.866666666666667</v>
      </c>
      <c r="I37" s="145">
        <f>EN!I37+PIG!I37</f>
        <v>13.633333333333331</v>
      </c>
      <c r="J37" s="165">
        <v>25</v>
      </c>
      <c r="K37" s="43">
        <f t="shared" si="9"/>
        <v>3</v>
      </c>
      <c r="L37" s="43">
        <f t="shared" si="10"/>
        <v>3</v>
      </c>
      <c r="M37" s="43">
        <f t="shared" si="11"/>
        <v>3</v>
      </c>
      <c r="N37" s="43">
        <f t="shared" si="12"/>
        <v>3</v>
      </c>
      <c r="O37" s="43">
        <f t="shared" si="13"/>
        <v>3</v>
      </c>
      <c r="P37" s="43">
        <f t="shared" si="14"/>
        <v>3</v>
      </c>
      <c r="Q37" s="43">
        <f t="shared" si="15"/>
        <v>3</v>
      </c>
      <c r="R37" s="165">
        <v>25</v>
      </c>
      <c r="S37" s="146">
        <v>5</v>
      </c>
      <c r="T37" s="146">
        <v>4</v>
      </c>
      <c r="U37" s="146">
        <v>4</v>
      </c>
      <c r="V37" s="146">
        <v>5</v>
      </c>
      <c r="W37" s="146">
        <v>4</v>
      </c>
      <c r="X37" s="146">
        <v>4</v>
      </c>
      <c r="Y37" s="146">
        <v>5</v>
      </c>
      <c r="AA37" s="55">
        <f t="shared" si="16"/>
        <v>0.99804565319622818</v>
      </c>
      <c r="AB37" s="55">
        <f t="shared" si="16"/>
        <v>0.98704497199441488</v>
      </c>
      <c r="AC37" s="55">
        <f t="shared" si="16"/>
        <v>0.99353079073403738</v>
      </c>
      <c r="AD37" s="55">
        <f t="shared" si="16"/>
        <v>0.9987637881697361</v>
      </c>
      <c r="AE37" s="55">
        <f t="shared" si="16"/>
        <v>0.99157364759562727</v>
      </c>
      <c r="AF37" s="55">
        <f t="shared" si="16"/>
        <v>0.98115106179108436</v>
      </c>
      <c r="AG37" s="55">
        <f t="shared" si="16"/>
        <v>0.99935300567876284</v>
      </c>
      <c r="AI37" s="214">
        <f t="shared" si="17"/>
        <v>2</v>
      </c>
      <c r="AJ37" s="214">
        <f t="shared" si="17"/>
        <v>1</v>
      </c>
      <c r="AK37" s="214">
        <f t="shared" si="17"/>
        <v>1</v>
      </c>
      <c r="AL37" s="214">
        <f t="shared" si="17"/>
        <v>2</v>
      </c>
      <c r="AM37" s="214">
        <f t="shared" si="17"/>
        <v>1</v>
      </c>
      <c r="AN37" s="214">
        <f t="shared" si="17"/>
        <v>1</v>
      </c>
      <c r="AO37" s="214">
        <f t="shared" si="17"/>
        <v>2</v>
      </c>
      <c r="AP37" s="206">
        <f t="shared" si="18"/>
        <v>0.49999999999999978</v>
      </c>
      <c r="AQ37" s="213">
        <f t="shared" si="19"/>
        <v>0.66666666666666674</v>
      </c>
      <c r="AR37" s="213">
        <f t="shared" si="19"/>
        <v>0.33333333333333326</v>
      </c>
      <c r="AS37" s="213">
        <f t="shared" si="19"/>
        <v>0.33333333333333326</v>
      </c>
      <c r="AT37" s="213">
        <f t="shared" si="19"/>
        <v>0.66666666666666674</v>
      </c>
      <c r="AU37" s="213">
        <f t="shared" si="19"/>
        <v>0.33333333333333326</v>
      </c>
      <c r="AV37" s="213">
        <f t="shared" si="19"/>
        <v>0.33333333333333326</v>
      </c>
      <c r="AW37" s="213">
        <f t="shared" si="19"/>
        <v>0.66666666666666674</v>
      </c>
      <c r="AY37" s="162">
        <f t="shared" si="20"/>
        <v>13.47361631814908</v>
      </c>
      <c r="AZ37" s="162">
        <f t="shared" si="20"/>
        <v>13.752826609788848</v>
      </c>
      <c r="BA37" s="162">
        <f t="shared" si="20"/>
        <v>12.253546419053126</v>
      </c>
      <c r="BB37" s="162">
        <f t="shared" si="20"/>
        <v>13.150389877568191</v>
      </c>
      <c r="BC37" s="162">
        <f t="shared" si="20"/>
        <v>12.75824759906374</v>
      </c>
      <c r="BD37" s="162">
        <f t="shared" si="20"/>
        <v>15.567596847085206</v>
      </c>
      <c r="BE37" s="162">
        <f t="shared" si="20"/>
        <v>13.624512644087131</v>
      </c>
    </row>
    <row r="38" spans="1:57" x14ac:dyDescent="0.2">
      <c r="A38" s="143">
        <f t="shared" si="8"/>
        <v>14.019047619047623</v>
      </c>
      <c r="B38" s="147">
        <f t="shared" si="21"/>
        <v>0.52083333333333315</v>
      </c>
      <c r="C38" s="145">
        <f>EN!C38+PIG!C38</f>
        <v>14.966666666666665</v>
      </c>
      <c r="D38" s="145">
        <f>EN!D38+PIG!D38</f>
        <v>13.833333333333336</v>
      </c>
      <c r="E38" s="145">
        <f>EN!E38+PIG!E38</f>
        <v>13.4</v>
      </c>
      <c r="F38" s="145">
        <f>EN!F38+PIG!F38</f>
        <v>13.133333333333335</v>
      </c>
      <c r="G38" s="145">
        <f>EN!G38+PIG!G38</f>
        <v>13.266666666666667</v>
      </c>
      <c r="H38" s="145">
        <f>EN!H38+PIG!H38</f>
        <v>16.133333333333333</v>
      </c>
      <c r="I38" s="145">
        <f>EN!I38+PIG!I38</f>
        <v>13.399999999999999</v>
      </c>
      <c r="J38" s="165">
        <v>26</v>
      </c>
      <c r="K38" s="43">
        <f t="shared" si="9"/>
        <v>3</v>
      </c>
      <c r="L38" s="43">
        <f t="shared" si="10"/>
        <v>3</v>
      </c>
      <c r="M38" s="43">
        <f t="shared" si="11"/>
        <v>3</v>
      </c>
      <c r="N38" s="43">
        <f t="shared" si="12"/>
        <v>3</v>
      </c>
      <c r="O38" s="43">
        <f t="shared" si="13"/>
        <v>3</v>
      </c>
      <c r="P38" s="43">
        <f t="shared" si="14"/>
        <v>3</v>
      </c>
      <c r="Q38" s="43">
        <f t="shared" si="15"/>
        <v>2</v>
      </c>
      <c r="R38" s="165">
        <v>26</v>
      </c>
      <c r="S38" s="146">
        <v>5</v>
      </c>
      <c r="T38" s="146">
        <v>4</v>
      </c>
      <c r="U38" s="146">
        <v>4</v>
      </c>
      <c r="V38" s="146">
        <v>5</v>
      </c>
      <c r="W38" s="146">
        <v>4</v>
      </c>
      <c r="X38" s="146">
        <v>4</v>
      </c>
      <c r="Y38" s="146">
        <v>5</v>
      </c>
      <c r="AA38" s="55">
        <f t="shared" si="16"/>
        <v>0.99732260692523611</v>
      </c>
      <c r="AB38" s="55">
        <f t="shared" si="16"/>
        <v>0.98704497199441488</v>
      </c>
      <c r="AC38" s="55">
        <f t="shared" si="16"/>
        <v>0.99129209218978698</v>
      </c>
      <c r="AD38" s="55">
        <f t="shared" si="16"/>
        <v>0.9987637881697361</v>
      </c>
      <c r="AE38" s="55">
        <f t="shared" si="16"/>
        <v>0.99157364759562727</v>
      </c>
      <c r="AF38" s="55">
        <f t="shared" si="16"/>
        <v>0.98115106179108436</v>
      </c>
      <c r="AG38" s="55">
        <f t="shared" si="16"/>
        <v>0.99954380357158101</v>
      </c>
      <c r="AI38" s="214">
        <f t="shared" si="17"/>
        <v>2</v>
      </c>
      <c r="AJ38" s="214">
        <f t="shared" si="17"/>
        <v>1</v>
      </c>
      <c r="AK38" s="214">
        <f t="shared" si="17"/>
        <v>1</v>
      </c>
      <c r="AL38" s="214">
        <f t="shared" si="17"/>
        <v>2</v>
      </c>
      <c r="AM38" s="214">
        <f t="shared" si="17"/>
        <v>1</v>
      </c>
      <c r="AN38" s="214">
        <f t="shared" si="17"/>
        <v>1</v>
      </c>
      <c r="AO38" s="214">
        <f t="shared" si="17"/>
        <v>3</v>
      </c>
      <c r="AP38" s="206">
        <f t="shared" si="18"/>
        <v>0.52083333333333315</v>
      </c>
      <c r="AQ38" s="213">
        <f t="shared" si="19"/>
        <v>0.66666666666666674</v>
      </c>
      <c r="AR38" s="213">
        <f t="shared" si="19"/>
        <v>0.33333333333333326</v>
      </c>
      <c r="AS38" s="213">
        <f t="shared" si="19"/>
        <v>0.33333333333333326</v>
      </c>
      <c r="AT38" s="213">
        <f t="shared" si="19"/>
        <v>0.66666666666666674</v>
      </c>
      <c r="AU38" s="213">
        <f t="shared" si="19"/>
        <v>0.33333333333333326</v>
      </c>
      <c r="AV38" s="213">
        <f t="shared" si="19"/>
        <v>0.33333333333333326</v>
      </c>
      <c r="AW38" s="213">
        <f t="shared" si="19"/>
        <v>1.5</v>
      </c>
      <c r="AY38" s="162">
        <f t="shared" si="20"/>
        <v>14.926595016981032</v>
      </c>
      <c r="AZ38" s="162">
        <f t="shared" si="20"/>
        <v>13.654122112589409</v>
      </c>
      <c r="BA38" s="162">
        <f t="shared" si="20"/>
        <v>13.283314035343146</v>
      </c>
      <c r="BB38" s="162">
        <f t="shared" si="20"/>
        <v>13.117097751295869</v>
      </c>
      <c r="BC38" s="162">
        <f t="shared" si="20"/>
        <v>13.15487705810199</v>
      </c>
      <c r="BD38" s="162">
        <f t="shared" si="20"/>
        <v>15.829237130229494</v>
      </c>
      <c r="BE38" s="162">
        <f t="shared" si="20"/>
        <v>13.393886967859185</v>
      </c>
    </row>
    <row r="39" spans="1:57" ht="13.5" customHeight="1" x14ac:dyDescent="0.2">
      <c r="A39" s="143">
        <f t="shared" si="8"/>
        <v>14.223809523809525</v>
      </c>
      <c r="B39" s="147">
        <f t="shared" si="21"/>
        <v>0.54166666666666652</v>
      </c>
      <c r="C39" s="145">
        <f>EN!C39+PIG!C39</f>
        <v>15.600000000000001</v>
      </c>
      <c r="D39" s="145">
        <f>EN!D39+PIG!D39</f>
        <v>14.233333333333333</v>
      </c>
      <c r="E39" s="145">
        <f>EN!E39+PIG!E39</f>
        <v>13.633333333333333</v>
      </c>
      <c r="F39" s="145">
        <f>EN!F39+PIG!F39</f>
        <v>13.633333333333333</v>
      </c>
      <c r="G39" s="145">
        <f>EN!G39+PIG!G39</f>
        <v>13.799999999999999</v>
      </c>
      <c r="H39" s="145">
        <f>EN!H39+PIG!H39</f>
        <v>15.166666666666668</v>
      </c>
      <c r="I39" s="145">
        <f>EN!I39+PIG!I39</f>
        <v>13.5</v>
      </c>
      <c r="J39" s="165">
        <v>27</v>
      </c>
      <c r="K39" s="43">
        <f t="shared" si="9"/>
        <v>3</v>
      </c>
      <c r="L39" s="43">
        <f t="shared" si="10"/>
        <v>3</v>
      </c>
      <c r="M39" s="43">
        <f t="shared" si="11"/>
        <v>3</v>
      </c>
      <c r="N39" s="43">
        <f t="shared" si="12"/>
        <v>3</v>
      </c>
      <c r="O39" s="43">
        <f t="shared" si="13"/>
        <v>3</v>
      </c>
      <c r="P39" s="43">
        <f t="shared" si="14"/>
        <v>3</v>
      </c>
      <c r="Q39" s="43">
        <f t="shared" si="15"/>
        <v>3</v>
      </c>
      <c r="R39" s="165">
        <v>27</v>
      </c>
      <c r="S39" s="146">
        <v>5</v>
      </c>
      <c r="T39" s="146">
        <v>4</v>
      </c>
      <c r="U39" s="146">
        <v>4</v>
      </c>
      <c r="V39" s="146">
        <v>5</v>
      </c>
      <c r="W39" s="146">
        <v>6</v>
      </c>
      <c r="X39" s="146">
        <v>5</v>
      </c>
      <c r="Y39" s="146">
        <v>4</v>
      </c>
      <c r="AA39" s="55">
        <f t="shared" si="16"/>
        <v>0.9964111729527777</v>
      </c>
      <c r="AB39" s="55">
        <f t="shared" si="16"/>
        <v>0.98704497199441488</v>
      </c>
      <c r="AC39" s="55">
        <f t="shared" si="16"/>
        <v>0.98854660219941271</v>
      </c>
      <c r="AD39" s="55">
        <f t="shared" si="16"/>
        <v>0.99826142584130939</v>
      </c>
      <c r="AE39" s="55">
        <f t="shared" si="16"/>
        <v>0.99979875392687789</v>
      </c>
      <c r="AF39" s="55">
        <f t="shared" si="16"/>
        <v>0.99767188885554092</v>
      </c>
      <c r="AG39" s="55">
        <f t="shared" si="16"/>
        <v>0.99460556358493479</v>
      </c>
      <c r="AI39" s="214">
        <f t="shared" si="17"/>
        <v>2</v>
      </c>
      <c r="AJ39" s="214">
        <f t="shared" si="17"/>
        <v>1</v>
      </c>
      <c r="AK39" s="214">
        <f t="shared" si="17"/>
        <v>1</v>
      </c>
      <c r="AL39" s="214">
        <f t="shared" si="17"/>
        <v>2</v>
      </c>
      <c r="AM39" s="214">
        <f t="shared" si="17"/>
        <v>3</v>
      </c>
      <c r="AN39" s="218">
        <f>X39-P39</f>
        <v>2</v>
      </c>
      <c r="AO39" s="214">
        <f t="shared" si="17"/>
        <v>1</v>
      </c>
      <c r="AP39" s="206">
        <f t="shared" si="18"/>
        <v>0.54166666666666652</v>
      </c>
      <c r="AQ39" s="213">
        <f t="shared" si="19"/>
        <v>0.66666666666666674</v>
      </c>
      <c r="AR39" s="213">
        <f t="shared" si="19"/>
        <v>0.33333333333333326</v>
      </c>
      <c r="AS39" s="213">
        <f t="shared" si="19"/>
        <v>0.33333333333333326</v>
      </c>
      <c r="AT39" s="213">
        <f t="shared" si="19"/>
        <v>0.66666666666666674</v>
      </c>
      <c r="AU39" s="213">
        <f t="shared" si="19"/>
        <v>1</v>
      </c>
      <c r="AV39" s="213">
        <f t="shared" si="19"/>
        <v>0.66666666666666674</v>
      </c>
      <c r="AW39" s="213">
        <f t="shared" si="19"/>
        <v>0.33333333333333326</v>
      </c>
      <c r="AY39" s="162">
        <f t="shared" si="20"/>
        <v>15.544014298063333</v>
      </c>
      <c r="AZ39" s="162">
        <f t="shared" si="20"/>
        <v>14.048940101387171</v>
      </c>
      <c r="BA39" s="162">
        <f t="shared" si="20"/>
        <v>13.477185343318659</v>
      </c>
      <c r="BB39" s="162">
        <f t="shared" si="20"/>
        <v>13.609630772303184</v>
      </c>
      <c r="BC39" s="162">
        <f t="shared" si="20"/>
        <v>13.797222804190914</v>
      </c>
      <c r="BD39" s="162">
        <f t="shared" si="20"/>
        <v>15.131356980975704</v>
      </c>
      <c r="BE39" s="162">
        <f t="shared" si="20"/>
        <v>13.42717510839662</v>
      </c>
    </row>
    <row r="40" spans="1:57" ht="13.5" customHeight="1" x14ac:dyDescent="0.2">
      <c r="A40" s="143">
        <f t="shared" si="8"/>
        <v>14.271428571428572</v>
      </c>
      <c r="B40" s="147">
        <f t="shared" si="21"/>
        <v>0.56249999999999989</v>
      </c>
      <c r="C40" s="145">
        <f>EN!C40+PIG!C40</f>
        <v>15.3</v>
      </c>
      <c r="D40" s="145">
        <f>EN!D40+PIG!D40</f>
        <v>14.8</v>
      </c>
      <c r="E40" s="145">
        <f>EN!E40+PIG!E40</f>
        <v>14.400000000000002</v>
      </c>
      <c r="F40" s="145">
        <f>EN!F40+PIG!F40</f>
        <v>13.7</v>
      </c>
      <c r="G40" s="145">
        <f>EN!G40+PIG!G40</f>
        <v>13.733333333333334</v>
      </c>
      <c r="H40" s="145">
        <f>EN!H40+PIG!H40</f>
        <v>14.466666666666669</v>
      </c>
      <c r="I40" s="145">
        <f>EN!I40+PIG!I40</f>
        <v>13.5</v>
      </c>
      <c r="J40" s="165">
        <v>28</v>
      </c>
      <c r="K40" s="43">
        <f t="shared" si="9"/>
        <v>3</v>
      </c>
      <c r="L40" s="43">
        <f t="shared" si="10"/>
        <v>3</v>
      </c>
      <c r="M40" s="43">
        <f t="shared" si="11"/>
        <v>3</v>
      </c>
      <c r="N40" s="43">
        <f t="shared" si="12"/>
        <v>3</v>
      </c>
      <c r="O40" s="43">
        <f t="shared" si="13"/>
        <v>3</v>
      </c>
      <c r="P40" s="43">
        <f t="shared" si="14"/>
        <v>3</v>
      </c>
      <c r="Q40" s="43">
        <f t="shared" si="15"/>
        <v>3</v>
      </c>
      <c r="R40" s="165">
        <v>28</v>
      </c>
      <c r="S40" s="146">
        <v>5</v>
      </c>
      <c r="T40" s="146">
        <v>4</v>
      </c>
      <c r="U40" s="146">
        <v>4</v>
      </c>
      <c r="V40" s="146">
        <v>5</v>
      </c>
      <c r="W40" s="146">
        <v>6</v>
      </c>
      <c r="X40" s="146">
        <v>5</v>
      </c>
      <c r="Y40" s="146">
        <v>4</v>
      </c>
      <c r="AA40" s="55">
        <f t="shared" si="16"/>
        <v>0.99732260692523611</v>
      </c>
      <c r="AB40" s="55">
        <f t="shared" si="16"/>
        <v>0.98331516987006651</v>
      </c>
      <c r="AC40" s="55">
        <f t="shared" si="16"/>
        <v>0.98854660219941271</v>
      </c>
      <c r="AD40" s="55">
        <f t="shared" si="16"/>
        <v>0.99826142584130939</v>
      </c>
      <c r="AE40" s="55">
        <f t="shared" si="16"/>
        <v>0.99979875392687789</v>
      </c>
      <c r="AF40" s="55">
        <f t="shared" si="16"/>
        <v>0.99830283295743838</v>
      </c>
      <c r="AG40" s="55">
        <f t="shared" si="16"/>
        <v>0.99460556358493479</v>
      </c>
      <c r="AI40" s="214">
        <f t="shared" si="17"/>
        <v>2</v>
      </c>
      <c r="AJ40" s="214">
        <f t="shared" si="17"/>
        <v>1</v>
      </c>
      <c r="AK40" s="214">
        <f t="shared" si="17"/>
        <v>1</v>
      </c>
      <c r="AL40" s="214">
        <f t="shared" si="17"/>
        <v>2</v>
      </c>
      <c r="AM40" s="214">
        <f t="shared" si="17"/>
        <v>3</v>
      </c>
      <c r="AN40" s="214">
        <f t="shared" si="17"/>
        <v>2</v>
      </c>
      <c r="AO40" s="214">
        <f t="shared" si="17"/>
        <v>1</v>
      </c>
      <c r="AP40" s="206">
        <f t="shared" si="18"/>
        <v>0.56249999999999989</v>
      </c>
      <c r="AQ40" s="213">
        <f t="shared" si="19"/>
        <v>0.66666666666666674</v>
      </c>
      <c r="AR40" s="213">
        <f t="shared" si="19"/>
        <v>0.33333333333333326</v>
      </c>
      <c r="AS40" s="213">
        <f t="shared" si="19"/>
        <v>0.33333333333333326</v>
      </c>
      <c r="AT40" s="213">
        <f t="shared" si="19"/>
        <v>0.66666666666666674</v>
      </c>
      <c r="AU40" s="213">
        <f t="shared" si="19"/>
        <v>1</v>
      </c>
      <c r="AV40" s="213">
        <f t="shared" si="19"/>
        <v>0.66666666666666674</v>
      </c>
      <c r="AW40" s="213">
        <f t="shared" si="19"/>
        <v>0.33333333333333326</v>
      </c>
      <c r="AY40" s="162">
        <f t="shared" si="20"/>
        <v>15.259035885956113</v>
      </c>
      <c r="AZ40" s="162">
        <f t="shared" si="20"/>
        <v>14.553064514076985</v>
      </c>
      <c r="BA40" s="162">
        <f t="shared" si="20"/>
        <v>14.235071071671545</v>
      </c>
      <c r="BB40" s="162">
        <f t="shared" si="20"/>
        <v>13.676181534025938</v>
      </c>
      <c r="BC40" s="162">
        <f t="shared" si="20"/>
        <v>13.730569553929124</v>
      </c>
      <c r="BD40" s="162">
        <f t="shared" si="20"/>
        <v>14.442114316784277</v>
      </c>
      <c r="BE40" s="162">
        <f t="shared" si="20"/>
        <v>13.42717510839662</v>
      </c>
    </row>
    <row r="41" spans="1:57" ht="13.5" customHeight="1" x14ac:dyDescent="0.2">
      <c r="A41" s="143">
        <f t="shared" si="8"/>
        <v>14.242857142857144</v>
      </c>
      <c r="B41" s="147">
        <f t="shared" si="21"/>
        <v>0.58333333333333326</v>
      </c>
      <c r="C41" s="145">
        <f>EN!C41+PIG!C41</f>
        <v>14.466666666666667</v>
      </c>
      <c r="D41" s="145">
        <f>EN!D41+PIG!D41</f>
        <v>14.899999999999999</v>
      </c>
      <c r="E41" s="145">
        <f>EN!E41+PIG!E41</f>
        <v>14.766666666666666</v>
      </c>
      <c r="F41" s="145">
        <f>EN!F41+PIG!F41</f>
        <v>14.499999999999998</v>
      </c>
      <c r="G41" s="145">
        <f>EN!G41+PIG!G41</f>
        <v>13.366666666666667</v>
      </c>
      <c r="H41" s="145">
        <f>EN!H41+PIG!H41</f>
        <v>14.9</v>
      </c>
      <c r="I41" s="145">
        <f>EN!I41+PIG!I41</f>
        <v>12.8</v>
      </c>
      <c r="J41" s="165">
        <v>29</v>
      </c>
      <c r="K41" s="43">
        <f t="shared" si="9"/>
        <v>3</v>
      </c>
      <c r="L41" s="43">
        <f t="shared" si="10"/>
        <v>3</v>
      </c>
      <c r="M41" s="43">
        <f t="shared" si="11"/>
        <v>3</v>
      </c>
      <c r="N41" s="43">
        <f t="shared" si="12"/>
        <v>3</v>
      </c>
      <c r="O41" s="43">
        <f t="shared" si="13"/>
        <v>3</v>
      </c>
      <c r="P41" s="43">
        <f t="shared" si="14"/>
        <v>3</v>
      </c>
      <c r="Q41" s="43">
        <f t="shared" si="15"/>
        <v>2</v>
      </c>
      <c r="R41" s="165">
        <v>29</v>
      </c>
      <c r="S41" s="146">
        <v>4</v>
      </c>
      <c r="T41" s="146">
        <v>4</v>
      </c>
      <c r="U41" s="146">
        <v>3</v>
      </c>
      <c r="V41" s="146">
        <v>5</v>
      </c>
      <c r="W41" s="146">
        <v>4</v>
      </c>
      <c r="X41" s="146">
        <v>3</v>
      </c>
      <c r="Y41" s="146">
        <v>4</v>
      </c>
      <c r="AA41" s="55">
        <f t="shared" si="16"/>
        <v>0.98711028939074863</v>
      </c>
      <c r="AB41" s="55">
        <f t="shared" si="16"/>
        <v>0.98331516987006651</v>
      </c>
      <c r="AC41" s="55">
        <f t="shared" si="16"/>
        <v>0.919895372826117</v>
      </c>
      <c r="AD41" s="55">
        <f t="shared" si="16"/>
        <v>0.99826142584130939</v>
      </c>
      <c r="AE41" s="55">
        <f t="shared" si="16"/>
        <v>0.99157364759562727</v>
      </c>
      <c r="AF41" s="55">
        <f t="shared" si="16"/>
        <v>0.91947756535390968</v>
      </c>
      <c r="AG41" s="55">
        <f t="shared" si="16"/>
        <v>0.99592651567684953</v>
      </c>
      <c r="AI41" s="214">
        <f t="shared" si="17"/>
        <v>1</v>
      </c>
      <c r="AJ41" s="214">
        <f t="shared" si="17"/>
        <v>1</v>
      </c>
      <c r="AK41" s="214">
        <f t="shared" si="17"/>
        <v>0</v>
      </c>
      <c r="AL41" s="214">
        <f t="shared" si="17"/>
        <v>2</v>
      </c>
      <c r="AM41" s="214">
        <f t="shared" si="17"/>
        <v>1</v>
      </c>
      <c r="AN41" s="214">
        <f t="shared" si="17"/>
        <v>0</v>
      </c>
      <c r="AO41" s="214">
        <f t="shared" si="17"/>
        <v>2</v>
      </c>
      <c r="AP41" s="206">
        <f t="shared" si="18"/>
        <v>0.58333333333333326</v>
      </c>
      <c r="AQ41" s="213">
        <f t="shared" si="19"/>
        <v>0.33333333333333326</v>
      </c>
      <c r="AR41" s="213">
        <f t="shared" si="19"/>
        <v>0.33333333333333326</v>
      </c>
      <c r="AS41" s="213">
        <f t="shared" si="19"/>
        <v>0</v>
      </c>
      <c r="AT41" s="213">
        <f t="shared" si="19"/>
        <v>0.66666666666666674</v>
      </c>
      <c r="AU41" s="213">
        <f t="shared" si="19"/>
        <v>0.33333333333333326</v>
      </c>
      <c r="AV41" s="213">
        <f t="shared" si="19"/>
        <v>0</v>
      </c>
      <c r="AW41" s="213">
        <f t="shared" si="19"/>
        <v>1</v>
      </c>
      <c r="AY41" s="162">
        <f t="shared" si="20"/>
        <v>14.28019551985283</v>
      </c>
      <c r="AZ41" s="162">
        <f t="shared" si="20"/>
        <v>14.651396031063989</v>
      </c>
      <c r="BA41" s="162">
        <f t="shared" si="20"/>
        <v>13.583788338732326</v>
      </c>
      <c r="BB41" s="162">
        <f t="shared" si="20"/>
        <v>14.474790674698985</v>
      </c>
      <c r="BC41" s="162">
        <f t="shared" si="20"/>
        <v>13.254034422861551</v>
      </c>
      <c r="BD41" s="162">
        <f t="shared" si="20"/>
        <v>13.700215723773255</v>
      </c>
      <c r="BE41" s="162">
        <f t="shared" si="20"/>
        <v>12.747859400663675</v>
      </c>
    </row>
    <row r="42" spans="1:57" ht="13.5" customHeight="1" x14ac:dyDescent="0.2">
      <c r="A42" s="143">
        <f t="shared" si="8"/>
        <v>14.504761904761905</v>
      </c>
      <c r="B42" s="147">
        <f t="shared" si="21"/>
        <v>0.60416666666666663</v>
      </c>
      <c r="C42" s="145">
        <f>EN!C42+PIG!C42</f>
        <v>13.8</v>
      </c>
      <c r="D42" s="145">
        <f>EN!D42+PIG!D42</f>
        <v>15.366666666666667</v>
      </c>
      <c r="E42" s="145">
        <f>EN!E42+PIG!E42</f>
        <v>15.899999999999999</v>
      </c>
      <c r="F42" s="145">
        <f>EN!F42+PIG!F42</f>
        <v>14.8</v>
      </c>
      <c r="G42" s="145">
        <f>EN!G42+PIG!G42</f>
        <v>13.9</v>
      </c>
      <c r="H42" s="145">
        <f>EN!H42+PIG!H42</f>
        <v>14.966666666666669</v>
      </c>
      <c r="I42" s="145">
        <f>EN!I42+PIG!I42</f>
        <v>12.799999999999999</v>
      </c>
      <c r="J42" s="165">
        <v>30</v>
      </c>
      <c r="K42" s="43">
        <f t="shared" si="9"/>
        <v>3</v>
      </c>
      <c r="L42" s="43">
        <f t="shared" si="10"/>
        <v>3</v>
      </c>
      <c r="M42" s="43">
        <f t="shared" si="11"/>
        <v>3</v>
      </c>
      <c r="N42" s="43">
        <f t="shared" si="12"/>
        <v>3</v>
      </c>
      <c r="O42" s="43">
        <f t="shared" si="13"/>
        <v>3</v>
      </c>
      <c r="P42" s="43">
        <f t="shared" si="14"/>
        <v>3</v>
      </c>
      <c r="Q42" s="43">
        <f t="shared" si="15"/>
        <v>2</v>
      </c>
      <c r="R42" s="165">
        <v>30</v>
      </c>
      <c r="S42" s="146">
        <v>4</v>
      </c>
      <c r="T42" s="146">
        <v>3</v>
      </c>
      <c r="U42" s="146">
        <v>3</v>
      </c>
      <c r="V42" s="146">
        <v>4</v>
      </c>
      <c r="W42" s="146">
        <v>3</v>
      </c>
      <c r="X42" s="146">
        <v>3</v>
      </c>
      <c r="Y42" s="146">
        <v>4</v>
      </c>
      <c r="AA42" s="55">
        <f t="shared" si="16"/>
        <v>0.98711028939074863</v>
      </c>
      <c r="AB42" s="55">
        <f t="shared" si="16"/>
        <v>0.91229922827107235</v>
      </c>
      <c r="AC42" s="55">
        <f t="shared" si="16"/>
        <v>0.90372453529844776</v>
      </c>
      <c r="AD42" s="55">
        <f t="shared" si="16"/>
        <v>0.98484545376674415</v>
      </c>
      <c r="AE42" s="55">
        <f t="shared" si="16"/>
        <v>0.93575526179547064</v>
      </c>
      <c r="AF42" s="55">
        <f t="shared" si="16"/>
        <v>0.91947756535390968</v>
      </c>
      <c r="AG42" s="55">
        <f t="shared" si="16"/>
        <v>0.99592651567684953</v>
      </c>
      <c r="AI42" s="214">
        <f t="shared" si="17"/>
        <v>1</v>
      </c>
      <c r="AJ42" s="214">
        <f t="shared" si="17"/>
        <v>0</v>
      </c>
      <c r="AK42" s="214">
        <f t="shared" si="17"/>
        <v>0</v>
      </c>
      <c r="AL42" s="214">
        <f t="shared" si="17"/>
        <v>1</v>
      </c>
      <c r="AM42" s="214">
        <f t="shared" si="17"/>
        <v>0</v>
      </c>
      <c r="AN42" s="214">
        <f t="shared" si="17"/>
        <v>0</v>
      </c>
      <c r="AO42" s="214">
        <f t="shared" si="17"/>
        <v>2</v>
      </c>
      <c r="AP42" s="206">
        <f t="shared" si="18"/>
        <v>0.60416666666666663</v>
      </c>
      <c r="AQ42" s="213">
        <f t="shared" si="19"/>
        <v>0.33333333333333326</v>
      </c>
      <c r="AR42" s="213">
        <f t="shared" si="19"/>
        <v>0</v>
      </c>
      <c r="AS42" s="213">
        <f t="shared" si="19"/>
        <v>0</v>
      </c>
      <c r="AT42" s="213">
        <f t="shared" si="19"/>
        <v>0.33333333333333326</v>
      </c>
      <c r="AU42" s="213">
        <f t="shared" si="19"/>
        <v>0</v>
      </c>
      <c r="AV42" s="213">
        <f t="shared" si="19"/>
        <v>0</v>
      </c>
      <c r="AW42" s="213">
        <f t="shared" si="19"/>
        <v>1</v>
      </c>
      <c r="AY42" s="162">
        <f t="shared" si="20"/>
        <v>13.622121993592332</v>
      </c>
      <c r="AZ42" s="162">
        <f t="shared" si="20"/>
        <v>14.018998141098812</v>
      </c>
      <c r="BA42" s="162">
        <f t="shared" si="20"/>
        <v>14.369220111245317</v>
      </c>
      <c r="BB42" s="162">
        <f t="shared" si="20"/>
        <v>14.575712715747814</v>
      </c>
      <c r="BC42" s="162">
        <f t="shared" si="20"/>
        <v>13.006998138957043</v>
      </c>
      <c r="BD42" s="162">
        <f t="shared" si="20"/>
        <v>13.761514228130183</v>
      </c>
      <c r="BE42" s="162">
        <f t="shared" si="20"/>
        <v>12.747859400663673</v>
      </c>
    </row>
    <row r="43" spans="1:57" ht="13.5" customHeight="1" x14ac:dyDescent="0.2">
      <c r="A43" s="143">
        <f t="shared" si="8"/>
        <v>14.438095238095238</v>
      </c>
      <c r="B43" s="147">
        <f t="shared" si="21"/>
        <v>0.625</v>
      </c>
      <c r="C43" s="145">
        <f>EN!C43+PIG!C43</f>
        <v>14.166666666666668</v>
      </c>
      <c r="D43" s="145">
        <f>EN!D43+PIG!D43</f>
        <v>14.433333333333332</v>
      </c>
      <c r="E43" s="145">
        <f>EN!E43+PIG!E43</f>
        <v>15.666666666666668</v>
      </c>
      <c r="F43" s="145">
        <f>EN!F43+PIG!F43</f>
        <v>14.999999999999998</v>
      </c>
      <c r="G43" s="145">
        <f>EN!G43+PIG!G43</f>
        <v>14.1</v>
      </c>
      <c r="H43" s="145">
        <f>EN!H43+PIG!H43</f>
        <v>14.833333333333336</v>
      </c>
      <c r="I43" s="145">
        <f>EN!I43+PIG!I43</f>
        <v>12.866666666666667</v>
      </c>
      <c r="J43" s="165">
        <v>31</v>
      </c>
      <c r="K43" s="43">
        <f t="shared" si="9"/>
        <v>3</v>
      </c>
      <c r="L43" s="43">
        <f t="shared" si="10"/>
        <v>3</v>
      </c>
      <c r="M43" s="43">
        <f t="shared" si="11"/>
        <v>3</v>
      </c>
      <c r="N43" s="43">
        <f t="shared" si="12"/>
        <v>3</v>
      </c>
      <c r="O43" s="43">
        <f t="shared" si="13"/>
        <v>3</v>
      </c>
      <c r="P43" s="43">
        <f t="shared" si="14"/>
        <v>3</v>
      </c>
      <c r="Q43" s="43">
        <f t="shared" si="15"/>
        <v>2</v>
      </c>
      <c r="R43" s="165">
        <v>31</v>
      </c>
      <c r="S43" s="146">
        <v>7</v>
      </c>
      <c r="T43" s="146">
        <v>6</v>
      </c>
      <c r="U43" s="146">
        <v>5</v>
      </c>
      <c r="V43" s="146">
        <v>6</v>
      </c>
      <c r="W43" s="146">
        <v>5</v>
      </c>
      <c r="X43" s="146">
        <v>6</v>
      </c>
      <c r="Y43" s="146">
        <v>7</v>
      </c>
      <c r="AA43" s="55">
        <f t="shared" si="16"/>
        <v>0.99997122189824339</v>
      </c>
      <c r="AB43" s="55">
        <f t="shared" si="16"/>
        <v>0.99974388637771028</v>
      </c>
      <c r="AC43" s="55">
        <f t="shared" si="16"/>
        <v>0.99690278713669633</v>
      </c>
      <c r="AD43" s="55">
        <f t="shared" si="16"/>
        <v>0.99967767814749697</v>
      </c>
      <c r="AE43" s="55">
        <f t="shared" si="16"/>
        <v>0.99838612683239558</v>
      </c>
      <c r="AF43" s="55">
        <f t="shared" si="16"/>
        <v>0.99968693035893541</v>
      </c>
      <c r="AG43" s="55">
        <f t="shared" si="16"/>
        <v>0.99999640716770144</v>
      </c>
      <c r="AI43" s="214">
        <f t="shared" si="17"/>
        <v>4</v>
      </c>
      <c r="AJ43" s="214">
        <f t="shared" si="17"/>
        <v>3</v>
      </c>
      <c r="AK43" s="214">
        <f t="shared" si="17"/>
        <v>2</v>
      </c>
      <c r="AL43" s="214">
        <f t="shared" si="17"/>
        <v>3</v>
      </c>
      <c r="AM43" s="214">
        <f t="shared" si="17"/>
        <v>2</v>
      </c>
      <c r="AN43" s="214">
        <f t="shared" si="17"/>
        <v>3</v>
      </c>
      <c r="AO43" s="214">
        <f t="shared" si="17"/>
        <v>5</v>
      </c>
      <c r="AP43" s="206">
        <f t="shared" si="18"/>
        <v>0.625</v>
      </c>
      <c r="AQ43" s="213">
        <f t="shared" si="19"/>
        <v>1.3333333333333335</v>
      </c>
      <c r="AR43" s="213">
        <f t="shared" si="19"/>
        <v>1</v>
      </c>
      <c r="AS43" s="213">
        <f t="shared" si="19"/>
        <v>0.66666666666666674</v>
      </c>
      <c r="AT43" s="213">
        <f t="shared" si="19"/>
        <v>1</v>
      </c>
      <c r="AU43" s="213">
        <f t="shared" si="19"/>
        <v>0.66666666666666674</v>
      </c>
      <c r="AV43" s="213">
        <f t="shared" si="19"/>
        <v>1</v>
      </c>
      <c r="AW43" s="213">
        <f t="shared" si="19"/>
        <v>2.5</v>
      </c>
      <c r="AY43" s="162">
        <f t="shared" si="20"/>
        <v>14.166258976891783</v>
      </c>
      <c r="AZ43" s="162">
        <f t="shared" si="20"/>
        <v>14.429636760051617</v>
      </c>
      <c r="BA43" s="162">
        <f t="shared" si="20"/>
        <v>15.618143665141577</v>
      </c>
      <c r="BB43" s="162">
        <f t="shared" si="20"/>
        <v>14.995165172212452</v>
      </c>
      <c r="BC43" s="162">
        <f t="shared" si="20"/>
        <v>14.077244388336778</v>
      </c>
      <c r="BD43" s="162">
        <f t="shared" si="20"/>
        <v>14.828689466990877</v>
      </c>
      <c r="BE43" s="162">
        <f t="shared" si="20"/>
        <v>12.866620438891092</v>
      </c>
    </row>
    <row r="44" spans="1:57" x14ac:dyDescent="0.2">
      <c r="A44" s="143">
        <f t="shared" si="8"/>
        <v>14.038095238095236</v>
      </c>
      <c r="B44" s="147">
        <f t="shared" si="21"/>
        <v>0.64583333333333337</v>
      </c>
      <c r="C44" s="145">
        <f>EN!C44+PIG!C44</f>
        <v>14.033333333333333</v>
      </c>
      <c r="D44" s="145">
        <f>EN!D44+PIG!D44</f>
        <v>13.166666666666664</v>
      </c>
      <c r="E44" s="145">
        <f>EN!E44+PIG!E44</f>
        <v>15.633333333333333</v>
      </c>
      <c r="F44" s="145">
        <f>EN!F44+PIG!F44</f>
        <v>14.266666666666666</v>
      </c>
      <c r="G44" s="145">
        <f>EN!G44+PIG!G44</f>
        <v>13.8</v>
      </c>
      <c r="H44" s="145">
        <f>EN!H44+PIG!H44</f>
        <v>13.766666666666667</v>
      </c>
      <c r="I44" s="145">
        <f>EN!I44+PIG!I44</f>
        <v>13.600000000000001</v>
      </c>
      <c r="J44" s="165">
        <v>32</v>
      </c>
      <c r="K44" s="43">
        <f t="shared" si="9"/>
        <v>3</v>
      </c>
      <c r="L44" s="43">
        <f t="shared" si="10"/>
        <v>3</v>
      </c>
      <c r="M44" s="43">
        <f t="shared" si="11"/>
        <v>3</v>
      </c>
      <c r="N44" s="43">
        <f t="shared" si="12"/>
        <v>3</v>
      </c>
      <c r="O44" s="43">
        <f t="shared" si="13"/>
        <v>3</v>
      </c>
      <c r="P44" s="43">
        <f t="shared" si="14"/>
        <v>3</v>
      </c>
      <c r="Q44" s="43">
        <f t="shared" si="15"/>
        <v>3</v>
      </c>
      <c r="R44" s="165">
        <v>32</v>
      </c>
      <c r="S44" s="146">
        <v>6</v>
      </c>
      <c r="T44" s="146">
        <v>6</v>
      </c>
      <c r="U44" s="146">
        <v>4</v>
      </c>
      <c r="V44" s="146">
        <v>5</v>
      </c>
      <c r="W44" s="146">
        <v>5</v>
      </c>
      <c r="X44" s="146">
        <v>6</v>
      </c>
      <c r="Y44" s="146">
        <v>7</v>
      </c>
      <c r="AA44" s="55">
        <f t="shared" si="16"/>
        <v>0.99974588340644721</v>
      </c>
      <c r="AB44" s="55">
        <f t="shared" si="16"/>
        <v>0.99982993316610269</v>
      </c>
      <c r="AC44" s="55">
        <f t="shared" si="16"/>
        <v>0.981281416531819</v>
      </c>
      <c r="AD44" s="55">
        <f t="shared" si="16"/>
        <v>0.99826142584130939</v>
      </c>
      <c r="AE44" s="55">
        <f t="shared" si="16"/>
        <v>0.99838612683239558</v>
      </c>
      <c r="AF44" s="55">
        <f t="shared" si="16"/>
        <v>0.99978602879100076</v>
      </c>
      <c r="AG44" s="55">
        <f t="shared" si="16"/>
        <v>0.99999412529284926</v>
      </c>
      <c r="AI44" s="214">
        <f t="shared" si="17"/>
        <v>3</v>
      </c>
      <c r="AJ44" s="214">
        <f t="shared" si="17"/>
        <v>3</v>
      </c>
      <c r="AK44" s="214">
        <f t="shared" si="17"/>
        <v>1</v>
      </c>
      <c r="AL44" s="214">
        <f t="shared" si="17"/>
        <v>2</v>
      </c>
      <c r="AM44" s="214">
        <f t="shared" si="17"/>
        <v>2</v>
      </c>
      <c r="AN44" s="214">
        <f t="shared" si="17"/>
        <v>3</v>
      </c>
      <c r="AO44" s="214">
        <f t="shared" si="17"/>
        <v>4</v>
      </c>
      <c r="AP44" s="206">
        <f t="shared" si="18"/>
        <v>0.64583333333333337</v>
      </c>
      <c r="AQ44" s="213">
        <f t="shared" si="19"/>
        <v>1</v>
      </c>
      <c r="AR44" s="213">
        <f t="shared" si="19"/>
        <v>1</v>
      </c>
      <c r="AS44" s="213">
        <f t="shared" si="19"/>
        <v>0.33333333333333326</v>
      </c>
      <c r="AT44" s="213">
        <f t="shared" si="19"/>
        <v>0.66666666666666674</v>
      </c>
      <c r="AU44" s="213">
        <f t="shared" si="19"/>
        <v>0.66666666666666674</v>
      </c>
      <c r="AV44" s="213">
        <f t="shared" si="19"/>
        <v>1</v>
      </c>
      <c r="AW44" s="213">
        <f t="shared" si="19"/>
        <v>1.3333333333333335</v>
      </c>
      <c r="AY44" s="162">
        <f t="shared" si="20"/>
        <v>14.029767230470476</v>
      </c>
      <c r="AZ44" s="162">
        <f t="shared" si="20"/>
        <v>13.164427453353683</v>
      </c>
      <c r="BA44" s="162">
        <f t="shared" si="20"/>
        <v>15.340699478447437</v>
      </c>
      <c r="BB44" s="162">
        <f t="shared" si="20"/>
        <v>14.241863008669347</v>
      </c>
      <c r="BC44" s="162">
        <f t="shared" si="20"/>
        <v>13.77772855028706</v>
      </c>
      <c r="BD44" s="162">
        <f t="shared" si="20"/>
        <v>13.763720996356112</v>
      </c>
      <c r="BE44" s="162">
        <f t="shared" si="20"/>
        <v>13.59992010398275</v>
      </c>
    </row>
    <row r="45" spans="1:57" x14ac:dyDescent="0.2">
      <c r="A45" s="143">
        <f t="shared" si="8"/>
        <v>13.59047619047619</v>
      </c>
      <c r="B45" s="147">
        <f t="shared" si="21"/>
        <v>0.66666666666666674</v>
      </c>
      <c r="C45" s="145">
        <f>EN!C45+PIG!C45</f>
        <v>14.033333333333333</v>
      </c>
      <c r="D45" s="145">
        <f>EN!D45+PIG!D45</f>
        <v>12.299999999999999</v>
      </c>
      <c r="E45" s="145">
        <f>EN!E45+PIG!E45</f>
        <v>14.5</v>
      </c>
      <c r="F45" s="145">
        <f>EN!F45+PIG!F45</f>
        <v>13.966666666666665</v>
      </c>
      <c r="G45" s="145">
        <f>EN!G45+PIG!G45</f>
        <v>13.7</v>
      </c>
      <c r="H45" s="145">
        <f>EN!H45+PIG!H45</f>
        <v>13.533333333333331</v>
      </c>
      <c r="I45" s="145">
        <f>EN!I45+PIG!I45</f>
        <v>13.1</v>
      </c>
      <c r="J45" s="165">
        <v>33</v>
      </c>
      <c r="K45" s="43">
        <f t="shared" si="9"/>
        <v>3</v>
      </c>
      <c r="L45" s="43">
        <f t="shared" si="10"/>
        <v>3</v>
      </c>
      <c r="M45" s="43">
        <f t="shared" si="11"/>
        <v>3</v>
      </c>
      <c r="N45" s="43">
        <f t="shared" si="12"/>
        <v>3</v>
      </c>
      <c r="O45" s="43">
        <f t="shared" si="13"/>
        <v>3</v>
      </c>
      <c r="P45" s="43">
        <f t="shared" si="14"/>
        <v>3</v>
      </c>
      <c r="Q45" s="43">
        <f t="shared" si="15"/>
        <v>2</v>
      </c>
      <c r="R45" s="165">
        <v>33</v>
      </c>
      <c r="S45" s="146">
        <v>4</v>
      </c>
      <c r="T45" s="146">
        <v>4</v>
      </c>
      <c r="U45" s="146">
        <v>3</v>
      </c>
      <c r="V45" s="146">
        <v>3</v>
      </c>
      <c r="W45" s="146">
        <v>5</v>
      </c>
      <c r="X45" s="146">
        <v>5</v>
      </c>
      <c r="Y45" s="146">
        <v>5</v>
      </c>
      <c r="AA45" s="55">
        <f t="shared" si="16"/>
        <v>0.98711028939074863</v>
      </c>
      <c r="AB45" s="55">
        <f t="shared" si="16"/>
        <v>0.99266433955471589</v>
      </c>
      <c r="AC45" s="55">
        <f t="shared" si="16"/>
        <v>0.93418437437709356</v>
      </c>
      <c r="AD45" s="55">
        <f t="shared" si="16"/>
        <v>0.93289940709917296</v>
      </c>
      <c r="AE45" s="55">
        <f t="shared" si="16"/>
        <v>0.99838612683239558</v>
      </c>
      <c r="AF45" s="55">
        <f t="shared" si="16"/>
        <v>0.99830283295743838</v>
      </c>
      <c r="AG45" s="55">
        <f t="shared" si="16"/>
        <v>0.99954380357158101</v>
      </c>
      <c r="AI45" s="214">
        <f t="shared" si="17"/>
        <v>1</v>
      </c>
      <c r="AJ45" s="214">
        <f t="shared" si="17"/>
        <v>1</v>
      </c>
      <c r="AK45" s="214">
        <f t="shared" si="17"/>
        <v>0</v>
      </c>
      <c r="AL45" s="214">
        <f t="shared" si="17"/>
        <v>0</v>
      </c>
      <c r="AM45" s="214">
        <f t="shared" si="17"/>
        <v>2</v>
      </c>
      <c r="AN45" s="214">
        <f t="shared" si="17"/>
        <v>2</v>
      </c>
      <c r="AO45" s="214">
        <f t="shared" si="17"/>
        <v>3</v>
      </c>
      <c r="AP45" s="206">
        <f t="shared" si="18"/>
        <v>0.66666666666666674</v>
      </c>
      <c r="AQ45" s="213">
        <f t="shared" si="19"/>
        <v>0.33333333333333326</v>
      </c>
      <c r="AR45" s="213">
        <f t="shared" si="19"/>
        <v>0.33333333333333326</v>
      </c>
      <c r="AS45" s="213">
        <f t="shared" si="19"/>
        <v>0</v>
      </c>
      <c r="AT45" s="213">
        <f t="shared" si="19"/>
        <v>0</v>
      </c>
      <c r="AU45" s="213">
        <f t="shared" si="19"/>
        <v>0.66666666666666674</v>
      </c>
      <c r="AV45" s="213">
        <f t="shared" si="19"/>
        <v>0.66666666666666674</v>
      </c>
      <c r="AW45" s="213">
        <f t="shared" si="19"/>
        <v>1.5</v>
      </c>
      <c r="AY45" s="162">
        <f t="shared" si="20"/>
        <v>13.852447727783506</v>
      </c>
      <c r="AZ45" s="162">
        <f t="shared" si="20"/>
        <v>12.209771376523005</v>
      </c>
      <c r="BA45" s="162">
        <f t="shared" si="20"/>
        <v>13.545673428467857</v>
      </c>
      <c r="BB45" s="162">
        <f t="shared" si="20"/>
        <v>13.029495052485114</v>
      </c>
      <c r="BC45" s="162">
        <f t="shared" si="20"/>
        <v>13.677889937603819</v>
      </c>
      <c r="BD45" s="162">
        <f t="shared" si="20"/>
        <v>13.510365006023997</v>
      </c>
      <c r="BE45" s="162">
        <f t="shared" si="20"/>
        <v>13.09402382678771</v>
      </c>
    </row>
    <row r="46" spans="1:57" ht="13.5" customHeight="1" x14ac:dyDescent="0.2">
      <c r="A46" s="143">
        <f t="shared" si="8"/>
        <v>13.385714285714284</v>
      </c>
      <c r="B46" s="147">
        <f t="shared" si="21"/>
        <v>0.68750000000000011</v>
      </c>
      <c r="C46" s="145">
        <f>EN!C46+PIG!C46</f>
        <v>13.233333333333334</v>
      </c>
      <c r="D46" s="145">
        <f>EN!D46+PIG!D46</f>
        <v>12.933333333333332</v>
      </c>
      <c r="E46" s="145">
        <f>EN!E46+PIG!E46</f>
        <v>14.933333333333334</v>
      </c>
      <c r="F46" s="145">
        <f>EN!F46+PIG!F46</f>
        <v>13.533333333333331</v>
      </c>
      <c r="G46" s="145">
        <f>EN!G46+PIG!G46</f>
        <v>13.733333333333333</v>
      </c>
      <c r="H46" s="145">
        <f>EN!H46+PIG!H46</f>
        <v>13</v>
      </c>
      <c r="I46" s="145">
        <f>EN!I46+PIG!I46</f>
        <v>12.333333333333334</v>
      </c>
      <c r="J46" s="165">
        <v>34</v>
      </c>
      <c r="K46" s="43">
        <f t="shared" si="9"/>
        <v>3</v>
      </c>
      <c r="L46" s="43">
        <f t="shared" si="10"/>
        <v>3</v>
      </c>
      <c r="M46" s="43">
        <f t="shared" si="11"/>
        <v>3</v>
      </c>
      <c r="N46" s="43">
        <f t="shared" si="12"/>
        <v>3</v>
      </c>
      <c r="O46" s="43">
        <f t="shared" si="13"/>
        <v>3</v>
      </c>
      <c r="P46" s="43">
        <f t="shared" si="14"/>
        <v>3</v>
      </c>
      <c r="Q46" s="43">
        <f t="shared" si="15"/>
        <v>2</v>
      </c>
      <c r="R46" s="165">
        <v>34</v>
      </c>
      <c r="S46" s="146">
        <v>4</v>
      </c>
      <c r="T46" s="146">
        <v>4</v>
      </c>
      <c r="U46" s="146">
        <v>3</v>
      </c>
      <c r="V46" s="146">
        <v>3</v>
      </c>
      <c r="W46" s="146">
        <v>5</v>
      </c>
      <c r="X46" s="146">
        <v>5</v>
      </c>
      <c r="Y46" s="146">
        <v>5</v>
      </c>
      <c r="AA46" s="55">
        <f t="shared" si="16"/>
        <v>0.99018850753314802</v>
      </c>
      <c r="AB46" s="55">
        <f t="shared" si="16"/>
        <v>0.99013828383226732</v>
      </c>
      <c r="AC46" s="55">
        <f t="shared" si="16"/>
        <v>0.919895372826117</v>
      </c>
      <c r="AD46" s="55">
        <f t="shared" si="16"/>
        <v>0.93289940709917296</v>
      </c>
      <c r="AE46" s="55">
        <f t="shared" si="16"/>
        <v>0.99838612683239558</v>
      </c>
      <c r="AF46" s="55">
        <f t="shared" si="16"/>
        <v>0.99879350222275365</v>
      </c>
      <c r="AG46" s="55">
        <f t="shared" si="16"/>
        <v>0.99968764651444364</v>
      </c>
      <c r="AI46" s="214">
        <f t="shared" si="17"/>
        <v>1</v>
      </c>
      <c r="AJ46" s="214">
        <f t="shared" si="17"/>
        <v>1</v>
      </c>
      <c r="AK46" s="214">
        <f t="shared" si="17"/>
        <v>0</v>
      </c>
      <c r="AL46" s="214">
        <f t="shared" si="17"/>
        <v>0</v>
      </c>
      <c r="AM46" s="214">
        <f t="shared" si="17"/>
        <v>2</v>
      </c>
      <c r="AN46" s="214">
        <f t="shared" si="17"/>
        <v>2</v>
      </c>
      <c r="AO46" s="214">
        <f t="shared" si="17"/>
        <v>3</v>
      </c>
      <c r="AP46" s="206">
        <f t="shared" si="18"/>
        <v>0.68750000000000011</v>
      </c>
      <c r="AQ46" s="213">
        <f t="shared" si="19"/>
        <v>0.33333333333333326</v>
      </c>
      <c r="AR46" s="213">
        <f t="shared" si="19"/>
        <v>0.33333333333333326</v>
      </c>
      <c r="AS46" s="213">
        <f t="shared" si="19"/>
        <v>0</v>
      </c>
      <c r="AT46" s="213">
        <f t="shared" si="19"/>
        <v>0</v>
      </c>
      <c r="AU46" s="213">
        <f t="shared" si="19"/>
        <v>0.66666666666666674</v>
      </c>
      <c r="AV46" s="213">
        <f t="shared" si="19"/>
        <v>0.66666666666666674</v>
      </c>
      <c r="AW46" s="213">
        <f t="shared" si="19"/>
        <v>1.5</v>
      </c>
      <c r="AY46" s="162">
        <f t="shared" si="20"/>
        <v>13.103494583021993</v>
      </c>
      <c r="AZ46" s="162">
        <f t="shared" si="20"/>
        <v>12.805788470897323</v>
      </c>
      <c r="BA46" s="162">
        <f t="shared" si="20"/>
        <v>13.737104234203347</v>
      </c>
      <c r="BB46" s="162">
        <f t="shared" si="20"/>
        <v>12.625238642742138</v>
      </c>
      <c r="BC46" s="162">
        <f t="shared" si="20"/>
        <v>13.711169475164899</v>
      </c>
      <c r="BD46" s="162">
        <f t="shared" si="20"/>
        <v>12.984315528895797</v>
      </c>
      <c r="BE46" s="162">
        <f t="shared" si="20"/>
        <v>12.329480973678139</v>
      </c>
    </row>
    <row r="47" spans="1:57" x14ac:dyDescent="0.2">
      <c r="A47" s="143">
        <f t="shared" si="8"/>
        <v>13.1</v>
      </c>
      <c r="B47" s="147">
        <f t="shared" si="21"/>
        <v>0.70833333333333348</v>
      </c>
      <c r="C47" s="145">
        <f>EN!C47+PIG!C47</f>
        <v>12.7</v>
      </c>
      <c r="D47" s="145">
        <f>EN!D47+PIG!D47</f>
        <v>13.866666666666667</v>
      </c>
      <c r="E47" s="145">
        <f>EN!E47+PIG!E47</f>
        <v>14.633333333333333</v>
      </c>
      <c r="F47" s="145">
        <f>EN!F47+PIG!F47</f>
        <v>13.600000000000001</v>
      </c>
      <c r="G47" s="145">
        <f>EN!G47+PIG!G47</f>
        <v>13.3</v>
      </c>
      <c r="H47" s="145">
        <f>EN!H47+PIG!H47</f>
        <v>12.6</v>
      </c>
      <c r="I47" s="145">
        <f>EN!I47+PIG!I47</f>
        <v>11</v>
      </c>
      <c r="J47" s="165">
        <v>35</v>
      </c>
      <c r="K47" s="43">
        <f t="shared" si="9"/>
        <v>3</v>
      </c>
      <c r="L47" s="43">
        <f t="shared" si="10"/>
        <v>3</v>
      </c>
      <c r="M47" s="43">
        <f t="shared" si="11"/>
        <v>3</v>
      </c>
      <c r="N47" s="43">
        <f t="shared" si="12"/>
        <v>3</v>
      </c>
      <c r="O47" s="43">
        <f t="shared" si="13"/>
        <v>3</v>
      </c>
      <c r="P47" s="43">
        <f t="shared" si="14"/>
        <v>3</v>
      </c>
      <c r="Q47" s="43">
        <f t="shared" si="15"/>
        <v>2</v>
      </c>
      <c r="R47" s="165">
        <v>35</v>
      </c>
      <c r="S47" s="146">
        <v>4</v>
      </c>
      <c r="T47" s="146">
        <v>4</v>
      </c>
      <c r="U47" s="146">
        <v>4</v>
      </c>
      <c r="V47" s="146">
        <v>3</v>
      </c>
      <c r="W47" s="146">
        <v>2</v>
      </c>
      <c r="X47" s="146">
        <v>2</v>
      </c>
      <c r="Y47" s="146">
        <v>3</v>
      </c>
      <c r="AA47" s="55">
        <f t="shared" si="16"/>
        <v>0.99018850753314802</v>
      </c>
      <c r="AB47" s="55">
        <f t="shared" si="16"/>
        <v>0.98704497199441488</v>
      </c>
      <c r="AC47" s="55">
        <f t="shared" si="16"/>
        <v>0.98523144901774862</v>
      </c>
      <c r="AD47" s="55">
        <f t="shared" si="16"/>
        <v>0.93289940709917296</v>
      </c>
      <c r="AE47" s="55">
        <f t="shared" si="16"/>
        <v>0.73384692577787658</v>
      </c>
      <c r="AF47" s="55">
        <f t="shared" si="16"/>
        <v>0.72844603181901912</v>
      </c>
      <c r="AG47" s="55">
        <f t="shared" si="16"/>
        <v>0.98135715592717976</v>
      </c>
      <c r="AI47" s="214">
        <f t="shared" si="17"/>
        <v>1</v>
      </c>
      <c r="AJ47" s="214">
        <f t="shared" si="17"/>
        <v>1</v>
      </c>
      <c r="AK47" s="214">
        <f t="shared" si="17"/>
        <v>1</v>
      </c>
      <c r="AL47" s="214">
        <f t="shared" si="17"/>
        <v>0</v>
      </c>
      <c r="AM47" s="214">
        <f t="shared" si="17"/>
        <v>-1</v>
      </c>
      <c r="AN47" s="214">
        <f t="shared" si="17"/>
        <v>-1</v>
      </c>
      <c r="AO47" s="214">
        <f t="shared" si="17"/>
        <v>1</v>
      </c>
      <c r="AP47" s="206">
        <f t="shared" si="18"/>
        <v>0.70833333333333348</v>
      </c>
      <c r="AQ47" s="213">
        <f t="shared" si="19"/>
        <v>0.33333333333333326</v>
      </c>
      <c r="AR47" s="213">
        <f t="shared" si="19"/>
        <v>0.33333333333333326</v>
      </c>
      <c r="AS47" s="213">
        <f t="shared" si="19"/>
        <v>0.33333333333333326</v>
      </c>
      <c r="AT47" s="213">
        <f t="shared" si="19"/>
        <v>0</v>
      </c>
      <c r="AU47" s="213">
        <f t="shared" si="19"/>
        <v>-0.33333333333333337</v>
      </c>
      <c r="AV47" s="213">
        <f t="shared" si="19"/>
        <v>-0.33333333333333337</v>
      </c>
      <c r="AW47" s="213">
        <f t="shared" si="19"/>
        <v>0.5</v>
      </c>
      <c r="AY47" s="162">
        <f t="shared" si="20"/>
        <v>12.575394045670979</v>
      </c>
      <c r="AZ47" s="162">
        <f t="shared" si="20"/>
        <v>13.687023611655887</v>
      </c>
      <c r="BA47" s="162">
        <f t="shared" si="20"/>
        <v>14.417220203959721</v>
      </c>
      <c r="BB47" s="162">
        <f t="shared" si="20"/>
        <v>12.687431936548753</v>
      </c>
      <c r="BC47" s="162">
        <f t="shared" si="20"/>
        <v>9.760164112845759</v>
      </c>
      <c r="BD47" s="162">
        <f t="shared" si="20"/>
        <v>9.1784200009196404</v>
      </c>
      <c r="BE47" s="162">
        <f t="shared" si="20"/>
        <v>10.794928715198978</v>
      </c>
    </row>
    <row r="48" spans="1:57" ht="13.5" customHeight="1" x14ac:dyDescent="0.2">
      <c r="A48" s="143">
        <f t="shared" si="8"/>
        <v>12.447619047619048</v>
      </c>
      <c r="B48" s="147">
        <f t="shared" si="21"/>
        <v>0.72916666666666685</v>
      </c>
      <c r="C48" s="145">
        <f>EN!C48+PIG!C48</f>
        <v>11.866666666666667</v>
      </c>
      <c r="D48" s="145">
        <f>EN!D48+PIG!D48</f>
        <v>13.866666666666667</v>
      </c>
      <c r="E48" s="145">
        <f>EN!E48+PIG!E48</f>
        <v>13.633333333333333</v>
      </c>
      <c r="F48" s="145">
        <f>EN!F48+PIG!F48</f>
        <v>12.766666666666667</v>
      </c>
      <c r="G48" s="145">
        <f>EN!G48+PIG!G48</f>
        <v>12.066666666666666</v>
      </c>
      <c r="H48" s="145">
        <f>EN!H48+PIG!H48</f>
        <v>12.466666666666669</v>
      </c>
      <c r="I48" s="145">
        <f>EN!I48+PIG!I48</f>
        <v>10.466666666666667</v>
      </c>
      <c r="J48" s="165">
        <v>36</v>
      </c>
      <c r="K48" s="43">
        <f t="shared" si="9"/>
        <v>3</v>
      </c>
      <c r="L48" s="43">
        <f t="shared" si="10"/>
        <v>3</v>
      </c>
      <c r="M48" s="43">
        <f t="shared" si="11"/>
        <v>3</v>
      </c>
      <c r="N48" s="43">
        <f t="shared" si="12"/>
        <v>3</v>
      </c>
      <c r="O48" s="43">
        <f t="shared" si="13"/>
        <v>3</v>
      </c>
      <c r="P48" s="43">
        <f t="shared" si="14"/>
        <v>3</v>
      </c>
      <c r="Q48" s="43">
        <f t="shared" si="15"/>
        <v>2</v>
      </c>
      <c r="R48" s="165">
        <v>36</v>
      </c>
      <c r="S48" s="146">
        <v>4</v>
      </c>
      <c r="T48" s="146">
        <v>4</v>
      </c>
      <c r="U48" s="146">
        <v>4</v>
      </c>
      <c r="V48" s="146">
        <v>3</v>
      </c>
      <c r="W48" s="146">
        <v>2</v>
      </c>
      <c r="X48" s="146">
        <v>2</v>
      </c>
      <c r="Y48" s="146">
        <v>3</v>
      </c>
      <c r="AA48" s="55">
        <f t="shared" si="16"/>
        <v>0.99270208263962678</v>
      </c>
      <c r="AB48" s="55">
        <f t="shared" si="16"/>
        <v>0.98704497199441488</v>
      </c>
      <c r="AC48" s="55">
        <f t="shared" si="16"/>
        <v>0.98854660219941271</v>
      </c>
      <c r="AD48" s="55">
        <f t="shared" si="16"/>
        <v>0.9456556961056648</v>
      </c>
      <c r="AE48" s="55">
        <f t="shared" si="16"/>
        <v>0.77454569994535927</v>
      </c>
      <c r="AF48" s="55">
        <f t="shared" si="16"/>
        <v>0.76993648302546502</v>
      </c>
      <c r="AG48" s="55">
        <f t="shared" si="16"/>
        <v>0.98587780694771943</v>
      </c>
      <c r="AI48" s="214">
        <f t="shared" si="17"/>
        <v>1</v>
      </c>
      <c r="AJ48" s="214">
        <f t="shared" si="17"/>
        <v>1</v>
      </c>
      <c r="AK48" s="214">
        <f t="shared" si="17"/>
        <v>1</v>
      </c>
      <c r="AL48" s="214">
        <f t="shared" si="17"/>
        <v>0</v>
      </c>
      <c r="AM48" s="214">
        <f t="shared" si="17"/>
        <v>-1</v>
      </c>
      <c r="AN48" s="214">
        <f t="shared" si="17"/>
        <v>-1</v>
      </c>
      <c r="AO48" s="214">
        <f t="shared" si="17"/>
        <v>1</v>
      </c>
      <c r="AP48" s="206">
        <f t="shared" si="18"/>
        <v>0.72916666666666685</v>
      </c>
      <c r="AQ48" s="213">
        <f t="shared" si="19"/>
        <v>0.33333333333333326</v>
      </c>
      <c r="AR48" s="213">
        <f t="shared" si="19"/>
        <v>0.33333333333333326</v>
      </c>
      <c r="AS48" s="213">
        <f t="shared" si="19"/>
        <v>0.33333333333333326</v>
      </c>
      <c r="AT48" s="213">
        <f t="shared" si="19"/>
        <v>0</v>
      </c>
      <c r="AU48" s="213">
        <f t="shared" si="19"/>
        <v>-0.33333333333333337</v>
      </c>
      <c r="AV48" s="213">
        <f t="shared" si="19"/>
        <v>-0.33333333333333337</v>
      </c>
      <c r="AW48" s="213">
        <f t="shared" si="19"/>
        <v>0.5</v>
      </c>
      <c r="AY48" s="162">
        <f t="shared" si="20"/>
        <v>11.780064713990239</v>
      </c>
      <c r="AZ48" s="162">
        <f t="shared" si="20"/>
        <v>13.687023611655887</v>
      </c>
      <c r="BA48" s="162">
        <f t="shared" si="20"/>
        <v>13.477185343318659</v>
      </c>
      <c r="BB48" s="162">
        <f t="shared" si="20"/>
        <v>12.072871053615655</v>
      </c>
      <c r="BC48" s="162">
        <f t="shared" si="20"/>
        <v>9.3461847793406676</v>
      </c>
      <c r="BD48" s="162">
        <f t="shared" si="20"/>
        <v>9.5985414883841322</v>
      </c>
      <c r="BE48" s="162">
        <f t="shared" si="20"/>
        <v>10.31885437938613</v>
      </c>
    </row>
    <row r="49" spans="1:57" x14ac:dyDescent="0.2">
      <c r="A49" s="143">
        <f t="shared" si="8"/>
        <v>11.928571428571429</v>
      </c>
      <c r="B49" s="147">
        <f t="shared" si="21"/>
        <v>0.75000000000000022</v>
      </c>
      <c r="C49" s="145">
        <f>EN!C49+PIG!C49</f>
        <v>12.533333333333335</v>
      </c>
      <c r="D49" s="145">
        <f>EN!D49+PIG!D49</f>
        <v>12.633333333333333</v>
      </c>
      <c r="E49" s="145">
        <f>EN!E49+PIG!E49</f>
        <v>12.266666666666666</v>
      </c>
      <c r="F49" s="145">
        <f>EN!F49+PIG!F49</f>
        <v>12.133333333333333</v>
      </c>
      <c r="G49" s="145">
        <f>EN!G49+PIG!G49</f>
        <v>10.733333333333334</v>
      </c>
      <c r="H49" s="145">
        <f>EN!H49+PIG!H49</f>
        <v>11.366666666666665</v>
      </c>
      <c r="I49" s="145">
        <f>EN!I49+PIG!I49</f>
        <v>11.833333333333334</v>
      </c>
      <c r="J49" s="165">
        <v>37</v>
      </c>
      <c r="K49" s="43">
        <f t="shared" si="9"/>
        <v>3</v>
      </c>
      <c r="L49" s="43">
        <f t="shared" si="10"/>
        <v>3</v>
      </c>
      <c r="M49" s="43">
        <f t="shared" si="11"/>
        <v>3</v>
      </c>
      <c r="N49" s="43">
        <f t="shared" si="12"/>
        <v>3</v>
      </c>
      <c r="O49" s="43">
        <f t="shared" si="13"/>
        <v>2</v>
      </c>
      <c r="P49" s="43">
        <f t="shared" si="14"/>
        <v>2</v>
      </c>
      <c r="Q49" s="43">
        <f t="shared" si="15"/>
        <v>2</v>
      </c>
      <c r="R49" s="165">
        <v>37</v>
      </c>
      <c r="S49" s="146">
        <v>4</v>
      </c>
      <c r="T49" s="146">
        <v>4</v>
      </c>
      <c r="U49" s="146">
        <v>4</v>
      </c>
      <c r="V49" s="146">
        <v>4</v>
      </c>
      <c r="W49" s="146">
        <v>3</v>
      </c>
      <c r="X49" s="146">
        <v>3</v>
      </c>
      <c r="Y49" s="146">
        <v>3</v>
      </c>
      <c r="AA49" s="55">
        <f t="shared" si="16"/>
        <v>0.99018850753314802</v>
      </c>
      <c r="AB49" s="55">
        <f t="shared" si="16"/>
        <v>0.99013828383226732</v>
      </c>
      <c r="AC49" s="55">
        <f t="shared" si="16"/>
        <v>0.99353079073403738</v>
      </c>
      <c r="AD49" s="55">
        <f t="shared" si="16"/>
        <v>0.99335658038634189</v>
      </c>
      <c r="AE49" s="55">
        <f t="shared" si="16"/>
        <v>0.96770927182352462</v>
      </c>
      <c r="AF49" s="55">
        <f t="shared" si="16"/>
        <v>0.96671660229374035</v>
      </c>
      <c r="AG49" s="55">
        <f t="shared" si="16"/>
        <v>0.97597936317999712</v>
      </c>
      <c r="AI49" s="214">
        <f t="shared" si="17"/>
        <v>1</v>
      </c>
      <c r="AJ49" s="214">
        <f t="shared" si="17"/>
        <v>1</v>
      </c>
      <c r="AK49" s="214">
        <f t="shared" si="17"/>
        <v>1</v>
      </c>
      <c r="AL49" s="214">
        <f t="shared" si="17"/>
        <v>1</v>
      </c>
      <c r="AM49" s="214">
        <f t="shared" si="17"/>
        <v>1</v>
      </c>
      <c r="AN49" s="214">
        <f t="shared" si="17"/>
        <v>1</v>
      </c>
      <c r="AO49" s="214">
        <f t="shared" si="17"/>
        <v>1</v>
      </c>
      <c r="AP49" s="206">
        <f t="shared" si="18"/>
        <v>0.75000000000000022</v>
      </c>
      <c r="AQ49" s="213">
        <f t="shared" si="19"/>
        <v>0.33333333333333326</v>
      </c>
      <c r="AR49" s="213">
        <f t="shared" si="19"/>
        <v>0.33333333333333326</v>
      </c>
      <c r="AS49" s="213">
        <f t="shared" si="19"/>
        <v>0.33333333333333326</v>
      </c>
      <c r="AT49" s="213">
        <f t="shared" si="19"/>
        <v>0.33333333333333326</v>
      </c>
      <c r="AU49" s="213">
        <f t="shared" si="19"/>
        <v>0.5</v>
      </c>
      <c r="AV49" s="213">
        <f t="shared" si="19"/>
        <v>0.5</v>
      </c>
      <c r="AW49" s="213">
        <f t="shared" si="19"/>
        <v>0.5</v>
      </c>
      <c r="AY49" s="162">
        <f t="shared" si="20"/>
        <v>12.410362627748791</v>
      </c>
      <c r="AZ49" s="162">
        <f t="shared" si="20"/>
        <v>12.508746985747644</v>
      </c>
      <c r="BA49" s="162">
        <f t="shared" si="20"/>
        <v>12.187311033004191</v>
      </c>
      <c r="BB49" s="162">
        <f t="shared" si="20"/>
        <v>12.052726508687615</v>
      </c>
      <c r="BC49" s="162">
        <f t="shared" si="20"/>
        <v>10.386746184239165</v>
      </c>
      <c r="BD49" s="162">
        <f t="shared" si="20"/>
        <v>10.988345379405514</v>
      </c>
      <c r="BE49" s="162">
        <f t="shared" si="20"/>
        <v>11.549089130963299</v>
      </c>
    </row>
    <row r="50" spans="1:57" x14ac:dyDescent="0.2">
      <c r="A50" s="143">
        <f t="shared" si="8"/>
        <v>12.495238095238095</v>
      </c>
      <c r="B50" s="147">
        <f t="shared" si="21"/>
        <v>0.77083333333333359</v>
      </c>
      <c r="C50" s="145">
        <f>EN!C50+PIG!C50</f>
        <v>13.233333333333334</v>
      </c>
      <c r="D50" s="145">
        <f>EN!D50+PIG!D50</f>
        <v>13.466666666666669</v>
      </c>
      <c r="E50" s="145">
        <f>EN!E50+PIG!E50</f>
        <v>12.2</v>
      </c>
      <c r="F50" s="145">
        <f>EN!F50+PIG!F50</f>
        <v>12.966666666666667</v>
      </c>
      <c r="G50" s="145">
        <f>EN!G50+PIG!G50</f>
        <v>11.133333333333333</v>
      </c>
      <c r="H50" s="145">
        <f>EN!H50+PIG!H50</f>
        <v>12.366666666666665</v>
      </c>
      <c r="I50" s="145">
        <f>EN!I50+PIG!I50</f>
        <v>12.1</v>
      </c>
      <c r="J50" s="165">
        <v>38</v>
      </c>
      <c r="K50" s="43">
        <f t="shared" si="9"/>
        <v>3</v>
      </c>
      <c r="L50" s="43">
        <f t="shared" si="10"/>
        <v>3</v>
      </c>
      <c r="M50" s="43">
        <f t="shared" si="11"/>
        <v>3</v>
      </c>
      <c r="N50" s="43">
        <f t="shared" si="12"/>
        <v>3</v>
      </c>
      <c r="O50" s="43">
        <f t="shared" si="13"/>
        <v>2</v>
      </c>
      <c r="P50" s="43">
        <f t="shared" si="14"/>
        <v>3</v>
      </c>
      <c r="Q50" s="43">
        <f t="shared" si="15"/>
        <v>2</v>
      </c>
      <c r="R50" s="165">
        <v>38</v>
      </c>
      <c r="S50" s="146">
        <v>4</v>
      </c>
      <c r="T50" s="146">
        <v>4</v>
      </c>
      <c r="U50" s="146">
        <v>4</v>
      </c>
      <c r="V50" s="146">
        <v>4</v>
      </c>
      <c r="W50" s="146">
        <v>3</v>
      </c>
      <c r="X50" s="146">
        <v>3</v>
      </c>
      <c r="Y50" s="146">
        <v>3</v>
      </c>
      <c r="AA50" s="55">
        <f t="shared" si="16"/>
        <v>0.99018850753314802</v>
      </c>
      <c r="AB50" s="55">
        <f t="shared" si="16"/>
        <v>0.99013828383226732</v>
      </c>
      <c r="AC50" s="55">
        <f t="shared" si="16"/>
        <v>0.99353079073403738</v>
      </c>
      <c r="AD50" s="55">
        <f t="shared" si="16"/>
        <v>0.99105995975084338</v>
      </c>
      <c r="AE50" s="55">
        <f t="shared" si="16"/>
        <v>0.96770927182352462</v>
      </c>
      <c r="AF50" s="55">
        <f t="shared" si="16"/>
        <v>0.95734552446637844</v>
      </c>
      <c r="AG50" s="55">
        <f t="shared" si="16"/>
        <v>0.97597936317999712</v>
      </c>
      <c r="AI50" s="214">
        <f t="shared" si="17"/>
        <v>1</v>
      </c>
      <c r="AJ50" s="214">
        <f t="shared" si="17"/>
        <v>1</v>
      </c>
      <c r="AK50" s="214">
        <f t="shared" si="17"/>
        <v>1</v>
      </c>
      <c r="AL50" s="214">
        <f t="shared" si="17"/>
        <v>1</v>
      </c>
      <c r="AM50" s="214">
        <f t="shared" si="17"/>
        <v>1</v>
      </c>
      <c r="AN50" s="214">
        <f t="shared" si="17"/>
        <v>0</v>
      </c>
      <c r="AO50" s="214">
        <f t="shared" si="17"/>
        <v>1</v>
      </c>
      <c r="AP50" s="206">
        <f t="shared" si="18"/>
        <v>0.77083333333333359</v>
      </c>
      <c r="AQ50" s="213">
        <f t="shared" si="19"/>
        <v>0.33333333333333326</v>
      </c>
      <c r="AR50" s="213">
        <f t="shared" si="19"/>
        <v>0.33333333333333326</v>
      </c>
      <c r="AS50" s="213">
        <f t="shared" si="19"/>
        <v>0.33333333333333326</v>
      </c>
      <c r="AT50" s="213">
        <f t="shared" si="19"/>
        <v>0.33333333333333326</v>
      </c>
      <c r="AU50" s="213">
        <f t="shared" si="19"/>
        <v>0.5</v>
      </c>
      <c r="AV50" s="213">
        <f t="shared" si="19"/>
        <v>0</v>
      </c>
      <c r="AW50" s="213">
        <f t="shared" si="19"/>
        <v>0.5</v>
      </c>
      <c r="AY50" s="162">
        <f t="shared" si="20"/>
        <v>13.103494583021993</v>
      </c>
      <c r="AZ50" s="162">
        <f t="shared" si="20"/>
        <v>13.333862222274535</v>
      </c>
      <c r="BA50" s="162">
        <f t="shared" si="20"/>
        <v>12.121075646955255</v>
      </c>
      <c r="BB50" s="162">
        <f t="shared" si="20"/>
        <v>12.850744144769269</v>
      </c>
      <c r="BC50" s="162">
        <f t="shared" si="20"/>
        <v>10.773829892968573</v>
      </c>
      <c r="BD50" s="162">
        <f t="shared" si="20"/>
        <v>11.839172985900879</v>
      </c>
      <c r="BE50" s="162">
        <f t="shared" si="20"/>
        <v>11.809350294477964</v>
      </c>
    </row>
    <row r="51" spans="1:57" x14ac:dyDescent="0.2">
      <c r="A51" s="143">
        <f t="shared" si="8"/>
        <v>13.223809523809525</v>
      </c>
      <c r="B51" s="147">
        <f t="shared" si="21"/>
        <v>0.79166666666666696</v>
      </c>
      <c r="C51" s="145">
        <f>EN!C51+PIG!C51</f>
        <v>15.233333333333334</v>
      </c>
      <c r="D51" s="145">
        <f>EN!D51+PIG!D51</f>
        <v>13.366666666666665</v>
      </c>
      <c r="E51" s="145">
        <f>EN!E51+PIG!E51</f>
        <v>13.233333333333334</v>
      </c>
      <c r="F51" s="145">
        <f>EN!F51+PIG!F51</f>
        <v>13.833333333333332</v>
      </c>
      <c r="G51" s="145">
        <f>EN!G51+PIG!G51</f>
        <v>11.4</v>
      </c>
      <c r="H51" s="145">
        <f>EN!H51+PIG!H51</f>
        <v>12.566666666666665</v>
      </c>
      <c r="I51" s="145">
        <f>EN!I51+PIG!I51</f>
        <v>12.933333333333335</v>
      </c>
      <c r="J51" s="165">
        <v>39</v>
      </c>
      <c r="K51" s="43">
        <f t="shared" si="9"/>
        <v>3</v>
      </c>
      <c r="L51" s="43">
        <f t="shared" si="10"/>
        <v>3</v>
      </c>
      <c r="M51" s="43">
        <f t="shared" si="11"/>
        <v>3</v>
      </c>
      <c r="N51" s="43">
        <f t="shared" si="12"/>
        <v>3</v>
      </c>
      <c r="O51" s="43">
        <f t="shared" si="13"/>
        <v>2</v>
      </c>
      <c r="P51" s="43">
        <f t="shared" si="14"/>
        <v>3</v>
      </c>
      <c r="Q51" s="43">
        <f t="shared" si="15"/>
        <v>2</v>
      </c>
      <c r="R51" s="165">
        <v>39</v>
      </c>
      <c r="S51" s="146">
        <v>4</v>
      </c>
      <c r="T51" s="146">
        <v>4</v>
      </c>
      <c r="U51" s="146">
        <v>3</v>
      </c>
      <c r="V51" s="146">
        <v>4</v>
      </c>
      <c r="W51" s="146">
        <v>3</v>
      </c>
      <c r="X51" s="146">
        <v>3</v>
      </c>
      <c r="Y51" s="146">
        <v>3</v>
      </c>
      <c r="AA51" s="55">
        <f t="shared" si="16"/>
        <v>0.98339846594540015</v>
      </c>
      <c r="AB51" s="55">
        <f t="shared" si="16"/>
        <v>0.99013828383226732</v>
      </c>
      <c r="AC51" s="55">
        <f t="shared" si="16"/>
        <v>0.94670620135097472</v>
      </c>
      <c r="AD51" s="55">
        <f t="shared" si="16"/>
        <v>0.988244308163303</v>
      </c>
      <c r="AE51" s="55">
        <f t="shared" si="16"/>
        <v>0.96770927182352462</v>
      </c>
      <c r="AF51" s="55">
        <f t="shared" si="16"/>
        <v>0.94642298725156015</v>
      </c>
      <c r="AG51" s="55">
        <f t="shared" si="16"/>
        <v>0.96967167240376795</v>
      </c>
      <c r="AI51" s="214">
        <f t="shared" si="17"/>
        <v>1</v>
      </c>
      <c r="AJ51" s="214">
        <f t="shared" si="17"/>
        <v>1</v>
      </c>
      <c r="AK51" s="214">
        <f t="shared" si="17"/>
        <v>0</v>
      </c>
      <c r="AL51" s="214">
        <f t="shared" si="17"/>
        <v>1</v>
      </c>
      <c r="AM51" s="214">
        <f t="shared" si="17"/>
        <v>1</v>
      </c>
      <c r="AN51" s="214">
        <f t="shared" si="17"/>
        <v>0</v>
      </c>
      <c r="AO51" s="214">
        <f t="shared" si="17"/>
        <v>1</v>
      </c>
      <c r="AP51" s="206">
        <f t="shared" si="18"/>
        <v>0.79166666666666696</v>
      </c>
      <c r="AQ51" s="213">
        <f t="shared" si="19"/>
        <v>0.33333333333333326</v>
      </c>
      <c r="AR51" s="213">
        <f t="shared" si="19"/>
        <v>0.33333333333333326</v>
      </c>
      <c r="AS51" s="213">
        <f t="shared" si="19"/>
        <v>0</v>
      </c>
      <c r="AT51" s="213">
        <f t="shared" si="19"/>
        <v>0.33333333333333326</v>
      </c>
      <c r="AU51" s="213">
        <f t="shared" si="19"/>
        <v>0.5</v>
      </c>
      <c r="AV51" s="213">
        <f t="shared" si="19"/>
        <v>0</v>
      </c>
      <c r="AW51" s="213">
        <f t="shared" si="19"/>
        <v>0.5</v>
      </c>
      <c r="AY51" s="162">
        <f t="shared" si="20"/>
        <v>14.98043663123493</v>
      </c>
      <c r="AZ51" s="162">
        <f t="shared" si="20"/>
        <v>13.234848393891305</v>
      </c>
      <c r="BA51" s="162">
        <f t="shared" si="20"/>
        <v>12.528078731211233</v>
      </c>
      <c r="BB51" s="162">
        <f t="shared" si="20"/>
        <v>13.670712929592357</v>
      </c>
      <c r="BC51" s="162">
        <f t="shared" si="20"/>
        <v>11.03188569878818</v>
      </c>
      <c r="BD51" s="162">
        <f t="shared" si="20"/>
        <v>11.89338220646127</v>
      </c>
      <c r="BE51" s="162">
        <f t="shared" si="20"/>
        <v>12.541086963088734</v>
      </c>
    </row>
    <row r="52" spans="1:57" x14ac:dyDescent="0.2">
      <c r="A52" s="143">
        <f t="shared" si="8"/>
        <v>14.604761904761903</v>
      </c>
      <c r="B52" s="147">
        <f t="shared" si="21"/>
        <v>0.81250000000000033</v>
      </c>
      <c r="C52" s="145">
        <f>EN!C52+PIG!C52</f>
        <v>15.933333333333334</v>
      </c>
      <c r="D52" s="145">
        <f>EN!D52+PIG!D52</f>
        <v>14.766666666666666</v>
      </c>
      <c r="E52" s="145">
        <f>EN!E52+PIG!E52</f>
        <v>15.866666666666667</v>
      </c>
      <c r="F52" s="145">
        <f>EN!F52+PIG!F52</f>
        <v>15.033333333333331</v>
      </c>
      <c r="G52" s="145">
        <f>EN!G52+PIG!G52</f>
        <v>13.133333333333333</v>
      </c>
      <c r="H52" s="145">
        <f>EN!H52+PIG!H52</f>
        <v>13.866666666666667</v>
      </c>
      <c r="I52" s="145">
        <f>EN!I52+PIG!I52</f>
        <v>13.633333333333333</v>
      </c>
      <c r="J52" s="165">
        <v>40</v>
      </c>
      <c r="K52" s="43">
        <f t="shared" si="9"/>
        <v>3</v>
      </c>
      <c r="L52" s="43">
        <f t="shared" si="10"/>
        <v>3</v>
      </c>
      <c r="M52" s="43">
        <f t="shared" si="11"/>
        <v>3</v>
      </c>
      <c r="N52" s="43">
        <f t="shared" si="12"/>
        <v>3</v>
      </c>
      <c r="O52" s="43">
        <f t="shared" si="13"/>
        <v>3</v>
      </c>
      <c r="P52" s="43">
        <f t="shared" si="14"/>
        <v>3</v>
      </c>
      <c r="Q52" s="43">
        <f t="shared" si="15"/>
        <v>3</v>
      </c>
      <c r="R52" s="165">
        <v>40</v>
      </c>
      <c r="S52" s="146">
        <v>4</v>
      </c>
      <c r="T52" s="146">
        <v>4</v>
      </c>
      <c r="U52" s="146">
        <v>3</v>
      </c>
      <c r="V52" s="146">
        <v>4</v>
      </c>
      <c r="W52" s="146">
        <v>3</v>
      </c>
      <c r="X52" s="146">
        <v>3</v>
      </c>
      <c r="Y52" s="146">
        <v>3</v>
      </c>
      <c r="AA52" s="55">
        <f t="shared" si="16"/>
        <v>0.97898165052968233</v>
      </c>
      <c r="AB52" s="55">
        <f t="shared" si="16"/>
        <v>0.98331516987006651</v>
      </c>
      <c r="AC52" s="55">
        <f t="shared" si="16"/>
        <v>0.90372453529844776</v>
      </c>
      <c r="AD52" s="55">
        <f t="shared" si="16"/>
        <v>0.98484545376674415</v>
      </c>
      <c r="AE52" s="55">
        <f t="shared" si="16"/>
        <v>0.94799012305898744</v>
      </c>
      <c r="AF52" s="55">
        <f t="shared" si="16"/>
        <v>0.93383792046170833</v>
      </c>
      <c r="AG52" s="55">
        <f t="shared" si="16"/>
        <v>0.96236022627782924</v>
      </c>
      <c r="AI52" s="214">
        <f t="shared" si="17"/>
        <v>1</v>
      </c>
      <c r="AJ52" s="214">
        <f t="shared" si="17"/>
        <v>1</v>
      </c>
      <c r="AK52" s="214">
        <f t="shared" si="17"/>
        <v>0</v>
      </c>
      <c r="AL52" s="214">
        <f t="shared" si="17"/>
        <v>1</v>
      </c>
      <c r="AM52" s="214">
        <f t="shared" si="17"/>
        <v>0</v>
      </c>
      <c r="AN52" s="214">
        <f t="shared" si="17"/>
        <v>0</v>
      </c>
      <c r="AO52" s="214">
        <f t="shared" si="17"/>
        <v>0</v>
      </c>
      <c r="AP52" s="206">
        <f t="shared" si="18"/>
        <v>0.81250000000000033</v>
      </c>
      <c r="AQ52" s="213">
        <f t="shared" si="19"/>
        <v>0.33333333333333326</v>
      </c>
      <c r="AR52" s="213">
        <f t="shared" si="19"/>
        <v>0.33333333333333326</v>
      </c>
      <c r="AS52" s="213">
        <f t="shared" si="19"/>
        <v>0</v>
      </c>
      <c r="AT52" s="213">
        <f t="shared" si="19"/>
        <v>0.33333333333333326</v>
      </c>
      <c r="AU52" s="213">
        <f t="shared" si="19"/>
        <v>0</v>
      </c>
      <c r="AV52" s="213">
        <f t="shared" si="19"/>
        <v>0</v>
      </c>
      <c r="AW52" s="213">
        <f t="shared" si="19"/>
        <v>0</v>
      </c>
      <c r="AY52" s="162">
        <f t="shared" si="20"/>
        <v>15.598440965106272</v>
      </c>
      <c r="AZ52" s="162">
        <f t="shared" si="20"/>
        <v>14.520287341747981</v>
      </c>
      <c r="BA52" s="162">
        <f t="shared" si="20"/>
        <v>14.339095960068706</v>
      </c>
      <c r="BB52" s="162">
        <f t="shared" si="20"/>
        <v>14.805509988293386</v>
      </c>
      <c r="BC52" s="162">
        <f t="shared" si="20"/>
        <v>12.450270282841368</v>
      </c>
      <c r="BD52" s="162">
        <f t="shared" si="20"/>
        <v>12.949219163735689</v>
      </c>
      <c r="BE52" s="162">
        <f t="shared" si="20"/>
        <v>13.120177751587738</v>
      </c>
    </row>
    <row r="53" spans="1:57" x14ac:dyDescent="0.2">
      <c r="A53" s="143">
        <f t="shared" si="8"/>
        <v>14.752380952380951</v>
      </c>
      <c r="B53" s="147">
        <f t="shared" si="21"/>
        <v>0.8333333333333337</v>
      </c>
      <c r="C53" s="145">
        <f>EN!C53+PIG!C53</f>
        <v>16.5</v>
      </c>
      <c r="D53" s="145">
        <f>EN!D53+PIG!D53</f>
        <v>15.100000000000001</v>
      </c>
      <c r="E53" s="145">
        <f>EN!E53+PIG!E53</f>
        <v>16.266666666666666</v>
      </c>
      <c r="F53" s="145">
        <f>EN!F53+PIG!F53</f>
        <v>14.8</v>
      </c>
      <c r="G53" s="145">
        <f>EN!G53+PIG!G53</f>
        <v>13.066666666666666</v>
      </c>
      <c r="H53" s="145">
        <f>EN!H53+PIG!H53</f>
        <v>13.566666666666666</v>
      </c>
      <c r="I53" s="145">
        <f>EN!I53+PIG!I53</f>
        <v>13.966666666666665</v>
      </c>
      <c r="J53" s="165">
        <v>41</v>
      </c>
      <c r="K53" s="43">
        <f t="shared" si="9"/>
        <v>3</v>
      </c>
      <c r="L53" s="43">
        <f t="shared" si="10"/>
        <v>3</v>
      </c>
      <c r="M53" s="43">
        <f t="shared" si="11"/>
        <v>3</v>
      </c>
      <c r="N53" s="43">
        <f t="shared" si="12"/>
        <v>3</v>
      </c>
      <c r="O53" s="43">
        <f t="shared" si="13"/>
        <v>3</v>
      </c>
      <c r="P53" s="43">
        <f t="shared" si="14"/>
        <v>3</v>
      </c>
      <c r="Q53" s="43">
        <f t="shared" si="15"/>
        <v>3</v>
      </c>
      <c r="R53" s="165">
        <v>41</v>
      </c>
      <c r="S53" s="146">
        <v>4</v>
      </c>
      <c r="T53" s="146">
        <v>4</v>
      </c>
      <c r="U53" s="146">
        <v>3</v>
      </c>
      <c r="V53" s="146">
        <v>4</v>
      </c>
      <c r="W53" s="146">
        <v>3</v>
      </c>
      <c r="X53" s="146">
        <v>3</v>
      </c>
      <c r="Y53" s="146">
        <v>3</v>
      </c>
      <c r="AA53" s="55">
        <f t="shared" si="16"/>
        <v>0.97898165052968233</v>
      </c>
      <c r="AB53" s="55">
        <f t="shared" si="16"/>
        <v>0.98331516987006651</v>
      </c>
      <c r="AC53" s="55">
        <f t="shared" si="16"/>
        <v>0.90372453529844776</v>
      </c>
      <c r="AD53" s="55">
        <f t="shared" si="16"/>
        <v>0.98484545376674415</v>
      </c>
      <c r="AE53" s="55">
        <f t="shared" si="16"/>
        <v>0.94799012305898744</v>
      </c>
      <c r="AF53" s="55">
        <f t="shared" si="16"/>
        <v>0.93383792046170833</v>
      </c>
      <c r="AG53" s="55">
        <f t="shared" si="16"/>
        <v>0.96236022627782924</v>
      </c>
      <c r="AI53" s="214">
        <f t="shared" si="17"/>
        <v>1</v>
      </c>
      <c r="AJ53" s="214">
        <f t="shared" si="17"/>
        <v>1</v>
      </c>
      <c r="AK53" s="214">
        <f t="shared" si="17"/>
        <v>0</v>
      </c>
      <c r="AL53" s="214">
        <f t="shared" si="17"/>
        <v>1</v>
      </c>
      <c r="AM53" s="214">
        <f t="shared" si="17"/>
        <v>0</v>
      </c>
      <c r="AN53" s="214">
        <f t="shared" si="17"/>
        <v>0</v>
      </c>
      <c r="AO53" s="214">
        <f t="shared" si="17"/>
        <v>0</v>
      </c>
      <c r="AP53" s="206">
        <f t="shared" si="18"/>
        <v>0.8333333333333337</v>
      </c>
      <c r="AQ53" s="213">
        <f t="shared" si="19"/>
        <v>0.33333333333333326</v>
      </c>
      <c r="AR53" s="213">
        <f t="shared" si="19"/>
        <v>0.33333333333333326</v>
      </c>
      <c r="AS53" s="213">
        <f t="shared" si="19"/>
        <v>0</v>
      </c>
      <c r="AT53" s="213">
        <f t="shared" si="19"/>
        <v>0.33333333333333326</v>
      </c>
      <c r="AU53" s="213">
        <f t="shared" si="19"/>
        <v>0</v>
      </c>
      <c r="AV53" s="213">
        <f t="shared" si="19"/>
        <v>0</v>
      </c>
      <c r="AW53" s="213">
        <f t="shared" si="19"/>
        <v>0</v>
      </c>
      <c r="AY53" s="162">
        <f t="shared" si="20"/>
        <v>16.153197233739757</v>
      </c>
      <c r="AZ53" s="162">
        <f t="shared" si="20"/>
        <v>14.848059065038006</v>
      </c>
      <c r="BA53" s="162">
        <f t="shared" si="20"/>
        <v>14.700585774188083</v>
      </c>
      <c r="BB53" s="162">
        <f t="shared" si="20"/>
        <v>14.575712715747814</v>
      </c>
      <c r="BC53" s="162">
        <f t="shared" si="20"/>
        <v>12.387070941304103</v>
      </c>
      <c r="BD53" s="162">
        <f t="shared" si="20"/>
        <v>12.669067787597177</v>
      </c>
      <c r="BE53" s="162">
        <f t="shared" si="20"/>
        <v>13.440964493680347</v>
      </c>
    </row>
    <row r="54" spans="1:57" x14ac:dyDescent="0.2">
      <c r="A54" s="143">
        <f t="shared" si="8"/>
        <v>14.861904761904764</v>
      </c>
      <c r="B54" s="147">
        <f t="shared" si="21"/>
        <v>0.85416666666666707</v>
      </c>
      <c r="C54" s="145">
        <f>EN!C54+PIG!C54</f>
        <v>15.733333333333333</v>
      </c>
      <c r="D54" s="145">
        <f>EN!D54+PIG!D54</f>
        <v>15.666666666666664</v>
      </c>
      <c r="E54" s="145">
        <f>EN!E54+PIG!E54</f>
        <v>17.533333333333335</v>
      </c>
      <c r="F54" s="145">
        <f>EN!F54+PIG!F54</f>
        <v>14</v>
      </c>
      <c r="G54" s="145">
        <f>EN!G54+PIG!G54</f>
        <v>12.866666666666667</v>
      </c>
      <c r="H54" s="145">
        <f>EN!H54+PIG!H54</f>
        <v>13.733333333333334</v>
      </c>
      <c r="I54" s="145">
        <f>EN!I54+PIG!I54</f>
        <v>14.5</v>
      </c>
      <c r="J54" s="165">
        <v>42</v>
      </c>
      <c r="K54" s="43">
        <f t="shared" si="9"/>
        <v>3</v>
      </c>
      <c r="L54" s="43">
        <f t="shared" si="10"/>
        <v>3</v>
      </c>
      <c r="M54" s="43">
        <f t="shared" si="11"/>
        <v>3</v>
      </c>
      <c r="N54" s="43">
        <f t="shared" si="12"/>
        <v>3</v>
      </c>
      <c r="O54" s="43">
        <f t="shared" si="13"/>
        <v>3</v>
      </c>
      <c r="P54" s="43">
        <f t="shared" si="14"/>
        <v>3</v>
      </c>
      <c r="Q54" s="43">
        <f t="shared" si="15"/>
        <v>3</v>
      </c>
      <c r="R54" s="165">
        <v>42</v>
      </c>
      <c r="S54" s="146">
        <v>4</v>
      </c>
      <c r="T54" s="146">
        <v>4</v>
      </c>
      <c r="U54" s="146">
        <v>3</v>
      </c>
      <c r="V54" s="146">
        <v>4</v>
      </c>
      <c r="W54" s="146">
        <v>3</v>
      </c>
      <c r="X54" s="146">
        <v>3</v>
      </c>
      <c r="Y54" s="146">
        <v>3</v>
      </c>
      <c r="AA54" s="55">
        <f t="shared" si="16"/>
        <v>0.97898165052968233</v>
      </c>
      <c r="AB54" s="55">
        <f t="shared" si="16"/>
        <v>0.97887721569530084</v>
      </c>
      <c r="AC54" s="55">
        <f t="shared" si="16"/>
        <v>0.86526377056413661</v>
      </c>
      <c r="AD54" s="55">
        <f t="shared" si="16"/>
        <v>0.988244308163303</v>
      </c>
      <c r="AE54" s="55">
        <f t="shared" si="16"/>
        <v>0.94799012305898744</v>
      </c>
      <c r="AF54" s="55">
        <f t="shared" si="16"/>
        <v>0.93383792046170833</v>
      </c>
      <c r="AG54" s="55">
        <f t="shared" si="16"/>
        <v>0.96236022627782924</v>
      </c>
      <c r="AI54" s="214">
        <f t="shared" si="17"/>
        <v>1</v>
      </c>
      <c r="AJ54" s="214">
        <f t="shared" si="17"/>
        <v>1</v>
      </c>
      <c r="AK54" s="214">
        <f t="shared" si="17"/>
        <v>0</v>
      </c>
      <c r="AL54" s="214">
        <f t="shared" si="17"/>
        <v>1</v>
      </c>
      <c r="AM54" s="214">
        <f t="shared" si="17"/>
        <v>0</v>
      </c>
      <c r="AN54" s="214">
        <f t="shared" si="17"/>
        <v>0</v>
      </c>
      <c r="AO54" s="214">
        <f t="shared" si="17"/>
        <v>0</v>
      </c>
      <c r="AP54" s="206">
        <f t="shared" si="18"/>
        <v>0.85416666666666707</v>
      </c>
      <c r="AQ54" s="213">
        <f t="shared" si="19"/>
        <v>0.33333333333333326</v>
      </c>
      <c r="AR54" s="213">
        <f t="shared" si="19"/>
        <v>0.33333333333333326</v>
      </c>
      <c r="AS54" s="213">
        <f t="shared" si="19"/>
        <v>0</v>
      </c>
      <c r="AT54" s="213">
        <f t="shared" si="19"/>
        <v>0.33333333333333326</v>
      </c>
      <c r="AU54" s="213">
        <f t="shared" si="19"/>
        <v>0</v>
      </c>
      <c r="AV54" s="213">
        <f t="shared" si="19"/>
        <v>0</v>
      </c>
      <c r="AW54" s="213">
        <f t="shared" si="19"/>
        <v>0</v>
      </c>
      <c r="AY54" s="162">
        <f t="shared" si="20"/>
        <v>15.402644635000335</v>
      </c>
      <c r="AZ54" s="162">
        <f t="shared" si="20"/>
        <v>15.335743045893045</v>
      </c>
      <c r="BA54" s="162">
        <f t="shared" si="20"/>
        <v>15.170958110557864</v>
      </c>
      <c r="BB54" s="162">
        <f t="shared" si="20"/>
        <v>13.835420314286242</v>
      </c>
      <c r="BC54" s="162">
        <f t="shared" si="20"/>
        <v>12.197472916692305</v>
      </c>
      <c r="BD54" s="162">
        <f t="shared" si="20"/>
        <v>12.824707441007462</v>
      </c>
      <c r="BE54" s="162">
        <f t="shared" si="20"/>
        <v>13.954223281028524</v>
      </c>
    </row>
    <row r="55" spans="1:57" ht="13.5" customHeight="1" x14ac:dyDescent="0.2">
      <c r="A55" s="143">
        <f t="shared" si="8"/>
        <v>13.980952380952385</v>
      </c>
      <c r="B55" s="147">
        <f t="shared" si="21"/>
        <v>0.87500000000000044</v>
      </c>
      <c r="C55" s="145">
        <f>EN!C55+PIG!C55</f>
        <v>15.100000000000001</v>
      </c>
      <c r="D55" s="145">
        <f>EN!D55+PIG!D55</f>
        <v>14.866666666666667</v>
      </c>
      <c r="E55" s="145">
        <f>EN!E55+PIG!E55</f>
        <v>14.933333333333334</v>
      </c>
      <c r="F55" s="145">
        <f>EN!F55+PIG!F55</f>
        <v>13.600000000000001</v>
      </c>
      <c r="G55" s="145">
        <f>EN!G55+PIG!G55</f>
        <v>11.766666666666666</v>
      </c>
      <c r="H55" s="145">
        <f>EN!H55+PIG!H55</f>
        <v>13.166666666666666</v>
      </c>
      <c r="I55" s="145">
        <f>EN!I55+PIG!I55</f>
        <v>14.433333333333334</v>
      </c>
      <c r="J55" s="165">
        <v>43</v>
      </c>
      <c r="K55" s="43">
        <f t="shared" si="9"/>
        <v>3</v>
      </c>
      <c r="L55" s="43">
        <f t="shared" si="10"/>
        <v>3</v>
      </c>
      <c r="M55" s="43">
        <f t="shared" si="11"/>
        <v>3</v>
      </c>
      <c r="N55" s="43">
        <f t="shared" si="12"/>
        <v>3</v>
      </c>
      <c r="O55" s="43">
        <f t="shared" si="13"/>
        <v>3</v>
      </c>
      <c r="P55" s="43">
        <f t="shared" si="14"/>
        <v>3</v>
      </c>
      <c r="Q55" s="43">
        <f t="shared" si="15"/>
        <v>3</v>
      </c>
      <c r="R55" s="165">
        <v>43</v>
      </c>
      <c r="S55" s="146">
        <v>3</v>
      </c>
      <c r="T55" s="146">
        <v>4</v>
      </c>
      <c r="U55" s="146">
        <v>3</v>
      </c>
      <c r="V55" s="146">
        <v>4</v>
      </c>
      <c r="W55" s="146">
        <v>3</v>
      </c>
      <c r="X55" s="146">
        <v>3</v>
      </c>
      <c r="Y55" s="146">
        <v>2</v>
      </c>
      <c r="AA55" s="55">
        <f t="shared" si="16"/>
        <v>0.91262459040268828</v>
      </c>
      <c r="AB55" s="55">
        <f t="shared" si="16"/>
        <v>0.98331516987006651</v>
      </c>
      <c r="AC55" s="55">
        <f t="shared" si="16"/>
        <v>0.919895372826117</v>
      </c>
      <c r="AD55" s="55">
        <f t="shared" si="16"/>
        <v>0.988244308163303</v>
      </c>
      <c r="AE55" s="55">
        <f t="shared" si="16"/>
        <v>0.95860518649950766</v>
      </c>
      <c r="AF55" s="55">
        <f t="shared" si="16"/>
        <v>0.94642298725156015</v>
      </c>
      <c r="AG55" s="55">
        <f t="shared" si="16"/>
        <v>0.78357479966464094</v>
      </c>
      <c r="AI55" s="214">
        <f t="shared" si="17"/>
        <v>0</v>
      </c>
      <c r="AJ55" s="214">
        <f t="shared" si="17"/>
        <v>1</v>
      </c>
      <c r="AK55" s="214">
        <f t="shared" si="17"/>
        <v>0</v>
      </c>
      <c r="AL55" s="214">
        <f t="shared" si="17"/>
        <v>1</v>
      </c>
      <c r="AM55" s="214">
        <f t="shared" si="17"/>
        <v>0</v>
      </c>
      <c r="AN55" s="214">
        <f t="shared" si="17"/>
        <v>0</v>
      </c>
      <c r="AO55" s="214">
        <f t="shared" si="17"/>
        <v>-1</v>
      </c>
      <c r="AP55" s="206">
        <f t="shared" si="18"/>
        <v>0.87500000000000044</v>
      </c>
      <c r="AQ55" s="213">
        <f t="shared" si="19"/>
        <v>0</v>
      </c>
      <c r="AR55" s="213">
        <f t="shared" si="19"/>
        <v>0.33333333333333326</v>
      </c>
      <c r="AS55" s="213">
        <f t="shared" si="19"/>
        <v>0</v>
      </c>
      <c r="AT55" s="213">
        <f t="shared" si="19"/>
        <v>0.33333333333333326</v>
      </c>
      <c r="AU55" s="213">
        <f t="shared" si="19"/>
        <v>0</v>
      </c>
      <c r="AV55" s="213">
        <f t="shared" si="19"/>
        <v>0</v>
      </c>
      <c r="AW55" s="213">
        <f t="shared" si="19"/>
        <v>-0.33333333333333337</v>
      </c>
      <c r="AY55" s="162">
        <f t="shared" si="20"/>
        <v>13.780631315080594</v>
      </c>
      <c r="AZ55" s="162">
        <f t="shared" si="20"/>
        <v>14.618618858734989</v>
      </c>
      <c r="BA55" s="162">
        <f t="shared" si="20"/>
        <v>13.737104234203347</v>
      </c>
      <c r="BB55" s="162">
        <f t="shared" si="20"/>
        <v>13.440122591020922</v>
      </c>
      <c r="BC55" s="162">
        <f t="shared" si="20"/>
        <v>11.27958769447754</v>
      </c>
      <c r="BD55" s="162">
        <f t="shared" si="20"/>
        <v>12.461235998812208</v>
      </c>
      <c r="BE55" s="162">
        <f t="shared" si="20"/>
        <v>11.309596275159651</v>
      </c>
    </row>
    <row r="56" spans="1:57" x14ac:dyDescent="0.2">
      <c r="A56" s="143">
        <f t="shared" si="8"/>
        <v>12.366666666666669</v>
      </c>
      <c r="B56" s="147">
        <f t="shared" si="21"/>
        <v>0.89583333333333381</v>
      </c>
      <c r="C56" s="145">
        <f>EN!C56+PIG!C56</f>
        <v>13.333333333333332</v>
      </c>
      <c r="D56" s="145">
        <f>EN!D56+PIG!D56</f>
        <v>11.933333333333332</v>
      </c>
      <c r="E56" s="145">
        <f>EN!E56+PIG!E56</f>
        <v>12.666666666666668</v>
      </c>
      <c r="F56" s="145">
        <f>EN!F56+PIG!F56</f>
        <v>11.633333333333333</v>
      </c>
      <c r="G56" s="145">
        <f>EN!G56+PIG!G56</f>
        <v>11.033333333333333</v>
      </c>
      <c r="H56" s="145">
        <f>EN!H56+PIG!H56</f>
        <v>12.233333333333334</v>
      </c>
      <c r="I56" s="145">
        <f>EN!I56+PIG!I56</f>
        <v>13.733333333333334</v>
      </c>
      <c r="J56" s="165">
        <v>44</v>
      </c>
      <c r="K56" s="43">
        <f t="shared" si="9"/>
        <v>3</v>
      </c>
      <c r="L56" s="43">
        <f t="shared" si="10"/>
        <v>3</v>
      </c>
      <c r="M56" s="43">
        <f t="shared" si="11"/>
        <v>3</v>
      </c>
      <c r="N56" s="43">
        <f t="shared" si="12"/>
        <v>3</v>
      </c>
      <c r="O56" s="43">
        <f t="shared" si="13"/>
        <v>2</v>
      </c>
      <c r="P56" s="43">
        <f t="shared" si="14"/>
        <v>3</v>
      </c>
      <c r="Q56" s="43">
        <f t="shared" si="15"/>
        <v>3</v>
      </c>
      <c r="R56" s="165">
        <v>44</v>
      </c>
      <c r="S56" s="146">
        <v>2</v>
      </c>
      <c r="T56" s="146">
        <v>3</v>
      </c>
      <c r="U56" s="146">
        <v>2</v>
      </c>
      <c r="V56" s="146">
        <v>2</v>
      </c>
      <c r="W56" s="146">
        <v>2</v>
      </c>
      <c r="X56" s="146">
        <v>3</v>
      </c>
      <c r="Y56" s="146">
        <v>2</v>
      </c>
      <c r="AA56" s="55">
        <f t="shared" si="16"/>
        <v>0.71270256899783702</v>
      </c>
      <c r="AB56" s="55">
        <f t="shared" si="16"/>
        <v>0.95342718085275946</v>
      </c>
      <c r="AC56" s="55">
        <f t="shared" si="16"/>
        <v>0.72941838259435565</v>
      </c>
      <c r="AD56" s="55">
        <f t="shared" si="16"/>
        <v>0.76769485867880849</v>
      </c>
      <c r="AE56" s="55">
        <f t="shared" si="16"/>
        <v>0.81151815950868789</v>
      </c>
      <c r="AF56" s="55">
        <f t="shared" si="16"/>
        <v>0.95734552446637844</v>
      </c>
      <c r="AG56" s="55">
        <f t="shared" si="16"/>
        <v>0.78357479966464094</v>
      </c>
      <c r="AI56" s="214">
        <f t="shared" si="17"/>
        <v>-1</v>
      </c>
      <c r="AJ56" s="214">
        <f t="shared" si="17"/>
        <v>0</v>
      </c>
      <c r="AK56" s="214">
        <f t="shared" si="17"/>
        <v>-1</v>
      </c>
      <c r="AL56" s="214">
        <f t="shared" si="17"/>
        <v>-1</v>
      </c>
      <c r="AM56" s="214">
        <f t="shared" si="17"/>
        <v>0</v>
      </c>
      <c r="AN56" s="214">
        <f t="shared" si="17"/>
        <v>0</v>
      </c>
      <c r="AO56" s="214">
        <f t="shared" si="17"/>
        <v>-1</v>
      </c>
      <c r="AP56" s="206">
        <f t="shared" si="18"/>
        <v>0.89583333333333381</v>
      </c>
      <c r="AQ56" s="213">
        <f t="shared" si="19"/>
        <v>-0.33333333333333337</v>
      </c>
      <c r="AR56" s="213">
        <f t="shared" si="19"/>
        <v>0</v>
      </c>
      <c r="AS56" s="213">
        <f t="shared" si="19"/>
        <v>-0.33333333333333337</v>
      </c>
      <c r="AT56" s="213">
        <f t="shared" si="19"/>
        <v>-0.33333333333333337</v>
      </c>
      <c r="AU56" s="213">
        <f t="shared" si="19"/>
        <v>0</v>
      </c>
      <c r="AV56" s="213">
        <f t="shared" si="19"/>
        <v>0</v>
      </c>
      <c r="AW56" s="213">
        <f t="shared" si="19"/>
        <v>-0.33333333333333337</v>
      </c>
      <c r="AY56" s="162">
        <f t="shared" si="20"/>
        <v>9.5027009199711596</v>
      </c>
      <c r="AZ56" s="162">
        <f t="shared" si="20"/>
        <v>11.377564358176262</v>
      </c>
      <c r="BA56" s="162">
        <f t="shared" si="20"/>
        <v>9.2392995128618391</v>
      </c>
      <c r="BB56" s="162">
        <f t="shared" si="20"/>
        <v>8.9308501892968053</v>
      </c>
      <c r="BC56" s="162">
        <f t="shared" si="20"/>
        <v>8.9537503599125223</v>
      </c>
      <c r="BD56" s="162">
        <f t="shared" si="20"/>
        <v>11.71152691597203</v>
      </c>
      <c r="BE56" s="162">
        <f t="shared" si="20"/>
        <v>10.761093915394403</v>
      </c>
    </row>
    <row r="57" spans="1:57" x14ac:dyDescent="0.2">
      <c r="A57" s="143">
        <f t="shared" si="8"/>
        <v>10.004761904761905</v>
      </c>
      <c r="B57" s="147">
        <f t="shared" si="21"/>
        <v>0.91666666666666718</v>
      </c>
      <c r="C57" s="145">
        <f>EN!C57+PIG!C57</f>
        <v>10.5</v>
      </c>
      <c r="D57" s="145">
        <f>EN!D57+PIG!D57</f>
        <v>9.2333333333333325</v>
      </c>
      <c r="E57" s="145">
        <f>EN!E57+PIG!E57</f>
        <v>8.4</v>
      </c>
      <c r="F57" s="145">
        <f>EN!F57+PIG!F57</f>
        <v>10.299999999999999</v>
      </c>
      <c r="G57" s="145">
        <f>EN!G57+PIG!G57</f>
        <v>10.1</v>
      </c>
      <c r="H57" s="145">
        <f>EN!H57+PIG!H57</f>
        <v>10.433333333333334</v>
      </c>
      <c r="I57" s="145">
        <f>EN!I57+PIG!I57</f>
        <v>11.066666666666666</v>
      </c>
      <c r="J57" s="165">
        <v>45</v>
      </c>
      <c r="K57" s="43">
        <f t="shared" si="9"/>
        <v>2</v>
      </c>
      <c r="L57" s="43">
        <f t="shared" si="10"/>
        <v>2</v>
      </c>
      <c r="M57" s="43">
        <f t="shared" si="11"/>
        <v>2</v>
      </c>
      <c r="N57" s="43">
        <f t="shared" si="12"/>
        <v>2</v>
      </c>
      <c r="O57" s="43">
        <f t="shared" si="13"/>
        <v>2</v>
      </c>
      <c r="P57" s="43">
        <f t="shared" si="14"/>
        <v>2</v>
      </c>
      <c r="Q57" s="43">
        <f t="shared" si="15"/>
        <v>2</v>
      </c>
      <c r="R57" s="165">
        <v>45</v>
      </c>
      <c r="S57" s="146">
        <v>1</v>
      </c>
      <c r="T57" s="146">
        <v>1</v>
      </c>
      <c r="U57" s="146">
        <v>1</v>
      </c>
      <c r="V57" s="146">
        <v>1</v>
      </c>
      <c r="W57" s="146">
        <v>1</v>
      </c>
      <c r="X57" s="146">
        <v>1</v>
      </c>
      <c r="Y57" s="146">
        <v>1</v>
      </c>
      <c r="AA57" s="55">
        <f t="shared" si="16"/>
        <v>0.18132760902495587</v>
      </c>
      <c r="AB57" s="55">
        <f t="shared" si="16"/>
        <v>0.28629872815666785</v>
      </c>
      <c r="AC57" s="55">
        <f t="shared" si="16"/>
        <v>0.40800654490874916</v>
      </c>
      <c r="AD57" s="55">
        <f t="shared" si="16"/>
        <v>0.20298541945909762</v>
      </c>
      <c r="AE57" s="55">
        <f t="shared" si="16"/>
        <v>0.21642884238529947</v>
      </c>
      <c r="AF57" s="55">
        <f t="shared" si="16"/>
        <v>0.20736742081875989</v>
      </c>
      <c r="AG57" s="55">
        <f t="shared" si="16"/>
        <v>0.2749627976955904</v>
      </c>
      <c r="AI57" s="214">
        <f t="shared" si="17"/>
        <v>-1</v>
      </c>
      <c r="AJ57" s="214">
        <f t="shared" si="17"/>
        <v>-1</v>
      </c>
      <c r="AK57" s="214">
        <f t="shared" si="17"/>
        <v>-1</v>
      </c>
      <c r="AL57" s="214">
        <f t="shared" si="17"/>
        <v>-1</v>
      </c>
      <c r="AM57" s="214">
        <f t="shared" si="17"/>
        <v>-1</v>
      </c>
      <c r="AN57" s="214">
        <f t="shared" si="17"/>
        <v>-1</v>
      </c>
      <c r="AO57" s="214">
        <f t="shared" si="17"/>
        <v>-1</v>
      </c>
      <c r="AP57" s="206">
        <f t="shared" si="18"/>
        <v>0.91666666666666718</v>
      </c>
      <c r="AQ57" s="213">
        <f t="shared" si="19"/>
        <v>-0.5</v>
      </c>
      <c r="AR57" s="213">
        <f t="shared" si="19"/>
        <v>-0.5</v>
      </c>
      <c r="AS57" s="213">
        <f t="shared" si="19"/>
        <v>-0.5</v>
      </c>
      <c r="AT57" s="213">
        <f t="shared" si="19"/>
        <v>-0.5</v>
      </c>
      <c r="AU57" s="213">
        <f t="shared" si="19"/>
        <v>-0.5</v>
      </c>
      <c r="AV57" s="213">
        <f t="shared" si="19"/>
        <v>-0.5</v>
      </c>
      <c r="AW57" s="213">
        <f t="shared" si="19"/>
        <v>-0.5</v>
      </c>
      <c r="AY57" s="162">
        <f t="shared" si="20"/>
        <v>1.9039398947620367</v>
      </c>
      <c r="AZ57" s="162">
        <f t="shared" si="20"/>
        <v>2.6434915899798996</v>
      </c>
      <c r="BA57" s="162">
        <f t="shared" si="20"/>
        <v>3.4272549772334933</v>
      </c>
      <c r="BB57" s="162">
        <f t="shared" si="20"/>
        <v>2.0907498204287052</v>
      </c>
      <c r="BC57" s="162">
        <f t="shared" si="20"/>
        <v>2.1859313080915244</v>
      </c>
      <c r="BD57" s="162">
        <f t="shared" si="20"/>
        <v>2.1635334238757284</v>
      </c>
      <c r="BE57" s="162">
        <f t="shared" si="20"/>
        <v>3.0429216278312006</v>
      </c>
    </row>
    <row r="58" spans="1:57" x14ac:dyDescent="0.2">
      <c r="A58" s="143">
        <f t="shared" si="8"/>
        <v>7.223809523809523</v>
      </c>
      <c r="B58" s="147">
        <f t="shared" si="21"/>
        <v>0.93750000000000056</v>
      </c>
      <c r="C58" s="145">
        <f>EN!C58+PIG!C58</f>
        <v>6.9333333333333336</v>
      </c>
      <c r="D58" s="145">
        <f>EN!D58+PIG!D58</f>
        <v>6.0666666666666664</v>
      </c>
      <c r="E58" s="145">
        <f>EN!E58+PIG!E58</f>
        <v>6.0666666666666664</v>
      </c>
      <c r="F58" s="145">
        <f>EN!F58+PIG!F58</f>
        <v>7.6</v>
      </c>
      <c r="G58" s="145">
        <f>EN!G58+PIG!G58</f>
        <v>8.2999999999999989</v>
      </c>
      <c r="H58" s="145">
        <f>EN!H58+PIG!H58</f>
        <v>8.2666666666666657</v>
      </c>
      <c r="I58" s="145">
        <f>EN!I58+PIG!I58</f>
        <v>7.333333333333333</v>
      </c>
      <c r="J58" s="165">
        <v>46</v>
      </c>
      <c r="K58" s="43">
        <f t="shared" si="9"/>
        <v>2</v>
      </c>
      <c r="L58" s="43">
        <f t="shared" si="10"/>
        <v>2</v>
      </c>
      <c r="M58" s="43">
        <f t="shared" si="11"/>
        <v>2</v>
      </c>
      <c r="N58" s="43">
        <f t="shared" si="12"/>
        <v>2</v>
      </c>
      <c r="O58" s="43">
        <f t="shared" si="13"/>
        <v>2</v>
      </c>
      <c r="P58" s="43">
        <f t="shared" si="14"/>
        <v>2</v>
      </c>
      <c r="Q58" s="43">
        <f t="shared" si="15"/>
        <v>2</v>
      </c>
      <c r="R58" s="165">
        <v>46</v>
      </c>
      <c r="S58" s="146">
        <v>1</v>
      </c>
      <c r="T58" s="146">
        <v>1</v>
      </c>
      <c r="U58" s="146">
        <v>1</v>
      </c>
      <c r="V58" s="146">
        <v>1</v>
      </c>
      <c r="W58" s="146">
        <v>1</v>
      </c>
      <c r="X58" s="146">
        <v>1</v>
      </c>
      <c r="Y58" s="146">
        <v>1</v>
      </c>
      <c r="AA58" s="55">
        <f t="shared" si="16"/>
        <v>0.48146421127297084</v>
      </c>
      <c r="AB58" s="55">
        <f t="shared" si="16"/>
        <v>0.569477589290866</v>
      </c>
      <c r="AC58" s="55">
        <f t="shared" si="16"/>
        <v>0.58463949075185007</v>
      </c>
      <c r="AD58" s="55">
        <f t="shared" si="16"/>
        <v>0.40350983418555281</v>
      </c>
      <c r="AE58" s="55">
        <f t="shared" si="16"/>
        <v>0.41357096702570967</v>
      </c>
      <c r="AF58" s="55">
        <f t="shared" si="16"/>
        <v>0.40678934848985848</v>
      </c>
      <c r="AG58" s="55">
        <f t="shared" si="16"/>
        <v>0.59620613605522355</v>
      </c>
      <c r="AI58" s="214">
        <f t="shared" si="17"/>
        <v>-1</v>
      </c>
      <c r="AJ58" s="214">
        <f t="shared" si="17"/>
        <v>-1</v>
      </c>
      <c r="AK58" s="214">
        <f t="shared" si="17"/>
        <v>-1</v>
      </c>
      <c r="AL58" s="214">
        <f t="shared" si="17"/>
        <v>-1</v>
      </c>
      <c r="AM58" s="214">
        <f t="shared" si="17"/>
        <v>-1</v>
      </c>
      <c r="AN58" s="214">
        <f t="shared" si="17"/>
        <v>-1</v>
      </c>
      <c r="AO58" s="214">
        <f t="shared" si="17"/>
        <v>-1</v>
      </c>
      <c r="AP58" s="206">
        <f t="shared" si="18"/>
        <v>0.93750000000000056</v>
      </c>
      <c r="AQ58" s="213">
        <f t="shared" si="19"/>
        <v>-0.5</v>
      </c>
      <c r="AR58" s="213">
        <f t="shared" si="19"/>
        <v>-0.5</v>
      </c>
      <c r="AS58" s="213">
        <f t="shared" si="19"/>
        <v>-0.5</v>
      </c>
      <c r="AT58" s="213">
        <f t="shared" si="19"/>
        <v>-0.5</v>
      </c>
      <c r="AU58" s="213">
        <f t="shared" si="19"/>
        <v>-0.5</v>
      </c>
      <c r="AV58" s="213">
        <f t="shared" si="19"/>
        <v>-0.5</v>
      </c>
      <c r="AW58" s="213">
        <f t="shared" si="19"/>
        <v>-0.5</v>
      </c>
      <c r="AY58" s="162">
        <f t="shared" si="20"/>
        <v>3.3381518648259312</v>
      </c>
      <c r="AZ58" s="162">
        <f t="shared" si="20"/>
        <v>3.4548307083645868</v>
      </c>
      <c r="BA58" s="162">
        <f t="shared" si="20"/>
        <v>3.5468129105612234</v>
      </c>
      <c r="BB58" s="162">
        <f t="shared" si="20"/>
        <v>3.066674739810201</v>
      </c>
      <c r="BC58" s="162">
        <f t="shared" si="20"/>
        <v>3.4326390263133897</v>
      </c>
      <c r="BD58" s="162">
        <f t="shared" si="20"/>
        <v>3.3627919475161629</v>
      </c>
      <c r="BE58" s="162">
        <f t="shared" si="20"/>
        <v>4.3721783310716393</v>
      </c>
    </row>
    <row r="59" spans="1:57" x14ac:dyDescent="0.2">
      <c r="A59" s="143">
        <f t="shared" si="8"/>
        <v>3.8357142857142859</v>
      </c>
      <c r="B59" s="147">
        <f t="shared" si="21"/>
        <v>0.95833333333333393</v>
      </c>
      <c r="C59" s="145">
        <f>EN!C59+PIG!C59</f>
        <v>2.5499999999999998</v>
      </c>
      <c r="D59" s="145">
        <f>EN!D59+PIG!D59</f>
        <v>3.1999999999999997</v>
      </c>
      <c r="E59" s="145">
        <f>EN!E59+PIG!E59</f>
        <v>3.75</v>
      </c>
      <c r="F59" s="145">
        <f>EN!F59+PIG!F59</f>
        <v>4.45</v>
      </c>
      <c r="G59" s="145">
        <f>EN!G59+PIG!G59</f>
        <v>5</v>
      </c>
      <c r="H59" s="145">
        <f>EN!H59+PIG!H59</f>
        <v>4.1500000000000004</v>
      </c>
      <c r="I59" s="145">
        <f>EN!I59+PIG!I59</f>
        <v>3.75</v>
      </c>
      <c r="J59" s="165">
        <v>47</v>
      </c>
      <c r="K59" s="43">
        <f t="shared" si="9"/>
        <v>1</v>
      </c>
      <c r="L59" s="43">
        <f t="shared" si="10"/>
        <v>1</v>
      </c>
      <c r="M59" s="43">
        <f t="shared" si="11"/>
        <v>2</v>
      </c>
      <c r="N59" s="43">
        <f t="shared" si="12"/>
        <v>2</v>
      </c>
      <c r="O59" s="43">
        <f t="shared" si="13"/>
        <v>2</v>
      </c>
      <c r="P59" s="43">
        <f t="shared" si="14"/>
        <v>2</v>
      </c>
      <c r="Q59" s="43">
        <f t="shared" si="15"/>
        <v>2</v>
      </c>
      <c r="R59" s="165">
        <v>47</v>
      </c>
      <c r="S59" s="146">
        <v>1</v>
      </c>
      <c r="T59" s="146">
        <v>1</v>
      </c>
      <c r="U59" s="146">
        <v>1</v>
      </c>
      <c r="V59" s="146">
        <v>1</v>
      </c>
      <c r="W59" s="146">
        <v>1</v>
      </c>
      <c r="X59" s="146">
        <v>1</v>
      </c>
      <c r="Y59" s="146">
        <v>1</v>
      </c>
      <c r="AA59" s="55">
        <f t="shared" si="16"/>
        <v>0.80551056260166287</v>
      </c>
      <c r="AB59" s="55">
        <f t="shared" si="16"/>
        <v>0.80522360674366511</v>
      </c>
      <c r="AC59" s="55">
        <f t="shared" si="16"/>
        <v>0.74095156152804398</v>
      </c>
      <c r="AD59" s="55">
        <f t="shared" si="16"/>
        <v>0.73898386090384616</v>
      </c>
      <c r="AE59" s="55">
        <f t="shared" si="16"/>
        <v>0.66836066746388656</v>
      </c>
      <c r="AF59" s="55">
        <f t="shared" si="16"/>
        <v>0.74041893261312008</v>
      </c>
      <c r="AG59" s="55">
        <f t="shared" si="16"/>
        <v>0.79121840155968282</v>
      </c>
      <c r="AI59" s="214">
        <f t="shared" si="17"/>
        <v>0</v>
      </c>
      <c r="AJ59" s="214">
        <f t="shared" si="17"/>
        <v>0</v>
      </c>
      <c r="AK59" s="214">
        <f t="shared" si="17"/>
        <v>-1</v>
      </c>
      <c r="AL59" s="214">
        <f t="shared" si="17"/>
        <v>-1</v>
      </c>
      <c r="AM59" s="214">
        <f t="shared" si="17"/>
        <v>-1</v>
      </c>
      <c r="AN59" s="214">
        <f t="shared" si="17"/>
        <v>-1</v>
      </c>
      <c r="AO59" s="214">
        <f t="shared" si="17"/>
        <v>-1</v>
      </c>
      <c r="AP59" s="206">
        <f t="shared" si="18"/>
        <v>0.95833333333333393</v>
      </c>
      <c r="AQ59" s="213">
        <f t="shared" si="19"/>
        <v>0</v>
      </c>
      <c r="AR59" s="213">
        <f t="shared" si="19"/>
        <v>0</v>
      </c>
      <c r="AS59" s="213">
        <f t="shared" si="19"/>
        <v>-0.5</v>
      </c>
      <c r="AT59" s="213">
        <f t="shared" si="19"/>
        <v>-0.5</v>
      </c>
      <c r="AU59" s="213">
        <f t="shared" si="19"/>
        <v>-0.5</v>
      </c>
      <c r="AV59" s="213">
        <f t="shared" si="19"/>
        <v>-0.5</v>
      </c>
      <c r="AW59" s="213">
        <f t="shared" si="19"/>
        <v>-0.5</v>
      </c>
      <c r="AY59" s="162">
        <f t="shared" si="20"/>
        <v>2.0540519346342401</v>
      </c>
      <c r="AZ59" s="162">
        <f t="shared" si="20"/>
        <v>2.5767155415797283</v>
      </c>
      <c r="BA59" s="162">
        <f t="shared" si="20"/>
        <v>2.7785683557301648</v>
      </c>
      <c r="BB59" s="162">
        <f t="shared" si="20"/>
        <v>3.2884781810221155</v>
      </c>
      <c r="BC59" s="162">
        <f t="shared" si="20"/>
        <v>3.3418033373194329</v>
      </c>
      <c r="BD59" s="162">
        <f t="shared" si="20"/>
        <v>3.0727385703444487</v>
      </c>
      <c r="BE59" s="162">
        <f t="shared" si="20"/>
        <v>2.9670690058488107</v>
      </c>
    </row>
    <row r="60" spans="1:57" ht="13.5" thickBot="1" x14ac:dyDescent="0.25">
      <c r="A60" s="143">
        <f t="shared" si="8"/>
        <v>2.5857142857142859</v>
      </c>
      <c r="B60" s="147">
        <f t="shared" si="21"/>
        <v>0.9791666666666673</v>
      </c>
      <c r="C60" s="145">
        <f>EN!C60+PIG!C60</f>
        <v>1.75</v>
      </c>
      <c r="D60" s="145">
        <f>EN!D60+PIG!D60</f>
        <v>2.7</v>
      </c>
      <c r="E60" s="145">
        <f>EN!E60+PIG!E60</f>
        <v>2.4</v>
      </c>
      <c r="F60" s="145">
        <f>EN!F60+PIG!F60</f>
        <v>2.7</v>
      </c>
      <c r="G60" s="145">
        <f>EN!G60+PIG!G60</f>
        <v>3.05</v>
      </c>
      <c r="H60" s="145">
        <f>EN!H60+PIG!H60</f>
        <v>3.0500000000000003</v>
      </c>
      <c r="I60" s="145">
        <f>EN!I60+PIG!I60</f>
        <v>2.4500000000000002</v>
      </c>
      <c r="J60" s="165">
        <v>48</v>
      </c>
      <c r="K60" s="43">
        <f t="shared" si="9"/>
        <v>1</v>
      </c>
      <c r="L60" s="43">
        <f t="shared" si="10"/>
        <v>1</v>
      </c>
      <c r="M60" s="43">
        <f t="shared" si="11"/>
        <v>1</v>
      </c>
      <c r="N60" s="43">
        <f t="shared" si="12"/>
        <v>1</v>
      </c>
      <c r="O60" s="43">
        <f t="shared" si="13"/>
        <v>1</v>
      </c>
      <c r="P60" s="43">
        <f t="shared" si="14"/>
        <v>1</v>
      </c>
      <c r="Q60" s="43">
        <f t="shared" si="15"/>
        <v>1</v>
      </c>
      <c r="R60" s="165">
        <v>48</v>
      </c>
      <c r="S60" s="146">
        <v>1</v>
      </c>
      <c r="T60" s="146">
        <v>1</v>
      </c>
      <c r="U60" s="146">
        <v>1</v>
      </c>
      <c r="V60" s="146">
        <v>1</v>
      </c>
      <c r="W60" s="146">
        <v>1</v>
      </c>
      <c r="X60" s="146">
        <v>1</v>
      </c>
      <c r="Y60" s="146">
        <v>1</v>
      </c>
      <c r="AA60" s="55">
        <f t="shared" si="16"/>
        <v>0.87459112318309407</v>
      </c>
      <c r="AB60" s="55">
        <f t="shared" si="16"/>
        <v>0.80522360674366511</v>
      </c>
      <c r="AC60" s="55">
        <f t="shared" si="16"/>
        <v>0.87882918817397593</v>
      </c>
      <c r="AD60" s="55">
        <f t="shared" si="16"/>
        <v>0.81065574083541181</v>
      </c>
      <c r="AE60" s="55">
        <f t="shared" si="16"/>
        <v>0.81384945274074549</v>
      </c>
      <c r="AF60" s="55">
        <f t="shared" si="16"/>
        <v>0.81169675918232898</v>
      </c>
      <c r="AG60" s="55">
        <f t="shared" si="16"/>
        <v>0.90234167815650845</v>
      </c>
      <c r="AI60" s="214">
        <f t="shared" si="17"/>
        <v>0</v>
      </c>
      <c r="AJ60" s="214">
        <f t="shared" si="17"/>
        <v>0</v>
      </c>
      <c r="AK60" s="214">
        <f t="shared" si="17"/>
        <v>0</v>
      </c>
      <c r="AL60" s="214">
        <f t="shared" si="17"/>
        <v>0</v>
      </c>
      <c r="AM60" s="214">
        <f t="shared" si="17"/>
        <v>0</v>
      </c>
      <c r="AN60" s="214">
        <f t="shared" si="17"/>
        <v>0</v>
      </c>
      <c r="AO60" s="214">
        <f t="shared" si="17"/>
        <v>0</v>
      </c>
      <c r="AP60" s="206">
        <f t="shared" si="18"/>
        <v>0.9791666666666673</v>
      </c>
      <c r="AQ60" s="213">
        <f t="shared" si="19"/>
        <v>0</v>
      </c>
      <c r="AR60" s="213">
        <f t="shared" si="19"/>
        <v>0</v>
      </c>
      <c r="AS60" s="213">
        <f t="shared" si="19"/>
        <v>0</v>
      </c>
      <c r="AT60" s="213">
        <f t="shared" si="19"/>
        <v>0</v>
      </c>
      <c r="AU60" s="213">
        <f t="shared" si="19"/>
        <v>0</v>
      </c>
      <c r="AV60" s="213">
        <f t="shared" si="19"/>
        <v>0</v>
      </c>
      <c r="AW60" s="213">
        <f t="shared" si="19"/>
        <v>0</v>
      </c>
      <c r="AY60" s="162">
        <f t="shared" si="20"/>
        <v>1.5305344655704145</v>
      </c>
      <c r="AZ60" s="162">
        <f t="shared" si="20"/>
        <v>2.1741037382078958</v>
      </c>
      <c r="BA60" s="162">
        <f t="shared" si="20"/>
        <v>2.1091900516175421</v>
      </c>
      <c r="BB60" s="162">
        <f t="shared" si="20"/>
        <v>2.1887705002556119</v>
      </c>
      <c r="BC60" s="162">
        <f t="shared" si="20"/>
        <v>2.4822408308592738</v>
      </c>
      <c r="BD60" s="162">
        <f t="shared" si="20"/>
        <v>2.4756751155061036</v>
      </c>
      <c r="BE60" s="162">
        <f t="shared" si="20"/>
        <v>2.210737111483446</v>
      </c>
    </row>
    <row r="61" spans="1:57" ht="13.5" thickBot="1" x14ac:dyDescent="0.25">
      <c r="A61" s="152">
        <f>SUM(K61:Q61)</f>
        <v>333.5</v>
      </c>
      <c r="B61" s="153">
        <f>SUM(C61:I61)</f>
        <v>2837.8666666666668</v>
      </c>
      <c r="C61" s="135">
        <f>SUM(C13:C60)</f>
        <v>408.36666666666673</v>
      </c>
      <c r="D61" s="135">
        <f t="shared" ref="D61:I61" si="22">SUM(D13:D60)</f>
        <v>407.43333333333334</v>
      </c>
      <c r="E61" s="135">
        <f t="shared" si="22"/>
        <v>413.16666666666657</v>
      </c>
      <c r="F61" s="135">
        <f t="shared" si="22"/>
        <v>403.9</v>
      </c>
      <c r="G61" s="135">
        <f t="shared" si="22"/>
        <v>394.28333333333336</v>
      </c>
      <c r="H61" s="135">
        <f t="shared" si="22"/>
        <v>422.36666666666673</v>
      </c>
      <c r="I61" s="135">
        <f t="shared" si="22"/>
        <v>388.34999999999997</v>
      </c>
      <c r="K61" s="148">
        <f>SUM(K13:K60)/2</f>
        <v>48</v>
      </c>
      <c r="L61" s="149">
        <f t="shared" ref="L61:Q61" si="23">SUM(L13:L60)/2</f>
        <v>49.5</v>
      </c>
      <c r="M61" s="149">
        <f t="shared" si="23"/>
        <v>49</v>
      </c>
      <c r="N61" s="149">
        <f t="shared" si="23"/>
        <v>48.5</v>
      </c>
      <c r="O61" s="149">
        <f t="shared" si="23"/>
        <v>47</v>
      </c>
      <c r="P61" s="149">
        <f t="shared" si="23"/>
        <v>49.5</v>
      </c>
      <c r="Q61" s="150">
        <f t="shared" si="23"/>
        <v>42</v>
      </c>
      <c r="S61" s="148">
        <f>SUM(S13:S60)/2</f>
        <v>65</v>
      </c>
      <c r="T61" s="148">
        <f t="shared" ref="T61:Y61" si="24">SUM(T13:T60)/2</f>
        <v>59</v>
      </c>
      <c r="U61" s="148">
        <f t="shared" si="24"/>
        <v>51</v>
      </c>
      <c r="V61" s="148">
        <f t="shared" si="24"/>
        <v>58</v>
      </c>
      <c r="W61" s="148">
        <f t="shared" si="24"/>
        <v>58</v>
      </c>
      <c r="X61" s="148">
        <f t="shared" si="24"/>
        <v>58</v>
      </c>
      <c r="Y61" s="148">
        <f t="shared" si="24"/>
        <v>66</v>
      </c>
      <c r="AP61" s="21" t="s">
        <v>161</v>
      </c>
      <c r="AQ61" s="151">
        <f>COUNTIF(AQ13:AQ60,$AP$61)/48</f>
        <v>0.14583333333333334</v>
      </c>
      <c r="AR61" s="151">
        <f t="shared" ref="AR61:AW61" si="25">COUNTIF(AR13:AR60,$AP$61)/48</f>
        <v>0.16666666666666666</v>
      </c>
      <c r="AS61" s="151">
        <f t="shared" si="25"/>
        <v>0.1875</v>
      </c>
      <c r="AT61" s="151">
        <f t="shared" si="25"/>
        <v>0.20833333333333334</v>
      </c>
      <c r="AU61" s="151">
        <f t="shared" si="25"/>
        <v>0.1875</v>
      </c>
      <c r="AV61" s="151">
        <f t="shared" si="25"/>
        <v>0.20833333333333334</v>
      </c>
      <c r="AW61" s="151">
        <f t="shared" si="25"/>
        <v>0.20833333333333334</v>
      </c>
    </row>
    <row r="62" spans="1:57" x14ac:dyDescent="0.2">
      <c r="A62" s="152">
        <f>SUM(S61:Y61)</f>
        <v>415</v>
      </c>
    </row>
    <row r="63" spans="1:57" x14ac:dyDescent="0.2">
      <c r="C63" s="151">
        <f>C61/$B$61</f>
        <v>0.14389917308776548</v>
      </c>
      <c r="D63" s="151">
        <f t="shared" ref="D63:I63" si="26">D61/$B$61</f>
        <v>0.14357028753993609</v>
      </c>
      <c r="E63" s="151">
        <f t="shared" si="26"/>
        <v>0.14559058447660211</v>
      </c>
      <c r="F63" s="151">
        <f t="shared" si="26"/>
        <v>0.14232522082315352</v>
      </c>
      <c r="G63" s="151">
        <f t="shared" si="26"/>
        <v>0.13893652508926893</v>
      </c>
      <c r="H63" s="151">
        <f t="shared" si="26"/>
        <v>0.14883245630520581</v>
      </c>
      <c r="I63" s="151">
        <f t="shared" si="26"/>
        <v>0.13684575267806801</v>
      </c>
      <c r="K63" s="151">
        <f>K61/$A$61</f>
        <v>0.14392803598200898</v>
      </c>
      <c r="L63" s="151">
        <f t="shared" ref="L63:Q63" si="27">L61/$A$61</f>
        <v>0.14842578710644677</v>
      </c>
      <c r="M63" s="151">
        <f t="shared" si="27"/>
        <v>0.14692653673163419</v>
      </c>
      <c r="N63" s="151">
        <f t="shared" si="27"/>
        <v>0.14542728635682159</v>
      </c>
      <c r="O63" s="151">
        <f t="shared" si="27"/>
        <v>0.1409295352323838</v>
      </c>
      <c r="P63" s="151">
        <f t="shared" si="27"/>
        <v>0.14842578710644677</v>
      </c>
      <c r="Q63" s="151">
        <f t="shared" si="27"/>
        <v>0.12593703148425786</v>
      </c>
      <c r="S63" s="151">
        <f>S61/$A$62</f>
        <v>0.15662650602409639</v>
      </c>
      <c r="T63" s="151">
        <f t="shared" ref="T63:Y63" si="28">T61/$A$62</f>
        <v>0.14216867469879518</v>
      </c>
      <c r="U63" s="151">
        <f t="shared" si="28"/>
        <v>0.12289156626506025</v>
      </c>
      <c r="V63" s="151">
        <f t="shared" si="28"/>
        <v>0.13975903614457832</v>
      </c>
      <c r="W63" s="151">
        <f t="shared" si="28"/>
        <v>0.13975903614457832</v>
      </c>
      <c r="X63" s="151">
        <f t="shared" si="28"/>
        <v>0.13975903614457832</v>
      </c>
      <c r="Y63" s="151">
        <f t="shared" si="28"/>
        <v>0.15903614457831325</v>
      </c>
    </row>
    <row r="64" spans="1:57" x14ac:dyDescent="0.2">
      <c r="AQ64" s="322" t="s">
        <v>147</v>
      </c>
      <c r="AR64" s="322"/>
    </row>
    <row r="65" spans="11:45" x14ac:dyDescent="0.2">
      <c r="K65" s="314" t="str">
        <f>"ETP HEBDO =  "&amp;A61/40</f>
        <v>ETP HEBDO =  8,3375</v>
      </c>
      <c r="L65" s="314"/>
      <c r="M65" s="314"/>
      <c r="N65" s="314"/>
      <c r="O65" s="314"/>
      <c r="P65" s="314"/>
      <c r="Q65" s="314"/>
      <c r="S65" s="315" t="str">
        <f>"ETP HEBDO =  "&amp;A62/40</f>
        <v>ETP HEBDO =  10,375</v>
      </c>
      <c r="T65" s="315"/>
      <c r="U65" s="315"/>
      <c r="V65" s="315"/>
      <c r="W65" s="315"/>
      <c r="X65" s="315"/>
      <c r="Y65" s="315"/>
      <c r="AP65" s="21" t="s">
        <v>162</v>
      </c>
      <c r="AQ65" s="316" t="s">
        <v>149</v>
      </c>
      <c r="AR65" s="316"/>
      <c r="AS65" s="156">
        <f>COUNTIF(AI13:AO60, AP65)</f>
        <v>0</v>
      </c>
    </row>
    <row r="67" spans="11:45" x14ac:dyDescent="0.2">
      <c r="AQ67" s="320" t="s">
        <v>150</v>
      </c>
      <c r="AR67" s="320"/>
    </row>
    <row r="68" spans="11:45" x14ac:dyDescent="0.2">
      <c r="AP68" s="21" t="s">
        <v>163</v>
      </c>
      <c r="AQ68" s="321" t="s">
        <v>152</v>
      </c>
      <c r="AR68" s="321"/>
      <c r="AS68" s="156">
        <f>COUNTIF(AI13:AO60, AP68)</f>
        <v>0</v>
      </c>
    </row>
    <row r="70" spans="11:45" x14ac:dyDescent="0.2">
      <c r="AP70" s="21" t="s">
        <v>161</v>
      </c>
      <c r="AQ70" s="221">
        <f>COUNTIF(AQ13:AW60, AP70)/336</f>
        <v>0.1875</v>
      </c>
      <c r="AR70" s="21" t="s">
        <v>153</v>
      </c>
    </row>
  </sheetData>
  <mergeCells count="17">
    <mergeCell ref="AA11:AG11"/>
    <mergeCell ref="AI11:AO11"/>
    <mergeCell ref="AQ11:AW11"/>
    <mergeCell ref="A4:B4"/>
    <mergeCell ref="A6:B6"/>
    <mergeCell ref="A8:B8"/>
    <mergeCell ref="C11:I11"/>
    <mergeCell ref="K11:Q11"/>
    <mergeCell ref="S11:Y11"/>
    <mergeCell ref="S7:Y7"/>
    <mergeCell ref="AQ10:AW10"/>
    <mergeCell ref="AQ64:AR64"/>
    <mergeCell ref="AQ65:AR65"/>
    <mergeCell ref="AQ67:AR67"/>
    <mergeCell ref="AQ68:AR68"/>
    <mergeCell ref="K65:Q65"/>
    <mergeCell ref="S65:Y65"/>
  </mergeCells>
  <conditionalFormatting sqref="AA13:AG60">
    <cfRule type="cellIs" dxfId="1563" priority="44" operator="lessThan">
      <formula>0.8</formula>
    </cfRule>
    <cfRule type="cellIs" dxfId="1562" priority="45" operator="greaterThan">
      <formula>0.9</formula>
    </cfRule>
    <cfRule type="cellIs" dxfId="1561" priority="46" operator="between">
      <formula>0.8</formula>
      <formula>0.9</formula>
    </cfRule>
  </conditionalFormatting>
  <conditionalFormatting sqref="K13:Q60">
    <cfRule type="cellIs" dxfId="1560" priority="40" operator="greaterThan">
      <formula>50</formula>
    </cfRule>
    <cfRule type="cellIs" dxfId="1559" priority="42" operator="greaterThan">
      <formula>69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S13:Y60">
    <cfRule type="cellIs" dxfId="1558" priority="9" operator="greaterThan">
      <formula>3</formula>
    </cfRule>
    <cfRule type="cellIs" dxfId="1557" priority="39" operator="lessThan">
      <formula>30</formula>
    </cfRule>
    <cfRule type="cellIs" dxfId="1556" priority="41" operator="greaterThan">
      <formula>50</formula>
    </cfRule>
  </conditionalFormatting>
  <conditionalFormatting sqref="AQ10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61:AW61">
    <cfRule type="cellIs" dxfId="1555" priority="25" operator="greaterThan">
      <formula>0.15</formula>
    </cfRule>
  </conditionalFormatting>
  <conditionalFormatting sqref="AS68">
    <cfRule type="cellIs" dxfId="1554" priority="23" operator="greaterThan">
      <formula>0</formula>
    </cfRule>
  </conditionalFormatting>
  <conditionalFormatting sqref="AQ70">
    <cfRule type="cellIs" dxfId="1553" priority="22" operator="greaterThan">
      <formula>0.1</formula>
    </cfRule>
  </conditionalFormatting>
  <conditionalFormatting sqref="AS65">
    <cfRule type="cellIs" dxfId="1552" priority="21" operator="greaterThan">
      <formula>0</formula>
    </cfRule>
  </conditionalFormatting>
  <conditionalFormatting sqref="AY13:BE60">
    <cfRule type="cellIs" dxfId="1551" priority="16" operator="between">
      <formula>-9</formula>
      <formula>-1</formula>
    </cfRule>
    <cfRule type="cellIs" dxfId="1550" priority="17" operator="between">
      <formula>1</formula>
      <formula>9</formula>
    </cfRule>
    <cfRule type="cellIs" dxfId="1549" priority="18" operator="lessThan">
      <formula>-9</formula>
    </cfRule>
    <cfRule type="cellIs" dxfId="1548" priority="19" operator="greaterThan">
      <formula>9</formula>
    </cfRule>
  </conditionalFormatting>
  <conditionalFormatting sqref="AA10:AG10">
    <cfRule type="cellIs" dxfId="1547" priority="15" operator="lessThan">
      <formula>0.8</formula>
    </cfRule>
  </conditionalFormatting>
  <conditionalFormatting sqref="C13:I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3:AW60">
    <cfRule type="cellIs" dxfId="1546" priority="5" operator="between">
      <formula>-9</formula>
      <formula>-1</formula>
    </cfRule>
    <cfRule type="cellIs" dxfId="1545" priority="6" operator="between">
      <formula>1</formula>
      <formula>9</formula>
    </cfRule>
    <cfRule type="cellIs" dxfId="1544" priority="7" operator="lessThan">
      <formula>-9</formula>
    </cfRule>
    <cfRule type="cellIs" dxfId="1543" priority="8" operator="greaterThan">
      <formula>9</formula>
    </cfRule>
  </conditionalFormatting>
  <conditionalFormatting sqref="AQ13:AW60">
    <cfRule type="cellIs" dxfId="1542" priority="4" operator="lessThan">
      <formula>-0.1</formula>
    </cfRule>
  </conditionalFormatting>
  <conditionalFormatting sqref="AI13:AO60">
    <cfRule type="cellIs" dxfId="1541" priority="1" operator="greaterThan">
      <formula>10</formula>
    </cfRule>
    <cfRule type="cellIs" dxfId="1540" priority="2" operator="lessThan">
      <formula>-10</formula>
    </cfRule>
    <cfRule type="cellIs" dxfId="1539" priority="3" operator="lessThan">
      <formula>0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21F38-7435-4C43-A015-40B1A64488F6}">
  <sheetPr>
    <tabColor rgb="FFFFFF00"/>
  </sheetPr>
  <dimension ref="A1:AP47"/>
  <sheetViews>
    <sheetView zoomScale="80" zoomScaleNormal="80" workbookViewId="0">
      <selection activeCell="I47" sqref="I47"/>
    </sheetView>
  </sheetViews>
  <sheetFormatPr baseColWidth="10" defaultRowHeight="12.75" x14ac:dyDescent="0.2"/>
  <cols>
    <col min="3" max="3" width="8" bestFit="1" customWidth="1"/>
    <col min="4" max="4" width="6.5703125" bestFit="1" customWidth="1"/>
    <col min="5" max="5" width="8.85546875" bestFit="1" customWidth="1"/>
    <col min="6" max="6" width="6.5703125" bestFit="1" customWidth="1"/>
    <col min="7" max="7" width="9.28515625" bestFit="1" customWidth="1"/>
    <col min="8" max="8" width="7.5703125" bestFit="1" customWidth="1"/>
    <col min="9" max="9" width="9.7109375" bestFit="1" customWidth="1"/>
    <col min="10" max="10" width="12.140625" bestFit="1" customWidth="1"/>
    <col min="11" max="12" width="6.5703125" bestFit="1" customWidth="1"/>
    <col min="13" max="13" width="8.85546875" bestFit="1" customWidth="1"/>
    <col min="14" max="14" width="6.5703125" bestFit="1" customWidth="1"/>
    <col min="15" max="15" width="9.28515625" bestFit="1" customWidth="1"/>
    <col min="16" max="16" width="7.5703125" bestFit="1" customWidth="1"/>
    <col min="17" max="17" width="9.7109375" bestFit="1" customWidth="1"/>
    <col min="19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8" max="28" width="7.28515625" bestFit="1" customWidth="1"/>
    <col min="29" max="29" width="6.5703125" bestFit="1" customWidth="1"/>
    <col min="30" max="30" width="8.85546875" bestFit="1" customWidth="1"/>
    <col min="31" max="31" width="6.5703125" bestFit="1" customWidth="1"/>
    <col min="32" max="32" width="9.28515625" bestFit="1" customWidth="1"/>
    <col min="33" max="33" width="7.5703125" bestFit="1" customWidth="1"/>
    <col min="34" max="34" width="9.5703125" customWidth="1"/>
    <col min="36" max="42" width="7.42578125" hidden="1" customWidth="1"/>
  </cols>
  <sheetData>
    <row r="1" spans="1:42" ht="13.5" thickBot="1" x14ac:dyDescent="0.25"/>
    <row r="2" spans="1:42" ht="13.5" thickBot="1" x14ac:dyDescent="0.25">
      <c r="A2" s="131" t="s">
        <v>126</v>
      </c>
      <c r="C2" s="132"/>
      <c r="K2" s="161">
        <f>K10*C37</f>
        <v>19592</v>
      </c>
      <c r="L2" s="161">
        <f t="shared" ref="L2:Q2" si="0">L10*D37</f>
        <v>24000</v>
      </c>
      <c r="M2" s="161">
        <f t="shared" si="0"/>
        <v>23460</v>
      </c>
      <c r="N2" s="161">
        <f t="shared" si="0"/>
        <v>22984</v>
      </c>
      <c r="O2" s="161">
        <f t="shared" si="0"/>
        <v>20832</v>
      </c>
      <c r="P2" s="161">
        <f t="shared" si="0"/>
        <v>6194</v>
      </c>
      <c r="Q2" s="161">
        <f t="shared" si="0"/>
        <v>0</v>
      </c>
    </row>
    <row r="3" spans="1:42" ht="13.5" thickBot="1" x14ac:dyDescent="0.25"/>
    <row r="4" spans="1:42" ht="13.5" thickBot="1" x14ac:dyDescent="0.25">
      <c r="A4" s="317"/>
      <c r="B4" s="317"/>
      <c r="C4" s="132"/>
    </row>
    <row r="5" spans="1:42" ht="13.5" thickBot="1" x14ac:dyDescent="0.25">
      <c r="C5" s="133"/>
      <c r="H5" t="s">
        <v>133</v>
      </c>
      <c r="S5" s="21"/>
    </row>
    <row r="6" spans="1:42" ht="13.5" thickBot="1" x14ac:dyDescent="0.25">
      <c r="A6" s="317"/>
      <c r="B6" s="317"/>
      <c r="C6" s="134"/>
    </row>
    <row r="7" spans="1:42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42" ht="13.5" thickBot="1" x14ac:dyDescent="0.25">
      <c r="A8" s="317" t="s">
        <v>135</v>
      </c>
      <c r="B8" s="318"/>
      <c r="C8" s="220">
        <v>1.2559567699608871E-2</v>
      </c>
      <c r="D8" s="220">
        <v>8.162830349531117E-3</v>
      </c>
      <c r="E8" s="220">
        <v>1.0489774139981129E-2</v>
      </c>
      <c r="F8" s="220">
        <v>8.1806094819094552E-3</v>
      </c>
      <c r="G8" s="220">
        <v>1.1520665839871387E-2</v>
      </c>
      <c r="H8" s="220">
        <v>1.2185448848460852E-2</v>
      </c>
      <c r="I8" s="220">
        <v>1.1111111111111112E-2</v>
      </c>
      <c r="J8" s="21"/>
      <c r="K8" s="135"/>
      <c r="L8" s="135"/>
      <c r="M8" s="135"/>
      <c r="N8" s="135"/>
      <c r="O8" s="135"/>
      <c r="P8" s="135"/>
      <c r="Q8" s="135"/>
      <c r="S8" s="204">
        <v>2</v>
      </c>
      <c r="T8" s="204">
        <v>2</v>
      </c>
      <c r="U8" s="204">
        <v>2</v>
      </c>
      <c r="V8" s="204">
        <v>2</v>
      </c>
      <c r="W8" s="204">
        <v>2</v>
      </c>
      <c r="X8" s="204">
        <v>2</v>
      </c>
      <c r="Y8" s="204">
        <v>2</v>
      </c>
    </row>
    <row r="9" spans="1:42" ht="13.5" thickBot="1" x14ac:dyDescent="0.25">
      <c r="J9" t="s">
        <v>159</v>
      </c>
      <c r="K9" s="135">
        <f>3600/K10</f>
        <v>11.39240506329114</v>
      </c>
      <c r="L9" s="135">
        <f t="shared" ref="L9:Q9" si="1">3600/L10</f>
        <v>12</v>
      </c>
      <c r="M9" s="135">
        <f t="shared" si="1"/>
        <v>10.434782608695652</v>
      </c>
      <c r="N9" s="135">
        <f t="shared" si="1"/>
        <v>10.650887573964496</v>
      </c>
      <c r="O9" s="135">
        <f t="shared" si="1"/>
        <v>10.714285714285714</v>
      </c>
      <c r="P9" s="135">
        <f t="shared" si="1"/>
        <v>11.042944785276074</v>
      </c>
      <c r="Q9" s="135">
        <f t="shared" si="1"/>
        <v>14.007782101167315</v>
      </c>
      <c r="S9" s="136"/>
      <c r="T9" s="136"/>
      <c r="U9" s="136"/>
      <c r="V9" s="136"/>
      <c r="W9" s="136"/>
      <c r="X9" s="136"/>
      <c r="Y9" s="136"/>
    </row>
    <row r="10" spans="1:42" ht="13.5" thickBot="1" x14ac:dyDescent="0.25">
      <c r="A10" s="137" t="s">
        <v>136</v>
      </c>
      <c r="B10" s="134">
        <v>60</v>
      </c>
      <c r="C10" s="21" t="s">
        <v>17</v>
      </c>
      <c r="J10" s="138" t="s">
        <v>137</v>
      </c>
      <c r="K10">
        <v>316</v>
      </c>
      <c r="L10">
        <v>300</v>
      </c>
      <c r="M10">
        <v>345</v>
      </c>
      <c r="N10">
        <v>338</v>
      </c>
      <c r="O10">
        <v>336</v>
      </c>
      <c r="P10">
        <v>326</v>
      </c>
      <c r="Q10">
        <v>257</v>
      </c>
      <c r="AB10" s="154"/>
      <c r="AC10" s="154"/>
      <c r="AD10" s="154"/>
      <c r="AE10" s="154"/>
      <c r="AF10" s="154"/>
      <c r="AG10" s="154"/>
      <c r="AH10" s="154"/>
      <c r="AJ10" s="163" t="e">
        <f t="shared" ref="AJ10:AP10" si="2">SUM(AJ13:AJ36)</f>
        <v>#REF!</v>
      </c>
      <c r="AK10" s="163" t="e">
        <f t="shared" si="2"/>
        <v>#REF!</v>
      </c>
      <c r="AL10" s="163" t="e">
        <f t="shared" si="2"/>
        <v>#REF!</v>
      </c>
      <c r="AM10" s="163" t="e">
        <f t="shared" si="2"/>
        <v>#REF!</v>
      </c>
      <c r="AN10" s="163" t="e">
        <f t="shared" si="2"/>
        <v>#REF!</v>
      </c>
      <c r="AO10" s="163" t="e">
        <f t="shared" si="2"/>
        <v>#REF!</v>
      </c>
      <c r="AP10" s="163" t="e">
        <f t="shared" si="2"/>
        <v>#REF!</v>
      </c>
    </row>
    <row r="11" spans="1:42" ht="24" customHeight="1" x14ac:dyDescent="0.2">
      <c r="C11" s="319" t="s">
        <v>160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B11" s="319" t="s">
        <v>45</v>
      </c>
      <c r="AC11" s="319"/>
      <c r="AD11" s="319"/>
      <c r="AE11" s="319"/>
      <c r="AF11" s="319"/>
      <c r="AG11" s="319"/>
      <c r="AH11" s="319"/>
    </row>
    <row r="12" spans="1:42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B12" s="142" t="s">
        <v>139</v>
      </c>
      <c r="AC12" s="142" t="s">
        <v>140</v>
      </c>
      <c r="AD12" s="142" t="s">
        <v>141</v>
      </c>
      <c r="AE12" s="142" t="s">
        <v>142</v>
      </c>
      <c r="AF12" s="142" t="s">
        <v>143</v>
      </c>
      <c r="AG12" s="142" t="s">
        <v>144</v>
      </c>
      <c r="AH12" s="142" t="s">
        <v>145</v>
      </c>
    </row>
    <row r="13" spans="1:42" x14ac:dyDescent="0.2">
      <c r="A13" s="143">
        <f>AVERAGE(C13:I13)</f>
        <v>0</v>
      </c>
      <c r="B13" s="144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K13" s="207">
        <f>C13*(1+$C$8)/K$9</f>
        <v>0</v>
      </c>
      <c r="L13" s="207">
        <f>D13*(1+$D$8)/L$9</f>
        <v>0</v>
      </c>
      <c r="M13" s="207">
        <f>E13*(1+$E$8)/M$9</f>
        <v>0</v>
      </c>
      <c r="N13" s="207">
        <f>F13*(1+$F$8)/N$9</f>
        <v>0</v>
      </c>
      <c r="O13" s="207">
        <f>G13*(1+$G$8)/O$9</f>
        <v>0</v>
      </c>
      <c r="P13" s="207">
        <f>H13*(1+$H$8)/P$9</f>
        <v>0</v>
      </c>
      <c r="Q13" s="207">
        <f>I13*(1+$I$8)/Q$9</f>
        <v>0</v>
      </c>
      <c r="S13" s="146">
        <v>1</v>
      </c>
      <c r="T13" s="146">
        <v>1</v>
      </c>
      <c r="U13" s="146">
        <v>1</v>
      </c>
      <c r="V13" s="146">
        <v>1</v>
      </c>
      <c r="W13" s="146">
        <v>1</v>
      </c>
      <c r="X13" s="146">
        <v>1</v>
      </c>
      <c r="Y13" s="146">
        <v>1</v>
      </c>
      <c r="AB13" s="220" t="e">
        <f>S13/K13-1</f>
        <v>#DIV/0!</v>
      </c>
      <c r="AC13" s="220" t="e">
        <f t="shared" ref="AC13:AH28" si="3">T13/L13-1</f>
        <v>#DIV/0!</v>
      </c>
      <c r="AD13" s="220" t="e">
        <f t="shared" si="3"/>
        <v>#DIV/0!</v>
      </c>
      <c r="AE13" s="220" t="e">
        <f t="shared" si="3"/>
        <v>#DIV/0!</v>
      </c>
      <c r="AF13" s="220" t="e">
        <f t="shared" si="3"/>
        <v>#DIV/0!</v>
      </c>
      <c r="AG13" s="220" t="e">
        <f t="shared" si="3"/>
        <v>#DIV/0!</v>
      </c>
      <c r="AH13" s="220" t="e">
        <f t="shared" si="3"/>
        <v>#DIV/0!</v>
      </c>
      <c r="AJ13" s="162" t="e">
        <f>#REF!*C13</f>
        <v>#REF!</v>
      </c>
      <c r="AK13" s="162" t="e">
        <f>#REF!*D13</f>
        <v>#REF!</v>
      </c>
      <c r="AL13" s="162" t="e">
        <f>#REF!*E13</f>
        <v>#REF!</v>
      </c>
      <c r="AM13" s="162" t="e">
        <f>#REF!*F13</f>
        <v>#REF!</v>
      </c>
      <c r="AN13" s="162" t="e">
        <f>#REF!*G13</f>
        <v>#REF!</v>
      </c>
      <c r="AO13" s="162" t="e">
        <f>#REF!*H13</f>
        <v>#REF!</v>
      </c>
      <c r="AP13" s="162" t="e">
        <f>#REF!*I13</f>
        <v>#REF!</v>
      </c>
    </row>
    <row r="14" spans="1:42" x14ac:dyDescent="0.2">
      <c r="A14" s="143">
        <f t="shared" ref="A14:A36" si="4">AVERAGE(C14:I14)</f>
        <v>0</v>
      </c>
      <c r="B14" s="147">
        <f>B13+TIME(0,$B$10,0)</f>
        <v>4.1666666666666664E-2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K14" s="207">
        <f t="shared" ref="K14:K36" si="5">C14*(1+$C$8)/K$9</f>
        <v>0</v>
      </c>
      <c r="L14" s="207">
        <f t="shared" ref="L14:L36" si="6">D14*(1+$D$8)/L$9</f>
        <v>0</v>
      </c>
      <c r="M14" s="207">
        <f t="shared" ref="M14:M36" si="7">E14*(1+$E$8)/M$9</f>
        <v>0</v>
      </c>
      <c r="N14" s="207">
        <f t="shared" ref="N14:N36" si="8">F14*(1+$F$8)/N$9</f>
        <v>0</v>
      </c>
      <c r="O14" s="207">
        <f t="shared" ref="O14:O36" si="9">G14*(1+$G$8)/O$9</f>
        <v>0</v>
      </c>
      <c r="P14" s="207">
        <f t="shared" ref="P14:P36" si="10">H14*(1+$H$8)/P$9</f>
        <v>0</v>
      </c>
      <c r="Q14" s="207">
        <f t="shared" ref="Q14:Q36" si="11">I14*(1+$I$8)/Q$9</f>
        <v>0</v>
      </c>
      <c r="S14" s="146">
        <v>1</v>
      </c>
      <c r="T14" s="146">
        <v>1</v>
      </c>
      <c r="U14" s="146">
        <v>1</v>
      </c>
      <c r="V14" s="146">
        <v>1</v>
      </c>
      <c r="W14" s="146">
        <v>1</v>
      </c>
      <c r="X14" s="146">
        <v>1</v>
      </c>
      <c r="Y14" s="146">
        <v>1</v>
      </c>
      <c r="AB14" s="220" t="e">
        <f t="shared" ref="AB14:AH36" si="12">S14/K14-1</f>
        <v>#DIV/0!</v>
      </c>
      <c r="AC14" s="220" t="e">
        <f t="shared" si="3"/>
        <v>#DIV/0!</v>
      </c>
      <c r="AD14" s="220" t="e">
        <f t="shared" si="3"/>
        <v>#DIV/0!</v>
      </c>
      <c r="AE14" s="220" t="e">
        <f t="shared" si="3"/>
        <v>#DIV/0!</v>
      </c>
      <c r="AF14" s="220" t="e">
        <f t="shared" si="3"/>
        <v>#DIV/0!</v>
      </c>
      <c r="AG14" s="220" t="e">
        <f t="shared" si="3"/>
        <v>#DIV/0!</v>
      </c>
      <c r="AH14" s="220" t="e">
        <f t="shared" si="3"/>
        <v>#DIV/0!</v>
      </c>
      <c r="AJ14" s="162" t="e">
        <f>#REF!*C14</f>
        <v>#REF!</v>
      </c>
      <c r="AK14" s="162" t="e">
        <f>#REF!*D14</f>
        <v>#REF!</v>
      </c>
      <c r="AL14" s="162" t="e">
        <f>#REF!*E14</f>
        <v>#REF!</v>
      </c>
      <c r="AM14" s="162" t="e">
        <f>#REF!*F14</f>
        <v>#REF!</v>
      </c>
      <c r="AN14" s="162" t="e">
        <f>#REF!*G14</f>
        <v>#REF!</v>
      </c>
      <c r="AO14" s="162" t="e">
        <f>#REF!*H14</f>
        <v>#REF!</v>
      </c>
      <c r="AP14" s="162" t="e">
        <f>#REF!*I14</f>
        <v>#REF!</v>
      </c>
    </row>
    <row r="15" spans="1:42" x14ac:dyDescent="0.2">
      <c r="A15" s="143">
        <f t="shared" si="4"/>
        <v>0</v>
      </c>
      <c r="B15" s="147">
        <f t="shared" ref="B15:B36" si="13">B14+TIME(0,$B$10,0)</f>
        <v>8.3333333333333329E-2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K15" s="207">
        <f t="shared" si="5"/>
        <v>0</v>
      </c>
      <c r="L15" s="207">
        <f t="shared" si="6"/>
        <v>0</v>
      </c>
      <c r="M15" s="207">
        <f t="shared" si="7"/>
        <v>0</v>
      </c>
      <c r="N15" s="207">
        <f t="shared" si="8"/>
        <v>0</v>
      </c>
      <c r="O15" s="207">
        <f t="shared" si="9"/>
        <v>0</v>
      </c>
      <c r="P15" s="207">
        <f t="shared" si="10"/>
        <v>0</v>
      </c>
      <c r="Q15" s="207">
        <f t="shared" si="11"/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AB15" s="220" t="e">
        <f t="shared" si="12"/>
        <v>#DIV/0!</v>
      </c>
      <c r="AC15" s="220" t="e">
        <f t="shared" si="3"/>
        <v>#DIV/0!</v>
      </c>
      <c r="AD15" s="220" t="e">
        <f t="shared" si="3"/>
        <v>#DIV/0!</v>
      </c>
      <c r="AE15" s="220" t="e">
        <f t="shared" si="3"/>
        <v>#DIV/0!</v>
      </c>
      <c r="AF15" s="220" t="e">
        <f t="shared" si="3"/>
        <v>#DIV/0!</v>
      </c>
      <c r="AG15" s="220" t="e">
        <f t="shared" si="3"/>
        <v>#DIV/0!</v>
      </c>
      <c r="AH15" s="220" t="e">
        <f t="shared" si="3"/>
        <v>#DIV/0!</v>
      </c>
      <c r="AJ15" s="162" t="e">
        <f>#REF!*C15</f>
        <v>#REF!</v>
      </c>
      <c r="AK15" s="162" t="e">
        <f>#REF!*D15</f>
        <v>#REF!</v>
      </c>
      <c r="AL15" s="162" t="e">
        <f>#REF!*E15</f>
        <v>#REF!</v>
      </c>
      <c r="AM15" s="162" t="e">
        <f>#REF!*F15</f>
        <v>#REF!</v>
      </c>
      <c r="AN15" s="162" t="e">
        <f>#REF!*G15</f>
        <v>#REF!</v>
      </c>
      <c r="AO15" s="162" t="e">
        <f>#REF!*H15</f>
        <v>#REF!</v>
      </c>
      <c r="AP15" s="162" t="e">
        <f>#REF!*I15</f>
        <v>#REF!</v>
      </c>
    </row>
    <row r="16" spans="1:42" x14ac:dyDescent="0.2">
      <c r="A16" s="143">
        <f t="shared" si="4"/>
        <v>0</v>
      </c>
      <c r="B16" s="147">
        <f t="shared" si="13"/>
        <v>0.125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K16" s="207">
        <f t="shared" si="5"/>
        <v>0</v>
      </c>
      <c r="L16" s="207">
        <f t="shared" si="6"/>
        <v>0</v>
      </c>
      <c r="M16" s="207">
        <f t="shared" si="7"/>
        <v>0</v>
      </c>
      <c r="N16" s="207">
        <f t="shared" si="8"/>
        <v>0</v>
      </c>
      <c r="O16" s="207">
        <f t="shared" si="9"/>
        <v>0</v>
      </c>
      <c r="P16" s="207">
        <f t="shared" si="10"/>
        <v>0</v>
      </c>
      <c r="Q16" s="207">
        <f t="shared" si="11"/>
        <v>0</v>
      </c>
      <c r="S16" s="146">
        <v>0</v>
      </c>
      <c r="T16" s="146">
        <v>0</v>
      </c>
      <c r="U16" s="146">
        <v>0</v>
      </c>
      <c r="V16" s="146">
        <v>0</v>
      </c>
      <c r="W16" s="146">
        <v>0</v>
      </c>
      <c r="X16" s="146">
        <v>0</v>
      </c>
      <c r="Y16" s="146">
        <v>0</v>
      </c>
      <c r="AB16" s="220" t="e">
        <f t="shared" si="12"/>
        <v>#DIV/0!</v>
      </c>
      <c r="AC16" s="220" t="e">
        <f t="shared" si="3"/>
        <v>#DIV/0!</v>
      </c>
      <c r="AD16" s="220" t="e">
        <f t="shared" si="3"/>
        <v>#DIV/0!</v>
      </c>
      <c r="AE16" s="220" t="e">
        <f t="shared" si="3"/>
        <v>#DIV/0!</v>
      </c>
      <c r="AF16" s="220" t="e">
        <f t="shared" si="3"/>
        <v>#DIV/0!</v>
      </c>
      <c r="AG16" s="220" t="e">
        <f t="shared" si="3"/>
        <v>#DIV/0!</v>
      </c>
      <c r="AH16" s="220" t="e">
        <f t="shared" si="3"/>
        <v>#DIV/0!</v>
      </c>
      <c r="AJ16" s="162" t="e">
        <f>#REF!*C16</f>
        <v>#REF!</v>
      </c>
      <c r="AK16" s="162" t="e">
        <f>#REF!*D16</f>
        <v>#REF!</v>
      </c>
      <c r="AL16" s="162" t="e">
        <f>#REF!*E16</f>
        <v>#REF!</v>
      </c>
      <c r="AM16" s="162" t="e">
        <f>#REF!*F16</f>
        <v>#REF!</v>
      </c>
      <c r="AN16" s="162" t="e">
        <f>#REF!*G16</f>
        <v>#REF!</v>
      </c>
      <c r="AO16" s="162" t="e">
        <f>#REF!*H16</f>
        <v>#REF!</v>
      </c>
      <c r="AP16" s="162" t="e">
        <f>#REF!*I16</f>
        <v>#REF!</v>
      </c>
    </row>
    <row r="17" spans="1:42" x14ac:dyDescent="0.2">
      <c r="A17" s="143">
        <f t="shared" si="4"/>
        <v>0</v>
      </c>
      <c r="B17" s="147">
        <f t="shared" si="13"/>
        <v>0.16666666666666666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K17" s="207">
        <f t="shared" si="5"/>
        <v>0</v>
      </c>
      <c r="L17" s="207">
        <f t="shared" si="6"/>
        <v>0</v>
      </c>
      <c r="M17" s="207">
        <f t="shared" si="7"/>
        <v>0</v>
      </c>
      <c r="N17" s="207">
        <f t="shared" si="8"/>
        <v>0</v>
      </c>
      <c r="O17" s="207">
        <f t="shared" si="9"/>
        <v>0</v>
      </c>
      <c r="P17" s="207">
        <f t="shared" si="10"/>
        <v>0</v>
      </c>
      <c r="Q17" s="207">
        <f t="shared" si="11"/>
        <v>0</v>
      </c>
      <c r="S17" s="146">
        <v>1</v>
      </c>
      <c r="T17" s="146">
        <v>1</v>
      </c>
      <c r="U17" s="146">
        <v>1</v>
      </c>
      <c r="V17" s="146">
        <v>1</v>
      </c>
      <c r="W17" s="146">
        <v>1</v>
      </c>
      <c r="X17" s="146">
        <v>1</v>
      </c>
      <c r="Y17" s="146">
        <v>1</v>
      </c>
      <c r="AB17" s="220" t="e">
        <f t="shared" si="12"/>
        <v>#DIV/0!</v>
      </c>
      <c r="AC17" s="220" t="e">
        <f t="shared" si="3"/>
        <v>#DIV/0!</v>
      </c>
      <c r="AD17" s="220" t="e">
        <f t="shared" si="3"/>
        <v>#DIV/0!</v>
      </c>
      <c r="AE17" s="220" t="e">
        <f t="shared" si="3"/>
        <v>#DIV/0!</v>
      </c>
      <c r="AF17" s="220" t="e">
        <f t="shared" si="3"/>
        <v>#DIV/0!</v>
      </c>
      <c r="AG17" s="220" t="e">
        <f t="shared" si="3"/>
        <v>#DIV/0!</v>
      </c>
      <c r="AH17" s="220" t="e">
        <f t="shared" si="3"/>
        <v>#DIV/0!</v>
      </c>
      <c r="AJ17" s="162" t="e">
        <f>#REF!*C17</f>
        <v>#REF!</v>
      </c>
      <c r="AK17" s="162" t="e">
        <f>#REF!*D17</f>
        <v>#REF!</v>
      </c>
      <c r="AL17" s="162" t="e">
        <f>#REF!*E17</f>
        <v>#REF!</v>
      </c>
      <c r="AM17" s="162" t="e">
        <f>#REF!*F17</f>
        <v>#REF!</v>
      </c>
      <c r="AN17" s="162" t="e">
        <f>#REF!*G17</f>
        <v>#REF!</v>
      </c>
      <c r="AO17" s="162" t="e">
        <f>#REF!*H17</f>
        <v>#REF!</v>
      </c>
      <c r="AP17" s="162" t="e">
        <f>#REF!*I17</f>
        <v>#REF!</v>
      </c>
    </row>
    <row r="18" spans="1:42" x14ac:dyDescent="0.2">
      <c r="A18" s="143">
        <f t="shared" si="4"/>
        <v>0</v>
      </c>
      <c r="B18" s="147">
        <f t="shared" si="13"/>
        <v>0.20833333333333331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K18" s="207">
        <f t="shared" si="5"/>
        <v>0</v>
      </c>
      <c r="L18" s="207">
        <f t="shared" si="6"/>
        <v>0</v>
      </c>
      <c r="M18" s="207">
        <f t="shared" si="7"/>
        <v>0</v>
      </c>
      <c r="N18" s="207">
        <f t="shared" si="8"/>
        <v>0</v>
      </c>
      <c r="O18" s="207">
        <f t="shared" si="9"/>
        <v>0</v>
      </c>
      <c r="P18" s="207">
        <f t="shared" si="10"/>
        <v>0</v>
      </c>
      <c r="Q18" s="207">
        <f t="shared" si="11"/>
        <v>0</v>
      </c>
      <c r="S18" s="146">
        <v>1</v>
      </c>
      <c r="T18" s="146">
        <v>1</v>
      </c>
      <c r="U18" s="146">
        <v>1</v>
      </c>
      <c r="V18" s="146">
        <v>1</v>
      </c>
      <c r="W18" s="146">
        <v>1</v>
      </c>
      <c r="X18" s="146">
        <v>1</v>
      </c>
      <c r="Y18" s="146">
        <v>1</v>
      </c>
      <c r="AB18" s="220" t="e">
        <f t="shared" si="12"/>
        <v>#DIV/0!</v>
      </c>
      <c r="AC18" s="220" t="e">
        <f t="shared" si="3"/>
        <v>#DIV/0!</v>
      </c>
      <c r="AD18" s="220" t="e">
        <f t="shared" si="3"/>
        <v>#DIV/0!</v>
      </c>
      <c r="AE18" s="220" t="e">
        <f t="shared" si="3"/>
        <v>#DIV/0!</v>
      </c>
      <c r="AF18" s="220" t="e">
        <f t="shared" si="3"/>
        <v>#DIV/0!</v>
      </c>
      <c r="AG18" s="220" t="e">
        <f t="shared" si="3"/>
        <v>#DIV/0!</v>
      </c>
      <c r="AH18" s="220" t="e">
        <f t="shared" si="3"/>
        <v>#DIV/0!</v>
      </c>
      <c r="AJ18" s="162" t="e">
        <f>#REF!*C18</f>
        <v>#REF!</v>
      </c>
      <c r="AK18" s="162" t="e">
        <f>#REF!*D18</f>
        <v>#REF!</v>
      </c>
      <c r="AL18" s="162" t="e">
        <f>#REF!*E18</f>
        <v>#REF!</v>
      </c>
      <c r="AM18" s="162" t="e">
        <f>#REF!*F18</f>
        <v>#REF!</v>
      </c>
      <c r="AN18" s="162" t="e">
        <f>#REF!*G18</f>
        <v>#REF!</v>
      </c>
      <c r="AO18" s="162" t="e">
        <f>#REF!*H18</f>
        <v>#REF!</v>
      </c>
      <c r="AP18" s="162" t="e">
        <f>#REF!*I18</f>
        <v>#REF!</v>
      </c>
    </row>
    <row r="19" spans="1:42" x14ac:dyDescent="0.2">
      <c r="A19" s="143">
        <f t="shared" si="4"/>
        <v>0</v>
      </c>
      <c r="B19" s="147">
        <f t="shared" si="13"/>
        <v>0.24999999999999997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K19" s="207">
        <f t="shared" si="5"/>
        <v>0</v>
      </c>
      <c r="L19" s="207">
        <f t="shared" si="6"/>
        <v>0</v>
      </c>
      <c r="M19" s="207">
        <f t="shared" si="7"/>
        <v>0</v>
      </c>
      <c r="N19" s="207">
        <f t="shared" si="8"/>
        <v>0</v>
      </c>
      <c r="O19" s="207">
        <f t="shared" si="9"/>
        <v>0</v>
      </c>
      <c r="P19" s="207">
        <f t="shared" si="10"/>
        <v>0</v>
      </c>
      <c r="Q19" s="207">
        <f t="shared" si="11"/>
        <v>0</v>
      </c>
      <c r="S19" s="146">
        <v>1</v>
      </c>
      <c r="T19" s="146">
        <v>1</v>
      </c>
      <c r="U19" s="146">
        <v>1</v>
      </c>
      <c r="V19" s="146">
        <v>1</v>
      </c>
      <c r="W19" s="146">
        <v>1</v>
      </c>
      <c r="X19" s="146">
        <v>1</v>
      </c>
      <c r="Y19" s="146">
        <v>1</v>
      </c>
      <c r="AB19" s="220" t="e">
        <f t="shared" si="12"/>
        <v>#DIV/0!</v>
      </c>
      <c r="AC19" s="220" t="e">
        <f t="shared" si="3"/>
        <v>#DIV/0!</v>
      </c>
      <c r="AD19" s="220" t="e">
        <f t="shared" si="3"/>
        <v>#DIV/0!</v>
      </c>
      <c r="AE19" s="220" t="e">
        <f t="shared" si="3"/>
        <v>#DIV/0!</v>
      </c>
      <c r="AF19" s="220" t="e">
        <f t="shared" si="3"/>
        <v>#DIV/0!</v>
      </c>
      <c r="AG19" s="220" t="e">
        <f t="shared" si="3"/>
        <v>#DIV/0!</v>
      </c>
      <c r="AH19" s="220" t="e">
        <f t="shared" si="3"/>
        <v>#DIV/0!</v>
      </c>
      <c r="AJ19" s="162" t="e">
        <f>#REF!*C19</f>
        <v>#REF!</v>
      </c>
      <c r="AK19" s="162" t="e">
        <f>#REF!*D19</f>
        <v>#REF!</v>
      </c>
      <c r="AL19" s="162" t="e">
        <f>#REF!*E19</f>
        <v>#REF!</v>
      </c>
      <c r="AM19" s="162" t="e">
        <f>#REF!*F19</f>
        <v>#REF!</v>
      </c>
      <c r="AN19" s="162" t="e">
        <f>#REF!*G19</f>
        <v>#REF!</v>
      </c>
      <c r="AO19" s="162" t="e">
        <f>#REF!*H19</f>
        <v>#REF!</v>
      </c>
      <c r="AP19" s="162" t="e">
        <f>#REF!*I19</f>
        <v>#REF!</v>
      </c>
    </row>
    <row r="20" spans="1:42" x14ac:dyDescent="0.2">
      <c r="A20" s="143">
        <f t="shared" si="4"/>
        <v>0.7142857142857143</v>
      </c>
      <c r="B20" s="147">
        <f t="shared" si="13"/>
        <v>0.29166666666666663</v>
      </c>
      <c r="C20">
        <v>0</v>
      </c>
      <c r="D20">
        <v>1</v>
      </c>
      <c r="E20">
        <v>1</v>
      </c>
      <c r="F20">
        <v>2</v>
      </c>
      <c r="G20">
        <v>0</v>
      </c>
      <c r="H20">
        <v>1</v>
      </c>
      <c r="I20">
        <v>0</v>
      </c>
      <c r="K20" s="207">
        <f t="shared" si="5"/>
        <v>0</v>
      </c>
      <c r="L20" s="207">
        <f t="shared" si="6"/>
        <v>8.4013569195794266E-2</v>
      </c>
      <c r="M20" s="207">
        <f t="shared" si="7"/>
        <v>9.6838603355081529E-2</v>
      </c>
      <c r="N20" s="207">
        <f t="shared" si="8"/>
        <v>0.18931391444715856</v>
      </c>
      <c r="O20" s="207">
        <f t="shared" si="9"/>
        <v>0</v>
      </c>
      <c r="P20" s="207">
        <f t="shared" si="10"/>
        <v>9.1659015645721736E-2</v>
      </c>
      <c r="Q20" s="207">
        <f t="shared" si="11"/>
        <v>0</v>
      </c>
      <c r="S20" s="146">
        <v>1</v>
      </c>
      <c r="T20" s="146">
        <v>1</v>
      </c>
      <c r="U20" s="146">
        <v>1</v>
      </c>
      <c r="V20" s="146">
        <v>1</v>
      </c>
      <c r="W20" s="146">
        <v>1</v>
      </c>
      <c r="X20" s="146">
        <v>1</v>
      </c>
      <c r="Y20" s="146">
        <v>1</v>
      </c>
      <c r="AB20" s="220" t="e">
        <f t="shared" si="12"/>
        <v>#DIV/0!</v>
      </c>
      <c r="AC20" s="220">
        <f t="shared" si="3"/>
        <v>10.90283914339471</v>
      </c>
      <c r="AD20" s="220">
        <f t="shared" si="3"/>
        <v>9.3264603717307306</v>
      </c>
      <c r="AE20" s="220">
        <f t="shared" si="3"/>
        <v>4.2822319105293278</v>
      </c>
      <c r="AF20" s="220" t="e">
        <f t="shared" si="3"/>
        <v>#DIV/0!</v>
      </c>
      <c r="AG20" s="220">
        <f t="shared" si="3"/>
        <v>9.91000151981968</v>
      </c>
      <c r="AH20" s="220" t="e">
        <f t="shared" si="3"/>
        <v>#DIV/0!</v>
      </c>
      <c r="AJ20" s="162" t="e">
        <f>#REF!*C20</f>
        <v>#REF!</v>
      </c>
      <c r="AK20" s="162" t="e">
        <f>#REF!*D20</f>
        <v>#REF!</v>
      </c>
      <c r="AL20" s="162" t="e">
        <f>#REF!*E20</f>
        <v>#REF!</v>
      </c>
      <c r="AM20" s="162" t="e">
        <f>#REF!*F20</f>
        <v>#REF!</v>
      </c>
      <c r="AN20" s="162" t="e">
        <f>#REF!*G20</f>
        <v>#REF!</v>
      </c>
      <c r="AO20" s="162" t="e">
        <f>#REF!*H20</f>
        <v>#REF!</v>
      </c>
      <c r="AP20" s="162" t="e">
        <f>#REF!*I20</f>
        <v>#REF!</v>
      </c>
    </row>
    <row r="21" spans="1:42" x14ac:dyDescent="0.2">
      <c r="A21" s="143">
        <f t="shared" si="4"/>
        <v>2.8571428571428572</v>
      </c>
      <c r="B21" s="147">
        <f t="shared" si="13"/>
        <v>0.33333333333333331</v>
      </c>
      <c r="C21">
        <v>3</v>
      </c>
      <c r="D21">
        <v>4</v>
      </c>
      <c r="E21">
        <v>3</v>
      </c>
      <c r="F21">
        <v>3</v>
      </c>
      <c r="G21">
        <v>5</v>
      </c>
      <c r="H21">
        <v>2</v>
      </c>
      <c r="I21">
        <v>0</v>
      </c>
      <c r="K21" s="207">
        <f t="shared" si="5"/>
        <v>0.26664068616089703</v>
      </c>
      <c r="L21" s="207">
        <f t="shared" si="6"/>
        <v>0.33605427678317706</v>
      </c>
      <c r="M21" s="207">
        <f t="shared" si="7"/>
        <v>0.29051581006524457</v>
      </c>
      <c r="N21" s="207">
        <f t="shared" si="8"/>
        <v>0.28397087167073781</v>
      </c>
      <c r="O21" s="207">
        <f t="shared" si="9"/>
        <v>0.47204297739194001</v>
      </c>
      <c r="P21" s="207">
        <f t="shared" si="10"/>
        <v>0.18331803129144347</v>
      </c>
      <c r="Q21" s="207">
        <f t="shared" si="11"/>
        <v>0</v>
      </c>
      <c r="S21" s="146">
        <v>1</v>
      </c>
      <c r="T21" s="146">
        <v>1</v>
      </c>
      <c r="U21" s="146">
        <v>1</v>
      </c>
      <c r="V21" s="146">
        <v>1</v>
      </c>
      <c r="W21" s="146">
        <v>1</v>
      </c>
      <c r="X21" s="146">
        <v>1</v>
      </c>
      <c r="Y21" s="146">
        <v>1</v>
      </c>
      <c r="AB21" s="220">
        <f t="shared" si="12"/>
        <v>2.7503653864608544</v>
      </c>
      <c r="AC21" s="220">
        <f t="shared" si="3"/>
        <v>1.9757097858486774</v>
      </c>
      <c r="AD21" s="220">
        <f t="shared" si="3"/>
        <v>2.442153457243577</v>
      </c>
      <c r="AE21" s="220">
        <f t="shared" si="3"/>
        <v>2.5214879403528854</v>
      </c>
      <c r="AF21" s="220">
        <f t="shared" si="3"/>
        <v>1.1184511747744827</v>
      </c>
      <c r="AG21" s="220">
        <f t="shared" si="3"/>
        <v>4.45500075990984</v>
      </c>
      <c r="AH21" s="220" t="e">
        <f t="shared" si="3"/>
        <v>#DIV/0!</v>
      </c>
      <c r="AJ21" s="162" t="e">
        <f>#REF!*C21</f>
        <v>#REF!</v>
      </c>
      <c r="AK21" s="162" t="e">
        <f>#REF!*D21</f>
        <v>#REF!</v>
      </c>
      <c r="AL21" s="162" t="e">
        <f>#REF!*E21</f>
        <v>#REF!</v>
      </c>
      <c r="AM21" s="162" t="e">
        <f>#REF!*F21</f>
        <v>#REF!</v>
      </c>
      <c r="AN21" s="162" t="e">
        <f>#REF!*G21</f>
        <v>#REF!</v>
      </c>
      <c r="AO21" s="162" t="e">
        <f>#REF!*H21</f>
        <v>#REF!</v>
      </c>
      <c r="AP21" s="162" t="e">
        <f>#REF!*I21</f>
        <v>#REF!</v>
      </c>
    </row>
    <row r="22" spans="1:42" x14ac:dyDescent="0.2">
      <c r="A22" s="143">
        <f t="shared" si="4"/>
        <v>5</v>
      </c>
      <c r="B22" s="147">
        <f t="shared" si="13"/>
        <v>0.375</v>
      </c>
      <c r="C22">
        <v>7</v>
      </c>
      <c r="D22">
        <v>7</v>
      </c>
      <c r="E22">
        <v>7</v>
      </c>
      <c r="F22">
        <v>5</v>
      </c>
      <c r="G22">
        <v>7</v>
      </c>
      <c r="H22">
        <v>2</v>
      </c>
      <c r="I22">
        <v>0</v>
      </c>
      <c r="K22" s="207">
        <f t="shared" si="5"/>
        <v>0.62216160104209306</v>
      </c>
      <c r="L22" s="207">
        <f t="shared" si="6"/>
        <v>0.58809498437055985</v>
      </c>
      <c r="M22" s="207">
        <f t="shared" si="7"/>
        <v>0.67787022348557069</v>
      </c>
      <c r="N22" s="207">
        <f t="shared" si="8"/>
        <v>0.47328478611789643</v>
      </c>
      <c r="O22" s="207">
        <f t="shared" si="9"/>
        <v>0.66086016834871608</v>
      </c>
      <c r="P22" s="207">
        <f t="shared" si="10"/>
        <v>0.18331803129144347</v>
      </c>
      <c r="Q22" s="207">
        <f t="shared" si="11"/>
        <v>0</v>
      </c>
      <c r="S22" s="146">
        <v>2</v>
      </c>
      <c r="T22" s="146">
        <v>2</v>
      </c>
      <c r="U22" s="146">
        <v>2</v>
      </c>
      <c r="V22" s="146">
        <v>2</v>
      </c>
      <c r="W22" s="146">
        <v>2</v>
      </c>
      <c r="X22" s="146">
        <v>2</v>
      </c>
      <c r="Y22" s="146">
        <v>2</v>
      </c>
      <c r="AB22" s="220">
        <f t="shared" si="12"/>
        <v>2.2145989026807325</v>
      </c>
      <c r="AC22" s="220">
        <f t="shared" si="3"/>
        <v>2.4008111838270598</v>
      </c>
      <c r="AD22" s="220">
        <f t="shared" si="3"/>
        <v>1.9504172490659233</v>
      </c>
      <c r="AE22" s="220">
        <f t="shared" si="3"/>
        <v>3.2257855284234616</v>
      </c>
      <c r="AF22" s="220">
        <f t="shared" si="3"/>
        <v>2.0263588211064039</v>
      </c>
      <c r="AG22" s="220">
        <f t="shared" si="3"/>
        <v>9.91000151981968</v>
      </c>
      <c r="AH22" s="220" t="e">
        <f t="shared" si="3"/>
        <v>#DIV/0!</v>
      </c>
      <c r="AJ22" s="162" t="e">
        <f>#REF!*C22</f>
        <v>#REF!</v>
      </c>
      <c r="AK22" s="162" t="e">
        <f>#REF!*D22</f>
        <v>#REF!</v>
      </c>
      <c r="AL22" s="162" t="e">
        <f>#REF!*E22</f>
        <v>#REF!</v>
      </c>
      <c r="AM22" s="162" t="e">
        <f>#REF!*F22</f>
        <v>#REF!</v>
      </c>
      <c r="AN22" s="162" t="e">
        <f>#REF!*G22</f>
        <v>#REF!</v>
      </c>
      <c r="AO22" s="162" t="e">
        <f>#REF!*H22</f>
        <v>#REF!</v>
      </c>
      <c r="AP22" s="162" t="e">
        <f>#REF!*I22</f>
        <v>#REF!</v>
      </c>
    </row>
    <row r="23" spans="1:42" x14ac:dyDescent="0.2">
      <c r="A23" s="143">
        <f t="shared" si="4"/>
        <v>6.7142857142857144</v>
      </c>
      <c r="B23" s="147">
        <f t="shared" si="13"/>
        <v>0.41666666666666669</v>
      </c>
      <c r="C23">
        <v>8</v>
      </c>
      <c r="D23">
        <v>13</v>
      </c>
      <c r="E23">
        <v>9</v>
      </c>
      <c r="F23">
        <v>7</v>
      </c>
      <c r="G23">
        <v>7</v>
      </c>
      <c r="H23">
        <v>3</v>
      </c>
      <c r="I23">
        <v>0</v>
      </c>
      <c r="K23" s="207">
        <f t="shared" si="5"/>
        <v>0.71104182976239194</v>
      </c>
      <c r="L23" s="207">
        <f t="shared" si="6"/>
        <v>1.0921763995453253</v>
      </c>
      <c r="M23" s="207">
        <f t="shared" si="7"/>
        <v>0.87154743019573366</v>
      </c>
      <c r="N23" s="207">
        <f t="shared" si="8"/>
        <v>0.66259870056505499</v>
      </c>
      <c r="O23" s="207">
        <f t="shared" si="9"/>
        <v>0.66086016834871608</v>
      </c>
      <c r="P23" s="207">
        <f t="shared" si="10"/>
        <v>0.27497704693716518</v>
      </c>
      <c r="Q23" s="207">
        <f t="shared" si="11"/>
        <v>0</v>
      </c>
      <c r="S23" s="146">
        <v>2</v>
      </c>
      <c r="T23" s="146">
        <v>2</v>
      </c>
      <c r="U23" s="146">
        <v>2</v>
      </c>
      <c r="V23" s="146">
        <v>2</v>
      </c>
      <c r="W23" s="146">
        <v>2</v>
      </c>
      <c r="X23" s="146">
        <v>2</v>
      </c>
      <c r="Y23" s="146">
        <v>2</v>
      </c>
      <c r="AB23" s="220">
        <f t="shared" si="12"/>
        <v>1.8127740398456416</v>
      </c>
      <c r="AC23" s="220">
        <f t="shared" si="3"/>
        <v>0.83120602206072491</v>
      </c>
      <c r="AD23" s="220">
        <f t="shared" si="3"/>
        <v>1.294768971495718</v>
      </c>
      <c r="AE23" s="220">
        <f t="shared" si="3"/>
        <v>2.0184182345881871</v>
      </c>
      <c r="AF23" s="220">
        <f t="shared" si="3"/>
        <v>2.0263588211064039</v>
      </c>
      <c r="AG23" s="220">
        <f t="shared" si="3"/>
        <v>6.2733343465464539</v>
      </c>
      <c r="AH23" s="220" t="e">
        <f t="shared" si="3"/>
        <v>#DIV/0!</v>
      </c>
      <c r="AJ23" s="162" t="e">
        <f>#REF!*C23</f>
        <v>#REF!</v>
      </c>
      <c r="AK23" s="162" t="e">
        <f>#REF!*D23</f>
        <v>#REF!</v>
      </c>
      <c r="AL23" s="162" t="e">
        <f>#REF!*E23</f>
        <v>#REF!</v>
      </c>
      <c r="AM23" s="162" t="e">
        <f>#REF!*F23</f>
        <v>#REF!</v>
      </c>
      <c r="AN23" s="162" t="e">
        <f>#REF!*G23</f>
        <v>#REF!</v>
      </c>
      <c r="AO23" s="162" t="e">
        <f>#REF!*H23</f>
        <v>#REF!</v>
      </c>
      <c r="AP23" s="162" t="e">
        <f>#REF!*I23</f>
        <v>#REF!</v>
      </c>
    </row>
    <row r="24" spans="1:42" x14ac:dyDescent="0.2">
      <c r="A24" s="143">
        <f t="shared" si="4"/>
        <v>6</v>
      </c>
      <c r="B24" s="147">
        <f t="shared" si="13"/>
        <v>0.45833333333333337</v>
      </c>
      <c r="C24">
        <v>6</v>
      </c>
      <c r="D24">
        <v>9</v>
      </c>
      <c r="E24">
        <v>9</v>
      </c>
      <c r="F24">
        <v>8</v>
      </c>
      <c r="G24">
        <v>8</v>
      </c>
      <c r="H24">
        <v>2</v>
      </c>
      <c r="I24">
        <v>0</v>
      </c>
      <c r="K24" s="207">
        <f t="shared" si="5"/>
        <v>0.53328137232179407</v>
      </c>
      <c r="L24" s="207">
        <f t="shared" si="6"/>
        <v>0.75612212276214841</v>
      </c>
      <c r="M24" s="207">
        <f t="shared" si="7"/>
        <v>0.87154743019573366</v>
      </c>
      <c r="N24" s="207">
        <f t="shared" si="8"/>
        <v>0.75725565778863424</v>
      </c>
      <c r="O24" s="207">
        <f t="shared" si="9"/>
        <v>0.75526876382710406</v>
      </c>
      <c r="P24" s="207">
        <f t="shared" si="10"/>
        <v>0.18331803129144347</v>
      </c>
      <c r="Q24" s="207">
        <f t="shared" si="11"/>
        <v>0</v>
      </c>
      <c r="S24" s="146">
        <v>2</v>
      </c>
      <c r="T24" s="146">
        <v>2</v>
      </c>
      <c r="U24" s="146">
        <v>2</v>
      </c>
      <c r="V24" s="146">
        <v>2</v>
      </c>
      <c r="W24" s="146">
        <v>2</v>
      </c>
      <c r="X24" s="146">
        <v>2</v>
      </c>
      <c r="Y24" s="146">
        <v>2</v>
      </c>
      <c r="AB24" s="220">
        <f t="shared" si="12"/>
        <v>2.7503653864608544</v>
      </c>
      <c r="AC24" s="220">
        <f t="shared" si="3"/>
        <v>1.6450753651988244</v>
      </c>
      <c r="AD24" s="220">
        <f t="shared" si="3"/>
        <v>1.294768971495718</v>
      </c>
      <c r="AE24" s="220">
        <f t="shared" si="3"/>
        <v>1.6411159552646639</v>
      </c>
      <c r="AF24" s="220">
        <f t="shared" si="3"/>
        <v>1.6480639684681035</v>
      </c>
      <c r="AG24" s="220">
        <f t="shared" si="3"/>
        <v>9.91000151981968</v>
      </c>
      <c r="AH24" s="220" t="e">
        <f t="shared" si="3"/>
        <v>#DIV/0!</v>
      </c>
      <c r="AJ24" s="162" t="e">
        <f>#REF!*C24</f>
        <v>#REF!</v>
      </c>
      <c r="AK24" s="162" t="e">
        <f>#REF!*D24</f>
        <v>#REF!</v>
      </c>
      <c r="AL24" s="162" t="e">
        <f>#REF!*E24</f>
        <v>#REF!</v>
      </c>
      <c r="AM24" s="162" t="e">
        <f>#REF!*F24</f>
        <v>#REF!</v>
      </c>
      <c r="AN24" s="162" t="e">
        <f>#REF!*G24</f>
        <v>#REF!</v>
      </c>
      <c r="AO24" s="162" t="e">
        <f>#REF!*H24</f>
        <v>#REF!</v>
      </c>
      <c r="AP24" s="162" t="e">
        <f>#REF!*I24</f>
        <v>#REF!</v>
      </c>
    </row>
    <row r="25" spans="1:42" x14ac:dyDescent="0.2">
      <c r="A25" s="143">
        <f t="shared" si="4"/>
        <v>5.4285714285714288</v>
      </c>
      <c r="B25" s="147">
        <f t="shared" si="13"/>
        <v>0.5</v>
      </c>
      <c r="C25">
        <v>7</v>
      </c>
      <c r="D25">
        <v>8</v>
      </c>
      <c r="E25">
        <v>8</v>
      </c>
      <c r="F25">
        <v>7</v>
      </c>
      <c r="G25">
        <v>6</v>
      </c>
      <c r="H25">
        <v>2</v>
      </c>
      <c r="I25">
        <v>0</v>
      </c>
      <c r="K25" s="207">
        <f t="shared" si="5"/>
        <v>0.62216160104209306</v>
      </c>
      <c r="L25" s="207">
        <f t="shared" si="6"/>
        <v>0.67210855356635413</v>
      </c>
      <c r="M25" s="207">
        <f t="shared" si="7"/>
        <v>0.77470882684065223</v>
      </c>
      <c r="N25" s="207">
        <f t="shared" si="8"/>
        <v>0.66259870056505499</v>
      </c>
      <c r="O25" s="207">
        <f t="shared" si="9"/>
        <v>0.5664515728703281</v>
      </c>
      <c r="P25" s="207">
        <f t="shared" si="10"/>
        <v>0.18331803129144347</v>
      </c>
      <c r="Q25" s="207">
        <f t="shared" si="11"/>
        <v>0</v>
      </c>
      <c r="S25" s="146">
        <v>2</v>
      </c>
      <c r="T25" s="146">
        <v>2</v>
      </c>
      <c r="U25" s="146">
        <v>2</v>
      </c>
      <c r="V25" s="146">
        <v>2</v>
      </c>
      <c r="W25" s="146">
        <v>2</v>
      </c>
      <c r="X25" s="146">
        <v>2</v>
      </c>
      <c r="Y25" s="146">
        <v>2</v>
      </c>
      <c r="AB25" s="220">
        <f t="shared" si="12"/>
        <v>2.2145989026807325</v>
      </c>
      <c r="AC25" s="220">
        <f t="shared" si="3"/>
        <v>1.9757097858486774</v>
      </c>
      <c r="AD25" s="220">
        <f t="shared" si="3"/>
        <v>1.5816150929326827</v>
      </c>
      <c r="AE25" s="220">
        <f t="shared" si="3"/>
        <v>2.0184182345881871</v>
      </c>
      <c r="AF25" s="220">
        <f t="shared" si="3"/>
        <v>2.5307519579574711</v>
      </c>
      <c r="AG25" s="220">
        <f t="shared" si="3"/>
        <v>9.91000151981968</v>
      </c>
      <c r="AH25" s="220" t="e">
        <f t="shared" si="3"/>
        <v>#DIV/0!</v>
      </c>
      <c r="AJ25" s="162" t="e">
        <f>#REF!*C25</f>
        <v>#REF!</v>
      </c>
      <c r="AK25" s="162" t="e">
        <f>#REF!*D25</f>
        <v>#REF!</v>
      </c>
      <c r="AL25" s="162" t="e">
        <f>#REF!*E25</f>
        <v>#REF!</v>
      </c>
      <c r="AM25" s="162" t="e">
        <f>#REF!*F25</f>
        <v>#REF!</v>
      </c>
      <c r="AN25" s="162" t="e">
        <f>#REF!*G25</f>
        <v>#REF!</v>
      </c>
      <c r="AO25" s="162" t="e">
        <f>#REF!*H25</f>
        <v>#REF!</v>
      </c>
      <c r="AP25" s="162" t="e">
        <f>#REF!*I25</f>
        <v>#REF!</v>
      </c>
    </row>
    <row r="26" spans="1:42" x14ac:dyDescent="0.2">
      <c r="A26" s="143">
        <f t="shared" si="4"/>
        <v>4.1428571428571432</v>
      </c>
      <c r="B26" s="147">
        <f t="shared" si="13"/>
        <v>0.54166666666666663</v>
      </c>
      <c r="C26">
        <v>5</v>
      </c>
      <c r="D26">
        <v>6</v>
      </c>
      <c r="E26">
        <v>6</v>
      </c>
      <c r="F26">
        <v>5</v>
      </c>
      <c r="G26">
        <v>4</v>
      </c>
      <c r="H26">
        <v>3</v>
      </c>
      <c r="I26">
        <v>0</v>
      </c>
      <c r="K26" s="207">
        <f t="shared" si="5"/>
        <v>0.44440114360149496</v>
      </c>
      <c r="L26" s="207">
        <f t="shared" si="6"/>
        <v>0.50408141517476557</v>
      </c>
      <c r="M26" s="207">
        <f t="shared" si="7"/>
        <v>0.58103162013048915</v>
      </c>
      <c r="N26" s="207">
        <f t="shared" si="8"/>
        <v>0.47328478611789643</v>
      </c>
      <c r="O26" s="207">
        <f t="shared" si="9"/>
        <v>0.37763438191355203</v>
      </c>
      <c r="P26" s="207">
        <f t="shared" si="10"/>
        <v>0.27497704693716518</v>
      </c>
      <c r="Q26" s="207">
        <f t="shared" si="11"/>
        <v>0</v>
      </c>
      <c r="S26" s="146">
        <v>2</v>
      </c>
      <c r="T26" s="146">
        <v>2</v>
      </c>
      <c r="U26" s="146">
        <v>2</v>
      </c>
      <c r="V26" s="146">
        <v>2</v>
      </c>
      <c r="W26" s="146">
        <v>2</v>
      </c>
      <c r="X26" s="146">
        <v>2</v>
      </c>
      <c r="Y26" s="146">
        <v>2</v>
      </c>
      <c r="AB26" s="220">
        <f t="shared" si="12"/>
        <v>3.5004384637530261</v>
      </c>
      <c r="AC26" s="220">
        <f t="shared" si="3"/>
        <v>2.967613047798237</v>
      </c>
      <c r="AD26" s="220">
        <f t="shared" si="3"/>
        <v>2.442153457243577</v>
      </c>
      <c r="AE26" s="220">
        <f t="shared" si="3"/>
        <v>3.2257855284234616</v>
      </c>
      <c r="AF26" s="220">
        <f t="shared" si="3"/>
        <v>4.2961279369362071</v>
      </c>
      <c r="AG26" s="220">
        <f t="shared" si="3"/>
        <v>6.2733343465464539</v>
      </c>
      <c r="AH26" s="220" t="e">
        <f t="shared" si="3"/>
        <v>#DIV/0!</v>
      </c>
      <c r="AJ26" s="162" t="e">
        <f>#REF!*C26</f>
        <v>#REF!</v>
      </c>
      <c r="AK26" s="162" t="e">
        <f>#REF!*D26</f>
        <v>#REF!</v>
      </c>
      <c r="AL26" s="162" t="e">
        <f>#REF!*E26</f>
        <v>#REF!</v>
      </c>
      <c r="AM26" s="162" t="e">
        <f>#REF!*F26</f>
        <v>#REF!</v>
      </c>
      <c r="AN26" s="162" t="e">
        <f>#REF!*G26</f>
        <v>#REF!</v>
      </c>
      <c r="AO26" s="162" t="e">
        <f>#REF!*H26</f>
        <v>#REF!</v>
      </c>
      <c r="AP26" s="162" t="e">
        <f>#REF!*I26</f>
        <v>#REF!</v>
      </c>
    </row>
    <row r="27" spans="1:42" x14ac:dyDescent="0.2">
      <c r="A27" s="143">
        <f t="shared" si="4"/>
        <v>4.1428571428571432</v>
      </c>
      <c r="B27" s="147">
        <f t="shared" si="13"/>
        <v>0.58333333333333326</v>
      </c>
      <c r="C27">
        <v>5</v>
      </c>
      <c r="D27">
        <v>6</v>
      </c>
      <c r="E27">
        <v>5</v>
      </c>
      <c r="F27">
        <v>6</v>
      </c>
      <c r="G27">
        <v>5</v>
      </c>
      <c r="H27">
        <v>2</v>
      </c>
      <c r="I27">
        <v>0</v>
      </c>
      <c r="K27" s="207">
        <f t="shared" si="5"/>
        <v>0.44440114360149496</v>
      </c>
      <c r="L27" s="207">
        <f t="shared" si="6"/>
        <v>0.50408141517476557</v>
      </c>
      <c r="M27" s="207">
        <f t="shared" si="7"/>
        <v>0.48419301677540766</v>
      </c>
      <c r="N27" s="207">
        <f t="shared" si="8"/>
        <v>0.56794174334147562</v>
      </c>
      <c r="O27" s="207">
        <f t="shared" si="9"/>
        <v>0.47204297739194001</v>
      </c>
      <c r="P27" s="207">
        <f t="shared" si="10"/>
        <v>0.18331803129144347</v>
      </c>
      <c r="Q27" s="207">
        <f t="shared" si="11"/>
        <v>0</v>
      </c>
      <c r="S27" s="146">
        <v>2</v>
      </c>
      <c r="T27" s="146">
        <v>2</v>
      </c>
      <c r="U27" s="146">
        <v>2</v>
      </c>
      <c r="V27" s="146">
        <v>2</v>
      </c>
      <c r="W27" s="146">
        <v>2</v>
      </c>
      <c r="X27" s="146">
        <v>2</v>
      </c>
      <c r="Y27" s="146">
        <v>2</v>
      </c>
      <c r="AB27" s="220">
        <f t="shared" si="12"/>
        <v>3.5004384637530261</v>
      </c>
      <c r="AC27" s="220">
        <f t="shared" si="3"/>
        <v>2.967613047798237</v>
      </c>
      <c r="AD27" s="220">
        <f t="shared" si="3"/>
        <v>3.1305841486922921</v>
      </c>
      <c r="AE27" s="220">
        <f t="shared" si="3"/>
        <v>2.5214879403528854</v>
      </c>
      <c r="AF27" s="220">
        <f t="shared" si="3"/>
        <v>3.2369023495489655</v>
      </c>
      <c r="AG27" s="220">
        <f t="shared" si="3"/>
        <v>9.91000151981968</v>
      </c>
      <c r="AH27" s="220" t="e">
        <f t="shared" si="3"/>
        <v>#DIV/0!</v>
      </c>
      <c r="AJ27" s="162" t="e">
        <f>#REF!*C27</f>
        <v>#REF!</v>
      </c>
      <c r="AK27" s="162" t="e">
        <f>#REF!*D27</f>
        <v>#REF!</v>
      </c>
      <c r="AL27" s="162" t="e">
        <f>#REF!*E27</f>
        <v>#REF!</v>
      </c>
      <c r="AM27" s="162" t="e">
        <f>#REF!*F27</f>
        <v>#REF!</v>
      </c>
      <c r="AN27" s="162" t="e">
        <f>#REF!*G27</f>
        <v>#REF!</v>
      </c>
      <c r="AO27" s="162" t="e">
        <f>#REF!*H27</f>
        <v>#REF!</v>
      </c>
      <c r="AP27" s="162" t="e">
        <f>#REF!*I27</f>
        <v>#REF!</v>
      </c>
    </row>
    <row r="28" spans="1:42" x14ac:dyDescent="0.2">
      <c r="A28" s="143">
        <f t="shared" si="4"/>
        <v>4.5714285714285712</v>
      </c>
      <c r="B28" s="147">
        <f t="shared" si="13"/>
        <v>0.62499999999999989</v>
      </c>
      <c r="C28">
        <v>6</v>
      </c>
      <c r="D28">
        <v>7</v>
      </c>
      <c r="E28">
        <v>6</v>
      </c>
      <c r="F28">
        <v>7</v>
      </c>
      <c r="G28">
        <v>5</v>
      </c>
      <c r="H28">
        <v>1</v>
      </c>
      <c r="I28">
        <v>0</v>
      </c>
      <c r="K28" s="207">
        <f t="shared" si="5"/>
        <v>0.53328137232179407</v>
      </c>
      <c r="L28" s="207">
        <f t="shared" si="6"/>
        <v>0.58809498437055985</v>
      </c>
      <c r="M28" s="207">
        <f t="shared" si="7"/>
        <v>0.58103162013048915</v>
      </c>
      <c r="N28" s="207">
        <f t="shared" si="8"/>
        <v>0.66259870056505499</v>
      </c>
      <c r="O28" s="207">
        <f t="shared" si="9"/>
        <v>0.47204297739194001</v>
      </c>
      <c r="P28" s="207">
        <f t="shared" si="10"/>
        <v>9.1659015645721736E-2</v>
      </c>
      <c r="Q28" s="207">
        <f t="shared" si="11"/>
        <v>0</v>
      </c>
      <c r="S28" s="146">
        <v>2</v>
      </c>
      <c r="T28" s="146">
        <v>2</v>
      </c>
      <c r="U28" s="146">
        <v>2</v>
      </c>
      <c r="V28" s="146">
        <v>2</v>
      </c>
      <c r="W28" s="146">
        <v>2</v>
      </c>
      <c r="X28" s="146">
        <v>2</v>
      </c>
      <c r="Y28" s="146">
        <v>2</v>
      </c>
      <c r="AB28" s="220">
        <f t="shared" si="12"/>
        <v>2.7503653864608544</v>
      </c>
      <c r="AC28" s="220">
        <f t="shared" si="3"/>
        <v>2.4008111838270598</v>
      </c>
      <c r="AD28" s="220">
        <f t="shared" si="3"/>
        <v>2.442153457243577</v>
      </c>
      <c r="AE28" s="220">
        <f t="shared" si="3"/>
        <v>2.0184182345881871</v>
      </c>
      <c r="AF28" s="220">
        <f t="shared" si="3"/>
        <v>3.2369023495489655</v>
      </c>
      <c r="AG28" s="220">
        <f t="shared" si="3"/>
        <v>20.82000303963936</v>
      </c>
      <c r="AH28" s="220" t="e">
        <f t="shared" si="3"/>
        <v>#DIV/0!</v>
      </c>
      <c r="AJ28" s="162" t="e">
        <f>#REF!*C28</f>
        <v>#REF!</v>
      </c>
      <c r="AK28" s="162" t="e">
        <f>#REF!*D28</f>
        <v>#REF!</v>
      </c>
      <c r="AL28" s="162" t="e">
        <f>#REF!*E28</f>
        <v>#REF!</v>
      </c>
      <c r="AM28" s="162" t="e">
        <f>#REF!*F28</f>
        <v>#REF!</v>
      </c>
      <c r="AN28" s="162" t="e">
        <f>#REF!*G28</f>
        <v>#REF!</v>
      </c>
      <c r="AO28" s="162" t="e">
        <f>#REF!*H28</f>
        <v>#REF!</v>
      </c>
      <c r="AP28" s="162" t="e">
        <f>#REF!*I28</f>
        <v>#REF!</v>
      </c>
    </row>
    <row r="29" spans="1:42" x14ac:dyDescent="0.2">
      <c r="A29" s="143">
        <f t="shared" si="4"/>
        <v>4.2857142857142856</v>
      </c>
      <c r="B29" s="147">
        <f t="shared" si="13"/>
        <v>0.66666666666666652</v>
      </c>
      <c r="C29">
        <v>6</v>
      </c>
      <c r="D29">
        <v>7</v>
      </c>
      <c r="E29">
        <v>5</v>
      </c>
      <c r="F29">
        <v>6</v>
      </c>
      <c r="G29">
        <v>5</v>
      </c>
      <c r="H29">
        <v>1</v>
      </c>
      <c r="I29">
        <v>0</v>
      </c>
      <c r="K29" s="207">
        <f t="shared" si="5"/>
        <v>0.53328137232179407</v>
      </c>
      <c r="L29" s="207">
        <f t="shared" si="6"/>
        <v>0.58809498437055985</v>
      </c>
      <c r="M29" s="207">
        <f t="shared" si="7"/>
        <v>0.48419301677540766</v>
      </c>
      <c r="N29" s="207">
        <f t="shared" si="8"/>
        <v>0.56794174334147562</v>
      </c>
      <c r="O29" s="207">
        <f t="shared" si="9"/>
        <v>0.47204297739194001</v>
      </c>
      <c r="P29" s="207">
        <f t="shared" si="10"/>
        <v>9.1659015645721736E-2</v>
      </c>
      <c r="Q29" s="207">
        <f t="shared" si="11"/>
        <v>0</v>
      </c>
      <c r="S29" s="146">
        <v>2</v>
      </c>
      <c r="T29" s="146">
        <v>2</v>
      </c>
      <c r="U29" s="146">
        <v>2</v>
      </c>
      <c r="V29" s="146">
        <v>2</v>
      </c>
      <c r="W29" s="146">
        <v>2</v>
      </c>
      <c r="X29" s="146">
        <v>2</v>
      </c>
      <c r="Y29" s="146">
        <v>2</v>
      </c>
      <c r="AB29" s="220">
        <f t="shared" si="12"/>
        <v>2.7503653864608544</v>
      </c>
      <c r="AC29" s="220">
        <f t="shared" si="12"/>
        <v>2.4008111838270598</v>
      </c>
      <c r="AD29" s="220">
        <f t="shared" si="12"/>
        <v>3.1305841486922921</v>
      </c>
      <c r="AE29" s="220">
        <f t="shared" si="12"/>
        <v>2.5214879403528854</v>
      </c>
      <c r="AF29" s="220">
        <f t="shared" si="12"/>
        <v>3.2369023495489655</v>
      </c>
      <c r="AG29" s="220">
        <f t="shared" si="12"/>
        <v>20.82000303963936</v>
      </c>
      <c r="AH29" s="220" t="e">
        <f t="shared" si="12"/>
        <v>#DIV/0!</v>
      </c>
      <c r="AJ29" s="162" t="e">
        <f>#REF!*C29</f>
        <v>#REF!</v>
      </c>
      <c r="AK29" s="162" t="e">
        <f>#REF!*D29</f>
        <v>#REF!</v>
      </c>
      <c r="AL29" s="162" t="e">
        <f>#REF!*E29</f>
        <v>#REF!</v>
      </c>
      <c r="AM29" s="162" t="e">
        <f>#REF!*F29</f>
        <v>#REF!</v>
      </c>
      <c r="AN29" s="162" t="e">
        <f>#REF!*G29</f>
        <v>#REF!</v>
      </c>
      <c r="AO29" s="162" t="e">
        <f>#REF!*H29</f>
        <v>#REF!</v>
      </c>
      <c r="AP29" s="162" t="e">
        <f>#REF!*I29</f>
        <v>#REF!</v>
      </c>
    </row>
    <row r="30" spans="1:42" x14ac:dyDescent="0.2">
      <c r="A30" s="143">
        <f t="shared" si="4"/>
        <v>3.2857142857142856</v>
      </c>
      <c r="B30" s="147">
        <f t="shared" si="13"/>
        <v>0.70833333333333315</v>
      </c>
      <c r="C30">
        <v>5</v>
      </c>
      <c r="D30">
        <v>5</v>
      </c>
      <c r="E30">
        <v>5</v>
      </c>
      <c r="F30">
        <v>6</v>
      </c>
      <c r="G30">
        <v>2</v>
      </c>
      <c r="H30">
        <v>0</v>
      </c>
      <c r="I30">
        <v>0</v>
      </c>
      <c r="K30" s="207">
        <f t="shared" si="5"/>
        <v>0.44440114360149496</v>
      </c>
      <c r="L30" s="207">
        <f t="shared" si="6"/>
        <v>0.42006784597897129</v>
      </c>
      <c r="M30" s="207">
        <f t="shared" si="7"/>
        <v>0.48419301677540766</v>
      </c>
      <c r="N30" s="207">
        <f t="shared" si="8"/>
        <v>0.56794174334147562</v>
      </c>
      <c r="O30" s="207">
        <f t="shared" si="9"/>
        <v>0.18881719095677602</v>
      </c>
      <c r="P30" s="207">
        <f t="shared" si="10"/>
        <v>0</v>
      </c>
      <c r="Q30" s="207">
        <f t="shared" si="11"/>
        <v>0</v>
      </c>
      <c r="S30" s="146">
        <v>1</v>
      </c>
      <c r="T30" s="146">
        <v>1</v>
      </c>
      <c r="U30" s="146">
        <v>1</v>
      </c>
      <c r="V30" s="146">
        <v>1</v>
      </c>
      <c r="W30" s="146">
        <v>1</v>
      </c>
      <c r="X30" s="146">
        <v>1</v>
      </c>
      <c r="Y30" s="146">
        <v>1</v>
      </c>
      <c r="AB30" s="220">
        <f t="shared" si="12"/>
        <v>1.2502192318765131</v>
      </c>
      <c r="AC30" s="220">
        <f t="shared" si="12"/>
        <v>1.380567828678942</v>
      </c>
      <c r="AD30" s="220">
        <f t="shared" si="12"/>
        <v>1.065292074346146</v>
      </c>
      <c r="AE30" s="220">
        <f t="shared" si="12"/>
        <v>0.76074397017644269</v>
      </c>
      <c r="AF30" s="220">
        <f t="shared" si="12"/>
        <v>4.2961279369362071</v>
      </c>
      <c r="AG30" s="220" t="e">
        <f t="shared" si="12"/>
        <v>#DIV/0!</v>
      </c>
      <c r="AH30" s="220" t="e">
        <f t="shared" si="12"/>
        <v>#DIV/0!</v>
      </c>
      <c r="AJ30" s="162" t="e">
        <f>#REF!*C30</f>
        <v>#REF!</v>
      </c>
      <c r="AK30" s="162" t="e">
        <f>#REF!*D30</f>
        <v>#REF!</v>
      </c>
      <c r="AL30" s="162" t="e">
        <f>#REF!*E30</f>
        <v>#REF!</v>
      </c>
      <c r="AM30" s="162" t="e">
        <f>#REF!*F30</f>
        <v>#REF!</v>
      </c>
      <c r="AN30" s="162" t="e">
        <f>#REF!*G30</f>
        <v>#REF!</v>
      </c>
      <c r="AO30" s="162" t="e">
        <f>#REF!*H30</f>
        <v>#REF!</v>
      </c>
      <c r="AP30" s="162" t="e">
        <f>#REF!*I30</f>
        <v>#REF!</v>
      </c>
    </row>
    <row r="31" spans="1:42" x14ac:dyDescent="0.2">
      <c r="A31" s="143">
        <f t="shared" si="4"/>
        <v>1.4285714285714286</v>
      </c>
      <c r="B31" s="147">
        <f t="shared" si="13"/>
        <v>0.74999999999999978</v>
      </c>
      <c r="C31">
        <v>2</v>
      </c>
      <c r="D31">
        <v>2</v>
      </c>
      <c r="E31">
        <v>2</v>
      </c>
      <c r="F31">
        <v>2</v>
      </c>
      <c r="G31">
        <v>2</v>
      </c>
      <c r="H31">
        <v>0</v>
      </c>
      <c r="I31">
        <v>0</v>
      </c>
      <c r="K31" s="207">
        <f t="shared" si="5"/>
        <v>0.17776045744059799</v>
      </c>
      <c r="L31" s="207">
        <f t="shared" si="6"/>
        <v>0.16802713839158853</v>
      </c>
      <c r="M31" s="207">
        <f t="shared" si="7"/>
        <v>0.19367720671016306</v>
      </c>
      <c r="N31" s="207">
        <f t="shared" si="8"/>
        <v>0.18931391444715856</v>
      </c>
      <c r="O31" s="207">
        <f t="shared" si="9"/>
        <v>0.18881719095677602</v>
      </c>
      <c r="P31" s="207">
        <f t="shared" si="10"/>
        <v>0</v>
      </c>
      <c r="Q31" s="207">
        <f t="shared" si="11"/>
        <v>0</v>
      </c>
      <c r="S31" s="146">
        <v>1</v>
      </c>
      <c r="T31" s="146">
        <v>1</v>
      </c>
      <c r="U31" s="146">
        <v>1</v>
      </c>
      <c r="V31" s="146">
        <v>1</v>
      </c>
      <c r="W31" s="146">
        <v>1</v>
      </c>
      <c r="X31" s="146">
        <v>1</v>
      </c>
      <c r="Y31" s="146">
        <v>1</v>
      </c>
      <c r="AB31" s="220">
        <f t="shared" si="12"/>
        <v>4.6255480796912831</v>
      </c>
      <c r="AC31" s="220">
        <f t="shared" si="12"/>
        <v>4.9514195716973548</v>
      </c>
      <c r="AD31" s="220">
        <f t="shared" si="12"/>
        <v>4.1632301858653653</v>
      </c>
      <c r="AE31" s="220">
        <f t="shared" si="12"/>
        <v>4.2822319105293278</v>
      </c>
      <c r="AF31" s="220">
        <f t="shared" si="12"/>
        <v>4.2961279369362071</v>
      </c>
      <c r="AG31" s="220" t="e">
        <f t="shared" si="12"/>
        <v>#DIV/0!</v>
      </c>
      <c r="AH31" s="220" t="e">
        <f t="shared" si="12"/>
        <v>#DIV/0!</v>
      </c>
      <c r="AJ31" s="162" t="e">
        <f>#REF!*C31</f>
        <v>#REF!</v>
      </c>
      <c r="AK31" s="162" t="e">
        <f>#REF!*D31</f>
        <v>#REF!</v>
      </c>
      <c r="AL31" s="162" t="e">
        <f>#REF!*E31</f>
        <v>#REF!</v>
      </c>
      <c r="AM31" s="162" t="e">
        <f>#REF!*F31</f>
        <v>#REF!</v>
      </c>
      <c r="AN31" s="162" t="e">
        <f>#REF!*G31</f>
        <v>#REF!</v>
      </c>
      <c r="AO31" s="162" t="e">
        <f>#REF!*H31</f>
        <v>#REF!</v>
      </c>
      <c r="AP31" s="162" t="e">
        <f>#REF!*I31</f>
        <v>#REF!</v>
      </c>
    </row>
    <row r="32" spans="1:42" x14ac:dyDescent="0.2">
      <c r="A32" s="143">
        <f t="shared" si="4"/>
        <v>0.42857142857142855</v>
      </c>
      <c r="B32" s="147">
        <f t="shared" si="13"/>
        <v>0.79166666666666641</v>
      </c>
      <c r="C32">
        <v>0</v>
      </c>
      <c r="D32">
        <v>1</v>
      </c>
      <c r="E32">
        <v>0</v>
      </c>
      <c r="F32">
        <v>1</v>
      </c>
      <c r="G32">
        <v>1</v>
      </c>
      <c r="H32">
        <v>0</v>
      </c>
      <c r="I32">
        <v>0</v>
      </c>
      <c r="K32" s="207">
        <f t="shared" si="5"/>
        <v>0</v>
      </c>
      <c r="L32" s="207">
        <f t="shared" si="6"/>
        <v>8.4013569195794266E-2</v>
      </c>
      <c r="M32" s="207">
        <f t="shared" si="7"/>
        <v>0</v>
      </c>
      <c r="N32" s="207">
        <f t="shared" si="8"/>
        <v>9.465695722357928E-2</v>
      </c>
      <c r="O32" s="207">
        <f t="shared" si="9"/>
        <v>9.4408595478388008E-2</v>
      </c>
      <c r="P32" s="207">
        <f t="shared" si="10"/>
        <v>0</v>
      </c>
      <c r="Q32" s="207">
        <f t="shared" si="11"/>
        <v>0</v>
      </c>
      <c r="S32" s="146">
        <v>1</v>
      </c>
      <c r="T32" s="146">
        <v>1</v>
      </c>
      <c r="U32" s="146">
        <v>1</v>
      </c>
      <c r="V32" s="146">
        <v>1</v>
      </c>
      <c r="W32" s="146">
        <v>1</v>
      </c>
      <c r="X32" s="146">
        <v>1</v>
      </c>
      <c r="Y32" s="146">
        <v>1</v>
      </c>
      <c r="AB32" s="220" t="e">
        <f t="shared" si="12"/>
        <v>#DIV/0!</v>
      </c>
      <c r="AC32" s="220">
        <f t="shared" si="12"/>
        <v>10.90283914339471</v>
      </c>
      <c r="AD32" s="220" t="e">
        <f t="shared" si="12"/>
        <v>#DIV/0!</v>
      </c>
      <c r="AE32" s="220">
        <f t="shared" si="12"/>
        <v>9.5644638210586557</v>
      </c>
      <c r="AF32" s="220">
        <f t="shared" si="12"/>
        <v>9.5922558738724142</v>
      </c>
      <c r="AG32" s="220" t="e">
        <f t="shared" si="12"/>
        <v>#DIV/0!</v>
      </c>
      <c r="AH32" s="220" t="e">
        <f t="shared" si="12"/>
        <v>#DIV/0!</v>
      </c>
      <c r="AJ32" s="162" t="e">
        <f>#REF!*C32</f>
        <v>#REF!</v>
      </c>
      <c r="AK32" s="162" t="e">
        <f>#REF!*D32</f>
        <v>#REF!</v>
      </c>
      <c r="AL32" s="162" t="e">
        <f>#REF!*E32</f>
        <v>#REF!</v>
      </c>
      <c r="AM32" s="162" t="e">
        <f>#REF!*F32</f>
        <v>#REF!</v>
      </c>
      <c r="AN32" s="162" t="e">
        <f>#REF!*G32</f>
        <v>#REF!</v>
      </c>
      <c r="AO32" s="162" t="e">
        <f>#REF!*H32</f>
        <v>#REF!</v>
      </c>
      <c r="AP32" s="162" t="e">
        <f>#REF!*I32</f>
        <v>#REF!</v>
      </c>
    </row>
    <row r="33" spans="1:42" x14ac:dyDescent="0.2">
      <c r="A33" s="143">
        <f t="shared" si="4"/>
        <v>0.8571428571428571</v>
      </c>
      <c r="B33" s="147">
        <f t="shared" si="13"/>
        <v>0.83333333333333304</v>
      </c>
      <c r="C33">
        <v>1</v>
      </c>
      <c r="D33">
        <v>1</v>
      </c>
      <c r="E33">
        <v>1</v>
      </c>
      <c r="F33">
        <v>1</v>
      </c>
      <c r="G33">
        <v>2</v>
      </c>
      <c r="H33">
        <v>0</v>
      </c>
      <c r="I33">
        <v>0</v>
      </c>
      <c r="K33" s="207">
        <f t="shared" si="5"/>
        <v>8.8880228720298993E-2</v>
      </c>
      <c r="L33" s="207">
        <f t="shared" si="6"/>
        <v>8.4013569195794266E-2</v>
      </c>
      <c r="M33" s="207">
        <f t="shared" si="7"/>
        <v>9.6838603355081529E-2</v>
      </c>
      <c r="N33" s="207">
        <f t="shared" si="8"/>
        <v>9.465695722357928E-2</v>
      </c>
      <c r="O33" s="207">
        <f t="shared" si="9"/>
        <v>0.18881719095677602</v>
      </c>
      <c r="P33" s="207">
        <f t="shared" si="10"/>
        <v>0</v>
      </c>
      <c r="Q33" s="207">
        <f t="shared" si="11"/>
        <v>0</v>
      </c>
      <c r="S33" s="146">
        <v>1</v>
      </c>
      <c r="T33" s="146">
        <v>1</v>
      </c>
      <c r="U33" s="146">
        <v>1</v>
      </c>
      <c r="V33" s="146">
        <v>1</v>
      </c>
      <c r="W33" s="146">
        <v>1</v>
      </c>
      <c r="X33" s="146">
        <v>1</v>
      </c>
      <c r="Y33" s="146">
        <v>1</v>
      </c>
      <c r="AB33" s="220">
        <f t="shared" si="12"/>
        <v>10.251096159382566</v>
      </c>
      <c r="AC33" s="220">
        <f t="shared" si="12"/>
        <v>10.90283914339471</v>
      </c>
      <c r="AD33" s="220">
        <f t="shared" si="12"/>
        <v>9.3264603717307306</v>
      </c>
      <c r="AE33" s="220">
        <f t="shared" si="12"/>
        <v>9.5644638210586557</v>
      </c>
      <c r="AF33" s="220">
        <f t="shared" si="12"/>
        <v>4.2961279369362071</v>
      </c>
      <c r="AG33" s="220" t="e">
        <f t="shared" si="12"/>
        <v>#DIV/0!</v>
      </c>
      <c r="AH33" s="220" t="e">
        <f t="shared" si="12"/>
        <v>#DIV/0!</v>
      </c>
      <c r="AJ33" s="162" t="e">
        <f>#REF!*C33</f>
        <v>#REF!</v>
      </c>
      <c r="AK33" s="162" t="e">
        <f>#REF!*D33</f>
        <v>#REF!</v>
      </c>
      <c r="AL33" s="162" t="e">
        <f>#REF!*E33</f>
        <v>#REF!</v>
      </c>
      <c r="AM33" s="162" t="e">
        <f>#REF!*F33</f>
        <v>#REF!</v>
      </c>
      <c r="AN33" s="162" t="e">
        <f>#REF!*G33</f>
        <v>#REF!</v>
      </c>
      <c r="AO33" s="162" t="e">
        <f>#REF!*H33</f>
        <v>#REF!</v>
      </c>
      <c r="AP33" s="162" t="e">
        <f>#REF!*I33</f>
        <v>#REF!</v>
      </c>
    </row>
    <row r="34" spans="1:42" x14ac:dyDescent="0.2">
      <c r="A34" s="143">
        <f t="shared" si="4"/>
        <v>0.42857142857142855</v>
      </c>
      <c r="B34" s="147">
        <f t="shared" si="13"/>
        <v>0.87499999999999967</v>
      </c>
      <c r="C34">
        <v>0</v>
      </c>
      <c r="D34">
        <v>1</v>
      </c>
      <c r="E34">
        <v>0</v>
      </c>
      <c r="F34">
        <v>1</v>
      </c>
      <c r="G34">
        <v>1</v>
      </c>
      <c r="H34">
        <v>0</v>
      </c>
      <c r="I34">
        <v>0</v>
      </c>
      <c r="K34" s="207">
        <f t="shared" si="5"/>
        <v>0</v>
      </c>
      <c r="L34" s="207">
        <f t="shared" si="6"/>
        <v>8.4013569195794266E-2</v>
      </c>
      <c r="M34" s="207">
        <f t="shared" si="7"/>
        <v>0</v>
      </c>
      <c r="N34" s="207">
        <f t="shared" si="8"/>
        <v>9.465695722357928E-2</v>
      </c>
      <c r="O34" s="207">
        <f t="shared" si="9"/>
        <v>9.4408595478388008E-2</v>
      </c>
      <c r="P34" s="207">
        <f t="shared" si="10"/>
        <v>0</v>
      </c>
      <c r="Q34" s="207">
        <f t="shared" si="11"/>
        <v>0</v>
      </c>
      <c r="S34" s="146">
        <v>1</v>
      </c>
      <c r="T34" s="146">
        <v>1</v>
      </c>
      <c r="U34" s="146">
        <v>1</v>
      </c>
      <c r="V34" s="146">
        <v>1</v>
      </c>
      <c r="W34" s="146">
        <v>1</v>
      </c>
      <c r="X34" s="146">
        <v>1</v>
      </c>
      <c r="Y34" s="146">
        <v>1</v>
      </c>
      <c r="AB34" s="220" t="e">
        <f t="shared" si="12"/>
        <v>#DIV/0!</v>
      </c>
      <c r="AC34" s="220">
        <f t="shared" si="12"/>
        <v>10.90283914339471</v>
      </c>
      <c r="AD34" s="220" t="e">
        <f t="shared" si="12"/>
        <v>#DIV/0!</v>
      </c>
      <c r="AE34" s="220">
        <f t="shared" si="12"/>
        <v>9.5644638210586557</v>
      </c>
      <c r="AF34" s="220">
        <f t="shared" si="12"/>
        <v>9.5922558738724142</v>
      </c>
      <c r="AG34" s="220" t="e">
        <f t="shared" si="12"/>
        <v>#DIV/0!</v>
      </c>
      <c r="AH34" s="220" t="e">
        <f t="shared" si="12"/>
        <v>#DIV/0!</v>
      </c>
      <c r="AJ34" s="162" t="e">
        <f>#REF!*C34</f>
        <v>#REF!</v>
      </c>
      <c r="AK34" s="162" t="e">
        <f>#REF!*D34</f>
        <v>#REF!</v>
      </c>
      <c r="AL34" s="162" t="e">
        <f>#REF!*E34</f>
        <v>#REF!</v>
      </c>
      <c r="AM34" s="162" t="e">
        <f>#REF!*F34</f>
        <v>#REF!</v>
      </c>
      <c r="AN34" s="162" t="e">
        <f>#REF!*G34</f>
        <v>#REF!</v>
      </c>
      <c r="AO34" s="162" t="e">
        <f>#REF!*H34</f>
        <v>#REF!</v>
      </c>
      <c r="AP34" s="162" t="e">
        <f>#REF!*I34</f>
        <v>#REF!</v>
      </c>
    </row>
    <row r="35" spans="1:42" x14ac:dyDescent="0.2">
      <c r="A35" s="143">
        <f t="shared" si="4"/>
        <v>0.5714285714285714</v>
      </c>
      <c r="B35" s="147">
        <f t="shared" si="13"/>
        <v>0.9166666666666663</v>
      </c>
      <c r="C35">
        <v>1</v>
      </c>
      <c r="D35">
        <v>1</v>
      </c>
      <c r="E35">
        <v>1</v>
      </c>
      <c r="F35">
        <v>0</v>
      </c>
      <c r="G35">
        <v>1</v>
      </c>
      <c r="H35">
        <v>0</v>
      </c>
      <c r="I35">
        <v>0</v>
      </c>
      <c r="K35" s="207">
        <f t="shared" si="5"/>
        <v>8.8880228720298993E-2</v>
      </c>
      <c r="L35" s="207">
        <f t="shared" si="6"/>
        <v>8.4013569195794266E-2</v>
      </c>
      <c r="M35" s="207">
        <f t="shared" si="7"/>
        <v>9.6838603355081529E-2</v>
      </c>
      <c r="N35" s="207">
        <f t="shared" si="8"/>
        <v>0</v>
      </c>
      <c r="O35" s="207">
        <f t="shared" si="9"/>
        <v>9.4408595478388008E-2</v>
      </c>
      <c r="P35" s="207">
        <f t="shared" si="10"/>
        <v>0</v>
      </c>
      <c r="Q35" s="207">
        <f t="shared" si="11"/>
        <v>0</v>
      </c>
      <c r="S35" s="146">
        <v>1</v>
      </c>
      <c r="T35" s="146">
        <v>1</v>
      </c>
      <c r="U35" s="146">
        <v>1</v>
      </c>
      <c r="V35" s="146">
        <v>1</v>
      </c>
      <c r="W35" s="146">
        <v>1</v>
      </c>
      <c r="X35" s="146">
        <v>1</v>
      </c>
      <c r="Y35" s="146">
        <v>1</v>
      </c>
      <c r="AB35" s="220">
        <f t="shared" si="12"/>
        <v>10.251096159382566</v>
      </c>
      <c r="AC35" s="220">
        <f t="shared" si="12"/>
        <v>10.90283914339471</v>
      </c>
      <c r="AD35" s="220">
        <f t="shared" si="12"/>
        <v>9.3264603717307306</v>
      </c>
      <c r="AE35" s="220" t="e">
        <f t="shared" si="12"/>
        <v>#DIV/0!</v>
      </c>
      <c r="AF35" s="220">
        <f t="shared" si="12"/>
        <v>9.5922558738724142</v>
      </c>
      <c r="AG35" s="220" t="e">
        <f t="shared" si="12"/>
        <v>#DIV/0!</v>
      </c>
      <c r="AH35" s="220" t="e">
        <f t="shared" si="12"/>
        <v>#DIV/0!</v>
      </c>
      <c r="AJ35" s="162" t="e">
        <f>#REF!*C35</f>
        <v>#REF!</v>
      </c>
      <c r="AK35" s="162" t="e">
        <f>#REF!*D35</f>
        <v>#REF!</v>
      </c>
      <c r="AL35" s="162" t="e">
        <f>#REF!*E35</f>
        <v>#REF!</v>
      </c>
      <c r="AM35" s="162" t="e">
        <f>#REF!*F35</f>
        <v>#REF!</v>
      </c>
      <c r="AN35" s="162" t="e">
        <f>#REF!*G35</f>
        <v>#REF!</v>
      </c>
      <c r="AO35" s="162" t="e">
        <f>#REF!*H35</f>
        <v>#REF!</v>
      </c>
      <c r="AP35" s="162" t="e">
        <f>#REF!*I35</f>
        <v>#REF!</v>
      </c>
    </row>
    <row r="36" spans="1:42" ht="13.5" thickBot="1" x14ac:dyDescent="0.25">
      <c r="A36" s="143">
        <f t="shared" si="4"/>
        <v>0.42857142857142855</v>
      </c>
      <c r="B36" s="147">
        <f t="shared" si="13"/>
        <v>0.95833333333333293</v>
      </c>
      <c r="C36">
        <v>0</v>
      </c>
      <c r="D36">
        <v>1</v>
      </c>
      <c r="E36">
        <v>0</v>
      </c>
      <c r="F36">
        <v>1</v>
      </c>
      <c r="G36">
        <v>1</v>
      </c>
      <c r="H36">
        <v>0</v>
      </c>
      <c r="I36">
        <v>0</v>
      </c>
      <c r="K36" s="207">
        <f t="shared" si="5"/>
        <v>0</v>
      </c>
      <c r="L36" s="207">
        <f t="shared" si="6"/>
        <v>8.4013569195794266E-2</v>
      </c>
      <c r="M36" s="207">
        <f t="shared" si="7"/>
        <v>0</v>
      </c>
      <c r="N36" s="207">
        <f t="shared" si="8"/>
        <v>9.465695722357928E-2</v>
      </c>
      <c r="O36" s="207">
        <f t="shared" si="9"/>
        <v>9.4408595478388008E-2</v>
      </c>
      <c r="P36" s="207">
        <f t="shared" si="10"/>
        <v>0</v>
      </c>
      <c r="Q36" s="207">
        <f t="shared" si="11"/>
        <v>0</v>
      </c>
      <c r="S36" s="146">
        <v>1</v>
      </c>
      <c r="T36" s="146">
        <v>1</v>
      </c>
      <c r="U36" s="146">
        <v>1</v>
      </c>
      <c r="V36" s="146">
        <v>1</v>
      </c>
      <c r="W36" s="146">
        <v>1</v>
      </c>
      <c r="X36" s="146">
        <v>1</v>
      </c>
      <c r="Y36" s="146">
        <v>1</v>
      </c>
      <c r="AB36" s="220" t="e">
        <f t="shared" si="12"/>
        <v>#DIV/0!</v>
      </c>
      <c r="AC36" s="220">
        <f t="shared" si="12"/>
        <v>10.90283914339471</v>
      </c>
      <c r="AD36" s="220" t="e">
        <f t="shared" si="12"/>
        <v>#DIV/0!</v>
      </c>
      <c r="AE36" s="220">
        <f t="shared" si="12"/>
        <v>9.5644638210586557</v>
      </c>
      <c r="AF36" s="220">
        <f t="shared" si="12"/>
        <v>9.5922558738724142</v>
      </c>
      <c r="AG36" s="220" t="e">
        <f t="shared" si="12"/>
        <v>#DIV/0!</v>
      </c>
      <c r="AH36" s="220" t="e">
        <f t="shared" si="12"/>
        <v>#DIV/0!</v>
      </c>
      <c r="AJ36" s="162" t="e">
        <f>#REF!*C36</f>
        <v>#REF!</v>
      </c>
      <c r="AK36" s="162" t="e">
        <f>#REF!*D36</f>
        <v>#REF!</v>
      </c>
      <c r="AL36" s="162" t="e">
        <f>#REF!*E36</f>
        <v>#REF!</v>
      </c>
      <c r="AM36" s="162" t="e">
        <f>#REF!*F36</f>
        <v>#REF!</v>
      </c>
      <c r="AN36" s="162" t="e">
        <f>#REF!*G36</f>
        <v>#REF!</v>
      </c>
      <c r="AO36" s="162" t="e">
        <f>#REF!*H36</f>
        <v>#REF!</v>
      </c>
      <c r="AP36" s="162" t="e">
        <f>#REF!*I36</f>
        <v>#REF!</v>
      </c>
    </row>
    <row r="37" spans="1:42" ht="13.5" thickBot="1" x14ac:dyDescent="0.25">
      <c r="A37" s="152">
        <f>SUM(K37:Q37)</f>
        <v>32.848212052599784</v>
      </c>
      <c r="B37" s="153">
        <f>SUM(C37:I37)</f>
        <v>359</v>
      </c>
      <c r="C37" s="135">
        <f t="shared" ref="C37:I37" si="14">SUM(C13:C36)</f>
        <v>62</v>
      </c>
      <c r="D37" s="135">
        <f t="shared" si="14"/>
        <v>80</v>
      </c>
      <c r="E37" s="135">
        <f t="shared" si="14"/>
        <v>68</v>
      </c>
      <c r="F37" s="135">
        <f t="shared" si="14"/>
        <v>68</v>
      </c>
      <c r="G37" s="135">
        <f t="shared" si="14"/>
        <v>62</v>
      </c>
      <c r="H37" s="135">
        <f t="shared" si="14"/>
        <v>19</v>
      </c>
      <c r="I37" s="135">
        <f t="shared" si="14"/>
        <v>0</v>
      </c>
      <c r="K37" s="148">
        <f>SUM(K13:K36)</f>
        <v>5.5105741806585407</v>
      </c>
      <c r="L37" s="148">
        <f t="shared" ref="L37:Q37" si="15">SUM(L13:L36)</f>
        <v>6.7210855356635415</v>
      </c>
      <c r="M37" s="148">
        <f t="shared" si="15"/>
        <v>6.5850250281455454</v>
      </c>
      <c r="N37" s="148">
        <f t="shared" si="15"/>
        <v>6.4366730912033905</v>
      </c>
      <c r="O37" s="148">
        <f t="shared" si="15"/>
        <v>5.8533329196600556</v>
      </c>
      <c r="P37" s="148">
        <f t="shared" si="15"/>
        <v>1.7415212972687133</v>
      </c>
      <c r="Q37" s="148">
        <f t="shared" si="15"/>
        <v>0</v>
      </c>
      <c r="S37" s="148">
        <f t="shared" ref="S37:Y37" si="16">SUM(S13:S36)/2</f>
        <v>15</v>
      </c>
      <c r="T37" s="148">
        <f t="shared" si="16"/>
        <v>15</v>
      </c>
      <c r="U37" s="148">
        <f t="shared" si="16"/>
        <v>15</v>
      </c>
      <c r="V37" s="148">
        <f t="shared" si="16"/>
        <v>15</v>
      </c>
      <c r="W37" s="148">
        <f t="shared" si="16"/>
        <v>15</v>
      </c>
      <c r="X37" s="148">
        <f t="shared" si="16"/>
        <v>15</v>
      </c>
      <c r="Y37" s="148">
        <f t="shared" si="16"/>
        <v>15</v>
      </c>
      <c r="AA37" s="21" t="s">
        <v>161</v>
      </c>
      <c r="AB37" s="215">
        <f>COUNTIF(AB13:AB36,$AP$37)/48</f>
        <v>0</v>
      </c>
      <c r="AC37" s="215">
        <f t="shared" ref="AC37:AH37" si="17">COUNTIF(AC13:AC36,$AP$37)/48</f>
        <v>0</v>
      </c>
      <c r="AD37" s="215">
        <f t="shared" si="17"/>
        <v>0</v>
      </c>
      <c r="AE37" s="215">
        <f t="shared" si="17"/>
        <v>0</v>
      </c>
      <c r="AF37" s="215">
        <f t="shared" si="17"/>
        <v>0</v>
      </c>
      <c r="AG37" s="215">
        <f t="shared" si="17"/>
        <v>0</v>
      </c>
      <c r="AH37" s="215">
        <f t="shared" si="17"/>
        <v>0</v>
      </c>
    </row>
    <row r="38" spans="1:42" ht="13.5" thickBot="1" x14ac:dyDescent="0.25">
      <c r="A38" s="152">
        <f>SUM(S37:Y37)</f>
        <v>105</v>
      </c>
      <c r="AA38" s="21" t="s">
        <v>164</v>
      </c>
      <c r="AB38" s="215">
        <f>COUNTIF(AB13:AB36,$AP$62)/48</f>
        <v>0</v>
      </c>
      <c r="AC38" s="215">
        <f t="shared" ref="AC38:AH38" si="18">COUNTIF(AC13:AC36,$AP$62)/48</f>
        <v>0</v>
      </c>
      <c r="AD38" s="215">
        <f t="shared" si="18"/>
        <v>0</v>
      </c>
      <c r="AE38" s="215">
        <f t="shared" si="18"/>
        <v>0</v>
      </c>
      <c r="AF38" s="215">
        <f t="shared" si="18"/>
        <v>0</v>
      </c>
      <c r="AG38" s="215">
        <f t="shared" si="18"/>
        <v>0</v>
      </c>
      <c r="AH38" s="215">
        <f t="shared" si="18"/>
        <v>0</v>
      </c>
    </row>
    <row r="39" spans="1:42" x14ac:dyDescent="0.2">
      <c r="C39" s="212">
        <f>C37/$B$37</f>
        <v>0.17270194986072424</v>
      </c>
      <c r="D39" s="212">
        <f t="shared" ref="D39:I39" si="19">D37/$B$37</f>
        <v>0.22284122562674094</v>
      </c>
      <c r="E39" s="212">
        <f t="shared" si="19"/>
        <v>0.1894150417827298</v>
      </c>
      <c r="F39" s="212">
        <f t="shared" si="19"/>
        <v>0.1894150417827298</v>
      </c>
      <c r="G39" s="212">
        <f t="shared" si="19"/>
        <v>0.17270194986072424</v>
      </c>
      <c r="H39" s="212">
        <f t="shared" si="19"/>
        <v>5.2924791086350974E-2</v>
      </c>
      <c r="I39" s="212">
        <f t="shared" si="19"/>
        <v>0</v>
      </c>
      <c r="K39" s="212">
        <f>K37/$A$37</f>
        <v>0.16775872524916935</v>
      </c>
      <c r="L39" s="212">
        <f t="shared" ref="L39:Q39" si="20">L37/$A$37</f>
        <v>0.20461039172850806</v>
      </c>
      <c r="M39" s="212">
        <f t="shared" si="20"/>
        <v>0.2004682939089944</v>
      </c>
      <c r="N39" s="212">
        <f t="shared" si="20"/>
        <v>0.19595200739986571</v>
      </c>
      <c r="O39" s="212">
        <f t="shared" si="20"/>
        <v>0.17819334916272228</v>
      </c>
      <c r="P39" s="212">
        <f t="shared" si="20"/>
        <v>5.3017232550740305E-2</v>
      </c>
      <c r="Q39" s="212">
        <f t="shared" si="20"/>
        <v>0</v>
      </c>
      <c r="S39" s="151">
        <f>S37/$A$38</f>
        <v>0.14285714285714285</v>
      </c>
      <c r="T39" s="151">
        <f t="shared" ref="T39:Y39" si="21">T37/$A$38</f>
        <v>0.14285714285714285</v>
      </c>
      <c r="U39" s="151">
        <f t="shared" si="21"/>
        <v>0.14285714285714285</v>
      </c>
      <c r="V39" s="151">
        <f t="shared" si="21"/>
        <v>0.14285714285714285</v>
      </c>
      <c r="W39" s="151">
        <f t="shared" si="21"/>
        <v>0.14285714285714285</v>
      </c>
      <c r="X39" s="151">
        <f t="shared" si="21"/>
        <v>0.14285714285714285</v>
      </c>
      <c r="Y39" s="151">
        <f t="shared" si="21"/>
        <v>0.14285714285714285</v>
      </c>
      <c r="AA39" s="165"/>
      <c r="AB39" s="165"/>
      <c r="AC39" s="165"/>
      <c r="AD39" s="165"/>
      <c r="AE39" s="165"/>
      <c r="AF39" s="165"/>
      <c r="AG39" s="165"/>
      <c r="AH39" s="165"/>
    </row>
    <row r="40" spans="1:42" x14ac:dyDescent="0.2">
      <c r="AA40" s="165"/>
      <c r="AB40" s="165"/>
      <c r="AC40" s="165"/>
      <c r="AD40" s="165"/>
      <c r="AE40" s="165"/>
      <c r="AF40" s="165"/>
      <c r="AG40" s="165"/>
      <c r="AH40" s="165"/>
    </row>
    <row r="41" spans="1:42" x14ac:dyDescent="0.2">
      <c r="K41" s="314" t="str">
        <f>"ETP HEBDO =  "&amp;A37/40</f>
        <v>ETP HEBDO =  0,821205301314995</v>
      </c>
      <c r="L41" s="314"/>
      <c r="M41" s="314"/>
      <c r="N41" s="314"/>
      <c r="O41" s="314"/>
      <c r="P41" s="314"/>
      <c r="Q41" s="314"/>
      <c r="S41" s="315" t="str">
        <f>"ETP HEBDO =  "&amp;A38/40</f>
        <v>ETP HEBDO =  2,625</v>
      </c>
      <c r="T41" s="315"/>
      <c r="U41" s="315"/>
      <c r="V41" s="315"/>
      <c r="W41" s="315"/>
      <c r="X41" s="315"/>
      <c r="Y41" s="315"/>
      <c r="AA41" s="165" t="s">
        <v>162</v>
      </c>
      <c r="AB41" s="309" t="s">
        <v>149</v>
      </c>
      <c r="AC41" s="309"/>
      <c r="AD41" s="196">
        <f>COUNTIF(AB13:AH36, AA41)</f>
        <v>10</v>
      </c>
      <c r="AE41" s="165"/>
      <c r="AF41" s="165"/>
      <c r="AG41" s="165"/>
      <c r="AH41" s="165"/>
    </row>
    <row r="42" spans="1:42" x14ac:dyDescent="0.2">
      <c r="AA42" s="165"/>
      <c r="AB42" s="165"/>
      <c r="AC42" s="165"/>
      <c r="AD42" s="165"/>
      <c r="AE42" s="165"/>
      <c r="AF42" s="165"/>
      <c r="AG42" s="165"/>
      <c r="AH42" s="165"/>
    </row>
    <row r="43" spans="1:42" x14ac:dyDescent="0.2">
      <c r="AA43" s="165"/>
      <c r="AB43" s="165"/>
      <c r="AC43" s="165"/>
      <c r="AD43" s="165"/>
      <c r="AE43" s="165"/>
      <c r="AF43" s="165"/>
      <c r="AG43" s="165"/>
      <c r="AH43" s="165"/>
    </row>
    <row r="44" spans="1:42" x14ac:dyDescent="0.2">
      <c r="AA44" s="165" t="s">
        <v>163</v>
      </c>
      <c r="AB44" s="305" t="s">
        <v>152</v>
      </c>
      <c r="AC44" s="305"/>
      <c r="AD44" s="196">
        <f>COUNTIF(AB13:AH36, AA44)</f>
        <v>0</v>
      </c>
      <c r="AE44" s="165"/>
      <c r="AF44" s="165"/>
      <c r="AG44" s="165"/>
      <c r="AH44" s="165"/>
    </row>
    <row r="45" spans="1:42" x14ac:dyDescent="0.2">
      <c r="AA45" s="165"/>
      <c r="AB45" s="165"/>
      <c r="AC45" s="165"/>
      <c r="AD45" s="165"/>
      <c r="AE45" s="165"/>
      <c r="AF45" s="165"/>
      <c r="AG45" s="165"/>
      <c r="AH45" s="165"/>
    </row>
    <row r="46" spans="1:42" x14ac:dyDescent="0.2">
      <c r="AA46" s="165" t="s">
        <v>161</v>
      </c>
      <c r="AB46" s="221">
        <f>COUNTIF(AB13:AH36,AA46)/336</f>
        <v>0</v>
      </c>
      <c r="AC46" s="203" t="s">
        <v>153</v>
      </c>
      <c r="AD46" s="165"/>
      <c r="AE46" s="165"/>
      <c r="AF46" s="165"/>
      <c r="AG46" s="165"/>
      <c r="AH46" s="165"/>
    </row>
    <row r="47" spans="1:42" x14ac:dyDescent="0.2">
      <c r="AA47" s="21" t="s">
        <v>164</v>
      </c>
      <c r="AB47" s="221">
        <f>COUNTIF(AB13:AH36,AA47)/336</f>
        <v>0.25595238095238093</v>
      </c>
      <c r="AC47" s="203" t="s">
        <v>167</v>
      </c>
      <c r="AD47" s="165"/>
      <c r="AE47" s="165"/>
      <c r="AF47" s="165"/>
      <c r="AG47" s="165"/>
      <c r="AH47" s="165"/>
    </row>
  </sheetData>
  <mergeCells count="12">
    <mergeCell ref="AB44:AC44"/>
    <mergeCell ref="AB11:AH11"/>
    <mergeCell ref="K41:Q41"/>
    <mergeCell ref="S41:Y41"/>
    <mergeCell ref="AB41:AC41"/>
    <mergeCell ref="A4:B4"/>
    <mergeCell ref="A6:B6"/>
    <mergeCell ref="S7:Y7"/>
    <mergeCell ref="A8:B8"/>
    <mergeCell ref="C11:I11"/>
    <mergeCell ref="K11:Q11"/>
    <mergeCell ref="S11:Y11"/>
  </mergeCells>
  <conditionalFormatting sqref="S13:Y36">
    <cfRule type="cellIs" dxfId="1538" priority="45" operator="lessThan">
      <formula>30</formula>
    </cfRule>
    <cfRule type="cellIs" dxfId="1537" priority="46" operator="greaterThan">
      <formula>50</formula>
    </cfRule>
  </conditionalFormatting>
  <conditionalFormatting sqref="AB10:AH10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3:AP36">
    <cfRule type="cellIs" dxfId="1536" priority="32" operator="between">
      <formula>-9</formula>
      <formula>-1</formula>
    </cfRule>
    <cfRule type="cellIs" dxfId="1535" priority="33" operator="between">
      <formula>1</formula>
      <formula>9</formula>
    </cfRule>
    <cfRule type="cellIs" dxfId="1534" priority="34" operator="lessThan">
      <formula>-9</formula>
    </cfRule>
    <cfRule type="cellIs" dxfId="1533" priority="35" operator="greaterThan">
      <formula>9</formula>
    </cfRule>
  </conditionalFormatting>
  <conditionalFormatting sqref="C13:I3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Q36">
    <cfRule type="cellIs" dxfId="1532" priority="28" operator="greaterThan">
      <formula>50</formula>
    </cfRule>
    <cfRule type="cellIs" dxfId="1531" priority="29" operator="greaterThan">
      <formula>69</formula>
    </cfRule>
    <cfRule type="colorScale" priority="30">
      <colorScale>
        <cfvo type="min"/>
        <cfvo type="max"/>
        <color rgb="FFFCFCFF"/>
        <color rgb="FF63BE7B"/>
      </colorScale>
    </cfRule>
  </conditionalFormatting>
  <conditionalFormatting sqref="AB13:AH36">
    <cfRule type="cellIs" dxfId="1530" priority="23" operator="lessThan">
      <formula>-0.1</formula>
    </cfRule>
    <cfRule type="cellIs" dxfId="1529" priority="24" operator="between">
      <formula>-9</formula>
      <formula>-1</formula>
    </cfRule>
    <cfRule type="cellIs" dxfId="1528" priority="25" operator="between">
      <formula>1</formula>
      <formula>9</formula>
    </cfRule>
    <cfRule type="cellIs" dxfId="1527" priority="26" operator="lessThan">
      <formula>-9</formula>
    </cfRule>
    <cfRule type="cellIs" dxfId="1526" priority="27" operator="greaterThan">
      <formula>9</formula>
    </cfRule>
  </conditionalFormatting>
  <conditionalFormatting sqref="AB37:AH37">
    <cfRule type="cellIs" dxfId="1525" priority="8" operator="between">
      <formula>-9</formula>
      <formula>-1</formula>
    </cfRule>
    <cfRule type="cellIs" dxfId="1524" priority="9" operator="between">
      <formula>1</formula>
      <formula>9</formula>
    </cfRule>
    <cfRule type="cellIs" dxfId="1523" priority="10" operator="lessThan">
      <formula>-9</formula>
    </cfRule>
    <cfRule type="cellIs" dxfId="1522" priority="11" operator="greaterThan">
      <formula>9</formula>
    </cfRule>
  </conditionalFormatting>
  <conditionalFormatting sqref="AD44">
    <cfRule type="cellIs" dxfId="1521" priority="7" operator="greaterThan">
      <formula>0</formula>
    </cfRule>
  </conditionalFormatting>
  <conditionalFormatting sqref="AB46">
    <cfRule type="cellIs" dxfId="1520" priority="6" operator="greaterThan">
      <formula>0.1</formula>
    </cfRule>
  </conditionalFormatting>
  <conditionalFormatting sqref="AD41">
    <cfRule type="cellIs" dxfId="1519" priority="5" operator="greaterThan">
      <formula>0</formula>
    </cfRule>
  </conditionalFormatting>
  <conditionalFormatting sqref="AB37:AH37">
    <cfRule type="cellIs" dxfId="1518" priority="4" operator="lessThan">
      <formula>-0.1</formula>
    </cfRule>
  </conditionalFormatting>
  <conditionalFormatting sqref="AB37:AH37">
    <cfRule type="cellIs" dxfId="1517" priority="3" operator="greaterThan">
      <formula>0.1499</formula>
    </cfRule>
  </conditionalFormatting>
  <conditionalFormatting sqref="AB38:AH38">
    <cfRule type="cellIs" dxfId="1516" priority="2" operator="greaterThan">
      <formula>0.2</formula>
    </cfRule>
  </conditionalFormatting>
  <conditionalFormatting sqref="AB47">
    <cfRule type="cellIs" dxfId="1515" priority="1" operator="greaterThan">
      <formula>0.15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19D50-FFF3-4AF4-82F8-32CE96A1C180}">
  <sheetPr>
    <tabColor rgb="FFFFC000"/>
  </sheetPr>
  <dimension ref="A1:AP66"/>
  <sheetViews>
    <sheetView zoomScale="80" zoomScaleNormal="80" workbookViewId="0">
      <selection activeCell="I47" sqref="I47"/>
    </sheetView>
  </sheetViews>
  <sheetFormatPr baseColWidth="10" defaultRowHeight="12.75" x14ac:dyDescent="0.2"/>
  <cols>
    <col min="3" max="9" width="12.85546875" bestFit="1" customWidth="1"/>
    <col min="10" max="10" width="12.140625" bestFit="1" customWidth="1"/>
    <col min="11" max="11" width="7.7109375" bestFit="1" customWidth="1"/>
    <col min="12" max="12" width="5.85546875" bestFit="1" customWidth="1"/>
    <col min="13" max="13" width="8.7109375" bestFit="1" customWidth="1"/>
    <col min="14" max="14" width="5.7109375" bestFit="1" customWidth="1"/>
    <col min="15" max="15" width="9.140625" bestFit="1" customWidth="1"/>
    <col min="16" max="16" width="7.42578125" bestFit="1" customWidth="1"/>
    <col min="17" max="17" width="9.5703125" bestFit="1" customWidth="1"/>
    <col min="19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8" max="29" width="5.85546875" bestFit="1" customWidth="1"/>
    <col min="30" max="30" width="8.7109375" bestFit="1" customWidth="1"/>
    <col min="31" max="31" width="5.7109375" bestFit="1" customWidth="1"/>
    <col min="32" max="32" width="9.140625" bestFit="1" customWidth="1"/>
    <col min="33" max="33" width="7.42578125" bestFit="1" customWidth="1"/>
    <col min="34" max="34" width="9.5703125" customWidth="1"/>
    <col min="36" max="42" width="7.42578125" hidden="1" customWidth="1"/>
  </cols>
  <sheetData>
    <row r="1" spans="1:42" ht="13.5" thickBot="1" x14ac:dyDescent="0.25"/>
    <row r="2" spans="1:42" ht="13.5" thickBot="1" x14ac:dyDescent="0.25">
      <c r="A2" s="131" t="s">
        <v>126</v>
      </c>
      <c r="C2" s="132"/>
      <c r="K2" s="161">
        <f>K10*C37</f>
        <v>195685.71428571429</v>
      </c>
      <c r="L2" s="161">
        <f t="shared" ref="L2:Q2" si="0">L10*D37</f>
        <v>245005.71428571426</v>
      </c>
      <c r="M2" s="161">
        <f t="shared" si="0"/>
        <v>236725.71428571429</v>
      </c>
      <c r="N2" s="161">
        <f t="shared" si="0"/>
        <v>243154.28571428571</v>
      </c>
      <c r="O2" s="161">
        <f t="shared" si="0"/>
        <v>234822.8571428571</v>
      </c>
      <c r="P2" s="161">
        <f t="shared" si="0"/>
        <v>203605.71428571432</v>
      </c>
      <c r="Q2" s="161">
        <f t="shared" si="0"/>
        <v>129445.71428571429</v>
      </c>
    </row>
    <row r="3" spans="1:42" ht="13.5" thickBot="1" x14ac:dyDescent="0.25"/>
    <row r="4" spans="1:42" ht="13.5" thickBot="1" x14ac:dyDescent="0.25">
      <c r="A4" s="317"/>
      <c r="B4" s="317"/>
      <c r="C4" s="132"/>
    </row>
    <row r="5" spans="1:42" ht="13.5" thickBot="1" x14ac:dyDescent="0.25">
      <c r="C5" s="133"/>
      <c r="H5" t="s">
        <v>133</v>
      </c>
      <c r="S5" s="21"/>
    </row>
    <row r="6" spans="1:42" ht="13.5" thickBot="1" x14ac:dyDescent="0.25">
      <c r="A6" s="317"/>
      <c r="B6" s="317"/>
      <c r="C6" s="134"/>
    </row>
    <row r="7" spans="1:42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42" ht="13.5" thickBot="1" x14ac:dyDescent="0.25">
      <c r="A8" s="317" t="s">
        <v>135</v>
      </c>
      <c r="B8" s="318"/>
      <c r="C8" s="220">
        <v>1.3365811249660471E-2</v>
      </c>
      <c r="D8" s="220">
        <v>9.6087777124334965E-3</v>
      </c>
      <c r="E8" s="220">
        <v>1.2463331175972344E-2</v>
      </c>
      <c r="F8" s="220">
        <v>1.4555376583320153E-2</v>
      </c>
      <c r="G8" s="220">
        <v>2.7623766912546498E-2</v>
      </c>
      <c r="H8" s="220">
        <v>1.6026888540631532E-2</v>
      </c>
      <c r="I8" s="220">
        <v>1.3685692856377525E-2</v>
      </c>
      <c r="J8" s="21"/>
      <c r="K8" s="135"/>
      <c r="L8" s="135"/>
      <c r="M8" s="135"/>
      <c r="N8" s="135"/>
      <c r="O8" s="135"/>
      <c r="P8" s="135"/>
      <c r="Q8" s="135"/>
      <c r="S8" s="204">
        <v>29</v>
      </c>
      <c r="T8" s="204">
        <v>34</v>
      </c>
      <c r="U8" s="204">
        <v>35</v>
      </c>
      <c r="V8" s="204">
        <v>32</v>
      </c>
      <c r="W8" s="204">
        <v>30</v>
      </c>
      <c r="X8" s="204">
        <v>29</v>
      </c>
      <c r="Y8" s="204">
        <v>33</v>
      </c>
    </row>
    <row r="9" spans="1:42" ht="13.5" thickBot="1" x14ac:dyDescent="0.25">
      <c r="J9" t="s">
        <v>159</v>
      </c>
      <c r="K9" s="135">
        <v>70</v>
      </c>
      <c r="L9" s="135">
        <v>70</v>
      </c>
      <c r="M9" s="135">
        <v>70</v>
      </c>
      <c r="N9" s="135">
        <v>70</v>
      </c>
      <c r="O9" s="135">
        <v>70</v>
      </c>
      <c r="P9" s="135">
        <v>70</v>
      </c>
      <c r="Q9" s="135">
        <v>70</v>
      </c>
      <c r="S9" s="136"/>
      <c r="T9" s="136"/>
      <c r="U9" s="136"/>
      <c r="V9" s="136"/>
      <c r="W9" s="136"/>
      <c r="X9" s="136"/>
      <c r="Y9" s="136"/>
    </row>
    <row r="10" spans="1:42" ht="15.75" thickBot="1" x14ac:dyDescent="0.3">
      <c r="A10" s="137" t="s">
        <v>136</v>
      </c>
      <c r="B10" s="134">
        <v>60</v>
      </c>
      <c r="C10" s="21" t="s">
        <v>17</v>
      </c>
      <c r="J10" s="138" t="s">
        <v>137</v>
      </c>
      <c r="K10" s="208">
        <f>3600/70</f>
        <v>51.428571428571431</v>
      </c>
      <c r="L10" s="208">
        <f t="shared" ref="L10:Q10" si="1">3600/70</f>
        <v>51.428571428571431</v>
      </c>
      <c r="M10" s="208">
        <f t="shared" si="1"/>
        <v>51.428571428571431</v>
      </c>
      <c r="N10" s="208">
        <f t="shared" si="1"/>
        <v>51.428571428571431</v>
      </c>
      <c r="O10" s="208">
        <f t="shared" si="1"/>
        <v>51.428571428571431</v>
      </c>
      <c r="P10" s="208">
        <f t="shared" si="1"/>
        <v>51.428571428571431</v>
      </c>
      <c r="Q10" s="208">
        <f t="shared" si="1"/>
        <v>51.428571428571431</v>
      </c>
      <c r="AB10" s="154"/>
      <c r="AC10" s="154"/>
      <c r="AD10" s="154"/>
      <c r="AE10" s="154"/>
      <c r="AF10" s="154"/>
      <c r="AG10" s="154"/>
      <c r="AH10" s="154"/>
      <c r="AJ10" s="163" t="e">
        <f t="shared" ref="AJ10:AP10" si="2">SUM(AJ13:AJ36)</f>
        <v>#REF!</v>
      </c>
      <c r="AK10" s="163" t="e">
        <f t="shared" si="2"/>
        <v>#REF!</v>
      </c>
      <c r="AL10" s="163" t="e">
        <f t="shared" si="2"/>
        <v>#REF!</v>
      </c>
      <c r="AM10" s="163" t="e">
        <f t="shared" si="2"/>
        <v>#REF!</v>
      </c>
      <c r="AN10" s="163" t="e">
        <f t="shared" si="2"/>
        <v>#REF!</v>
      </c>
      <c r="AO10" s="163" t="e">
        <f t="shared" si="2"/>
        <v>#REF!</v>
      </c>
      <c r="AP10" s="163" t="e">
        <f t="shared" si="2"/>
        <v>#REF!</v>
      </c>
    </row>
    <row r="11" spans="1:42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B11" s="319" t="s">
        <v>45</v>
      </c>
      <c r="AC11" s="319"/>
      <c r="AD11" s="319"/>
      <c r="AE11" s="319"/>
      <c r="AF11" s="319"/>
      <c r="AG11" s="319"/>
      <c r="AH11" s="319"/>
    </row>
    <row r="12" spans="1:42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B12" s="142" t="s">
        <v>139</v>
      </c>
      <c r="AC12" s="142" t="s">
        <v>140</v>
      </c>
      <c r="AD12" s="142" t="s">
        <v>141</v>
      </c>
      <c r="AE12" s="142" t="s">
        <v>142</v>
      </c>
      <c r="AF12" s="142" t="s">
        <v>143</v>
      </c>
      <c r="AG12" s="142" t="s">
        <v>144</v>
      </c>
      <c r="AH12" s="142" t="s">
        <v>145</v>
      </c>
    </row>
    <row r="13" spans="1:42" x14ac:dyDescent="0.2">
      <c r="A13" s="143">
        <v>1.8271996142387243E-2</v>
      </c>
      <c r="B13" s="144">
        <v>0</v>
      </c>
      <c r="C13" s="135">
        <f>C$40*$A13</f>
        <v>69.524945321783463</v>
      </c>
      <c r="D13" s="135">
        <f t="shared" ref="D13:I28" si="3">D$40*$A13</f>
        <v>87.047789622332829</v>
      </c>
      <c r="E13" s="135">
        <f t="shared" si="3"/>
        <v>84.105998243408479</v>
      </c>
      <c r="F13" s="135">
        <f t="shared" si="3"/>
        <v>86.389997761206885</v>
      </c>
      <c r="G13" s="135">
        <f t="shared" si="3"/>
        <v>83.429934386140147</v>
      </c>
      <c r="H13" s="135">
        <f t="shared" si="3"/>
        <v>72.338832727711093</v>
      </c>
      <c r="I13" s="135">
        <f>I$40*$A13</f>
        <v>45.990614290388692</v>
      </c>
      <c r="K13" s="207">
        <f>C13*(1+$C$8)/K$9</f>
        <v>1.0064886088299627</v>
      </c>
      <c r="L13" s="207">
        <f>D13*(1+$D$8)/L$9</f>
        <v>1.255488749759607</v>
      </c>
      <c r="M13" s="207">
        <f>E13*(1+$E$8)/M$9</f>
        <v>1.2164891307628831</v>
      </c>
      <c r="N13" s="207">
        <f>F13*(1+$F$8)/N$9</f>
        <v>1.2521062387379063</v>
      </c>
      <c r="O13" s="207">
        <f>G13*(1+$G$8)/O$9</f>
        <v>1.2247797635307418</v>
      </c>
      <c r="P13" s="207">
        <f>H13*(1+$H$8)/P$9</f>
        <v>1.0499742733856787</v>
      </c>
      <c r="Q13" s="207">
        <f>I13*(1+$I$8)/Q$9</f>
        <v>0.6660003958834726</v>
      </c>
      <c r="S13" s="209">
        <v>4</v>
      </c>
      <c r="T13" s="209">
        <v>4</v>
      </c>
      <c r="U13" s="209">
        <v>2</v>
      </c>
      <c r="V13" s="209">
        <v>4</v>
      </c>
      <c r="W13" s="209">
        <v>3</v>
      </c>
      <c r="X13" s="209">
        <v>2</v>
      </c>
      <c r="Y13" s="209">
        <v>2</v>
      </c>
      <c r="AB13" s="220">
        <f>S13/K13-1</f>
        <v>2.9742128871681688</v>
      </c>
      <c r="AC13" s="220">
        <f t="shared" ref="AC13:AH28" si="4">T13/L13-1</f>
        <v>2.1860102296941286</v>
      </c>
      <c r="AD13" s="220">
        <f t="shared" si="4"/>
        <v>0.64407551980818978</v>
      </c>
      <c r="AE13" s="220">
        <f t="shared" si="4"/>
        <v>2.1946170989706961</v>
      </c>
      <c r="AF13" s="220">
        <f t="shared" si="4"/>
        <v>1.4494199604929219</v>
      </c>
      <c r="AG13" s="220">
        <f t="shared" si="4"/>
        <v>0.90480857550055016</v>
      </c>
      <c r="AH13" s="220">
        <f t="shared" si="4"/>
        <v>2.0030012179601346</v>
      </c>
      <c r="AJ13" s="162" t="e">
        <f>#REF!*C13</f>
        <v>#REF!</v>
      </c>
      <c r="AK13" s="162" t="e">
        <f>#REF!*D13</f>
        <v>#REF!</v>
      </c>
      <c r="AL13" s="162" t="e">
        <f>#REF!*E13</f>
        <v>#REF!</v>
      </c>
      <c r="AM13" s="162" t="e">
        <f>#REF!*F13</f>
        <v>#REF!</v>
      </c>
      <c r="AN13" s="162" t="e">
        <f>#REF!*G13</f>
        <v>#REF!</v>
      </c>
      <c r="AO13" s="162" t="e">
        <f>#REF!*H13</f>
        <v>#REF!</v>
      </c>
      <c r="AP13" s="162" t="e">
        <f>#REF!*I13</f>
        <v>#REF!</v>
      </c>
    </row>
    <row r="14" spans="1:42" x14ac:dyDescent="0.2">
      <c r="A14" s="143">
        <v>1.65498475898531E-2</v>
      </c>
      <c r="B14" s="147">
        <f>B13+TIME(0,$B$10,0)</f>
        <v>4.1666666666666664E-2</v>
      </c>
      <c r="C14" s="135">
        <f t="shared" ref="C14:I36" si="5">C$40*$A14</f>
        <v>62.972170079391041</v>
      </c>
      <c r="D14" s="135">
        <f t="shared" si="3"/>
        <v>78.84347391806017</v>
      </c>
      <c r="E14" s="135">
        <f t="shared" si="3"/>
        <v>76.178948456093821</v>
      </c>
      <c r="F14" s="135">
        <f t="shared" si="3"/>
        <v>78.247679404825462</v>
      </c>
      <c r="G14" s="135">
        <f t="shared" si="3"/>
        <v>75.566604095269255</v>
      </c>
      <c r="H14" s="135">
        <f t="shared" si="3"/>
        <v>65.520846608228425</v>
      </c>
      <c r="I14" s="135">
        <f t="shared" si="3"/>
        <v>41.65596638366025</v>
      </c>
      <c r="K14" s="207">
        <f t="shared" ref="K14:K36" si="6">C14*(1+$C$8)/K$9</f>
        <v>0.91162634598076708</v>
      </c>
      <c r="L14" s="207">
        <f t="shared" ref="L14:L36" si="7">D14*(1+$D$8)/L$9</f>
        <v>1.1371580476144978</v>
      </c>
      <c r="M14" s="207">
        <f t="shared" ref="M14:M36" si="8">E14*(1+$E$8)/M$9</f>
        <v>1.1018341702762779</v>
      </c>
      <c r="N14" s="207">
        <f t="shared" ref="N14:N36" si="9">F14*(1+$F$8)/N$9</f>
        <v>1.1340943406476227</v>
      </c>
      <c r="O14" s="207">
        <f t="shared" ref="O14:O36" si="10">G14*(1+$G$8)/O$9</f>
        <v>1.1093434050452808</v>
      </c>
      <c r="P14" s="207">
        <f t="shared" ref="P14:P36" si="11">H14*(1+$H$8)/P$9</f>
        <v>0.9510134559129475</v>
      </c>
      <c r="Q14" s="207">
        <f t="shared" ref="Q14:Q36" si="12">I14*(1+$I$8)/Q$9</f>
        <v>0.60322938778889446</v>
      </c>
      <c r="S14" s="209">
        <v>2</v>
      </c>
      <c r="T14" s="209">
        <v>2</v>
      </c>
      <c r="U14" s="209">
        <v>2</v>
      </c>
      <c r="V14" s="209">
        <v>1</v>
      </c>
      <c r="W14" s="209">
        <v>2</v>
      </c>
      <c r="X14" s="209">
        <v>2</v>
      </c>
      <c r="Y14" s="209">
        <v>2</v>
      </c>
      <c r="AB14" s="220">
        <f t="shared" ref="AB14:AH36" si="13">S14/K14-1</f>
        <v>1.1938813076407016</v>
      </c>
      <c r="AC14" s="220">
        <f t="shared" si="4"/>
        <v>0.75877047539306508</v>
      </c>
      <c r="AD14" s="220">
        <f t="shared" si="4"/>
        <v>0.81515517847709584</v>
      </c>
      <c r="AE14" s="220">
        <f t="shared" si="4"/>
        <v>-0.11823914099690191</v>
      </c>
      <c r="AF14" s="220">
        <f t="shared" si="4"/>
        <v>0.80286824702253901</v>
      </c>
      <c r="AG14" s="220">
        <f t="shared" si="4"/>
        <v>1.1030196655630422</v>
      </c>
      <c r="AH14" s="220">
        <f t="shared" si="4"/>
        <v>2.3154883374148838</v>
      </c>
      <c r="AJ14" s="162" t="e">
        <f>#REF!*C14</f>
        <v>#REF!</v>
      </c>
      <c r="AK14" s="162" t="e">
        <f>#REF!*D14</f>
        <v>#REF!</v>
      </c>
      <c r="AL14" s="162" t="e">
        <f>#REF!*E14</f>
        <v>#REF!</v>
      </c>
      <c r="AM14" s="162" t="e">
        <f>#REF!*F14</f>
        <v>#REF!</v>
      </c>
      <c r="AN14" s="162" t="e">
        <f>#REF!*G14</f>
        <v>#REF!</v>
      </c>
      <c r="AO14" s="162" t="e">
        <f>#REF!*H14</f>
        <v>#REF!</v>
      </c>
      <c r="AP14" s="162" t="e">
        <f>#REF!*I14</f>
        <v>#REF!</v>
      </c>
    </row>
    <row r="15" spans="1:42" x14ac:dyDescent="0.2">
      <c r="A15" s="143">
        <v>1.5912652625415469E-2</v>
      </c>
      <c r="B15" s="147">
        <f t="shared" ref="B15:B36" si="14">B14+TIME(0,$B$10,0)</f>
        <v>8.3333333333333329E-2</v>
      </c>
      <c r="C15" s="135">
        <f t="shared" si="5"/>
        <v>60.547643239705856</v>
      </c>
      <c r="D15" s="135">
        <f t="shared" si="3"/>
        <v>75.8078771074793</v>
      </c>
      <c r="E15" s="135">
        <f t="shared" si="3"/>
        <v>73.245940034787409</v>
      </c>
      <c r="F15" s="135">
        <f t="shared" si="3"/>
        <v>75.235021612964331</v>
      </c>
      <c r="G15" s="135">
        <f t="shared" si="3"/>
        <v>72.657171887647024</v>
      </c>
      <c r="H15" s="135">
        <f t="shared" si="3"/>
        <v>62.998191744019842</v>
      </c>
      <c r="I15" s="135">
        <f t="shared" si="3"/>
        <v>40.052146658170734</v>
      </c>
      <c r="K15" s="207">
        <f t="shared" si="6"/>
        <v>0.87652730872656492</v>
      </c>
      <c r="L15" s="207">
        <f t="shared" si="7"/>
        <v>1.0933756878208076</v>
      </c>
      <c r="M15" s="207">
        <f t="shared" si="8"/>
        <v>1.059411834896234</v>
      </c>
      <c r="N15" s="207">
        <f t="shared" si="9"/>
        <v>1.090429938354218</v>
      </c>
      <c r="O15" s="207">
        <f t="shared" si="10"/>
        <v>1.0666319524056602</v>
      </c>
      <c r="P15" s="207">
        <f t="shared" si="11"/>
        <v>0.91439795344803698</v>
      </c>
      <c r="Q15" s="207">
        <f t="shared" si="12"/>
        <v>0.58000411479390068</v>
      </c>
      <c r="S15" s="209">
        <v>2</v>
      </c>
      <c r="T15" s="209">
        <v>2</v>
      </c>
      <c r="U15" s="209">
        <v>2</v>
      </c>
      <c r="V15" s="209">
        <v>1</v>
      </c>
      <c r="W15" s="209">
        <v>2</v>
      </c>
      <c r="X15" s="209">
        <v>2</v>
      </c>
      <c r="Y15" s="209">
        <v>2</v>
      </c>
      <c r="AB15" s="220">
        <f t="shared" si="13"/>
        <v>1.2817315331631103</v>
      </c>
      <c r="AC15" s="220">
        <f t="shared" si="4"/>
        <v>0.82919743165880444</v>
      </c>
      <c r="AD15" s="220">
        <f t="shared" si="4"/>
        <v>0.8878399637624339</v>
      </c>
      <c r="AE15" s="220">
        <f t="shared" si="4"/>
        <v>-8.2930535171020336E-2</v>
      </c>
      <c r="AF15" s="220">
        <f t="shared" si="4"/>
        <v>0.87506102314790057</v>
      </c>
      <c r="AG15" s="220">
        <f t="shared" si="4"/>
        <v>1.1872314919979261</v>
      </c>
      <c r="AH15" s="220">
        <f t="shared" si="4"/>
        <v>2.4482513985451333</v>
      </c>
      <c r="AJ15" s="162" t="e">
        <f>#REF!*C15</f>
        <v>#REF!</v>
      </c>
      <c r="AK15" s="162" t="e">
        <f>#REF!*D15</f>
        <v>#REF!</v>
      </c>
      <c r="AL15" s="162" t="e">
        <f>#REF!*E15</f>
        <v>#REF!</v>
      </c>
      <c r="AM15" s="162" t="e">
        <f>#REF!*F15</f>
        <v>#REF!</v>
      </c>
      <c r="AN15" s="162" t="e">
        <f>#REF!*G15</f>
        <v>#REF!</v>
      </c>
      <c r="AO15" s="162" t="e">
        <f>#REF!*H15</f>
        <v>#REF!</v>
      </c>
      <c r="AP15" s="162" t="e">
        <f>#REF!*I15</f>
        <v>#REF!</v>
      </c>
    </row>
    <row r="16" spans="1:42" x14ac:dyDescent="0.2">
      <c r="A16" s="143">
        <v>1.009179051785007E-2</v>
      </c>
      <c r="B16" s="147">
        <f t="shared" si="14"/>
        <v>0.125</v>
      </c>
      <c r="C16" s="135">
        <f t="shared" si="5"/>
        <v>38.399262920419517</v>
      </c>
      <c r="D16" s="135">
        <f t="shared" si="3"/>
        <v>48.077290027037733</v>
      </c>
      <c r="E16" s="135">
        <f t="shared" si="3"/>
        <v>46.45251175366387</v>
      </c>
      <c r="F16" s="135">
        <f t="shared" si="3"/>
        <v>47.713985568395131</v>
      </c>
      <c r="G16" s="135">
        <f t="shared" si="3"/>
        <v>46.07911550450342</v>
      </c>
      <c r="H16" s="135">
        <f t="shared" si="3"/>
        <v>39.953398660168425</v>
      </c>
      <c r="I16" s="135">
        <f t="shared" si="3"/>
        <v>25.401036733428626</v>
      </c>
      <c r="K16" s="207">
        <f t="shared" si="6"/>
        <v>0.55589286029628471</v>
      </c>
      <c r="L16" s="207">
        <f t="shared" si="7"/>
        <v>0.69341791457033908</v>
      </c>
      <c r="M16" s="207">
        <f t="shared" si="8"/>
        <v>0.67187806845150755</v>
      </c>
      <c r="N16" s="207">
        <f t="shared" si="9"/>
        <v>0.69154972280906035</v>
      </c>
      <c r="O16" s="207">
        <f t="shared" si="10"/>
        <v>0.67645706072480194</v>
      </c>
      <c r="P16" s="207">
        <f t="shared" si="11"/>
        <v>0.5799103903902052</v>
      </c>
      <c r="Q16" s="207">
        <f t="shared" si="12"/>
        <v>0.36783810743422707</v>
      </c>
      <c r="S16" s="209">
        <v>4</v>
      </c>
      <c r="T16" s="209">
        <v>4</v>
      </c>
      <c r="U16" s="209">
        <v>2</v>
      </c>
      <c r="V16" s="209">
        <v>4</v>
      </c>
      <c r="W16" s="209">
        <v>3</v>
      </c>
      <c r="X16" s="209">
        <v>2</v>
      </c>
      <c r="Y16" s="209">
        <v>2</v>
      </c>
      <c r="AB16" s="220">
        <f t="shared" si="13"/>
        <v>6.195631183080935</v>
      </c>
      <c r="AC16" s="220">
        <f t="shared" si="4"/>
        <v>4.7685270541048981</v>
      </c>
      <c r="AD16" s="220">
        <f t="shared" si="4"/>
        <v>1.976730591325067</v>
      </c>
      <c r="AE16" s="220">
        <f t="shared" si="4"/>
        <v>4.7841104812421653</v>
      </c>
      <c r="AF16" s="220">
        <f t="shared" si="4"/>
        <v>3.434871293656979</v>
      </c>
      <c r="AG16" s="220">
        <f t="shared" si="4"/>
        <v>2.4488087006929757</v>
      </c>
      <c r="AH16" s="220">
        <f t="shared" si="4"/>
        <v>4.4371745601633155</v>
      </c>
      <c r="AJ16" s="162" t="e">
        <f>#REF!*C16</f>
        <v>#REF!</v>
      </c>
      <c r="AK16" s="162" t="e">
        <f>#REF!*D16</f>
        <v>#REF!</v>
      </c>
      <c r="AL16" s="162" t="e">
        <f>#REF!*E16</f>
        <v>#REF!</v>
      </c>
      <c r="AM16" s="162" t="e">
        <f>#REF!*F16</f>
        <v>#REF!</v>
      </c>
      <c r="AN16" s="162" t="e">
        <f>#REF!*G16</f>
        <v>#REF!</v>
      </c>
      <c r="AO16" s="162" t="e">
        <f>#REF!*H16</f>
        <v>#REF!</v>
      </c>
      <c r="AP16" s="162" t="e">
        <f>#REF!*I16</f>
        <v>#REF!</v>
      </c>
    </row>
    <row r="17" spans="1:42" x14ac:dyDescent="0.2">
      <c r="A17" s="143">
        <v>5.4247679404825456E-3</v>
      </c>
      <c r="B17" s="147">
        <f t="shared" si="14"/>
        <v>0.16666666666666666</v>
      </c>
      <c r="C17" s="135">
        <f t="shared" si="5"/>
        <v>20.641242013536086</v>
      </c>
      <c r="D17" s="135">
        <f t="shared" si="3"/>
        <v>25.843594468458846</v>
      </c>
      <c r="E17" s="135">
        <f t="shared" si="3"/>
        <v>24.970206830041157</v>
      </c>
      <c r="F17" s="135">
        <f t="shared" si="3"/>
        <v>25.648302822601476</v>
      </c>
      <c r="G17" s="135">
        <f t="shared" si="3"/>
        <v>24.769490416243304</v>
      </c>
      <c r="H17" s="135">
        <f t="shared" si="3"/>
        <v>21.476656276370399</v>
      </c>
      <c r="I17" s="135">
        <f t="shared" si="3"/>
        <v>13.654140906194566</v>
      </c>
      <c r="K17" s="207">
        <f t="shared" si="6"/>
        <v>0.29881612797496526</v>
      </c>
      <c r="L17" s="207">
        <f t="shared" si="7"/>
        <v>0.37274171175709342</v>
      </c>
      <c r="M17" s="207">
        <f t="shared" si="8"/>
        <v>0.36116312553280694</v>
      </c>
      <c r="N17" s="207">
        <f t="shared" si="9"/>
        <v>0.37173747898439252</v>
      </c>
      <c r="O17" s="207">
        <f t="shared" si="10"/>
        <v>0.36362452922920235</v>
      </c>
      <c r="P17" s="207">
        <f t="shared" si="11"/>
        <v>0.3117265750391035</v>
      </c>
      <c r="Q17" s="207">
        <f t="shared" si="12"/>
        <v>0.19772867549792064</v>
      </c>
      <c r="S17" s="209">
        <v>4</v>
      </c>
      <c r="T17" s="209">
        <v>4</v>
      </c>
      <c r="U17" s="209">
        <v>2</v>
      </c>
      <c r="V17" s="209">
        <v>4</v>
      </c>
      <c r="W17" s="209">
        <v>3</v>
      </c>
      <c r="X17" s="209">
        <v>2</v>
      </c>
      <c r="Y17" s="209">
        <v>2</v>
      </c>
      <c r="AB17" s="220">
        <f t="shared" si="13"/>
        <v>12.38615832789025</v>
      </c>
      <c r="AC17" s="220">
        <f t="shared" si="4"/>
        <v>9.7312915990649884</v>
      </c>
      <c r="AD17" s="220">
        <f t="shared" si="4"/>
        <v>4.537663893703141</v>
      </c>
      <c r="AE17" s="220">
        <f t="shared" si="4"/>
        <v>9.7602817206600267</v>
      </c>
      <c r="AF17" s="220">
        <f t="shared" si="4"/>
        <v>7.250268501850762</v>
      </c>
      <c r="AG17" s="220">
        <f t="shared" si="4"/>
        <v>5.4158790431939163</v>
      </c>
      <c r="AH17" s="220">
        <f t="shared" si="4"/>
        <v>9.1148707690657265</v>
      </c>
      <c r="AJ17" s="162" t="e">
        <f>#REF!*C17</f>
        <v>#REF!</v>
      </c>
      <c r="AK17" s="162" t="e">
        <f>#REF!*D17</f>
        <v>#REF!</v>
      </c>
      <c r="AL17" s="162" t="e">
        <f>#REF!*E17</f>
        <v>#REF!</v>
      </c>
      <c r="AM17" s="162" t="e">
        <f>#REF!*F17</f>
        <v>#REF!</v>
      </c>
      <c r="AN17" s="162" t="e">
        <f>#REF!*G17</f>
        <v>#REF!</v>
      </c>
      <c r="AO17" s="162" t="e">
        <f>#REF!*H17</f>
        <v>#REF!</v>
      </c>
      <c r="AP17" s="162" t="e">
        <f>#REF!*I17</f>
        <v>#REF!</v>
      </c>
    </row>
    <row r="18" spans="1:42" x14ac:dyDescent="0.2">
      <c r="A18" s="143">
        <v>1.3191657912411524E-2</v>
      </c>
      <c r="B18" s="147">
        <f t="shared" si="14"/>
        <v>0.20833333333333331</v>
      </c>
      <c r="C18" s="135">
        <f t="shared" si="5"/>
        <v>50.194258356725847</v>
      </c>
      <c r="D18" s="135">
        <f t="shared" si="3"/>
        <v>62.845058294728503</v>
      </c>
      <c r="E18" s="135">
        <f t="shared" si="3"/>
        <v>60.721201370830244</v>
      </c>
      <c r="F18" s="135">
        <f t="shared" si="3"/>
        <v>62.370158609881685</v>
      </c>
      <c r="G18" s="135">
        <f t="shared" si="3"/>
        <v>60.233110028071017</v>
      </c>
      <c r="H18" s="135">
        <f t="shared" si="3"/>
        <v>52.225773675237221</v>
      </c>
      <c r="I18" s="135">
        <f t="shared" si="3"/>
        <v>33.203402965539809</v>
      </c>
      <c r="K18" s="207">
        <f t="shared" si="6"/>
        <v>0.72664493342483616</v>
      </c>
      <c r="L18" s="207">
        <f t="shared" si="7"/>
        <v>0.90641317843153524</v>
      </c>
      <c r="M18" s="207">
        <f t="shared" si="8"/>
        <v>0.87825699732739726</v>
      </c>
      <c r="N18" s="207">
        <f t="shared" si="9"/>
        <v>0.90397113937157025</v>
      </c>
      <c r="O18" s="207">
        <f t="shared" si="10"/>
        <v>0.88424250599863174</v>
      </c>
      <c r="P18" s="207">
        <f t="shared" si="11"/>
        <v>0.75803986184112138</v>
      </c>
      <c r="Q18" s="207">
        <f t="shared" si="12"/>
        <v>0.48082592200446744</v>
      </c>
      <c r="S18" s="209">
        <v>4</v>
      </c>
      <c r="T18" s="209">
        <v>4</v>
      </c>
      <c r="U18" s="209">
        <v>2</v>
      </c>
      <c r="V18" s="209">
        <v>4</v>
      </c>
      <c r="W18" s="209">
        <v>3</v>
      </c>
      <c r="X18" s="209">
        <v>2</v>
      </c>
      <c r="Y18" s="209">
        <v>2</v>
      </c>
      <c r="AB18" s="220">
        <f t="shared" si="13"/>
        <v>4.5047517928008212</v>
      </c>
      <c r="AC18" s="220">
        <f t="shared" si="4"/>
        <v>3.4129985035319459</v>
      </c>
      <c r="AD18" s="220">
        <f t="shared" si="4"/>
        <v>1.2772377630763567</v>
      </c>
      <c r="AE18" s="220">
        <f t="shared" si="4"/>
        <v>3.424920028730952</v>
      </c>
      <c r="AF18" s="220">
        <f t="shared" si="4"/>
        <v>2.3927344361396736</v>
      </c>
      <c r="AG18" s="220">
        <f t="shared" si="4"/>
        <v>1.6383836796424074</v>
      </c>
      <c r="AH18" s="220">
        <f t="shared" si="4"/>
        <v>3.1595095199160612</v>
      </c>
      <c r="AJ18" s="162" t="e">
        <f>#REF!*C18</f>
        <v>#REF!</v>
      </c>
      <c r="AK18" s="162" t="e">
        <f>#REF!*D18</f>
        <v>#REF!</v>
      </c>
      <c r="AL18" s="162" t="e">
        <f>#REF!*E18</f>
        <v>#REF!</v>
      </c>
      <c r="AM18" s="162" t="e">
        <f>#REF!*F18</f>
        <v>#REF!</v>
      </c>
      <c r="AN18" s="162" t="e">
        <f>#REF!*G18</f>
        <v>#REF!</v>
      </c>
      <c r="AO18" s="162" t="e">
        <f>#REF!*H18</f>
        <v>#REF!</v>
      </c>
      <c r="AP18" s="162" t="e">
        <f>#REF!*I18</f>
        <v>#REF!</v>
      </c>
    </row>
    <row r="19" spans="1:42" x14ac:dyDescent="0.2">
      <c r="A19" s="143">
        <v>1.5792102226738079E-2</v>
      </c>
      <c r="B19" s="147">
        <f t="shared" si="14"/>
        <v>0.24999999999999997</v>
      </c>
      <c r="C19" s="135">
        <f t="shared" si="5"/>
        <v>60.088948972738386</v>
      </c>
      <c r="D19" s="135">
        <f t="shared" si="3"/>
        <v>75.23357500818021</v>
      </c>
      <c r="E19" s="135">
        <f t="shared" si="3"/>
        <v>72.691046549675377</v>
      </c>
      <c r="F19" s="135">
        <f t="shared" si="3"/>
        <v>74.665059328017634</v>
      </c>
      <c r="G19" s="135">
        <f t="shared" si="3"/>
        <v>72.10673876728606</v>
      </c>
      <c r="H19" s="135">
        <f t="shared" si="3"/>
        <v>62.520932715656052</v>
      </c>
      <c r="I19" s="135">
        <f t="shared" si="3"/>
        <v>39.748721304699743</v>
      </c>
      <c r="K19" s="207">
        <f t="shared" si="6"/>
        <v>0.86988695032712116</v>
      </c>
      <c r="L19" s="207">
        <f t="shared" si="7"/>
        <v>1.0850925386706498</v>
      </c>
      <c r="M19" s="207">
        <f t="shared" si="8"/>
        <v>1.0513859876621714</v>
      </c>
      <c r="N19" s="207">
        <f t="shared" si="9"/>
        <v>1.0821691054878984</v>
      </c>
      <c r="O19" s="207">
        <f t="shared" si="10"/>
        <v>1.058551407311678</v>
      </c>
      <c r="P19" s="207">
        <f t="shared" si="11"/>
        <v>0.90747069622494569</v>
      </c>
      <c r="Q19" s="207">
        <f t="shared" si="12"/>
        <v>0.57561014422728018</v>
      </c>
      <c r="S19" s="209">
        <v>4</v>
      </c>
      <c r="T19" s="209">
        <v>4</v>
      </c>
      <c r="U19" s="209">
        <v>2</v>
      </c>
      <c r="V19" s="209">
        <v>4</v>
      </c>
      <c r="W19" s="209">
        <v>3</v>
      </c>
      <c r="X19" s="209">
        <v>2</v>
      </c>
      <c r="Y19" s="209">
        <v>2</v>
      </c>
      <c r="AB19" s="220">
        <f t="shared" si="13"/>
        <v>3.5982986622523754</v>
      </c>
      <c r="AC19" s="220">
        <f t="shared" si="4"/>
        <v>2.6863215416635455</v>
      </c>
      <c r="AD19" s="220">
        <f t="shared" si="4"/>
        <v>0.90225095585222381</v>
      </c>
      <c r="AE19" s="220">
        <f t="shared" si="4"/>
        <v>2.6962799803793982</v>
      </c>
      <c r="AF19" s="220">
        <f t="shared" si="4"/>
        <v>1.8340616991090406</v>
      </c>
      <c r="AG19" s="220">
        <f t="shared" si="4"/>
        <v>1.2039279156009637</v>
      </c>
      <c r="AH19" s="220">
        <f t="shared" si="4"/>
        <v>2.4745739283050199</v>
      </c>
      <c r="AJ19" s="162" t="e">
        <f>#REF!*C19</f>
        <v>#REF!</v>
      </c>
      <c r="AK19" s="162" t="e">
        <f>#REF!*D19</f>
        <v>#REF!</v>
      </c>
      <c r="AL19" s="162" t="e">
        <f>#REF!*E19</f>
        <v>#REF!</v>
      </c>
      <c r="AM19" s="162" t="e">
        <f>#REF!*F19</f>
        <v>#REF!</v>
      </c>
      <c r="AN19" s="162" t="e">
        <f>#REF!*G19</f>
        <v>#REF!</v>
      </c>
      <c r="AO19" s="162" t="e">
        <f>#REF!*H19</f>
        <v>#REF!</v>
      </c>
      <c r="AP19" s="162" t="e">
        <f>#REF!*I19</f>
        <v>#REF!</v>
      </c>
    </row>
    <row r="20" spans="1:42" x14ac:dyDescent="0.2">
      <c r="A20" s="143">
        <v>3.5321266812475244E-2</v>
      </c>
      <c r="B20" s="147">
        <f t="shared" si="14"/>
        <v>0.29166666666666663</v>
      </c>
      <c r="C20" s="135">
        <f t="shared" si="5"/>
        <v>134.39742022146831</v>
      </c>
      <c r="D20" s="135">
        <f t="shared" si="3"/>
        <v>168.27051509463206</v>
      </c>
      <c r="E20" s="135">
        <f t="shared" si="3"/>
        <v>162.58379113782354</v>
      </c>
      <c r="F20" s="135">
        <f t="shared" si="3"/>
        <v>166.99894948938297</v>
      </c>
      <c r="G20" s="135">
        <f t="shared" si="3"/>
        <v>161.27690426576197</v>
      </c>
      <c r="H20" s="135">
        <f t="shared" si="3"/>
        <v>139.83689531058948</v>
      </c>
      <c r="I20" s="135">
        <f t="shared" si="3"/>
        <v>88.903628567000183</v>
      </c>
      <c r="K20" s="207">
        <f t="shared" si="6"/>
        <v>1.9456250110369961</v>
      </c>
      <c r="L20" s="207">
        <f t="shared" si="7"/>
        <v>2.4269627009961865</v>
      </c>
      <c r="M20" s="207">
        <f t="shared" si="8"/>
        <v>2.3515732395802766</v>
      </c>
      <c r="N20" s="207">
        <f t="shared" si="9"/>
        <v>2.4204240298317115</v>
      </c>
      <c r="O20" s="207">
        <f t="shared" si="10"/>
        <v>2.3675997125368067</v>
      </c>
      <c r="P20" s="207">
        <f t="shared" si="11"/>
        <v>2.0296863663657181</v>
      </c>
      <c r="Q20" s="207">
        <f t="shared" si="12"/>
        <v>1.2874333760197947</v>
      </c>
      <c r="S20" s="146">
        <v>8</v>
      </c>
      <c r="T20" s="146">
        <v>9</v>
      </c>
      <c r="U20" s="146">
        <v>8</v>
      </c>
      <c r="V20" s="146">
        <v>8</v>
      </c>
      <c r="W20" s="146">
        <v>6</v>
      </c>
      <c r="X20" s="146">
        <v>5</v>
      </c>
      <c r="Y20" s="146">
        <v>8</v>
      </c>
      <c r="AB20" s="220">
        <f t="shared" si="13"/>
        <v>3.111789247474821</v>
      </c>
      <c r="AC20" s="220">
        <f t="shared" si="4"/>
        <v>2.7083388204960062</v>
      </c>
      <c r="AD20" s="220">
        <f t="shared" si="4"/>
        <v>2.4019778186572194</v>
      </c>
      <c r="AE20" s="220">
        <f t="shared" si="4"/>
        <v>2.3052059892812369</v>
      </c>
      <c r="AF20" s="220">
        <f t="shared" si="4"/>
        <v>1.5342121678039882</v>
      </c>
      <c r="AG20" s="220">
        <f t="shared" si="4"/>
        <v>1.4634347862092687</v>
      </c>
      <c r="AH20" s="220">
        <f t="shared" si="4"/>
        <v>5.2139137830437896</v>
      </c>
      <c r="AJ20" s="162" t="e">
        <f>#REF!*C20</f>
        <v>#REF!</v>
      </c>
      <c r="AK20" s="162" t="e">
        <f>#REF!*D20</f>
        <v>#REF!</v>
      </c>
      <c r="AL20" s="162" t="e">
        <f>#REF!*E20</f>
        <v>#REF!</v>
      </c>
      <c r="AM20" s="162" t="e">
        <f>#REF!*F20</f>
        <v>#REF!</v>
      </c>
      <c r="AN20" s="162" t="e">
        <f>#REF!*G20</f>
        <v>#REF!</v>
      </c>
      <c r="AO20" s="162" t="e">
        <f>#REF!*H20</f>
        <v>#REF!</v>
      </c>
      <c r="AP20" s="162" t="e">
        <f>#REF!*I20</f>
        <v>#REF!</v>
      </c>
    </row>
    <row r="21" spans="1:42" x14ac:dyDescent="0.2">
      <c r="A21" s="143">
        <v>5.3817142266691924E-2</v>
      </c>
      <c r="B21" s="147">
        <f t="shared" si="14"/>
        <v>0.33333333333333331</v>
      </c>
      <c r="C21" s="135">
        <f t="shared" si="5"/>
        <v>204.77422632476276</v>
      </c>
      <c r="D21" s="135">
        <f t="shared" si="3"/>
        <v>256.38486575852033</v>
      </c>
      <c r="E21" s="135">
        <f t="shared" si="3"/>
        <v>247.72030585358291</v>
      </c>
      <c r="F21" s="135">
        <f t="shared" si="3"/>
        <v>254.4474486369194</v>
      </c>
      <c r="G21" s="135">
        <f t="shared" si="3"/>
        <v>245.72907158971532</v>
      </c>
      <c r="H21" s="135">
        <f t="shared" si="3"/>
        <v>213.06206623383332</v>
      </c>
      <c r="I21" s="135">
        <f t="shared" si="3"/>
        <v>135.45774708526358</v>
      </c>
      <c r="K21" s="207">
        <f t="shared" si="6"/>
        <v>2.9644457140373541</v>
      </c>
      <c r="L21" s="207">
        <f t="shared" si="7"/>
        <v>3.6978344420346576</v>
      </c>
      <c r="M21" s="207">
        <f t="shared" si="8"/>
        <v>3.582967515206418</v>
      </c>
      <c r="N21" s="207">
        <f t="shared" si="9"/>
        <v>3.6878718153213543</v>
      </c>
      <c r="O21" s="207">
        <f t="shared" si="10"/>
        <v>3.607386202670658</v>
      </c>
      <c r="P21" s="207">
        <f t="shared" si="11"/>
        <v>3.092525546022852</v>
      </c>
      <c r="Q21" s="207">
        <f t="shared" si="12"/>
        <v>1.9615940029555625</v>
      </c>
      <c r="S21" s="146">
        <v>9</v>
      </c>
      <c r="T21" s="146">
        <v>10</v>
      </c>
      <c r="U21" s="146">
        <v>10</v>
      </c>
      <c r="V21" s="146">
        <v>10</v>
      </c>
      <c r="W21" s="146">
        <v>8</v>
      </c>
      <c r="X21" s="146">
        <v>7</v>
      </c>
      <c r="Y21" s="146">
        <v>10</v>
      </c>
      <c r="AB21" s="220">
        <f t="shared" si="13"/>
        <v>2.0359807087655084</v>
      </c>
      <c r="AC21" s="220">
        <f t="shared" si="4"/>
        <v>1.7042854829643765</v>
      </c>
      <c r="AD21" s="220">
        <f t="shared" si="4"/>
        <v>1.7909826024263831</v>
      </c>
      <c r="AE21" s="220">
        <f t="shared" si="4"/>
        <v>1.7115909936063272</v>
      </c>
      <c r="AF21" s="220">
        <f t="shared" si="4"/>
        <v>1.2176721732974851</v>
      </c>
      <c r="AG21" s="220">
        <f t="shared" si="4"/>
        <v>1.2635221264388137</v>
      </c>
      <c r="AH21" s="220">
        <f t="shared" si="4"/>
        <v>4.0978948676091242</v>
      </c>
      <c r="AJ21" s="162" t="e">
        <f>#REF!*C21</f>
        <v>#REF!</v>
      </c>
      <c r="AK21" s="162" t="e">
        <f>#REF!*D21</f>
        <v>#REF!</v>
      </c>
      <c r="AL21" s="162" t="e">
        <f>#REF!*E21</f>
        <v>#REF!</v>
      </c>
      <c r="AM21" s="162" t="e">
        <f>#REF!*F21</f>
        <v>#REF!</v>
      </c>
      <c r="AN21" s="162" t="e">
        <f>#REF!*G21</f>
        <v>#REF!</v>
      </c>
      <c r="AO21" s="162" t="e">
        <f>#REF!*H21</f>
        <v>#REF!</v>
      </c>
      <c r="AP21" s="162" t="e">
        <f>#REF!*I21</f>
        <v>#REF!</v>
      </c>
    </row>
    <row r="22" spans="1:42" x14ac:dyDescent="0.2">
      <c r="A22" s="143">
        <v>6.2358999087261266E-2</v>
      </c>
      <c r="B22" s="147">
        <f t="shared" si="14"/>
        <v>0.375</v>
      </c>
      <c r="C22" s="135">
        <f t="shared" si="5"/>
        <v>237.27599152702911</v>
      </c>
      <c r="D22" s="135">
        <f t="shared" si="3"/>
        <v>297.07827165171267</v>
      </c>
      <c r="E22" s="135">
        <f t="shared" si="3"/>
        <v>287.03847279866363</v>
      </c>
      <c r="F22" s="135">
        <f t="shared" si="3"/>
        <v>294.83334768457127</v>
      </c>
      <c r="G22" s="135">
        <f t="shared" si="3"/>
        <v>284.73118983243495</v>
      </c>
      <c r="H22" s="135">
        <f t="shared" si="3"/>
        <v>246.87927738646735</v>
      </c>
      <c r="I22" s="135">
        <f t="shared" si="3"/>
        <v>156.9576007026366</v>
      </c>
      <c r="K22" s="207">
        <f t="shared" si="6"/>
        <v>3.4349625377693629</v>
      </c>
      <c r="L22" s="207">
        <f t="shared" si="7"/>
        <v>4.2847547246743982</v>
      </c>
      <c r="M22" s="207">
        <f t="shared" si="8"/>
        <v>4.1516561192199815</v>
      </c>
      <c r="N22" s="207">
        <f t="shared" si="9"/>
        <v>4.2732108298491598</v>
      </c>
      <c r="O22" s="207">
        <f t="shared" si="10"/>
        <v>4.1799505407585453</v>
      </c>
      <c r="P22" s="207">
        <f t="shared" si="11"/>
        <v>3.5833712006875991</v>
      </c>
      <c r="Q22" s="207">
        <f t="shared" si="12"/>
        <v>2.272938203104669</v>
      </c>
      <c r="S22" s="146">
        <v>15</v>
      </c>
      <c r="T22" s="146">
        <v>15</v>
      </c>
      <c r="U22" s="146">
        <v>14</v>
      </c>
      <c r="V22" s="146">
        <v>13</v>
      </c>
      <c r="W22" s="146">
        <v>13</v>
      </c>
      <c r="X22" s="146">
        <v>12</v>
      </c>
      <c r="Y22" s="146">
        <v>12</v>
      </c>
      <c r="AB22" s="220">
        <f t="shared" si="13"/>
        <v>3.3668598522011477</v>
      </c>
      <c r="AC22" s="220">
        <f t="shared" si="4"/>
        <v>2.5007838170106367</v>
      </c>
      <c r="AD22" s="220">
        <f t="shared" si="4"/>
        <v>2.3721482699849279</v>
      </c>
      <c r="AE22" s="220">
        <f t="shared" si="4"/>
        <v>2.0422088957541296</v>
      </c>
      <c r="AF22" s="220">
        <f t="shared" si="4"/>
        <v>2.1100846465137502</v>
      </c>
      <c r="AG22" s="220">
        <f t="shared" si="4"/>
        <v>2.3488018203911909</v>
      </c>
      <c r="AH22" s="220">
        <f t="shared" si="4"/>
        <v>4.2795100120227065</v>
      </c>
      <c r="AJ22" s="162" t="e">
        <f>#REF!*C22</f>
        <v>#REF!</v>
      </c>
      <c r="AK22" s="162" t="e">
        <f>#REF!*D22</f>
        <v>#REF!</v>
      </c>
      <c r="AL22" s="162" t="e">
        <f>#REF!*E22</f>
        <v>#REF!</v>
      </c>
      <c r="AM22" s="162" t="e">
        <f>#REF!*F22</f>
        <v>#REF!</v>
      </c>
      <c r="AN22" s="162" t="e">
        <f>#REF!*G22</f>
        <v>#REF!</v>
      </c>
      <c r="AO22" s="162" t="e">
        <f>#REF!*H22</f>
        <v>#REF!</v>
      </c>
      <c r="AP22" s="162" t="e">
        <f>#REF!*I22</f>
        <v>#REF!</v>
      </c>
    </row>
    <row r="23" spans="1:42" x14ac:dyDescent="0.2">
      <c r="A23" s="143">
        <v>6.3392288218781748E-2</v>
      </c>
      <c r="B23" s="147">
        <f t="shared" si="14"/>
        <v>0.41666666666666669</v>
      </c>
      <c r="C23" s="135">
        <f t="shared" si="5"/>
        <v>241.20765667246454</v>
      </c>
      <c r="D23" s="135">
        <f t="shared" si="3"/>
        <v>302.00086107427626</v>
      </c>
      <c r="E23" s="135">
        <f t="shared" si="3"/>
        <v>291.79470267105239</v>
      </c>
      <c r="F23" s="135">
        <f t="shared" si="3"/>
        <v>299.7187386984001</v>
      </c>
      <c r="G23" s="135">
        <f t="shared" si="3"/>
        <v>289.44918800695746</v>
      </c>
      <c r="H23" s="135">
        <f t="shared" si="3"/>
        <v>250.97006905815695</v>
      </c>
      <c r="I23" s="135">
        <f t="shared" si="3"/>
        <v>159.55838944667366</v>
      </c>
      <c r="K23" s="207">
        <f t="shared" si="6"/>
        <v>3.4918798954788799</v>
      </c>
      <c r="L23" s="207">
        <f t="shared" si="7"/>
        <v>4.3557531459614642</v>
      </c>
      <c r="M23" s="207">
        <f t="shared" si="8"/>
        <v>4.2204490955119445</v>
      </c>
      <c r="N23" s="207">
        <f t="shared" si="9"/>
        <v>4.34401796870333</v>
      </c>
      <c r="O23" s="207">
        <f t="shared" si="10"/>
        <v>4.2492123558498216</v>
      </c>
      <c r="P23" s="207">
        <f t="shared" si="11"/>
        <v>3.642747691171238</v>
      </c>
      <c r="Q23" s="207">
        <f t="shared" si="12"/>
        <v>2.3106008079614155</v>
      </c>
      <c r="S23" s="146">
        <v>15</v>
      </c>
      <c r="T23" s="146">
        <v>15</v>
      </c>
      <c r="U23" s="146">
        <v>14</v>
      </c>
      <c r="V23" s="146">
        <v>13</v>
      </c>
      <c r="W23" s="146">
        <v>13</v>
      </c>
      <c r="X23" s="146">
        <v>12</v>
      </c>
      <c r="Y23" s="146">
        <v>12</v>
      </c>
      <c r="AB23" s="220">
        <f t="shared" si="13"/>
        <v>3.2956803925075677</v>
      </c>
      <c r="AC23" s="220">
        <f t="shared" si="4"/>
        <v>2.4437213261058175</v>
      </c>
      <c r="AD23" s="220">
        <f t="shared" si="4"/>
        <v>2.3171825280128835</v>
      </c>
      <c r="AE23" s="220">
        <f t="shared" si="4"/>
        <v>1.9926211386921224</v>
      </c>
      <c r="AF23" s="220">
        <f t="shared" si="4"/>
        <v>2.0593905202462079</v>
      </c>
      <c r="AG23" s="220">
        <f t="shared" si="4"/>
        <v>2.2942166236447985</v>
      </c>
      <c r="AH23" s="220">
        <f t="shared" si="4"/>
        <v>4.1934544291046514</v>
      </c>
      <c r="AJ23" s="162" t="e">
        <f>#REF!*C23</f>
        <v>#REF!</v>
      </c>
      <c r="AK23" s="162" t="e">
        <f>#REF!*D23</f>
        <v>#REF!</v>
      </c>
      <c r="AL23" s="162" t="e">
        <f>#REF!*E23</f>
        <v>#REF!</v>
      </c>
      <c r="AM23" s="162" t="e">
        <f>#REF!*F23</f>
        <v>#REF!</v>
      </c>
      <c r="AN23" s="162" t="e">
        <f>#REF!*G23</f>
        <v>#REF!</v>
      </c>
      <c r="AO23" s="162" t="e">
        <f>#REF!*H23</f>
        <v>#REF!</v>
      </c>
      <c r="AP23" s="162" t="e">
        <f>#REF!*I23</f>
        <v>#REF!</v>
      </c>
    </row>
    <row r="24" spans="1:42" x14ac:dyDescent="0.2">
      <c r="A24" s="143">
        <v>6.1308488470215444E-2</v>
      </c>
      <c r="B24" s="147">
        <f t="shared" si="14"/>
        <v>0.45833333333333337</v>
      </c>
      <c r="C24" s="135">
        <f t="shared" si="5"/>
        <v>233.27879862916976</v>
      </c>
      <c r="D24" s="135">
        <f t="shared" si="3"/>
        <v>292.0736390721064</v>
      </c>
      <c r="E24" s="135">
        <f t="shared" si="3"/>
        <v>282.20297242840167</v>
      </c>
      <c r="F24" s="135">
        <f t="shared" si="3"/>
        <v>289.86653348717863</v>
      </c>
      <c r="G24" s="135">
        <f t="shared" si="3"/>
        <v>279.93455835500373</v>
      </c>
      <c r="H24" s="135">
        <f t="shared" si="3"/>
        <v>242.72030585358294</v>
      </c>
      <c r="I24" s="135">
        <f t="shared" si="3"/>
        <v>154.31346547953228</v>
      </c>
      <c r="K24" s="207">
        <f t="shared" si="6"/>
        <v>3.3770965574313543</v>
      </c>
      <c r="L24" s="207">
        <f t="shared" si="7"/>
        <v>4.2125729963658829</v>
      </c>
      <c r="M24" s="207">
        <f t="shared" si="8"/>
        <v>4.0817165933231516</v>
      </c>
      <c r="N24" s="207">
        <f t="shared" si="9"/>
        <v>4.2012235720140865</v>
      </c>
      <c r="O24" s="207">
        <f t="shared" si="10"/>
        <v>4.1095343620824138</v>
      </c>
      <c r="P24" s="207">
        <f t="shared" si="11"/>
        <v>3.523005102029233</v>
      </c>
      <c r="Q24" s="207">
        <f t="shared" si="12"/>
        <v>2.2346478881669771</v>
      </c>
      <c r="S24" s="146">
        <v>15</v>
      </c>
      <c r="T24" s="146">
        <v>15</v>
      </c>
      <c r="U24" s="146">
        <v>14</v>
      </c>
      <c r="V24" s="146">
        <v>13</v>
      </c>
      <c r="W24" s="146">
        <v>13</v>
      </c>
      <c r="X24" s="146">
        <v>12</v>
      </c>
      <c r="Y24" s="146">
        <v>12</v>
      </c>
      <c r="AB24" s="220">
        <f t="shared" si="13"/>
        <v>3.4416852597809982</v>
      </c>
      <c r="AC24" s="220">
        <f t="shared" si="4"/>
        <v>2.5607691576953688</v>
      </c>
      <c r="AD24" s="220">
        <f t="shared" si="4"/>
        <v>2.4299294622515242</v>
      </c>
      <c r="AE24" s="220">
        <f t="shared" si="4"/>
        <v>2.0943366324510406</v>
      </c>
      <c r="AF24" s="220">
        <f t="shared" si="4"/>
        <v>2.1633754227601938</v>
      </c>
      <c r="AG24" s="220">
        <f t="shared" si="4"/>
        <v>2.4061829751787931</v>
      </c>
      <c r="AH24" s="220">
        <f t="shared" si="4"/>
        <v>4.3699735262736557</v>
      </c>
      <c r="AJ24" s="162" t="e">
        <f>#REF!*C24</f>
        <v>#REF!</v>
      </c>
      <c r="AK24" s="162" t="e">
        <f>#REF!*D24</f>
        <v>#REF!</v>
      </c>
      <c r="AL24" s="162" t="e">
        <f>#REF!*E24</f>
        <v>#REF!</v>
      </c>
      <c r="AM24" s="162" t="e">
        <f>#REF!*F24</f>
        <v>#REF!</v>
      </c>
      <c r="AN24" s="162" t="e">
        <f>#REF!*G24</f>
        <v>#REF!</v>
      </c>
      <c r="AO24" s="162" t="e">
        <f>#REF!*H24</f>
        <v>#REF!</v>
      </c>
      <c r="AP24" s="162" t="e">
        <f>#REF!*I24</f>
        <v>#REF!</v>
      </c>
    </row>
    <row r="25" spans="1:42" x14ac:dyDescent="0.2">
      <c r="A25" s="143">
        <v>6.6819363838324694E-2</v>
      </c>
      <c r="B25" s="147">
        <f t="shared" si="14"/>
        <v>0.5</v>
      </c>
      <c r="C25" s="135">
        <f t="shared" si="5"/>
        <v>254.24767940482545</v>
      </c>
      <c r="D25" s="135">
        <f t="shared" si="3"/>
        <v>318.32744932577884</v>
      </c>
      <c r="E25" s="135">
        <f t="shared" si="3"/>
        <v>307.56953174780858</v>
      </c>
      <c r="F25" s="135">
        <f t="shared" si="3"/>
        <v>315.92195222759915</v>
      </c>
      <c r="G25" s="135">
        <f t="shared" si="3"/>
        <v>305.09721528579053</v>
      </c>
      <c r="H25" s="135">
        <f t="shared" si="3"/>
        <v>264.53786143592748</v>
      </c>
      <c r="I25" s="135">
        <f t="shared" si="3"/>
        <v>168.18433878106325</v>
      </c>
      <c r="K25" s="207">
        <f t="shared" si="6"/>
        <v>3.6806557985487789</v>
      </c>
      <c r="L25" s="207">
        <f t="shared" si="7"/>
        <v>4.5912312432302302</v>
      </c>
      <c r="M25" s="207">
        <f t="shared" si="8"/>
        <v>4.4486124668802889</v>
      </c>
      <c r="N25" s="207">
        <f t="shared" si="9"/>
        <v>4.5788616459029932</v>
      </c>
      <c r="O25" s="207">
        <f t="shared" si="10"/>
        <v>4.4789307092358888</v>
      </c>
      <c r="P25" s="207">
        <f t="shared" si="11"/>
        <v>3.8396797179419733</v>
      </c>
      <c r="Q25" s="207">
        <f t="shared" si="12"/>
        <v>2.4355151140696263</v>
      </c>
      <c r="S25" s="146">
        <v>15</v>
      </c>
      <c r="T25" s="146">
        <v>15</v>
      </c>
      <c r="U25" s="146">
        <v>14</v>
      </c>
      <c r="V25" s="146">
        <v>13</v>
      </c>
      <c r="W25" s="146">
        <v>13</v>
      </c>
      <c r="X25" s="146">
        <v>12</v>
      </c>
      <c r="Y25" s="146">
        <v>12</v>
      </c>
      <c r="AB25" s="220">
        <f t="shared" si="13"/>
        <v>3.0753607022732874</v>
      </c>
      <c r="AC25" s="220">
        <f t="shared" si="4"/>
        <v>2.2670974745864734</v>
      </c>
      <c r="AD25" s="220">
        <f t="shared" si="4"/>
        <v>2.1470486818596459</v>
      </c>
      <c r="AE25" s="220">
        <f t="shared" si="4"/>
        <v>1.839133611217965</v>
      </c>
      <c r="AF25" s="220">
        <f t="shared" si="4"/>
        <v>1.9024784806768795</v>
      </c>
      <c r="AG25" s="220">
        <f t="shared" si="4"/>
        <v>2.1252606679475523</v>
      </c>
      <c r="AH25" s="220">
        <f t="shared" si="4"/>
        <v>3.927089111735623</v>
      </c>
      <c r="AJ25" s="162" t="e">
        <f>#REF!*C25</f>
        <v>#REF!</v>
      </c>
      <c r="AK25" s="162" t="e">
        <f>#REF!*D25</f>
        <v>#REF!</v>
      </c>
      <c r="AL25" s="162" t="e">
        <f>#REF!*E25</f>
        <v>#REF!</v>
      </c>
      <c r="AM25" s="162" t="e">
        <f>#REF!*F25</f>
        <v>#REF!</v>
      </c>
      <c r="AN25" s="162" t="e">
        <f>#REF!*G25</f>
        <v>#REF!</v>
      </c>
      <c r="AO25" s="162" t="e">
        <f>#REF!*H25</f>
        <v>#REF!</v>
      </c>
      <c r="AP25" s="162" t="e">
        <f>#REF!*I25</f>
        <v>#REF!</v>
      </c>
    </row>
    <row r="26" spans="1:42" x14ac:dyDescent="0.2">
      <c r="A26" s="143">
        <v>8.2818123891366863E-2</v>
      </c>
      <c r="B26" s="147">
        <f t="shared" si="14"/>
        <v>0.54166666666666663</v>
      </c>
      <c r="C26" s="135">
        <f t="shared" si="5"/>
        <v>315.12296140665092</v>
      </c>
      <c r="D26" s="135">
        <f t="shared" si="3"/>
        <v>394.54554221847172</v>
      </c>
      <c r="E26" s="135">
        <f t="shared" si="3"/>
        <v>381.21182427196169</v>
      </c>
      <c r="F26" s="135">
        <f t="shared" si="3"/>
        <v>391.56408975838252</v>
      </c>
      <c r="G26" s="135">
        <f t="shared" si="3"/>
        <v>378.14755368798109</v>
      </c>
      <c r="H26" s="135">
        <f t="shared" si="3"/>
        <v>327.87695248592144</v>
      </c>
      <c r="I26" s="135">
        <f t="shared" si="3"/>
        <v>208.45321783457038</v>
      </c>
      <c r="K26" s="207">
        <f t="shared" si="6"/>
        <v>4.5619262204178037</v>
      </c>
      <c r="L26" s="207">
        <f t="shared" si="7"/>
        <v>5.6905234661582931</v>
      </c>
      <c r="M26" s="207">
        <f t="shared" si="8"/>
        <v>5.5137570498008532</v>
      </c>
      <c r="N26" s="207">
        <f t="shared" si="9"/>
        <v>5.6751921791617255</v>
      </c>
      <c r="O26" s="207">
        <f t="shared" si="10"/>
        <v>5.5513344795658224</v>
      </c>
      <c r="P26" s="207">
        <f t="shared" si="11"/>
        <v>4.7590257122636466</v>
      </c>
      <c r="Q26" s="207">
        <f t="shared" si="12"/>
        <v>3.018657779268255</v>
      </c>
      <c r="S26" s="146">
        <v>12</v>
      </c>
      <c r="T26" s="146">
        <v>12</v>
      </c>
      <c r="U26" s="146">
        <v>12</v>
      </c>
      <c r="V26" s="146">
        <v>9</v>
      </c>
      <c r="W26" s="146">
        <v>11</v>
      </c>
      <c r="X26" s="146">
        <v>7</v>
      </c>
      <c r="Y26" s="146">
        <v>8</v>
      </c>
      <c r="AB26" s="220">
        <f t="shared" si="13"/>
        <v>1.6304677936902232</v>
      </c>
      <c r="AC26" s="220">
        <f t="shared" si="4"/>
        <v>1.1087690915193207</v>
      </c>
      <c r="AD26" s="220">
        <f t="shared" si="4"/>
        <v>1.1763744560405356</v>
      </c>
      <c r="AE26" s="220">
        <f t="shared" si="4"/>
        <v>0.58584938022827937</v>
      </c>
      <c r="AF26" s="220">
        <f t="shared" si="4"/>
        <v>0.98150553537900409</v>
      </c>
      <c r="AG26" s="220">
        <f t="shared" si="4"/>
        <v>0.47088930029554854</v>
      </c>
      <c r="AH26" s="220">
        <f t="shared" si="4"/>
        <v>1.6501844809779196</v>
      </c>
      <c r="AJ26" s="162" t="e">
        <f>#REF!*C26</f>
        <v>#REF!</v>
      </c>
      <c r="AK26" s="162" t="e">
        <f>#REF!*D26</f>
        <v>#REF!</v>
      </c>
      <c r="AL26" s="162" t="e">
        <f>#REF!*E26</f>
        <v>#REF!</v>
      </c>
      <c r="AM26" s="162" t="e">
        <f>#REF!*F26</f>
        <v>#REF!</v>
      </c>
      <c r="AN26" s="162" t="e">
        <f>#REF!*G26</f>
        <v>#REF!</v>
      </c>
      <c r="AO26" s="162" t="e">
        <f>#REF!*H26</f>
        <v>#REF!</v>
      </c>
      <c r="AP26" s="162" t="e">
        <f>#REF!*I26</f>
        <v>#REF!</v>
      </c>
    </row>
    <row r="27" spans="1:42" x14ac:dyDescent="0.2">
      <c r="A27" s="143">
        <v>8.0321008490192358E-2</v>
      </c>
      <c r="B27" s="147">
        <f t="shared" si="14"/>
        <v>0.58333333333333326</v>
      </c>
      <c r="C27" s="135">
        <f t="shared" si="5"/>
        <v>305.62143730518193</v>
      </c>
      <c r="D27" s="135">
        <f t="shared" si="3"/>
        <v>382.64928444727639</v>
      </c>
      <c r="E27" s="135">
        <f t="shared" si="3"/>
        <v>369.71760208035545</v>
      </c>
      <c r="F27" s="135">
        <f t="shared" si="3"/>
        <v>379.75772814162946</v>
      </c>
      <c r="G27" s="135">
        <f t="shared" si="3"/>
        <v>366.7457247662183</v>
      </c>
      <c r="H27" s="135">
        <f t="shared" si="3"/>
        <v>317.99087261267152</v>
      </c>
      <c r="I27" s="135">
        <f t="shared" si="3"/>
        <v>202.16797836981416</v>
      </c>
      <c r="K27" s="207">
        <f t="shared" si="6"/>
        <v>4.4243759392864703</v>
      </c>
      <c r="L27" s="207">
        <f t="shared" si="7"/>
        <v>5.5189439480478848</v>
      </c>
      <c r="M27" s="207">
        <f t="shared" si="8"/>
        <v>5.3475073570952754</v>
      </c>
      <c r="N27" s="207">
        <f t="shared" si="9"/>
        <v>5.504074926930814</v>
      </c>
      <c r="O27" s="207">
        <f t="shared" si="10"/>
        <v>5.3839517597619038</v>
      </c>
      <c r="P27" s="207">
        <f t="shared" si="11"/>
        <v>4.6155325269281855</v>
      </c>
      <c r="Q27" s="207">
        <f t="shared" si="12"/>
        <v>2.9276398175311176</v>
      </c>
      <c r="S27" s="146">
        <v>11</v>
      </c>
      <c r="T27" s="146">
        <v>11</v>
      </c>
      <c r="U27" s="146">
        <v>11</v>
      </c>
      <c r="V27" s="146">
        <v>8</v>
      </c>
      <c r="W27" s="146">
        <v>10</v>
      </c>
      <c r="X27" s="146">
        <v>6</v>
      </c>
      <c r="Y27" s="146">
        <v>7</v>
      </c>
      <c r="AB27" s="220">
        <f t="shared" si="13"/>
        <v>1.4862263403805591</v>
      </c>
      <c r="AC27" s="220">
        <f t="shared" si="4"/>
        <v>0.99313493732633917</v>
      </c>
      <c r="AD27" s="220">
        <f t="shared" si="4"/>
        <v>1.0570331680618978</v>
      </c>
      <c r="AE27" s="220">
        <f t="shared" si="4"/>
        <v>0.45346858576668492</v>
      </c>
      <c r="AF27" s="220">
        <f t="shared" si="4"/>
        <v>0.85737176821254302</v>
      </c>
      <c r="AG27" s="220">
        <f t="shared" si="4"/>
        <v>0.29995833958367335</v>
      </c>
      <c r="AH27" s="220">
        <f t="shared" si="4"/>
        <v>1.391004507481767</v>
      </c>
      <c r="AJ27" s="162" t="e">
        <f>#REF!*C27</f>
        <v>#REF!</v>
      </c>
      <c r="AK27" s="162" t="e">
        <f>#REF!*D27</f>
        <v>#REF!</v>
      </c>
      <c r="AL27" s="162" t="e">
        <f>#REF!*E27</f>
        <v>#REF!</v>
      </c>
      <c r="AM27" s="162" t="e">
        <f>#REF!*F27</f>
        <v>#REF!</v>
      </c>
      <c r="AN27" s="162" t="e">
        <f>#REF!*G27</f>
        <v>#REF!</v>
      </c>
      <c r="AO27" s="162" t="e">
        <f>#REF!*H27</f>
        <v>#REF!</v>
      </c>
      <c r="AP27" s="162" t="e">
        <f>#REF!*I27</f>
        <v>#REF!</v>
      </c>
    </row>
    <row r="28" spans="1:42" x14ac:dyDescent="0.2">
      <c r="A28" s="143">
        <v>7.5240670260216649E-2</v>
      </c>
      <c r="B28" s="147">
        <f t="shared" si="14"/>
        <v>0.62499999999999989</v>
      </c>
      <c r="C28" s="135">
        <f t="shared" si="5"/>
        <v>286.29075034012436</v>
      </c>
      <c r="D28" s="135">
        <f t="shared" si="3"/>
        <v>358.4465531196721</v>
      </c>
      <c r="E28" s="135">
        <f t="shared" si="3"/>
        <v>346.33280520777726</v>
      </c>
      <c r="F28" s="135">
        <f t="shared" si="3"/>
        <v>355.73788899030433</v>
      </c>
      <c r="G28" s="135">
        <f t="shared" si="3"/>
        <v>343.54890040814922</v>
      </c>
      <c r="H28" s="135">
        <f t="shared" si="3"/>
        <v>297.87781356019769</v>
      </c>
      <c r="I28" s="135">
        <f t="shared" si="3"/>
        <v>189.3807670449653</v>
      </c>
      <c r="K28" s="207">
        <f t="shared" si="6"/>
        <v>4.1445322638813451</v>
      </c>
      <c r="L28" s="207">
        <f t="shared" si="7"/>
        <v>5.1698683767198146</v>
      </c>
      <c r="M28" s="207">
        <f t="shared" si="8"/>
        <v>5.0092752236597891</v>
      </c>
      <c r="N28" s="207">
        <f t="shared" si="9"/>
        <v>5.1559398275644792</v>
      </c>
      <c r="O28" s="207">
        <f t="shared" si="10"/>
        <v>5.043414502229794</v>
      </c>
      <c r="P28" s="207">
        <f t="shared" si="11"/>
        <v>4.3235981153836294</v>
      </c>
      <c r="Q28" s="207">
        <f t="shared" si="12"/>
        <v>2.7424653436521123</v>
      </c>
      <c r="S28" s="146">
        <v>6</v>
      </c>
      <c r="T28" s="146">
        <v>8</v>
      </c>
      <c r="U28" s="146">
        <v>9</v>
      </c>
      <c r="V28" s="146">
        <v>9</v>
      </c>
      <c r="W28" s="146">
        <v>11</v>
      </c>
      <c r="X28" s="146">
        <v>6</v>
      </c>
      <c r="Y28" s="146">
        <v>10</v>
      </c>
      <c r="AB28" s="220">
        <f t="shared" si="13"/>
        <v>0.44769050353127504</v>
      </c>
      <c r="AC28" s="220">
        <f t="shared" si="4"/>
        <v>0.54742817748018791</v>
      </c>
      <c r="AD28" s="220">
        <f t="shared" si="4"/>
        <v>0.79666710215706171</v>
      </c>
      <c r="AE28" s="220">
        <f t="shared" si="4"/>
        <v>0.74555954898553312</v>
      </c>
      <c r="AF28" s="220">
        <f t="shared" si="4"/>
        <v>1.1810620553073083</v>
      </c>
      <c r="AG28" s="220">
        <f t="shared" si="4"/>
        <v>0.38773305008428727</v>
      </c>
      <c r="AH28" s="220">
        <f t="shared" si="4"/>
        <v>2.646354191182998</v>
      </c>
      <c r="AJ28" s="162" t="e">
        <f>#REF!*C28</f>
        <v>#REF!</v>
      </c>
      <c r="AK28" s="162" t="e">
        <f>#REF!*D28</f>
        <v>#REF!</v>
      </c>
      <c r="AL28" s="162" t="e">
        <f>#REF!*E28</f>
        <v>#REF!</v>
      </c>
      <c r="AM28" s="162" t="e">
        <f>#REF!*F28</f>
        <v>#REF!</v>
      </c>
      <c r="AN28" s="162" t="e">
        <f>#REF!*G28</f>
        <v>#REF!</v>
      </c>
      <c r="AO28" s="162" t="e">
        <f>#REF!*H28</f>
        <v>#REF!</v>
      </c>
      <c r="AP28" s="162" t="e">
        <f>#REF!*I28</f>
        <v>#REF!</v>
      </c>
    </row>
    <row r="29" spans="1:42" x14ac:dyDescent="0.2">
      <c r="A29" s="143">
        <v>7.8426645082404808E-2</v>
      </c>
      <c r="B29" s="147">
        <f t="shared" si="14"/>
        <v>0.66666666666666652</v>
      </c>
      <c r="C29" s="135">
        <f t="shared" si="5"/>
        <v>298.4133845385503</v>
      </c>
      <c r="D29" s="135">
        <f t="shared" si="5"/>
        <v>373.62453717257648</v>
      </c>
      <c r="E29" s="135">
        <f t="shared" si="5"/>
        <v>360.99784731430935</v>
      </c>
      <c r="F29" s="135">
        <f t="shared" si="5"/>
        <v>370.80117794960995</v>
      </c>
      <c r="G29" s="135">
        <f t="shared" si="5"/>
        <v>358.09606144626036</v>
      </c>
      <c r="H29" s="135">
        <f t="shared" si="5"/>
        <v>310.49108788124062</v>
      </c>
      <c r="I29" s="135">
        <f t="shared" si="5"/>
        <v>197.39986567241291</v>
      </c>
      <c r="K29" s="207">
        <f t="shared" si="6"/>
        <v>4.3200274501523559</v>
      </c>
      <c r="L29" s="207">
        <f t="shared" si="7"/>
        <v>5.3887801756882654</v>
      </c>
      <c r="M29" s="207">
        <f t="shared" si="8"/>
        <v>5.2213869005600095</v>
      </c>
      <c r="N29" s="207">
        <f t="shared" si="9"/>
        <v>5.3742618390315036</v>
      </c>
      <c r="O29" s="207">
        <f t="shared" si="10"/>
        <v>5.2569717654278971</v>
      </c>
      <c r="P29" s="207">
        <f t="shared" si="11"/>
        <v>4.506675627708181</v>
      </c>
      <c r="Q29" s="207">
        <f t="shared" si="12"/>
        <v>2.858591708627082</v>
      </c>
      <c r="S29" s="146">
        <v>9</v>
      </c>
      <c r="T29" s="146">
        <v>12</v>
      </c>
      <c r="U29" s="146">
        <v>11</v>
      </c>
      <c r="V29" s="146">
        <v>11</v>
      </c>
      <c r="W29" s="146">
        <v>15</v>
      </c>
      <c r="X29" s="146">
        <v>10</v>
      </c>
      <c r="Y29" s="146">
        <v>14</v>
      </c>
      <c r="AB29" s="220">
        <f t="shared" si="13"/>
        <v>1.0833200954967528</v>
      </c>
      <c r="AC29" s="220">
        <f t="shared" si="13"/>
        <v>1.2268490472368057</v>
      </c>
      <c r="AD29" s="220">
        <f t="shared" si="13"/>
        <v>1.1067199595609774</v>
      </c>
      <c r="AE29" s="220">
        <f t="shared" si="13"/>
        <v>1.0467927186038093</v>
      </c>
      <c r="AF29" s="220">
        <f t="shared" si="13"/>
        <v>1.8533537308772399</v>
      </c>
      <c r="AG29" s="220">
        <f t="shared" si="13"/>
        <v>1.2189304991283314</v>
      </c>
      <c r="AH29" s="220">
        <f t="shared" si="13"/>
        <v>3.8975164790930874</v>
      </c>
      <c r="AJ29" s="162" t="e">
        <f>#REF!*C29</f>
        <v>#REF!</v>
      </c>
      <c r="AK29" s="162" t="e">
        <f>#REF!*D29</f>
        <v>#REF!</v>
      </c>
      <c r="AL29" s="162" t="e">
        <f>#REF!*E29</f>
        <v>#REF!</v>
      </c>
      <c r="AM29" s="162" t="e">
        <f>#REF!*F29</f>
        <v>#REF!</v>
      </c>
      <c r="AN29" s="162" t="e">
        <f>#REF!*G29</f>
        <v>#REF!</v>
      </c>
      <c r="AO29" s="162" t="e">
        <f>#REF!*H29</f>
        <v>#REF!</v>
      </c>
      <c r="AP29" s="162" t="e">
        <f>#REF!*I29</f>
        <v>#REF!</v>
      </c>
    </row>
    <row r="30" spans="1:42" x14ac:dyDescent="0.2">
      <c r="A30" s="143">
        <v>7.0676976596001168E-2</v>
      </c>
      <c r="B30" s="147">
        <f t="shared" si="14"/>
        <v>0.70833333333333315</v>
      </c>
      <c r="C30" s="135">
        <f t="shared" si="5"/>
        <v>268.92589594778445</v>
      </c>
      <c r="D30" s="135">
        <f t="shared" si="5"/>
        <v>336.70511650334959</v>
      </c>
      <c r="E30" s="135">
        <f t="shared" si="5"/>
        <v>325.32612327139339</v>
      </c>
      <c r="F30" s="135">
        <f t="shared" si="5"/>
        <v>334.16074534589353</v>
      </c>
      <c r="G30" s="135">
        <f t="shared" si="5"/>
        <v>322.71107513734131</v>
      </c>
      <c r="H30" s="135">
        <f t="shared" si="5"/>
        <v>279.81015034356864</v>
      </c>
      <c r="I30" s="135">
        <f t="shared" si="5"/>
        <v>177.89395009213493</v>
      </c>
      <c r="K30" s="207">
        <f t="shared" si="6"/>
        <v>3.8931472673309764</v>
      </c>
      <c r="L30" s="207">
        <f t="shared" si="7"/>
        <v>4.8562920160352752</v>
      </c>
      <c r="M30" s="207">
        <f t="shared" si="8"/>
        <v>4.7054395783702851</v>
      </c>
      <c r="N30" s="207">
        <f t="shared" si="9"/>
        <v>4.8432082976252282</v>
      </c>
      <c r="O30" s="207">
        <f t="shared" si="10"/>
        <v>4.737508152243322</v>
      </c>
      <c r="P30" s="207">
        <f t="shared" si="11"/>
        <v>4.0613519490808914</v>
      </c>
      <c r="Q30" s="207">
        <f t="shared" si="12"/>
        <v>2.5761221722014809</v>
      </c>
      <c r="S30" s="146">
        <v>9</v>
      </c>
      <c r="T30" s="146">
        <v>12</v>
      </c>
      <c r="U30" s="146">
        <v>10</v>
      </c>
      <c r="V30" s="146">
        <v>10</v>
      </c>
      <c r="W30" s="146">
        <v>14</v>
      </c>
      <c r="X30" s="146">
        <v>9</v>
      </c>
      <c r="Y30" s="146">
        <v>13</v>
      </c>
      <c r="AB30" s="220">
        <f t="shared" si="13"/>
        <v>1.3117543164942043</v>
      </c>
      <c r="AC30" s="220">
        <f t="shared" si="13"/>
        <v>1.471021091889964</v>
      </c>
      <c r="AD30" s="220">
        <f t="shared" si="13"/>
        <v>1.1251999592062489</v>
      </c>
      <c r="AE30" s="220">
        <f t="shared" si="13"/>
        <v>1.0647470406968256</v>
      </c>
      <c r="AF30" s="220">
        <f t="shared" si="13"/>
        <v>1.9551400335576563</v>
      </c>
      <c r="AG30" s="220">
        <f t="shared" si="13"/>
        <v>1.2160108537347409</v>
      </c>
      <c r="AH30" s="220">
        <f t="shared" si="13"/>
        <v>4.0463445174615185</v>
      </c>
      <c r="AJ30" s="162" t="e">
        <f>#REF!*C30</f>
        <v>#REF!</v>
      </c>
      <c r="AK30" s="162" t="e">
        <f>#REF!*D30</f>
        <v>#REF!</v>
      </c>
      <c r="AL30" s="162" t="e">
        <f>#REF!*E30</f>
        <v>#REF!</v>
      </c>
      <c r="AM30" s="162" t="e">
        <f>#REF!*F30</f>
        <v>#REF!</v>
      </c>
      <c r="AN30" s="162" t="e">
        <f>#REF!*G30</f>
        <v>#REF!</v>
      </c>
      <c r="AO30" s="162" t="e">
        <f>#REF!*H30</f>
        <v>#REF!</v>
      </c>
      <c r="AP30" s="162" t="e">
        <f>#REF!*I30</f>
        <v>#REF!</v>
      </c>
    </row>
    <row r="31" spans="1:42" x14ac:dyDescent="0.2">
      <c r="A31" s="143">
        <v>4.9787314653762037E-2</v>
      </c>
      <c r="B31" s="147">
        <f t="shared" si="14"/>
        <v>0.74999999999999978</v>
      </c>
      <c r="C31" s="135">
        <f t="shared" si="5"/>
        <v>189.44073225756455</v>
      </c>
      <c r="D31" s="135">
        <f t="shared" si="5"/>
        <v>237.18676701052235</v>
      </c>
      <c r="E31" s="135">
        <f t="shared" si="5"/>
        <v>229.17100935126666</v>
      </c>
      <c r="F31" s="135">
        <f t="shared" si="5"/>
        <v>235.39442368298691</v>
      </c>
      <c r="G31" s="135">
        <f t="shared" si="5"/>
        <v>227.32887870907746</v>
      </c>
      <c r="H31" s="135">
        <f t="shared" si="5"/>
        <v>197.1079787142439</v>
      </c>
      <c r="I31" s="135">
        <f t="shared" si="5"/>
        <v>125.31467098351905</v>
      </c>
      <c r="K31" s="207">
        <f t="shared" si="6"/>
        <v>2.7424680189702371</v>
      </c>
      <c r="L31" s="207">
        <f t="shared" si="7"/>
        <v>3.4209405990151027</v>
      </c>
      <c r="M31" s="207">
        <f t="shared" si="8"/>
        <v>3.3146749076677624</v>
      </c>
      <c r="N31" s="207">
        <f t="shared" si="9"/>
        <v>3.4117239737900915</v>
      </c>
      <c r="O31" s="207">
        <f t="shared" si="10"/>
        <v>3.3372651238146798</v>
      </c>
      <c r="P31" s="207">
        <f t="shared" si="11"/>
        <v>2.8609572331366611</v>
      </c>
      <c r="Q31" s="207">
        <f t="shared" si="12"/>
        <v>1.81470984401425</v>
      </c>
      <c r="S31" s="146">
        <v>10</v>
      </c>
      <c r="T31" s="146">
        <v>13</v>
      </c>
      <c r="U31" s="146">
        <v>11</v>
      </c>
      <c r="V31" s="146">
        <v>11</v>
      </c>
      <c r="W31" s="146">
        <v>15</v>
      </c>
      <c r="X31" s="146">
        <v>9</v>
      </c>
      <c r="Y31" s="146">
        <v>13</v>
      </c>
      <c r="AB31" s="220">
        <f t="shared" si="13"/>
        <v>2.6463506341105401</v>
      </c>
      <c r="AC31" s="220">
        <f t="shared" si="13"/>
        <v>2.8001244464001309</v>
      </c>
      <c r="AD31" s="220">
        <f t="shared" si="13"/>
        <v>2.3185758200763367</v>
      </c>
      <c r="AE31" s="220">
        <f t="shared" si="13"/>
        <v>2.2241764235633856</v>
      </c>
      <c r="AF31" s="220">
        <f t="shared" si="13"/>
        <v>3.4946983363593738</v>
      </c>
      <c r="AG31" s="220">
        <f t="shared" si="13"/>
        <v>2.1458002572560972</v>
      </c>
      <c r="AH31" s="220">
        <f t="shared" si="13"/>
        <v>6.1636796609000584</v>
      </c>
      <c r="AJ31" s="162" t="e">
        <f>#REF!*C31</f>
        <v>#REF!</v>
      </c>
      <c r="AK31" s="162" t="e">
        <f>#REF!*D31</f>
        <v>#REF!</v>
      </c>
      <c r="AL31" s="162" t="e">
        <f>#REF!*E31</f>
        <v>#REF!</v>
      </c>
      <c r="AM31" s="162" t="e">
        <f>#REF!*F31</f>
        <v>#REF!</v>
      </c>
      <c r="AN31" s="162" t="e">
        <f>#REF!*G31</f>
        <v>#REF!</v>
      </c>
      <c r="AO31" s="162" t="e">
        <f>#REF!*H31</f>
        <v>#REF!</v>
      </c>
      <c r="AP31" s="162" t="e">
        <f>#REF!*I31</f>
        <v>#REF!</v>
      </c>
    </row>
    <row r="32" spans="1:42" x14ac:dyDescent="0.2">
      <c r="A32" s="143">
        <v>3.6337334458470386E-2</v>
      </c>
      <c r="B32" s="147">
        <f t="shared" si="14"/>
        <v>0.79166666666666641</v>
      </c>
      <c r="C32" s="135">
        <f t="shared" si="5"/>
        <v>138.26355761447982</v>
      </c>
      <c r="D32" s="135">
        <f t="shared" si="5"/>
        <v>173.11106136015292</v>
      </c>
      <c r="E32" s="135">
        <f t="shared" si="5"/>
        <v>167.26075051233917</v>
      </c>
      <c r="F32" s="135">
        <f t="shared" si="5"/>
        <v>171.80291731964797</v>
      </c>
      <c r="G32" s="135">
        <f t="shared" si="5"/>
        <v>165.91626913737579</v>
      </c>
      <c r="H32" s="135">
        <f t="shared" si="5"/>
        <v>143.85950712108425</v>
      </c>
      <c r="I32" s="135">
        <f t="shared" si="5"/>
        <v>91.461070831969963</v>
      </c>
      <c r="K32" s="207">
        <f t="shared" si="6"/>
        <v>2.0015937461180213</v>
      </c>
      <c r="L32" s="207">
        <f t="shared" si="7"/>
        <v>2.496777815261801</v>
      </c>
      <c r="M32" s="207">
        <f t="shared" si="8"/>
        <v>2.4192196662673737</v>
      </c>
      <c r="N32" s="207">
        <f t="shared" si="9"/>
        <v>2.4900510497049781</v>
      </c>
      <c r="O32" s="207">
        <f t="shared" si="10"/>
        <v>2.4357071640432286</v>
      </c>
      <c r="P32" s="207">
        <f t="shared" si="11"/>
        <v>2.0880732486746298</v>
      </c>
      <c r="Q32" s="207">
        <f t="shared" si="12"/>
        <v>1.3244682707955955</v>
      </c>
      <c r="S32" s="146">
        <v>6</v>
      </c>
      <c r="T32" s="146">
        <v>8</v>
      </c>
      <c r="U32" s="146">
        <v>5</v>
      </c>
      <c r="V32" s="146">
        <v>8</v>
      </c>
      <c r="W32" s="146">
        <v>11</v>
      </c>
      <c r="X32" s="146">
        <v>7</v>
      </c>
      <c r="Y32" s="146">
        <v>10</v>
      </c>
      <c r="AB32" s="220">
        <f t="shared" si="13"/>
        <v>1.9976112843261342</v>
      </c>
      <c r="AC32" s="220">
        <f t="shared" si="13"/>
        <v>2.2041297191521045</v>
      </c>
      <c r="AD32" s="220">
        <f t="shared" si="13"/>
        <v>1.0667821404223807</v>
      </c>
      <c r="AE32" s="220">
        <f t="shared" si="13"/>
        <v>2.212785537448255</v>
      </c>
      <c r="AF32" s="220">
        <f t="shared" si="13"/>
        <v>3.5161422367950852</v>
      </c>
      <c r="AG32" s="220">
        <f t="shared" si="13"/>
        <v>2.3523728175930296</v>
      </c>
      <c r="AH32" s="220">
        <f t="shared" si="13"/>
        <v>6.5501997446817626</v>
      </c>
      <c r="AJ32" s="162" t="e">
        <f>#REF!*C32</f>
        <v>#REF!</v>
      </c>
      <c r="AK32" s="162" t="e">
        <f>#REF!*D32</f>
        <v>#REF!</v>
      </c>
      <c r="AL32" s="162" t="e">
        <f>#REF!*E32</f>
        <v>#REF!</v>
      </c>
      <c r="AM32" s="162" t="e">
        <f>#REF!*F32</f>
        <v>#REF!</v>
      </c>
      <c r="AN32" s="162" t="e">
        <f>#REF!*G32</f>
        <v>#REF!</v>
      </c>
      <c r="AO32" s="162" t="e">
        <f>#REF!*H32</f>
        <v>#REF!</v>
      </c>
      <c r="AP32" s="162" t="e">
        <f>#REF!*I32</f>
        <v>#REF!</v>
      </c>
    </row>
    <row r="33" spans="1:42" x14ac:dyDescent="0.2">
      <c r="A33" s="143">
        <v>2.8071021406306507E-2</v>
      </c>
      <c r="B33" s="147">
        <f t="shared" si="14"/>
        <v>0.83333333333333304</v>
      </c>
      <c r="C33" s="135">
        <f t="shared" si="5"/>
        <v>106.81023645099626</v>
      </c>
      <c r="D33" s="135">
        <f t="shared" si="5"/>
        <v>133.7303459796442</v>
      </c>
      <c r="E33" s="135">
        <f t="shared" si="5"/>
        <v>129.21091153322885</v>
      </c>
      <c r="F33" s="135">
        <f t="shared" si="5"/>
        <v>132.71978920901716</v>
      </c>
      <c r="G33" s="135">
        <f t="shared" si="5"/>
        <v>128.17228374119551</v>
      </c>
      <c r="H33" s="135">
        <f t="shared" si="5"/>
        <v>111.13317374756747</v>
      </c>
      <c r="I33" s="135">
        <f t="shared" si="5"/>
        <v>70.654760879673475</v>
      </c>
      <c r="K33" s="207">
        <f t="shared" si="6"/>
        <v>1.546254884441884</v>
      </c>
      <c r="L33" s="207">
        <f t="shared" si="7"/>
        <v>1.9287904449652773</v>
      </c>
      <c r="M33" s="207">
        <f t="shared" si="8"/>
        <v>1.8688758559316678</v>
      </c>
      <c r="N33" s="207">
        <f t="shared" si="9"/>
        <v>1.9235939388716181</v>
      </c>
      <c r="O33" s="207">
        <f t="shared" si="10"/>
        <v>1.8816126433130154</v>
      </c>
      <c r="P33" s="207">
        <f t="shared" si="11"/>
        <v>1.6130613248055199</v>
      </c>
      <c r="Q33" s="207">
        <f t="shared" si="12"/>
        <v>1.0231674319416213</v>
      </c>
      <c r="S33" s="146">
        <v>6</v>
      </c>
      <c r="T33" s="146">
        <v>8</v>
      </c>
      <c r="U33" s="146">
        <v>4</v>
      </c>
      <c r="V33" s="146">
        <v>7</v>
      </c>
      <c r="W33" s="146">
        <v>10</v>
      </c>
      <c r="X33" s="146">
        <v>6</v>
      </c>
      <c r="Y33" s="146">
        <v>9</v>
      </c>
      <c r="AB33" s="220">
        <f t="shared" si="13"/>
        <v>2.8803434416737068</v>
      </c>
      <c r="AC33" s="220">
        <f t="shared" si="13"/>
        <v>3.1476771211110073</v>
      </c>
      <c r="AD33" s="220">
        <f t="shared" si="13"/>
        <v>1.1403240816153244</v>
      </c>
      <c r="AE33" s="220">
        <f t="shared" si="13"/>
        <v>2.6390216555299641</v>
      </c>
      <c r="AF33" s="220">
        <f t="shared" si="13"/>
        <v>4.3145901392290185</v>
      </c>
      <c r="AG33" s="220">
        <f t="shared" si="13"/>
        <v>2.7196353962075155</v>
      </c>
      <c r="AH33" s="220">
        <f t="shared" si="13"/>
        <v>7.7962143037734144</v>
      </c>
      <c r="AJ33" s="162" t="e">
        <f>#REF!*C33</f>
        <v>#REF!</v>
      </c>
      <c r="AK33" s="162" t="e">
        <f>#REF!*D33</f>
        <v>#REF!</v>
      </c>
      <c r="AL33" s="162" t="e">
        <f>#REF!*E33</f>
        <v>#REF!</v>
      </c>
      <c r="AM33" s="162" t="e">
        <f>#REF!*F33</f>
        <v>#REF!</v>
      </c>
      <c r="AN33" s="162" t="e">
        <f>#REF!*G33</f>
        <v>#REF!</v>
      </c>
      <c r="AO33" s="162" t="e">
        <f>#REF!*H33</f>
        <v>#REF!</v>
      </c>
      <c r="AP33" s="162" t="e">
        <f>#REF!*I33</f>
        <v>#REF!</v>
      </c>
    </row>
    <row r="34" spans="1:42" x14ac:dyDescent="0.2">
      <c r="A34" s="143">
        <v>2.212960890006372E-2</v>
      </c>
      <c r="B34" s="147">
        <f t="shared" si="14"/>
        <v>0.87499999999999967</v>
      </c>
      <c r="C34" s="135">
        <f t="shared" si="5"/>
        <v>84.203161864742455</v>
      </c>
      <c r="D34" s="135">
        <f t="shared" si="5"/>
        <v>105.42545679990356</v>
      </c>
      <c r="E34" s="135">
        <f t="shared" si="5"/>
        <v>101.86258976699331</v>
      </c>
      <c r="F34" s="135">
        <f t="shared" si="5"/>
        <v>104.62879087950127</v>
      </c>
      <c r="G34" s="135">
        <f t="shared" si="5"/>
        <v>101.04379423769095</v>
      </c>
      <c r="H34" s="135">
        <f t="shared" si="5"/>
        <v>87.611121635352262</v>
      </c>
      <c r="I34" s="135">
        <f t="shared" si="5"/>
        <v>55.700225601460382</v>
      </c>
      <c r="K34" s="207">
        <f t="shared" si="6"/>
        <v>1.21898007761216</v>
      </c>
      <c r="L34" s="207">
        <f t="shared" si="7"/>
        <v>1.5205495225646513</v>
      </c>
      <c r="M34" s="207">
        <f t="shared" si="8"/>
        <v>1.4733162422528794</v>
      </c>
      <c r="N34" s="207">
        <f t="shared" si="9"/>
        <v>1.5164528904601409</v>
      </c>
      <c r="O34" s="207">
        <f t="shared" si="10"/>
        <v>1.4833572065381746</v>
      </c>
      <c r="P34" s="207">
        <f t="shared" si="11"/>
        <v>1.2716465045245968</v>
      </c>
      <c r="Q34" s="207">
        <f t="shared" si="12"/>
        <v>0.8066074540153273</v>
      </c>
      <c r="S34" s="146">
        <v>7</v>
      </c>
      <c r="T34" s="146">
        <v>8</v>
      </c>
      <c r="U34" s="146">
        <v>4</v>
      </c>
      <c r="V34" s="146">
        <v>5</v>
      </c>
      <c r="W34" s="146">
        <v>8</v>
      </c>
      <c r="X34" s="146">
        <v>6</v>
      </c>
      <c r="Y34" s="146">
        <v>8</v>
      </c>
      <c r="AB34" s="220">
        <f t="shared" si="13"/>
        <v>4.7425056640073926</v>
      </c>
      <c r="AC34" s="220">
        <f t="shared" si="13"/>
        <v>4.2612558034326389</v>
      </c>
      <c r="AD34" s="220">
        <f t="shared" si="13"/>
        <v>1.7149636210373371</v>
      </c>
      <c r="AE34" s="220">
        <f t="shared" si="13"/>
        <v>2.2971680369726739</v>
      </c>
      <c r="AF34" s="220">
        <f t="shared" si="13"/>
        <v>4.3931716276689814</v>
      </c>
      <c r="AG34" s="220">
        <f t="shared" si="13"/>
        <v>3.7182923702865764</v>
      </c>
      <c r="AH34" s="220">
        <f t="shared" si="13"/>
        <v>8.9180834000177516</v>
      </c>
      <c r="AJ34" s="162" t="e">
        <f>#REF!*C34</f>
        <v>#REF!</v>
      </c>
      <c r="AK34" s="162" t="e">
        <f>#REF!*D34</f>
        <v>#REF!</v>
      </c>
      <c r="AL34" s="162" t="e">
        <f>#REF!*E34</f>
        <v>#REF!</v>
      </c>
      <c r="AM34" s="162" t="e">
        <f>#REF!*F34</f>
        <v>#REF!</v>
      </c>
      <c r="AN34" s="162" t="e">
        <f>#REF!*G34</f>
        <v>#REF!</v>
      </c>
      <c r="AO34" s="162" t="e">
        <f>#REF!*H34</f>
        <v>#REF!</v>
      </c>
      <c r="AP34" s="162" t="e">
        <f>#REF!*I34</f>
        <v>#REF!</v>
      </c>
    </row>
    <row r="35" spans="1:42" x14ac:dyDescent="0.2">
      <c r="A35" s="143">
        <v>1.9787486868617286E-2</v>
      </c>
      <c r="B35" s="147">
        <f t="shared" si="14"/>
        <v>0.9166666666666663</v>
      </c>
      <c r="C35" s="135">
        <f t="shared" si="5"/>
        <v>75.291387535088774</v>
      </c>
      <c r="D35" s="135">
        <f t="shared" si="5"/>
        <v>94.267587442092747</v>
      </c>
      <c r="E35" s="135">
        <f t="shared" si="5"/>
        <v>91.081802056245365</v>
      </c>
      <c r="F35" s="135">
        <f t="shared" si="5"/>
        <v>93.555237914822527</v>
      </c>
      <c r="G35" s="135">
        <f t="shared" si="5"/>
        <v>90.349665042106523</v>
      </c>
      <c r="H35" s="135">
        <f t="shared" si="5"/>
        <v>78.338660512855839</v>
      </c>
      <c r="I35" s="135">
        <f t="shared" si="5"/>
        <v>49.805104448309706</v>
      </c>
      <c r="K35" s="207">
        <f t="shared" si="6"/>
        <v>1.0899674001372543</v>
      </c>
      <c r="L35" s="207">
        <f t="shared" si="7"/>
        <v>1.3596197676473027</v>
      </c>
      <c r="M35" s="207">
        <f t="shared" si="8"/>
        <v>1.3173854959910958</v>
      </c>
      <c r="N35" s="207">
        <f t="shared" si="9"/>
        <v>1.3559567090573554</v>
      </c>
      <c r="O35" s="207">
        <f t="shared" si="10"/>
        <v>1.3263637589979476</v>
      </c>
      <c r="P35" s="207">
        <f t="shared" si="11"/>
        <v>1.1370597927616821</v>
      </c>
      <c r="Q35" s="207">
        <f t="shared" si="12"/>
        <v>0.72123888300670114</v>
      </c>
      <c r="S35" s="146">
        <v>4</v>
      </c>
      <c r="T35" s="146">
        <v>4</v>
      </c>
      <c r="U35" s="146">
        <v>2</v>
      </c>
      <c r="V35" s="146">
        <v>3</v>
      </c>
      <c r="W35" s="146">
        <v>4</v>
      </c>
      <c r="X35" s="146">
        <v>2</v>
      </c>
      <c r="Y35" s="146">
        <v>4</v>
      </c>
      <c r="AB35" s="220">
        <f t="shared" si="13"/>
        <v>2.66983452853388</v>
      </c>
      <c r="AC35" s="220">
        <f t="shared" si="13"/>
        <v>1.9419990023546312</v>
      </c>
      <c r="AD35" s="220">
        <f t="shared" si="13"/>
        <v>0.5181585087175713</v>
      </c>
      <c r="AE35" s="220">
        <f t="shared" si="13"/>
        <v>1.212460014365476</v>
      </c>
      <c r="AF35" s="220">
        <f t="shared" si="13"/>
        <v>2.0157639432352656</v>
      </c>
      <c r="AG35" s="220">
        <f t="shared" si="13"/>
        <v>0.75892245309493833</v>
      </c>
      <c r="AH35" s="220">
        <f t="shared" si="13"/>
        <v>4.5460126932214155</v>
      </c>
      <c r="AJ35" s="162" t="e">
        <f>#REF!*C35</f>
        <v>#REF!</v>
      </c>
      <c r="AK35" s="162" t="e">
        <f>#REF!*D35</f>
        <v>#REF!</v>
      </c>
      <c r="AL35" s="162" t="e">
        <f>#REF!*E35</f>
        <v>#REF!</v>
      </c>
      <c r="AM35" s="162" t="e">
        <f>#REF!*F35</f>
        <v>#REF!</v>
      </c>
      <c r="AN35" s="162" t="e">
        <f>#REF!*G35</f>
        <v>#REF!</v>
      </c>
      <c r="AO35" s="162" t="e">
        <f>#REF!*H35</f>
        <v>#REF!</v>
      </c>
      <c r="AP35" s="162" t="e">
        <f>#REF!*I35</f>
        <v>#REF!</v>
      </c>
    </row>
    <row r="36" spans="1:42" ht="13.5" thickBot="1" x14ac:dyDescent="0.25">
      <c r="A36" s="143">
        <v>1.8151445743709853E-2</v>
      </c>
      <c r="B36" s="147">
        <f t="shared" si="14"/>
        <v>0.95833333333333293</v>
      </c>
      <c r="C36" s="135">
        <f t="shared" si="5"/>
        <v>69.066251054815993</v>
      </c>
      <c r="D36" s="135">
        <f t="shared" si="5"/>
        <v>86.473487523033739</v>
      </c>
      <c r="E36" s="135">
        <f t="shared" si="5"/>
        <v>83.551104758296447</v>
      </c>
      <c r="F36" s="135">
        <f t="shared" si="5"/>
        <v>85.820035476260188</v>
      </c>
      <c r="G36" s="135">
        <f t="shared" si="5"/>
        <v>82.879501265779183</v>
      </c>
      <c r="H36" s="135">
        <f t="shared" si="5"/>
        <v>71.861573699347304</v>
      </c>
      <c r="I36" s="135">
        <f t="shared" si="5"/>
        <v>45.6871889369177</v>
      </c>
      <c r="K36" s="207">
        <f t="shared" si="6"/>
        <v>0.99984825043051895</v>
      </c>
      <c r="L36" s="207">
        <f t="shared" si="7"/>
        <v>1.2472056006094492</v>
      </c>
      <c r="M36" s="207">
        <f t="shared" si="8"/>
        <v>1.2084632835288207</v>
      </c>
      <c r="N36" s="207">
        <f t="shared" si="9"/>
        <v>1.2438454058715864</v>
      </c>
      <c r="O36" s="207">
        <f t="shared" si="10"/>
        <v>1.2166992184367598</v>
      </c>
      <c r="P36" s="207">
        <f t="shared" si="11"/>
        <v>1.0430470161625875</v>
      </c>
      <c r="Q36" s="207">
        <f t="shared" si="12"/>
        <v>0.6616064253168521</v>
      </c>
      <c r="S36" s="146">
        <v>4</v>
      </c>
      <c r="T36" s="146">
        <v>4</v>
      </c>
      <c r="U36" s="146">
        <v>2</v>
      </c>
      <c r="V36" s="146">
        <v>3</v>
      </c>
      <c r="W36" s="146">
        <v>4</v>
      </c>
      <c r="X36" s="146">
        <v>2</v>
      </c>
      <c r="Y36" s="146">
        <v>4</v>
      </c>
      <c r="AB36" s="220">
        <f t="shared" si="13"/>
        <v>3.0006070904036317</v>
      </c>
      <c r="AC36" s="220">
        <f t="shared" si="13"/>
        <v>2.2071696904226479</v>
      </c>
      <c r="AD36" s="220">
        <f t="shared" si="13"/>
        <v>0.65499442743499947</v>
      </c>
      <c r="AE36" s="220">
        <f t="shared" si="13"/>
        <v>1.4118752908025916</v>
      </c>
      <c r="AF36" s="220">
        <f t="shared" si="13"/>
        <v>2.2875832739822766</v>
      </c>
      <c r="AG36" s="220">
        <f t="shared" si="13"/>
        <v>0.91745910683689158</v>
      </c>
      <c r="AH36" s="220">
        <f t="shared" si="13"/>
        <v>5.0458904976389052</v>
      </c>
      <c r="AJ36" s="162" t="e">
        <f>#REF!*C36</f>
        <v>#REF!</v>
      </c>
      <c r="AK36" s="162" t="e">
        <f>#REF!*D36</f>
        <v>#REF!</v>
      </c>
      <c r="AL36" s="162" t="e">
        <f>#REF!*E36</f>
        <v>#REF!</v>
      </c>
      <c r="AM36" s="162" t="e">
        <f>#REF!*F36</f>
        <v>#REF!</v>
      </c>
      <c r="AN36" s="162" t="e">
        <f>#REF!*G36</f>
        <v>#REF!</v>
      </c>
      <c r="AO36" s="162" t="e">
        <f>#REF!*H36</f>
        <v>#REF!</v>
      </c>
      <c r="AP36" s="162" t="e">
        <f>#REF!*I36</f>
        <v>#REF!</v>
      </c>
    </row>
    <row r="37" spans="1:42" ht="13.5" thickBot="1" x14ac:dyDescent="0.25">
      <c r="A37" s="152">
        <f>SUM(K37:Q37)</f>
        <v>419.84067318700687</v>
      </c>
      <c r="B37" s="153">
        <f>SUM(C37:I37)</f>
        <v>28942</v>
      </c>
      <c r="C37" s="135">
        <f t="shared" ref="C37:I37" si="15">SUM(C13:C36)</f>
        <v>3805</v>
      </c>
      <c r="D37" s="135">
        <f t="shared" si="15"/>
        <v>4763.9999999999991</v>
      </c>
      <c r="E37" s="135">
        <f t="shared" si="15"/>
        <v>4603</v>
      </c>
      <c r="F37" s="135">
        <f t="shared" si="15"/>
        <v>4728</v>
      </c>
      <c r="G37" s="135">
        <f t="shared" si="15"/>
        <v>4565.9999999999991</v>
      </c>
      <c r="H37" s="135">
        <f t="shared" si="15"/>
        <v>3959.0000000000005</v>
      </c>
      <c r="I37" s="135">
        <f t="shared" si="15"/>
        <v>2517</v>
      </c>
      <c r="K37" s="148">
        <f>SUM(K13:K36)</f>
        <v>55.083670168642243</v>
      </c>
      <c r="L37" s="148">
        <f t="shared" ref="L37:Q37" si="16">SUM(L13:L36)</f>
        <v>68.711088814600473</v>
      </c>
      <c r="M37" s="148">
        <f t="shared" si="16"/>
        <v>66.576695905757148</v>
      </c>
      <c r="N37" s="148">
        <f t="shared" si="16"/>
        <v>68.525968864084817</v>
      </c>
      <c r="O37" s="148">
        <f t="shared" si="16"/>
        <v>67.030430281752672</v>
      </c>
      <c r="P37" s="148">
        <f t="shared" si="16"/>
        <v>57.463577881890878</v>
      </c>
      <c r="Q37" s="148">
        <f t="shared" si="16"/>
        <v>36.449241270278605</v>
      </c>
      <c r="S37" s="148">
        <f>SUM(S13:S36)</f>
        <v>185</v>
      </c>
      <c r="T37" s="148">
        <f t="shared" ref="T37:Y37" si="17">SUM(T13:T36)</f>
        <v>203</v>
      </c>
      <c r="U37" s="148">
        <f t="shared" si="17"/>
        <v>169</v>
      </c>
      <c r="V37" s="148">
        <f t="shared" si="17"/>
        <v>176</v>
      </c>
      <c r="W37" s="148">
        <f t="shared" si="17"/>
        <v>198</v>
      </c>
      <c r="X37" s="148">
        <f t="shared" si="17"/>
        <v>144</v>
      </c>
      <c r="Y37" s="148">
        <f t="shared" si="17"/>
        <v>180</v>
      </c>
      <c r="AA37" s="21" t="s">
        <v>161</v>
      </c>
      <c r="AB37" s="215">
        <f>COUNTIF(AB13:AB36,$AP$37)/48</f>
        <v>0</v>
      </c>
      <c r="AC37" s="215">
        <f t="shared" ref="AC37:AH37" si="18">COUNTIF(AC13:AC36,$AP$37)/48</f>
        <v>0</v>
      </c>
      <c r="AD37" s="215">
        <f t="shared" si="18"/>
        <v>0</v>
      </c>
      <c r="AE37" s="215">
        <f t="shared" si="18"/>
        <v>0</v>
      </c>
      <c r="AF37" s="215">
        <f t="shared" si="18"/>
        <v>0</v>
      </c>
      <c r="AG37" s="215">
        <f t="shared" si="18"/>
        <v>0</v>
      </c>
      <c r="AH37" s="215">
        <f t="shared" si="18"/>
        <v>0</v>
      </c>
    </row>
    <row r="38" spans="1:42" ht="13.5" thickBot="1" x14ac:dyDescent="0.25">
      <c r="A38" s="152">
        <f>SUM(S37:Y37)</f>
        <v>1255</v>
      </c>
      <c r="AA38" s="21" t="s">
        <v>164</v>
      </c>
      <c r="AB38" s="215">
        <f>COUNTIF(AB13:AB36,$AP$62)/48</f>
        <v>0</v>
      </c>
      <c r="AC38" s="215">
        <f t="shared" ref="AC38:AH38" si="19">COUNTIF(AC13:AC36,$AP$62)/48</f>
        <v>0</v>
      </c>
      <c r="AD38" s="215">
        <f t="shared" si="19"/>
        <v>0</v>
      </c>
      <c r="AE38" s="215">
        <f t="shared" si="19"/>
        <v>0</v>
      </c>
      <c r="AF38" s="215">
        <f t="shared" si="19"/>
        <v>0</v>
      </c>
      <c r="AG38" s="215">
        <f t="shared" si="19"/>
        <v>0</v>
      </c>
      <c r="AH38" s="215">
        <f t="shared" si="19"/>
        <v>0</v>
      </c>
    </row>
    <row r="39" spans="1:42" x14ac:dyDescent="0.2">
      <c r="C39" s="151">
        <f>C37/$B$37</f>
        <v>0.13146983622417249</v>
      </c>
      <c r="D39" s="151">
        <f t="shared" ref="D39:I39" si="20">D37/$B$37</f>
        <v>0.16460507221339227</v>
      </c>
      <c r="E39" s="151">
        <f t="shared" si="20"/>
        <v>0.15904222237578605</v>
      </c>
      <c r="F39" s="151">
        <f t="shared" si="20"/>
        <v>0.16336120516895861</v>
      </c>
      <c r="G39" s="151">
        <f t="shared" si="20"/>
        <v>0.15776380346900695</v>
      </c>
      <c r="H39" s="151">
        <f t="shared" si="20"/>
        <v>0.13679082302536108</v>
      </c>
      <c r="I39" s="151">
        <f t="shared" si="20"/>
        <v>8.6967037523322507E-2</v>
      </c>
      <c r="K39" s="151">
        <f>K37/$A$37</f>
        <v>0.13120136681970945</v>
      </c>
      <c r="L39" s="151">
        <f t="shared" ref="L39:Q39" si="21">L37/$A$37</f>
        <v>0.16365991482677272</v>
      </c>
      <c r="M39" s="151">
        <f t="shared" si="21"/>
        <v>0.15857609840507836</v>
      </c>
      <c r="N39" s="151">
        <f t="shared" si="21"/>
        <v>0.1632189857735907</v>
      </c>
      <c r="O39" s="151">
        <f t="shared" si="21"/>
        <v>0.15965682832233777</v>
      </c>
      <c r="P39" s="151">
        <f t="shared" si="21"/>
        <v>0.13686996413588365</v>
      </c>
      <c r="Q39" s="151">
        <f t="shared" si="21"/>
        <v>8.6816841716627249E-2</v>
      </c>
      <c r="S39" s="151">
        <f>S37/$A$38</f>
        <v>0.14741035856573706</v>
      </c>
      <c r="T39" s="151">
        <f t="shared" ref="T39:Y39" si="22">T37/$A$38</f>
        <v>0.16175298804780877</v>
      </c>
      <c r="U39" s="151">
        <f t="shared" si="22"/>
        <v>0.1346613545816733</v>
      </c>
      <c r="V39" s="151">
        <f t="shared" si="22"/>
        <v>0.1402390438247012</v>
      </c>
      <c r="W39" s="151">
        <f t="shared" si="22"/>
        <v>0.15776892430278885</v>
      </c>
      <c r="X39" s="151">
        <f t="shared" si="22"/>
        <v>0.11474103585657371</v>
      </c>
      <c r="Y39" s="151">
        <f t="shared" si="22"/>
        <v>0.14342629482071714</v>
      </c>
      <c r="AA39" s="165"/>
      <c r="AB39" s="165"/>
      <c r="AC39" s="165"/>
      <c r="AD39" s="165"/>
      <c r="AE39" s="165"/>
      <c r="AF39" s="165"/>
      <c r="AG39" s="165"/>
      <c r="AH39" s="165"/>
    </row>
    <row r="40" spans="1:42" x14ac:dyDescent="0.2">
      <c r="C40">
        <v>3805</v>
      </c>
      <c r="D40">
        <v>4764</v>
      </c>
      <c r="E40">
        <v>4603</v>
      </c>
      <c r="F40">
        <v>4728</v>
      </c>
      <c r="G40">
        <v>4566</v>
      </c>
      <c r="H40">
        <v>3959</v>
      </c>
      <c r="I40">
        <v>2517</v>
      </c>
      <c r="K40" s="210">
        <f>C40/(K9*8*(1-$C$8))</f>
        <v>6.8866890430270615</v>
      </c>
      <c r="L40" s="210">
        <f t="shared" ref="L40:Q40" si="23">D40/(L9*(1-$C$8))/8</f>
        <v>8.6223880685889416</v>
      </c>
      <c r="M40" s="210">
        <f t="shared" si="23"/>
        <v>8.3309933416697941</v>
      </c>
      <c r="N40" s="210">
        <f t="shared" si="23"/>
        <v>8.5572314836877652</v>
      </c>
      <c r="O40" s="210">
        <f t="shared" si="23"/>
        <v>8.2640268516324742</v>
      </c>
      <c r="P40" s="210">
        <f t="shared" si="23"/>
        <v>7.1654144339932033</v>
      </c>
      <c r="Q40" s="210">
        <f t="shared" si="23"/>
        <v>4.55553122767388</v>
      </c>
      <c r="S40" s="210">
        <f>S37/8</f>
        <v>23.125</v>
      </c>
      <c r="T40" s="210">
        <f t="shared" ref="T40:Y40" si="24">T37/8</f>
        <v>25.375</v>
      </c>
      <c r="U40" s="210">
        <f t="shared" si="24"/>
        <v>21.125</v>
      </c>
      <c r="V40" s="210">
        <f t="shared" si="24"/>
        <v>22</v>
      </c>
      <c r="W40" s="210">
        <f t="shared" si="24"/>
        <v>24.75</v>
      </c>
      <c r="X40" s="210">
        <f t="shared" si="24"/>
        <v>18</v>
      </c>
      <c r="Y40" s="210">
        <f t="shared" si="24"/>
        <v>22.5</v>
      </c>
      <c r="AA40" s="165"/>
      <c r="AB40" s="165"/>
      <c r="AC40" s="165"/>
      <c r="AD40" s="165"/>
      <c r="AE40" s="165"/>
      <c r="AF40" s="165"/>
      <c r="AG40" s="165"/>
      <c r="AH40" s="165"/>
    </row>
    <row r="41" spans="1:42" x14ac:dyDescent="0.2">
      <c r="K41" s="314" t="str">
        <f>"ETP HEBDO =  "&amp;A37/40</f>
        <v>ETP HEBDO =  10,4960168296752</v>
      </c>
      <c r="L41" s="314"/>
      <c r="M41" s="314"/>
      <c r="N41" s="314"/>
      <c r="O41" s="314"/>
      <c r="P41" s="314"/>
      <c r="Q41" s="314"/>
      <c r="S41" s="315" t="str">
        <f>"ETP HEBDO =  "&amp;A38/40</f>
        <v>ETP HEBDO =  31,375</v>
      </c>
      <c r="T41" s="315"/>
      <c r="U41" s="315"/>
      <c r="V41" s="315"/>
      <c r="W41" s="315"/>
      <c r="X41" s="315"/>
      <c r="Y41" s="315"/>
      <c r="AA41" s="165" t="s">
        <v>162</v>
      </c>
      <c r="AB41" s="309" t="s">
        <v>149</v>
      </c>
      <c r="AC41" s="309"/>
      <c r="AD41" s="196">
        <f>COUNTIF(AB13:AH36, AA41)</f>
        <v>1</v>
      </c>
      <c r="AE41" s="165"/>
      <c r="AF41" s="165"/>
      <c r="AG41" s="165"/>
      <c r="AH41" s="165"/>
    </row>
    <row r="42" spans="1:42" x14ac:dyDescent="0.2">
      <c r="AA42" s="165"/>
      <c r="AB42" s="165"/>
      <c r="AC42" s="165"/>
      <c r="AD42" s="165"/>
      <c r="AE42" s="165"/>
      <c r="AF42" s="165"/>
      <c r="AG42" s="165"/>
      <c r="AH42" s="165"/>
    </row>
    <row r="43" spans="1:42" x14ac:dyDescent="0.2">
      <c r="A43" s="35"/>
      <c r="AA43" s="165"/>
      <c r="AB43" s="165"/>
      <c r="AC43" s="165"/>
      <c r="AD43" s="165"/>
      <c r="AE43" s="165"/>
      <c r="AF43" s="165"/>
      <c r="AG43" s="165"/>
      <c r="AH43" s="165"/>
    </row>
    <row r="44" spans="1:42" x14ac:dyDescent="0.2">
      <c r="A44" s="35"/>
      <c r="AA44" s="165" t="s">
        <v>163</v>
      </c>
      <c r="AB44" s="305" t="s">
        <v>152</v>
      </c>
      <c r="AC44" s="305"/>
      <c r="AD44" s="196">
        <f>COUNTIF(AB13:AH36, AA44)</f>
        <v>0</v>
      </c>
      <c r="AE44" s="165"/>
      <c r="AF44" s="165"/>
      <c r="AG44" s="165"/>
      <c r="AH44" s="165"/>
    </row>
    <row r="45" spans="1:42" x14ac:dyDescent="0.2">
      <c r="A45" s="35"/>
      <c r="AA45" s="165"/>
      <c r="AB45" s="165"/>
      <c r="AC45" s="165"/>
      <c r="AD45" s="165"/>
      <c r="AE45" s="165"/>
      <c r="AF45" s="165"/>
      <c r="AG45" s="165"/>
      <c r="AH45" s="165"/>
    </row>
    <row r="46" spans="1:42" x14ac:dyDescent="0.2">
      <c r="A46" s="35"/>
      <c r="AA46" s="165" t="s">
        <v>161</v>
      </c>
      <c r="AB46" s="221">
        <f>COUNTIF(AB13:AH36,AA46)/336</f>
        <v>2.976190476190476E-3</v>
      </c>
      <c r="AC46" s="203" t="s">
        <v>153</v>
      </c>
      <c r="AD46" s="165"/>
      <c r="AE46" s="165"/>
      <c r="AF46" s="165"/>
      <c r="AG46" s="165"/>
      <c r="AH46" s="165"/>
    </row>
    <row r="47" spans="1:42" x14ac:dyDescent="0.2">
      <c r="A47" s="35"/>
      <c r="AA47" s="21" t="s">
        <v>164</v>
      </c>
      <c r="AB47" s="221">
        <f>COUNTIF(AB13:AH36,AA47)/336</f>
        <v>0.49404761904761907</v>
      </c>
      <c r="AC47" s="203" t="s">
        <v>167</v>
      </c>
      <c r="AD47" s="165"/>
      <c r="AE47" s="165"/>
      <c r="AF47" s="165"/>
      <c r="AG47" s="165"/>
      <c r="AH47" s="165"/>
    </row>
    <row r="48" spans="1:42" x14ac:dyDescent="0.2">
      <c r="A48" s="35"/>
    </row>
    <row r="49" spans="1:17" x14ac:dyDescent="0.2">
      <c r="A49" s="35"/>
      <c r="Q49" s="211"/>
    </row>
    <row r="50" spans="1:17" x14ac:dyDescent="0.2">
      <c r="A50" s="35"/>
    </row>
    <row r="51" spans="1:17" x14ac:dyDescent="0.2">
      <c r="A51" s="35"/>
    </row>
    <row r="52" spans="1:17" x14ac:dyDescent="0.2">
      <c r="A52" s="35"/>
    </row>
    <row r="53" spans="1:17" x14ac:dyDescent="0.2">
      <c r="A53" s="35"/>
    </row>
    <row r="54" spans="1:17" x14ac:dyDescent="0.2">
      <c r="A54" s="35"/>
    </row>
    <row r="55" spans="1:17" x14ac:dyDescent="0.2">
      <c r="A55" s="35"/>
    </row>
    <row r="56" spans="1:17" x14ac:dyDescent="0.2">
      <c r="A56" s="35"/>
    </row>
    <row r="57" spans="1:17" x14ac:dyDescent="0.2">
      <c r="A57" s="35"/>
    </row>
    <row r="58" spans="1:17" x14ac:dyDescent="0.2">
      <c r="A58" s="35"/>
    </row>
    <row r="59" spans="1:17" x14ac:dyDescent="0.2">
      <c r="A59" s="35"/>
    </row>
    <row r="60" spans="1:17" x14ac:dyDescent="0.2">
      <c r="A60" s="35"/>
    </row>
    <row r="61" spans="1:17" x14ac:dyDescent="0.2">
      <c r="A61" s="35"/>
    </row>
    <row r="62" spans="1:17" x14ac:dyDescent="0.2">
      <c r="A62" s="35"/>
    </row>
    <row r="63" spans="1:17" x14ac:dyDescent="0.2">
      <c r="A63" s="35"/>
    </row>
    <row r="64" spans="1:17" x14ac:dyDescent="0.2">
      <c r="A64" s="35"/>
    </row>
    <row r="65" spans="1:1" x14ac:dyDescent="0.2">
      <c r="A65" s="35"/>
    </row>
    <row r="66" spans="1:1" x14ac:dyDescent="0.2">
      <c r="A66" s="35"/>
    </row>
  </sheetData>
  <mergeCells count="12">
    <mergeCell ref="AB44:AC44"/>
    <mergeCell ref="AB11:AH11"/>
    <mergeCell ref="K41:Q41"/>
    <mergeCell ref="S41:Y41"/>
    <mergeCell ref="AB41:AC41"/>
    <mergeCell ref="A4:B4"/>
    <mergeCell ref="A6:B6"/>
    <mergeCell ref="S7:Y7"/>
    <mergeCell ref="A8:B8"/>
    <mergeCell ref="C11:I11"/>
    <mergeCell ref="K11:Q11"/>
    <mergeCell ref="S11:Y11"/>
  </mergeCells>
  <conditionalFormatting sqref="AB10:AH10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13:AP36">
    <cfRule type="cellIs" dxfId="1514" priority="35" operator="between">
      <formula>-9</formula>
      <formula>-1</formula>
    </cfRule>
    <cfRule type="cellIs" dxfId="1513" priority="36" operator="between">
      <formula>1</formula>
      <formula>9</formula>
    </cfRule>
    <cfRule type="cellIs" dxfId="1512" priority="37" operator="lessThan">
      <formula>-9</formula>
    </cfRule>
    <cfRule type="cellIs" dxfId="1511" priority="38" operator="greaterThan">
      <formula>9</formula>
    </cfRule>
  </conditionalFormatting>
  <conditionalFormatting sqref="C13:I3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Q36">
    <cfRule type="cellIs" dxfId="1510" priority="31" operator="greaterThan">
      <formula>50</formula>
    </cfRule>
    <cfRule type="cellIs" dxfId="1509" priority="32" operator="greaterThan">
      <formula>69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S13:Y36">
    <cfRule type="cellIs" dxfId="1508" priority="29" operator="lessThan">
      <formula>30</formula>
    </cfRule>
    <cfRule type="cellIs" dxfId="1507" priority="30" operator="greaterThan">
      <formula>50</formula>
    </cfRule>
  </conditionalFormatting>
  <conditionalFormatting sqref="AB13:AH36">
    <cfRule type="cellIs" dxfId="1506" priority="23" operator="lessThan">
      <formula>-0.1</formula>
    </cfRule>
    <cfRule type="cellIs" dxfId="1505" priority="24" operator="between">
      <formula>-9</formula>
      <formula>-1</formula>
    </cfRule>
    <cfRule type="cellIs" dxfId="1504" priority="25" operator="between">
      <formula>1</formula>
      <formula>9</formula>
    </cfRule>
    <cfRule type="cellIs" dxfId="1503" priority="26" operator="lessThan">
      <formula>-9</formula>
    </cfRule>
    <cfRule type="cellIs" dxfId="1502" priority="27" operator="greaterThan">
      <formula>9</formula>
    </cfRule>
  </conditionalFormatting>
  <conditionalFormatting sqref="AB37:AH37">
    <cfRule type="cellIs" dxfId="1501" priority="8" operator="between">
      <formula>-9</formula>
      <formula>-1</formula>
    </cfRule>
    <cfRule type="cellIs" dxfId="1500" priority="9" operator="between">
      <formula>1</formula>
      <formula>9</formula>
    </cfRule>
    <cfRule type="cellIs" dxfId="1499" priority="10" operator="lessThan">
      <formula>-9</formula>
    </cfRule>
    <cfRule type="cellIs" dxfId="1498" priority="11" operator="greaterThan">
      <formula>9</formula>
    </cfRule>
  </conditionalFormatting>
  <conditionalFormatting sqref="AD44">
    <cfRule type="cellIs" dxfId="1497" priority="7" operator="greaterThan">
      <formula>0</formula>
    </cfRule>
  </conditionalFormatting>
  <conditionalFormatting sqref="AB46">
    <cfRule type="cellIs" dxfId="1496" priority="6" operator="greaterThan">
      <formula>0.1</formula>
    </cfRule>
  </conditionalFormatting>
  <conditionalFormatting sqref="AD41">
    <cfRule type="cellIs" dxfId="1495" priority="5" operator="greaterThan">
      <formula>0</formula>
    </cfRule>
  </conditionalFormatting>
  <conditionalFormatting sqref="AB37:AH37">
    <cfRule type="cellIs" dxfId="1494" priority="4" operator="lessThan">
      <formula>-0.1</formula>
    </cfRule>
  </conditionalFormatting>
  <conditionalFormatting sqref="AB37:AH37">
    <cfRule type="cellIs" dxfId="1493" priority="3" operator="greaterThan">
      <formula>0.1499</formula>
    </cfRule>
  </conditionalFormatting>
  <conditionalFormatting sqref="AB38:AH38">
    <cfRule type="cellIs" dxfId="1492" priority="2" operator="greaterThan">
      <formula>0.2</formula>
    </cfRule>
  </conditionalFormatting>
  <conditionalFormatting sqref="AB47">
    <cfRule type="cellIs" dxfId="1491" priority="1" operator="greaterThan">
      <formula>0.15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EFBF4-94BD-4D72-86DC-E7227B7B9004}">
  <sheetPr>
    <tabColor rgb="FFFF0000"/>
  </sheetPr>
  <dimension ref="A1:AP47"/>
  <sheetViews>
    <sheetView zoomScale="80" zoomScaleNormal="80" workbookViewId="0">
      <selection activeCell="S13" sqref="S13:Y36"/>
    </sheetView>
  </sheetViews>
  <sheetFormatPr baseColWidth="10" defaultRowHeight="12.75" x14ac:dyDescent="0.2"/>
  <cols>
    <col min="3" max="8" width="9.140625" bestFit="1" customWidth="1"/>
    <col min="9" max="9" width="9.5703125" bestFit="1" customWidth="1"/>
    <col min="10" max="10" width="12.140625" bestFit="1" customWidth="1"/>
    <col min="11" max="12" width="5.85546875" bestFit="1" customWidth="1"/>
    <col min="13" max="13" width="8.7109375" bestFit="1" customWidth="1"/>
    <col min="14" max="14" width="5.7109375" bestFit="1" customWidth="1"/>
    <col min="15" max="15" width="9.140625" bestFit="1" customWidth="1"/>
    <col min="16" max="16" width="7.42578125" bestFit="1" customWidth="1"/>
    <col min="17" max="17" width="9.570312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8" max="29" width="5.85546875" bestFit="1" customWidth="1"/>
    <col min="30" max="30" width="8.7109375" bestFit="1" customWidth="1"/>
    <col min="31" max="31" width="5.7109375" bestFit="1" customWidth="1"/>
    <col min="32" max="32" width="9.140625" bestFit="1" customWidth="1"/>
    <col min="33" max="33" width="7.42578125" bestFit="1" customWidth="1"/>
    <col min="34" max="34" width="9.5703125" customWidth="1"/>
    <col min="36" max="42" width="7.42578125" hidden="1" customWidth="1"/>
  </cols>
  <sheetData>
    <row r="1" spans="1:42" ht="13.5" thickBot="1" x14ac:dyDescent="0.25"/>
    <row r="2" spans="1:42" ht="13.5" thickBot="1" x14ac:dyDescent="0.25">
      <c r="A2" s="131" t="s">
        <v>126</v>
      </c>
      <c r="C2" s="132"/>
      <c r="K2" s="159"/>
      <c r="L2" s="159"/>
      <c r="M2" s="159"/>
      <c r="N2" s="159"/>
      <c r="O2" s="159"/>
      <c r="P2" s="159"/>
      <c r="Q2" s="159"/>
    </row>
    <row r="3" spans="1:42" ht="13.5" thickBot="1" x14ac:dyDescent="0.25"/>
    <row r="4" spans="1:42" ht="13.5" thickBot="1" x14ac:dyDescent="0.25">
      <c r="A4" s="317"/>
      <c r="B4" s="317"/>
      <c r="C4" s="132"/>
      <c r="J4" s="21" t="s">
        <v>166</v>
      </c>
      <c r="K4" s="222">
        <f>C39</f>
        <v>3</v>
      </c>
      <c r="L4" s="222">
        <f t="shared" ref="L4:Q4" si="0">D39</f>
        <v>3</v>
      </c>
      <c r="M4" s="222">
        <f t="shared" si="0"/>
        <v>3</v>
      </c>
      <c r="N4" s="222">
        <f t="shared" si="0"/>
        <v>3</v>
      </c>
      <c r="O4" s="222">
        <f t="shared" si="0"/>
        <v>4</v>
      </c>
      <c r="P4" s="222">
        <f t="shared" si="0"/>
        <v>4</v>
      </c>
      <c r="Q4" s="222">
        <f t="shared" si="0"/>
        <v>5</v>
      </c>
    </row>
    <row r="5" spans="1:42" ht="13.5" thickBot="1" x14ac:dyDescent="0.25">
      <c r="C5" s="133"/>
      <c r="H5" t="s">
        <v>133</v>
      </c>
      <c r="S5" s="21"/>
    </row>
    <row r="6" spans="1:42" ht="13.5" thickBot="1" x14ac:dyDescent="0.25">
      <c r="A6" s="317"/>
      <c r="B6" s="317"/>
      <c r="C6" s="134"/>
    </row>
    <row r="7" spans="1:42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42" ht="13.5" thickBot="1" x14ac:dyDescent="0.25">
      <c r="A8" s="317" t="s">
        <v>135</v>
      </c>
      <c r="B8" s="318"/>
      <c r="C8" s="220">
        <v>1.9045992803210857E-2</v>
      </c>
      <c r="D8" s="220">
        <v>1.7385944534326667E-2</v>
      </c>
      <c r="E8" s="220">
        <v>2.2653832283230872E-2</v>
      </c>
      <c r="F8" s="220">
        <v>1.951425861474514E-2</v>
      </c>
      <c r="G8" s="220">
        <v>1.5981682467846248E-2</v>
      </c>
      <c r="H8" s="220">
        <v>1.6451959320648333E-2</v>
      </c>
      <c r="I8" s="220">
        <v>1.1121389436689182E-2</v>
      </c>
      <c r="J8" s="21"/>
      <c r="K8" s="135"/>
      <c r="L8" s="135"/>
      <c r="M8" s="135"/>
      <c r="N8" s="135"/>
      <c r="O8" s="135"/>
      <c r="P8" s="135"/>
      <c r="Q8" s="135"/>
      <c r="S8" s="204">
        <v>16</v>
      </c>
      <c r="T8" s="204">
        <v>16</v>
      </c>
      <c r="U8" s="204">
        <v>16</v>
      </c>
      <c r="V8" s="204">
        <v>16</v>
      </c>
      <c r="W8" s="204">
        <v>16</v>
      </c>
      <c r="X8" s="204">
        <v>19</v>
      </c>
      <c r="Y8" s="204">
        <v>16</v>
      </c>
    </row>
    <row r="9" spans="1:42" ht="13.5" thickBot="1" x14ac:dyDescent="0.25">
      <c r="J9" t="s">
        <v>159</v>
      </c>
      <c r="K9" s="135">
        <f>3600/K10</f>
        <v>17.560975609756099</v>
      </c>
      <c r="L9" s="135">
        <f t="shared" ref="L9:Q9" si="1">3600/L10</f>
        <v>22.085889570552148</v>
      </c>
      <c r="M9" s="135">
        <f t="shared" si="1"/>
        <v>24</v>
      </c>
      <c r="N9" s="135">
        <f t="shared" si="1"/>
        <v>20.930232558139537</v>
      </c>
      <c r="O9" s="135">
        <f t="shared" si="1"/>
        <v>16.143497757847534</v>
      </c>
      <c r="P9" s="135">
        <f t="shared" si="1"/>
        <v>19.88950276243094</v>
      </c>
      <c r="Q9" s="135">
        <f t="shared" si="1"/>
        <v>25.899280575539567</v>
      </c>
      <c r="S9" s="136"/>
      <c r="T9" s="136"/>
      <c r="U9" s="136"/>
      <c r="V9" s="136"/>
      <c r="W9" s="136"/>
      <c r="X9" s="136"/>
      <c r="Y9" s="136"/>
    </row>
    <row r="10" spans="1:42" ht="13.5" thickBot="1" x14ac:dyDescent="0.25">
      <c r="A10" s="137" t="s">
        <v>136</v>
      </c>
      <c r="B10" s="134">
        <v>60</v>
      </c>
      <c r="C10" s="21" t="s">
        <v>17</v>
      </c>
      <c r="J10" s="138" t="s">
        <v>137</v>
      </c>
      <c r="K10">
        <f>C38</f>
        <v>205</v>
      </c>
      <c r="L10">
        <f t="shared" ref="L10:Q10" si="2">D38</f>
        <v>163</v>
      </c>
      <c r="M10">
        <f t="shared" si="2"/>
        <v>150</v>
      </c>
      <c r="N10">
        <f t="shared" si="2"/>
        <v>172</v>
      </c>
      <c r="O10">
        <f t="shared" si="2"/>
        <v>223</v>
      </c>
      <c r="P10">
        <f t="shared" si="2"/>
        <v>181</v>
      </c>
      <c r="Q10">
        <f t="shared" si="2"/>
        <v>139</v>
      </c>
      <c r="AB10" s="154"/>
      <c r="AC10" s="154"/>
      <c r="AD10" s="154"/>
      <c r="AE10" s="154"/>
      <c r="AF10" s="154"/>
      <c r="AG10" s="154"/>
      <c r="AH10" s="154"/>
      <c r="AJ10" s="163" t="e">
        <f t="shared" ref="AJ10:AP10" si="3">SUM(AJ13:AJ36)</f>
        <v>#REF!</v>
      </c>
      <c r="AK10" s="163" t="e">
        <f t="shared" si="3"/>
        <v>#REF!</v>
      </c>
      <c r="AL10" s="163" t="e">
        <f t="shared" si="3"/>
        <v>#REF!</v>
      </c>
      <c r="AM10" s="163" t="e">
        <f t="shared" si="3"/>
        <v>#REF!</v>
      </c>
      <c r="AN10" s="163" t="e">
        <f t="shared" si="3"/>
        <v>#REF!</v>
      </c>
      <c r="AO10" s="163" t="e">
        <f t="shared" si="3"/>
        <v>#REF!</v>
      </c>
      <c r="AP10" s="163" t="e">
        <f t="shared" si="3"/>
        <v>#REF!</v>
      </c>
    </row>
    <row r="11" spans="1:42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B11" s="319" t="s">
        <v>45</v>
      </c>
      <c r="AC11" s="319"/>
      <c r="AD11" s="319"/>
      <c r="AE11" s="319"/>
      <c r="AF11" s="319"/>
      <c r="AG11" s="319"/>
      <c r="AH11" s="319"/>
    </row>
    <row r="12" spans="1:42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B12" s="142" t="s">
        <v>139</v>
      </c>
      <c r="AC12" s="142" t="s">
        <v>140</v>
      </c>
      <c r="AD12" s="142" t="s">
        <v>141</v>
      </c>
      <c r="AE12" s="142" t="s">
        <v>142</v>
      </c>
      <c r="AF12" s="142" t="s">
        <v>143</v>
      </c>
      <c r="AG12" s="142" t="s">
        <v>144</v>
      </c>
      <c r="AH12" s="142" t="s">
        <v>145</v>
      </c>
    </row>
    <row r="13" spans="1:42" x14ac:dyDescent="0.2">
      <c r="A13" s="143">
        <f>AVERAGE(C13:I13)</f>
        <v>97.714285714285708</v>
      </c>
      <c r="B13" s="144">
        <v>0</v>
      </c>
      <c r="C13">
        <v>100</v>
      </c>
      <c r="D13">
        <v>69</v>
      </c>
      <c r="E13">
        <v>76</v>
      </c>
      <c r="F13">
        <v>94</v>
      </c>
      <c r="G13">
        <v>78</v>
      </c>
      <c r="H13">
        <v>170</v>
      </c>
      <c r="I13">
        <v>97</v>
      </c>
      <c r="J13">
        <v>1</v>
      </c>
      <c r="K13" s="207">
        <f>(C13/K$4)*(1+$C$8)/(K$9)</f>
        <v>1.934300264117206</v>
      </c>
      <c r="L13" s="207">
        <f t="shared" ref="L13:P13" si="4">(D13/L$4)*(1+$C$8)/(L$9)</f>
        <v>1.0612231741720106</v>
      </c>
      <c r="M13" s="207">
        <f t="shared" si="4"/>
        <v>1.075659659070056</v>
      </c>
      <c r="N13" s="207">
        <f t="shared" si="4"/>
        <v>1.5255495936705845</v>
      </c>
      <c r="O13" s="207">
        <f t="shared" si="4"/>
        <v>1.2309226388068786</v>
      </c>
      <c r="P13" s="207">
        <f t="shared" si="4"/>
        <v>2.1775031387885275</v>
      </c>
      <c r="Q13" s="207">
        <f>(I13/Q$4)*(1+$C$8)/(Q$9)</f>
        <v>0.76332206227587174</v>
      </c>
      <c r="R13">
        <v>1</v>
      </c>
      <c r="S13" s="146">
        <v>5</v>
      </c>
      <c r="T13" s="146">
        <v>4</v>
      </c>
      <c r="U13" s="146">
        <v>2</v>
      </c>
      <c r="V13" s="146">
        <v>4</v>
      </c>
      <c r="W13" s="146">
        <v>3</v>
      </c>
      <c r="X13" s="146">
        <v>4</v>
      </c>
      <c r="Y13" s="146">
        <v>4</v>
      </c>
      <c r="AB13" s="220">
        <f>S13/K13-1</f>
        <v>1.5849140863773528</v>
      </c>
      <c r="AC13" s="220">
        <f t="shared" ref="AC13:AH28" si="5">T13/L13-1</f>
        <v>2.7692354420368619</v>
      </c>
      <c r="AD13" s="220">
        <f t="shared" si="5"/>
        <v>0.85932416739423623</v>
      </c>
      <c r="AE13" s="220">
        <f t="shared" si="5"/>
        <v>1.6220058768300714</v>
      </c>
      <c r="AF13" s="220">
        <f t="shared" si="5"/>
        <v>1.4371962180400475</v>
      </c>
      <c r="AG13" s="220">
        <f t="shared" si="5"/>
        <v>0.83696635322667512</v>
      </c>
      <c r="AH13" s="220">
        <f t="shared" si="5"/>
        <v>4.2402520478366084</v>
      </c>
      <c r="AJ13" s="162" t="e">
        <f>#REF!*C13</f>
        <v>#REF!</v>
      </c>
      <c r="AK13" s="162" t="e">
        <f>#REF!*D13</f>
        <v>#REF!</v>
      </c>
      <c r="AL13" s="162" t="e">
        <f>#REF!*E13</f>
        <v>#REF!</v>
      </c>
      <c r="AM13" s="162" t="e">
        <f>#REF!*F13</f>
        <v>#REF!</v>
      </c>
      <c r="AN13" s="162" t="e">
        <f>#REF!*G13</f>
        <v>#REF!</v>
      </c>
      <c r="AO13" s="162" t="e">
        <f>#REF!*H13</f>
        <v>#REF!</v>
      </c>
      <c r="AP13" s="162" t="e">
        <f>#REF!*I13</f>
        <v>#REF!</v>
      </c>
    </row>
    <row r="14" spans="1:42" x14ac:dyDescent="0.2">
      <c r="A14" s="143">
        <f t="shared" ref="A14:A36" si="6">AVERAGE(C14:I14)</f>
        <v>53.428571428571431</v>
      </c>
      <c r="B14" s="147">
        <f>B13+TIME(0,$B$10,0)</f>
        <v>4.1666666666666664E-2</v>
      </c>
      <c r="C14">
        <v>54</v>
      </c>
      <c r="D14">
        <v>35</v>
      </c>
      <c r="E14">
        <v>48</v>
      </c>
      <c r="F14">
        <v>46</v>
      </c>
      <c r="G14">
        <v>41</v>
      </c>
      <c r="H14">
        <v>97</v>
      </c>
      <c r="I14">
        <v>53</v>
      </c>
      <c r="J14">
        <v>2</v>
      </c>
      <c r="K14" s="207">
        <f t="shared" ref="K14:K36" si="7">(C14/K$4)*(1+$C$8)/(K$9)</f>
        <v>1.0445221426232911</v>
      </c>
      <c r="L14" s="207">
        <f t="shared" ref="L14:L36" si="8">(D14/L$4)*(1+$C$8)/(L$9)</f>
        <v>0.53830161008725164</v>
      </c>
      <c r="M14" s="207">
        <f t="shared" ref="M14:M36" si="9">(E14/M$4)*(1+$C$8)/(M$9)</f>
        <v>0.67936399520214064</v>
      </c>
      <c r="N14" s="207">
        <f t="shared" ref="N14:N36" si="10">(F14/N$4)*(1+$C$8)/(N$9)</f>
        <v>0.74654554583879673</v>
      </c>
      <c r="O14" s="207">
        <f t="shared" ref="O14:O36" si="11">(G14/O$4)*(1+$C$8)/(O$9)</f>
        <v>0.64702343834720533</v>
      </c>
      <c r="P14" s="207">
        <f t="shared" ref="P14:P36" si="12">(H14/P$4)*(1+$C$8)/(P$9)</f>
        <v>1.2424576733087482</v>
      </c>
      <c r="Q14" s="207">
        <f t="shared" ref="Q14:Q36" si="13">(I14/Q$4)*(1+$C$8)/(Q$9)</f>
        <v>0.41707287938784754</v>
      </c>
      <c r="R14">
        <v>2</v>
      </c>
      <c r="S14" s="146">
        <v>5</v>
      </c>
      <c r="T14" s="146">
        <v>4</v>
      </c>
      <c r="U14" s="146">
        <v>2</v>
      </c>
      <c r="V14" s="146">
        <v>4</v>
      </c>
      <c r="W14" s="146">
        <v>3</v>
      </c>
      <c r="X14" s="146">
        <v>4</v>
      </c>
      <c r="Y14" s="146">
        <v>4</v>
      </c>
      <c r="AB14" s="220">
        <f t="shared" ref="AB14:AH36" si="14">S14/K14-1</f>
        <v>3.7868779377358397</v>
      </c>
      <c r="AC14" s="220">
        <f t="shared" si="5"/>
        <v>6.430778442872672</v>
      </c>
      <c r="AD14" s="220">
        <f t="shared" si="5"/>
        <v>1.9439299317075407</v>
      </c>
      <c r="AE14" s="220">
        <f t="shared" si="5"/>
        <v>4.3580120091744936</v>
      </c>
      <c r="AF14" s="220">
        <f t="shared" si="5"/>
        <v>3.6366171952957007</v>
      </c>
      <c r="AG14" s="220">
        <f t="shared" si="5"/>
        <v>2.2194255675106671</v>
      </c>
      <c r="AH14" s="220">
        <f t="shared" si="5"/>
        <v>8.5906499743424689</v>
      </c>
      <c r="AJ14" s="162" t="e">
        <f>#REF!*C14</f>
        <v>#REF!</v>
      </c>
      <c r="AK14" s="162" t="e">
        <f>#REF!*D14</f>
        <v>#REF!</v>
      </c>
      <c r="AL14" s="162" t="e">
        <f>#REF!*E14</f>
        <v>#REF!</v>
      </c>
      <c r="AM14" s="162" t="e">
        <f>#REF!*F14</f>
        <v>#REF!</v>
      </c>
      <c r="AN14" s="162" t="e">
        <f>#REF!*G14</f>
        <v>#REF!</v>
      </c>
      <c r="AO14" s="162" t="e">
        <f>#REF!*H14</f>
        <v>#REF!</v>
      </c>
      <c r="AP14" s="162" t="e">
        <f>#REF!*I14</f>
        <v>#REF!</v>
      </c>
    </row>
    <row r="15" spans="1:42" x14ac:dyDescent="0.2">
      <c r="A15" s="143">
        <f t="shared" si="6"/>
        <v>31.142857142857142</v>
      </c>
      <c r="B15" s="147">
        <f t="shared" ref="B15:B36" si="15">B14+TIME(0,$B$10,0)</f>
        <v>8.3333333333333329E-2</v>
      </c>
      <c r="C15">
        <v>35</v>
      </c>
      <c r="D15">
        <v>18</v>
      </c>
      <c r="E15">
        <v>27</v>
      </c>
      <c r="F15">
        <v>28</v>
      </c>
      <c r="G15">
        <v>24</v>
      </c>
      <c r="H15">
        <v>53</v>
      </c>
      <c r="I15">
        <v>33</v>
      </c>
      <c r="J15">
        <v>3</v>
      </c>
      <c r="K15" s="207">
        <f t="shared" si="7"/>
        <v>0.67700509244102203</v>
      </c>
      <c r="L15" s="207">
        <f t="shared" si="8"/>
        <v>0.27684082804487231</v>
      </c>
      <c r="M15" s="207">
        <f t="shared" si="9"/>
        <v>0.38214224730120411</v>
      </c>
      <c r="N15" s="207">
        <f t="shared" si="10"/>
        <v>0.45441902790187627</v>
      </c>
      <c r="O15" s="207">
        <f t="shared" si="11"/>
        <v>0.3787454273251934</v>
      </c>
      <c r="P15" s="207">
        <f t="shared" si="12"/>
        <v>0.67886862562230577</v>
      </c>
      <c r="Q15" s="207">
        <f t="shared" si="13"/>
        <v>0.25968688716601823</v>
      </c>
      <c r="R15">
        <v>3</v>
      </c>
      <c r="S15" s="146">
        <v>3</v>
      </c>
      <c r="T15" s="146">
        <v>3</v>
      </c>
      <c r="U15" s="146">
        <v>2</v>
      </c>
      <c r="V15" s="146">
        <v>4</v>
      </c>
      <c r="W15" s="146">
        <v>3</v>
      </c>
      <c r="X15" s="146">
        <v>3</v>
      </c>
      <c r="Y15" s="146">
        <v>3</v>
      </c>
      <c r="AB15" s="220">
        <f t="shared" si="14"/>
        <v>3.4312812909326054</v>
      </c>
      <c r="AC15" s="220">
        <f t="shared" si="5"/>
        <v>9.8365518958559779</v>
      </c>
      <c r="AD15" s="220">
        <f t="shared" si="5"/>
        <v>4.2336532119245174</v>
      </c>
      <c r="AE15" s="220">
        <f t="shared" si="5"/>
        <v>7.8024483007866667</v>
      </c>
      <c r="AF15" s="220">
        <f t="shared" si="5"/>
        <v>6.920887708630155</v>
      </c>
      <c r="AG15" s="220">
        <f t="shared" si="5"/>
        <v>3.4191171704981329</v>
      </c>
      <c r="AH15" s="220">
        <f t="shared" si="5"/>
        <v>10.552373832730705</v>
      </c>
      <c r="AJ15" s="162" t="e">
        <f>#REF!*C15</f>
        <v>#REF!</v>
      </c>
      <c r="AK15" s="162" t="e">
        <f>#REF!*D15</f>
        <v>#REF!</v>
      </c>
      <c r="AL15" s="162" t="e">
        <f>#REF!*E15</f>
        <v>#REF!</v>
      </c>
      <c r="AM15" s="162" t="e">
        <f>#REF!*F15</f>
        <v>#REF!</v>
      </c>
      <c r="AN15" s="162" t="e">
        <f>#REF!*G15</f>
        <v>#REF!</v>
      </c>
      <c r="AO15" s="162" t="e">
        <f>#REF!*H15</f>
        <v>#REF!</v>
      </c>
      <c r="AP15" s="162" t="e">
        <f>#REF!*I15</f>
        <v>#REF!</v>
      </c>
    </row>
    <row r="16" spans="1:42" x14ac:dyDescent="0.2">
      <c r="A16" s="143">
        <f t="shared" si="6"/>
        <v>23.857142857142858</v>
      </c>
      <c r="B16" s="147">
        <f t="shared" si="15"/>
        <v>0.125</v>
      </c>
      <c r="C16">
        <v>29</v>
      </c>
      <c r="D16">
        <v>22</v>
      </c>
      <c r="E16">
        <v>19</v>
      </c>
      <c r="F16">
        <v>22</v>
      </c>
      <c r="G16">
        <v>18</v>
      </c>
      <c r="H16">
        <v>32</v>
      </c>
      <c r="I16">
        <v>25</v>
      </c>
      <c r="J16">
        <v>4</v>
      </c>
      <c r="K16" s="207">
        <f t="shared" si="7"/>
        <v>0.56094707659398957</v>
      </c>
      <c r="L16" s="207">
        <f t="shared" si="8"/>
        <v>0.33836101205484392</v>
      </c>
      <c r="M16" s="207">
        <f t="shared" si="9"/>
        <v>0.268914914767514</v>
      </c>
      <c r="N16" s="207">
        <f t="shared" si="10"/>
        <v>0.35704352192290278</v>
      </c>
      <c r="O16" s="207">
        <f t="shared" si="11"/>
        <v>0.28405907049389501</v>
      </c>
      <c r="P16" s="207">
        <f t="shared" si="12"/>
        <v>0.40988294377195816</v>
      </c>
      <c r="Q16" s="207">
        <f t="shared" si="13"/>
        <v>0.19673249027728654</v>
      </c>
      <c r="R16">
        <v>4</v>
      </c>
      <c r="S16" s="146">
        <v>3</v>
      </c>
      <c r="T16" s="146">
        <v>3</v>
      </c>
      <c r="U16" s="146">
        <v>2</v>
      </c>
      <c r="V16" s="146">
        <v>4</v>
      </c>
      <c r="W16" s="146">
        <v>3</v>
      </c>
      <c r="X16" s="146">
        <v>2</v>
      </c>
      <c r="Y16" s="146">
        <v>3</v>
      </c>
      <c r="AB16" s="220">
        <f t="shared" si="14"/>
        <v>4.3480981097462488</v>
      </c>
      <c r="AC16" s="220">
        <f t="shared" si="5"/>
        <v>7.8662697329730733</v>
      </c>
      <c r="AD16" s="220">
        <f t="shared" si="5"/>
        <v>6.4372966695769449</v>
      </c>
      <c r="AE16" s="220">
        <f t="shared" si="5"/>
        <v>10.203116019183032</v>
      </c>
      <c r="AF16" s="220">
        <f t="shared" si="5"/>
        <v>9.5611836115068751</v>
      </c>
      <c r="AG16" s="220">
        <f t="shared" si="5"/>
        <v>3.8794418757583555</v>
      </c>
      <c r="AH16" s="220">
        <f t="shared" si="5"/>
        <v>14.249133459204529</v>
      </c>
      <c r="AJ16" s="162" t="e">
        <f>#REF!*C16</f>
        <v>#REF!</v>
      </c>
      <c r="AK16" s="162" t="e">
        <f>#REF!*D16</f>
        <v>#REF!</v>
      </c>
      <c r="AL16" s="162" t="e">
        <f>#REF!*E16</f>
        <v>#REF!</v>
      </c>
      <c r="AM16" s="162" t="e">
        <f>#REF!*F16</f>
        <v>#REF!</v>
      </c>
      <c r="AN16" s="162" t="e">
        <f>#REF!*G16</f>
        <v>#REF!</v>
      </c>
      <c r="AO16" s="162" t="e">
        <f>#REF!*H16</f>
        <v>#REF!</v>
      </c>
      <c r="AP16" s="162" t="e">
        <f>#REF!*I16</f>
        <v>#REF!</v>
      </c>
    </row>
    <row r="17" spans="1:42" x14ac:dyDescent="0.2">
      <c r="A17" s="143">
        <f t="shared" si="6"/>
        <v>30.571428571428573</v>
      </c>
      <c r="B17" s="147">
        <f t="shared" si="15"/>
        <v>0.16666666666666666</v>
      </c>
      <c r="C17">
        <v>34</v>
      </c>
      <c r="D17">
        <v>21</v>
      </c>
      <c r="E17">
        <v>25</v>
      </c>
      <c r="F17">
        <v>23</v>
      </c>
      <c r="G17">
        <v>23</v>
      </c>
      <c r="H17">
        <v>60</v>
      </c>
      <c r="I17">
        <v>28</v>
      </c>
      <c r="J17">
        <v>5</v>
      </c>
      <c r="K17" s="207">
        <f t="shared" si="7"/>
        <v>0.65766208979985008</v>
      </c>
      <c r="L17" s="207">
        <f t="shared" si="8"/>
        <v>0.32298096605235105</v>
      </c>
      <c r="M17" s="207">
        <f t="shared" si="9"/>
        <v>0.35383541416778158</v>
      </c>
      <c r="N17" s="207">
        <f t="shared" si="10"/>
        <v>0.37327277291939837</v>
      </c>
      <c r="O17" s="207">
        <f t="shared" si="11"/>
        <v>0.36296436785331032</v>
      </c>
      <c r="P17" s="207">
        <f t="shared" si="12"/>
        <v>0.76853051957242158</v>
      </c>
      <c r="Q17" s="207">
        <f t="shared" si="13"/>
        <v>0.22034038911056095</v>
      </c>
      <c r="R17">
        <v>5</v>
      </c>
      <c r="S17" s="146">
        <v>5</v>
      </c>
      <c r="T17" s="146">
        <v>3</v>
      </c>
      <c r="U17" s="146">
        <v>2</v>
      </c>
      <c r="V17" s="146">
        <v>2</v>
      </c>
      <c r="W17" s="146">
        <v>3</v>
      </c>
      <c r="X17" s="146">
        <v>3</v>
      </c>
      <c r="Y17" s="146">
        <v>4</v>
      </c>
      <c r="AB17" s="220">
        <f t="shared" si="14"/>
        <v>6.6026884893451552</v>
      </c>
      <c r="AC17" s="220">
        <f t="shared" si="5"/>
        <v>8.2884730535908382</v>
      </c>
      <c r="AD17" s="220">
        <f t="shared" si="5"/>
        <v>4.6523454688784787</v>
      </c>
      <c r="AE17" s="220">
        <f t="shared" si="5"/>
        <v>4.3580120091744936</v>
      </c>
      <c r="AF17" s="220">
        <f t="shared" si="5"/>
        <v>7.2652741307445101</v>
      </c>
      <c r="AG17" s="220">
        <f t="shared" si="5"/>
        <v>2.9035535006066842</v>
      </c>
      <c r="AH17" s="220">
        <f t="shared" si="5"/>
        <v>17.153730308576819</v>
      </c>
      <c r="AJ17" s="162" t="e">
        <f>#REF!*C17</f>
        <v>#REF!</v>
      </c>
      <c r="AK17" s="162" t="e">
        <f>#REF!*D17</f>
        <v>#REF!</v>
      </c>
      <c r="AL17" s="162" t="e">
        <f>#REF!*E17</f>
        <v>#REF!</v>
      </c>
      <c r="AM17" s="162" t="e">
        <f>#REF!*F17</f>
        <v>#REF!</v>
      </c>
      <c r="AN17" s="162" t="e">
        <f>#REF!*G17</f>
        <v>#REF!</v>
      </c>
      <c r="AO17" s="162" t="e">
        <f>#REF!*H17</f>
        <v>#REF!</v>
      </c>
      <c r="AP17" s="162" t="e">
        <f>#REF!*I17</f>
        <v>#REF!</v>
      </c>
    </row>
    <row r="18" spans="1:42" x14ac:dyDescent="0.2">
      <c r="A18" s="143">
        <f t="shared" si="6"/>
        <v>49.714285714285715</v>
      </c>
      <c r="B18" s="147">
        <f t="shared" si="15"/>
        <v>0.20833333333333331</v>
      </c>
      <c r="C18">
        <v>47</v>
      </c>
      <c r="D18">
        <v>55</v>
      </c>
      <c r="E18">
        <v>59</v>
      </c>
      <c r="F18">
        <v>47</v>
      </c>
      <c r="G18">
        <v>41</v>
      </c>
      <c r="H18">
        <v>44</v>
      </c>
      <c r="I18">
        <v>55</v>
      </c>
      <c r="J18">
        <v>6</v>
      </c>
      <c r="K18" s="207">
        <f t="shared" si="7"/>
        <v>0.90912112413508672</v>
      </c>
      <c r="L18" s="207">
        <f t="shared" si="8"/>
        <v>0.8459025301371097</v>
      </c>
      <c r="M18" s="207">
        <f t="shared" si="9"/>
        <v>0.83505157743596448</v>
      </c>
      <c r="N18" s="207">
        <f t="shared" si="10"/>
        <v>0.76277479683529226</v>
      </c>
      <c r="O18" s="207">
        <f t="shared" si="11"/>
        <v>0.64702343834720533</v>
      </c>
      <c r="P18" s="207">
        <f t="shared" si="12"/>
        <v>0.56358904768644247</v>
      </c>
      <c r="Q18" s="207">
        <f t="shared" si="13"/>
        <v>0.43281147861003044</v>
      </c>
      <c r="R18">
        <v>6</v>
      </c>
      <c r="S18" s="146">
        <v>5</v>
      </c>
      <c r="T18" s="146">
        <v>3</v>
      </c>
      <c r="U18" s="146">
        <v>2</v>
      </c>
      <c r="V18" s="146">
        <v>2</v>
      </c>
      <c r="W18" s="146">
        <v>3</v>
      </c>
      <c r="X18" s="146">
        <v>4</v>
      </c>
      <c r="Y18" s="146">
        <v>4</v>
      </c>
      <c r="AB18" s="220">
        <f t="shared" si="14"/>
        <v>4.4998172050581982</v>
      </c>
      <c r="AC18" s="220">
        <f t="shared" si="5"/>
        <v>2.5465078931892298</v>
      </c>
      <c r="AD18" s="220">
        <f t="shared" si="5"/>
        <v>1.3950616393552875</v>
      </c>
      <c r="AE18" s="220">
        <f t="shared" si="5"/>
        <v>1.6220058768300714</v>
      </c>
      <c r="AF18" s="220">
        <f t="shared" si="5"/>
        <v>3.6366171952957007</v>
      </c>
      <c r="AG18" s="220">
        <f t="shared" si="5"/>
        <v>6.0973700011030623</v>
      </c>
      <c r="AH18" s="220">
        <f t="shared" si="5"/>
        <v>8.2418990661845619</v>
      </c>
      <c r="AJ18" s="162" t="e">
        <f>#REF!*C18</f>
        <v>#REF!</v>
      </c>
      <c r="AK18" s="162" t="e">
        <f>#REF!*D18</f>
        <v>#REF!</v>
      </c>
      <c r="AL18" s="162" t="e">
        <f>#REF!*E18</f>
        <v>#REF!</v>
      </c>
      <c r="AM18" s="162" t="e">
        <f>#REF!*F18</f>
        <v>#REF!</v>
      </c>
      <c r="AN18" s="162" t="e">
        <f>#REF!*G18</f>
        <v>#REF!</v>
      </c>
      <c r="AO18" s="162" t="e">
        <f>#REF!*H18</f>
        <v>#REF!</v>
      </c>
      <c r="AP18" s="162" t="e">
        <f>#REF!*I18</f>
        <v>#REF!</v>
      </c>
    </row>
    <row r="19" spans="1:42" x14ac:dyDescent="0.2">
      <c r="A19" s="143">
        <f t="shared" si="6"/>
        <v>108.85714285714286</v>
      </c>
      <c r="B19" s="147">
        <f t="shared" si="15"/>
        <v>0.24999999999999997</v>
      </c>
      <c r="C19">
        <v>125</v>
      </c>
      <c r="D19">
        <v>99</v>
      </c>
      <c r="E19">
        <v>112</v>
      </c>
      <c r="F19">
        <v>106</v>
      </c>
      <c r="G19">
        <v>88</v>
      </c>
      <c r="H19">
        <v>132</v>
      </c>
      <c r="I19">
        <v>100</v>
      </c>
      <c r="J19">
        <v>7</v>
      </c>
      <c r="K19" s="207">
        <f t="shared" si="7"/>
        <v>2.417875330146507</v>
      </c>
      <c r="L19" s="207">
        <f t="shared" si="8"/>
        <v>1.5226245542467978</v>
      </c>
      <c r="M19" s="207">
        <f t="shared" si="9"/>
        <v>1.5851826554716615</v>
      </c>
      <c r="N19" s="207">
        <f t="shared" si="10"/>
        <v>1.7203006056285315</v>
      </c>
      <c r="O19" s="207">
        <f t="shared" si="11"/>
        <v>1.3887332335257092</v>
      </c>
      <c r="P19" s="207">
        <f t="shared" si="12"/>
        <v>1.6907671430593276</v>
      </c>
      <c r="Q19" s="207">
        <f t="shared" si="13"/>
        <v>0.78692996110914615</v>
      </c>
      <c r="R19">
        <v>7</v>
      </c>
      <c r="S19" s="146">
        <v>5</v>
      </c>
      <c r="T19" s="146">
        <v>4</v>
      </c>
      <c r="U19" s="146">
        <v>2</v>
      </c>
      <c r="V19" s="146">
        <v>4</v>
      </c>
      <c r="W19" s="146">
        <v>3</v>
      </c>
      <c r="X19" s="146">
        <v>4</v>
      </c>
      <c r="Y19" s="146">
        <v>4</v>
      </c>
      <c r="AB19" s="220">
        <f t="shared" si="14"/>
        <v>1.0679312691018827</v>
      </c>
      <c r="AC19" s="220">
        <f t="shared" si="5"/>
        <v>1.6270428838438735</v>
      </c>
      <c r="AD19" s="220">
        <f t="shared" si="5"/>
        <v>0.26168425644608884</v>
      </c>
      <c r="AE19" s="220">
        <f t="shared" si="5"/>
        <v>1.3251750228493084</v>
      </c>
      <c r="AF19" s="220">
        <f t="shared" si="5"/>
        <v>1.1602421023536786</v>
      </c>
      <c r="AG19" s="220">
        <f t="shared" si="5"/>
        <v>1.3657900003676873</v>
      </c>
      <c r="AH19" s="220">
        <f t="shared" si="5"/>
        <v>4.0830444864015103</v>
      </c>
      <c r="AJ19" s="162" t="e">
        <f>#REF!*C19</f>
        <v>#REF!</v>
      </c>
      <c r="AK19" s="162" t="e">
        <f>#REF!*D19</f>
        <v>#REF!</v>
      </c>
      <c r="AL19" s="162" t="e">
        <f>#REF!*E19</f>
        <v>#REF!</v>
      </c>
      <c r="AM19" s="162" t="e">
        <f>#REF!*F19</f>
        <v>#REF!</v>
      </c>
      <c r="AN19" s="162" t="e">
        <f>#REF!*G19</f>
        <v>#REF!</v>
      </c>
      <c r="AO19" s="162" t="e">
        <f>#REF!*H19</f>
        <v>#REF!</v>
      </c>
      <c r="AP19" s="162" t="e">
        <f>#REF!*I19</f>
        <v>#REF!</v>
      </c>
    </row>
    <row r="20" spans="1:42" x14ac:dyDescent="0.2">
      <c r="A20" s="143">
        <f t="shared" si="6"/>
        <v>185</v>
      </c>
      <c r="B20" s="147">
        <f t="shared" si="15"/>
        <v>0.29166666666666663</v>
      </c>
      <c r="C20">
        <v>221</v>
      </c>
      <c r="D20">
        <v>175</v>
      </c>
      <c r="E20">
        <v>183</v>
      </c>
      <c r="F20">
        <v>193</v>
      </c>
      <c r="G20">
        <v>159</v>
      </c>
      <c r="H20">
        <v>188</v>
      </c>
      <c r="I20">
        <v>176</v>
      </c>
      <c r="J20">
        <v>8</v>
      </c>
      <c r="K20" s="207">
        <f t="shared" si="7"/>
        <v>4.2748035836990255</v>
      </c>
      <c r="L20" s="207">
        <f t="shared" si="8"/>
        <v>2.6915080504362585</v>
      </c>
      <c r="M20" s="207">
        <f t="shared" si="9"/>
        <v>2.5900752317081612</v>
      </c>
      <c r="N20" s="207">
        <f t="shared" si="10"/>
        <v>3.1322454423236468</v>
      </c>
      <c r="O20" s="207">
        <f t="shared" si="11"/>
        <v>2.5091884560294062</v>
      </c>
      <c r="P20" s="207">
        <f t="shared" si="12"/>
        <v>2.4080622946602541</v>
      </c>
      <c r="Q20" s="207">
        <f t="shared" si="13"/>
        <v>1.3849967315520975</v>
      </c>
      <c r="R20">
        <v>8</v>
      </c>
      <c r="S20" s="146">
        <v>11</v>
      </c>
      <c r="T20" s="146">
        <v>10</v>
      </c>
      <c r="U20" s="146">
        <v>9</v>
      </c>
      <c r="V20" s="146">
        <v>11</v>
      </c>
      <c r="W20" s="146">
        <v>9</v>
      </c>
      <c r="X20" s="146">
        <v>8</v>
      </c>
      <c r="Y20" s="146">
        <v>11</v>
      </c>
      <c r="AB20" s="220">
        <f t="shared" si="14"/>
        <v>1.5732176425475912</v>
      </c>
      <c r="AC20" s="220">
        <f t="shared" si="5"/>
        <v>2.7153892214363355</v>
      </c>
      <c r="AD20" s="220">
        <f t="shared" si="5"/>
        <v>2.4748025423433266</v>
      </c>
      <c r="AE20" s="220">
        <f t="shared" si="5"/>
        <v>2.5118576122309508</v>
      </c>
      <c r="AF20" s="220">
        <f t="shared" si="5"/>
        <v>2.586817075606108</v>
      </c>
      <c r="AG20" s="220">
        <f t="shared" si="5"/>
        <v>2.3221731920056889</v>
      </c>
      <c r="AH20" s="220">
        <f t="shared" si="5"/>
        <v>6.9422570100023577</v>
      </c>
      <c r="AJ20" s="162" t="e">
        <f>#REF!*C20</f>
        <v>#REF!</v>
      </c>
      <c r="AK20" s="162" t="e">
        <f>#REF!*D20</f>
        <v>#REF!</v>
      </c>
      <c r="AL20" s="162" t="e">
        <f>#REF!*E20</f>
        <v>#REF!</v>
      </c>
      <c r="AM20" s="162" t="e">
        <f>#REF!*F20</f>
        <v>#REF!</v>
      </c>
      <c r="AN20" s="162" t="e">
        <f>#REF!*G20</f>
        <v>#REF!</v>
      </c>
      <c r="AO20" s="162" t="e">
        <f>#REF!*H20</f>
        <v>#REF!</v>
      </c>
      <c r="AP20" s="162" t="e">
        <f>#REF!*I20</f>
        <v>#REF!</v>
      </c>
    </row>
    <row r="21" spans="1:42" x14ac:dyDescent="0.2">
      <c r="A21" s="143">
        <f t="shared" si="6"/>
        <v>268.14285714285717</v>
      </c>
      <c r="B21" s="147">
        <f t="shared" si="15"/>
        <v>0.33333333333333331</v>
      </c>
      <c r="C21">
        <v>337</v>
      </c>
      <c r="D21">
        <v>259</v>
      </c>
      <c r="E21">
        <v>288</v>
      </c>
      <c r="F21">
        <v>270</v>
      </c>
      <c r="G21">
        <v>226</v>
      </c>
      <c r="H21">
        <v>248</v>
      </c>
      <c r="I21">
        <v>249</v>
      </c>
      <c r="J21">
        <v>9</v>
      </c>
      <c r="K21" s="207">
        <f t="shared" si="7"/>
        <v>6.5185918900749833</v>
      </c>
      <c r="L21" s="207">
        <f t="shared" si="8"/>
        <v>3.9834319146456623</v>
      </c>
      <c r="M21" s="207">
        <f t="shared" si="9"/>
        <v>4.0761839712128438</v>
      </c>
      <c r="N21" s="207">
        <f t="shared" si="10"/>
        <v>4.3818977690538068</v>
      </c>
      <c r="O21" s="207">
        <f t="shared" si="11"/>
        <v>3.5665194406455711</v>
      </c>
      <c r="P21" s="207">
        <f t="shared" si="12"/>
        <v>3.1765928142326758</v>
      </c>
      <c r="Q21" s="207">
        <f t="shared" si="13"/>
        <v>1.9594556031617743</v>
      </c>
      <c r="R21">
        <v>9</v>
      </c>
      <c r="S21" s="146">
        <v>11</v>
      </c>
      <c r="T21" s="146">
        <v>10</v>
      </c>
      <c r="U21" s="146">
        <v>9</v>
      </c>
      <c r="V21" s="146">
        <v>11</v>
      </c>
      <c r="W21" s="146">
        <v>10</v>
      </c>
      <c r="X21" s="146">
        <v>8</v>
      </c>
      <c r="Y21" s="146">
        <v>11</v>
      </c>
      <c r="AB21" s="220">
        <f t="shared" si="14"/>
        <v>0.68748100594367267</v>
      </c>
      <c r="AC21" s="220">
        <f t="shared" si="5"/>
        <v>1.510398122592119</v>
      </c>
      <c r="AD21" s="220">
        <f t="shared" si="5"/>
        <v>1.2079474487806556</v>
      </c>
      <c r="AE21" s="220">
        <f t="shared" si="5"/>
        <v>1.5103278487428646</v>
      </c>
      <c r="AF21" s="220">
        <f t="shared" si="5"/>
        <v>1.8038540561522671</v>
      </c>
      <c r="AG21" s="220">
        <f t="shared" si="5"/>
        <v>1.5184216132946351</v>
      </c>
      <c r="AH21" s="220">
        <f t="shared" si="5"/>
        <v>4.6138041516482531</v>
      </c>
      <c r="AJ21" s="162" t="e">
        <f>#REF!*C21</f>
        <v>#REF!</v>
      </c>
      <c r="AK21" s="162" t="e">
        <f>#REF!*D21</f>
        <v>#REF!</v>
      </c>
      <c r="AL21" s="162" t="e">
        <f>#REF!*E21</f>
        <v>#REF!</v>
      </c>
      <c r="AM21" s="162" t="e">
        <f>#REF!*F21</f>
        <v>#REF!</v>
      </c>
      <c r="AN21" s="162" t="e">
        <f>#REF!*G21</f>
        <v>#REF!</v>
      </c>
      <c r="AO21" s="162" t="e">
        <f>#REF!*H21</f>
        <v>#REF!</v>
      </c>
      <c r="AP21" s="162" t="e">
        <f>#REF!*I21</f>
        <v>#REF!</v>
      </c>
    </row>
    <row r="22" spans="1:42" x14ac:dyDescent="0.2">
      <c r="A22" s="143">
        <f t="shared" si="6"/>
        <v>330.42857142857144</v>
      </c>
      <c r="B22" s="147">
        <f t="shared" si="15"/>
        <v>0.375</v>
      </c>
      <c r="C22">
        <v>396</v>
      </c>
      <c r="D22">
        <v>353</v>
      </c>
      <c r="E22">
        <v>353</v>
      </c>
      <c r="F22">
        <v>344</v>
      </c>
      <c r="G22">
        <v>261</v>
      </c>
      <c r="H22">
        <v>327</v>
      </c>
      <c r="I22">
        <v>279</v>
      </c>
      <c r="J22">
        <v>10</v>
      </c>
      <c r="K22" s="207">
        <f t="shared" si="7"/>
        <v>7.6598290459041358</v>
      </c>
      <c r="L22" s="207">
        <f t="shared" si="8"/>
        <v>5.4291562388799957</v>
      </c>
      <c r="M22" s="207">
        <f t="shared" si="9"/>
        <v>4.9961560480490759</v>
      </c>
      <c r="N22" s="207">
        <f t="shared" si="10"/>
        <v>5.5828623427944803</v>
      </c>
      <c r="O22" s="207">
        <f t="shared" si="11"/>
        <v>4.1188565221614777</v>
      </c>
      <c r="P22" s="207">
        <f t="shared" si="12"/>
        <v>4.188491331669697</v>
      </c>
      <c r="Q22" s="207">
        <f t="shared" si="13"/>
        <v>2.1955345914945181</v>
      </c>
      <c r="R22">
        <v>10</v>
      </c>
      <c r="S22" s="146">
        <v>11</v>
      </c>
      <c r="T22" s="146">
        <v>10</v>
      </c>
      <c r="U22" s="146">
        <v>11</v>
      </c>
      <c r="V22" s="146">
        <v>10</v>
      </c>
      <c r="W22" s="146">
        <v>9</v>
      </c>
      <c r="X22" s="146">
        <v>9</v>
      </c>
      <c r="Y22" s="146">
        <v>12</v>
      </c>
      <c r="AB22" s="220">
        <f t="shared" si="14"/>
        <v>0.43606338132075151</v>
      </c>
      <c r="AC22" s="220">
        <f t="shared" si="5"/>
        <v>0.84190683782254605</v>
      </c>
      <c r="AD22" s="220">
        <f t="shared" si="5"/>
        <v>1.2016926401438832</v>
      </c>
      <c r="AE22" s="220">
        <f t="shared" si="5"/>
        <v>0.79119587516007761</v>
      </c>
      <c r="AF22" s="220">
        <f t="shared" si="5"/>
        <v>1.1850724713462499</v>
      </c>
      <c r="AG22" s="220">
        <f t="shared" si="5"/>
        <v>1.1487450462055144</v>
      </c>
      <c r="AH22" s="220">
        <f t="shared" si="5"/>
        <v>4.4656392326897949</v>
      </c>
      <c r="AJ22" s="162" t="e">
        <f>#REF!*C22</f>
        <v>#REF!</v>
      </c>
      <c r="AK22" s="162" t="e">
        <f>#REF!*D22</f>
        <v>#REF!</v>
      </c>
      <c r="AL22" s="162" t="e">
        <f>#REF!*E22</f>
        <v>#REF!</v>
      </c>
      <c r="AM22" s="162" t="e">
        <f>#REF!*F22</f>
        <v>#REF!</v>
      </c>
      <c r="AN22" s="162" t="e">
        <f>#REF!*G22</f>
        <v>#REF!</v>
      </c>
      <c r="AO22" s="162" t="e">
        <f>#REF!*H22</f>
        <v>#REF!</v>
      </c>
      <c r="AP22" s="162" t="e">
        <f>#REF!*I22</f>
        <v>#REF!</v>
      </c>
    </row>
    <row r="23" spans="1:42" x14ac:dyDescent="0.2">
      <c r="A23" s="143">
        <f t="shared" si="6"/>
        <v>382</v>
      </c>
      <c r="B23" s="147">
        <f t="shared" si="15"/>
        <v>0.41666666666666669</v>
      </c>
      <c r="C23">
        <v>517</v>
      </c>
      <c r="D23">
        <v>367</v>
      </c>
      <c r="E23">
        <v>393</v>
      </c>
      <c r="F23">
        <v>373</v>
      </c>
      <c r="G23">
        <v>339</v>
      </c>
      <c r="H23">
        <v>364</v>
      </c>
      <c r="I23">
        <v>321</v>
      </c>
      <c r="J23">
        <v>11</v>
      </c>
      <c r="K23" s="207">
        <f t="shared" si="7"/>
        <v>10.000332365485955</v>
      </c>
      <c r="L23" s="207">
        <f t="shared" si="8"/>
        <v>5.6444768829148968</v>
      </c>
      <c r="M23" s="207">
        <f t="shared" si="9"/>
        <v>5.562292710717526</v>
      </c>
      <c r="N23" s="207">
        <f t="shared" si="10"/>
        <v>6.0535106216928511</v>
      </c>
      <c r="O23" s="207">
        <f t="shared" si="11"/>
        <v>5.3497791609683567</v>
      </c>
      <c r="P23" s="207">
        <f t="shared" si="12"/>
        <v>4.6624184854060244</v>
      </c>
      <c r="Q23" s="207">
        <f t="shared" si="13"/>
        <v>2.5260451751603599</v>
      </c>
      <c r="R23">
        <v>11</v>
      </c>
      <c r="S23" s="146">
        <v>12</v>
      </c>
      <c r="T23" s="146">
        <v>13</v>
      </c>
      <c r="U23" s="146">
        <v>12</v>
      </c>
      <c r="V23" s="146">
        <v>9</v>
      </c>
      <c r="W23" s="146">
        <v>9</v>
      </c>
      <c r="X23" s="146">
        <v>11</v>
      </c>
      <c r="Y23" s="146">
        <v>15</v>
      </c>
      <c r="AB23" s="220">
        <f t="shared" si="14"/>
        <v>0.19996011746724318</v>
      </c>
      <c r="AC23" s="220">
        <f t="shared" si="5"/>
        <v>1.3031363702364205</v>
      </c>
      <c r="AD23" s="220">
        <f t="shared" si="5"/>
        <v>1.1573837667475111</v>
      </c>
      <c r="AE23" s="220">
        <f t="shared" si="5"/>
        <v>0.48674059772000033</v>
      </c>
      <c r="AF23" s="220">
        <f t="shared" si="5"/>
        <v>0.68231243369136041</v>
      </c>
      <c r="AG23" s="220">
        <f t="shared" si="5"/>
        <v>1.3592905772897539</v>
      </c>
      <c r="AH23" s="220">
        <f t="shared" si="5"/>
        <v>4.9381360822447533</v>
      </c>
      <c r="AJ23" s="162" t="e">
        <f>#REF!*C23</f>
        <v>#REF!</v>
      </c>
      <c r="AK23" s="162" t="e">
        <f>#REF!*D23</f>
        <v>#REF!</v>
      </c>
      <c r="AL23" s="162" t="e">
        <f>#REF!*E23</f>
        <v>#REF!</v>
      </c>
      <c r="AM23" s="162" t="e">
        <f>#REF!*F23</f>
        <v>#REF!</v>
      </c>
      <c r="AN23" s="162" t="e">
        <f>#REF!*G23</f>
        <v>#REF!</v>
      </c>
      <c r="AO23" s="162" t="e">
        <f>#REF!*H23</f>
        <v>#REF!</v>
      </c>
      <c r="AP23" s="162" t="e">
        <f>#REF!*I23</f>
        <v>#REF!</v>
      </c>
    </row>
    <row r="24" spans="1:42" x14ac:dyDescent="0.2">
      <c r="A24" s="143">
        <f t="shared" si="6"/>
        <v>412.42857142857144</v>
      </c>
      <c r="B24" s="147">
        <f t="shared" si="15"/>
        <v>0.45833333333333337</v>
      </c>
      <c r="C24">
        <v>517</v>
      </c>
      <c r="D24">
        <v>437</v>
      </c>
      <c r="E24">
        <v>463</v>
      </c>
      <c r="F24">
        <v>412</v>
      </c>
      <c r="G24">
        <v>389</v>
      </c>
      <c r="H24">
        <v>338</v>
      </c>
      <c r="I24">
        <v>331</v>
      </c>
      <c r="J24">
        <v>12</v>
      </c>
      <c r="K24" s="207">
        <f t="shared" si="7"/>
        <v>10.000332365485955</v>
      </c>
      <c r="L24" s="207">
        <f t="shared" si="8"/>
        <v>6.7210801030893998</v>
      </c>
      <c r="M24" s="207">
        <f t="shared" si="9"/>
        <v>6.5530318703873149</v>
      </c>
      <c r="N24" s="207">
        <f t="shared" si="10"/>
        <v>6.6864514105561801</v>
      </c>
      <c r="O24" s="207">
        <f t="shared" si="11"/>
        <v>6.1388321345625094</v>
      </c>
      <c r="P24" s="207">
        <f t="shared" si="12"/>
        <v>4.3293885935913083</v>
      </c>
      <c r="Q24" s="207">
        <f t="shared" si="13"/>
        <v>2.6047381712712743</v>
      </c>
      <c r="R24">
        <v>12</v>
      </c>
      <c r="S24" s="146">
        <v>16</v>
      </c>
      <c r="T24" s="146">
        <v>15</v>
      </c>
      <c r="U24" s="146">
        <v>16</v>
      </c>
      <c r="V24" s="146">
        <v>14</v>
      </c>
      <c r="W24" s="146">
        <v>13</v>
      </c>
      <c r="X24" s="146">
        <v>12</v>
      </c>
      <c r="Y24" s="146">
        <v>16</v>
      </c>
      <c r="AB24" s="220">
        <f t="shared" si="14"/>
        <v>0.59994682328965765</v>
      </c>
      <c r="AC24" s="220">
        <f t="shared" si="5"/>
        <v>1.2317841433112999</v>
      </c>
      <c r="AD24" s="220">
        <f t="shared" si="5"/>
        <v>1.4416179131224527</v>
      </c>
      <c r="AE24" s="220">
        <f t="shared" si="5"/>
        <v>1.0937862463036248</v>
      </c>
      <c r="AF24" s="220">
        <f t="shared" si="5"/>
        <v>1.1176666367545915</v>
      </c>
      <c r="AG24" s="220">
        <f t="shared" si="5"/>
        <v>1.7717539649278229</v>
      </c>
      <c r="AH24" s="220">
        <f t="shared" si="5"/>
        <v>5.1426519473130021</v>
      </c>
      <c r="AJ24" s="162" t="e">
        <f>#REF!*C24</f>
        <v>#REF!</v>
      </c>
      <c r="AK24" s="162" t="e">
        <f>#REF!*D24</f>
        <v>#REF!</v>
      </c>
      <c r="AL24" s="162" t="e">
        <f>#REF!*E24</f>
        <v>#REF!</v>
      </c>
      <c r="AM24" s="162" t="e">
        <f>#REF!*F24</f>
        <v>#REF!</v>
      </c>
      <c r="AN24" s="162" t="e">
        <f>#REF!*G24</f>
        <v>#REF!</v>
      </c>
      <c r="AO24" s="162" t="e">
        <f>#REF!*H24</f>
        <v>#REF!</v>
      </c>
      <c r="AP24" s="162" t="e">
        <f>#REF!*I24</f>
        <v>#REF!</v>
      </c>
    </row>
    <row r="25" spans="1:42" x14ac:dyDescent="0.2">
      <c r="A25" s="143">
        <f t="shared" si="6"/>
        <v>407.14285714285717</v>
      </c>
      <c r="B25" s="147">
        <f t="shared" si="15"/>
        <v>0.5</v>
      </c>
      <c r="C25">
        <v>429</v>
      </c>
      <c r="D25">
        <v>457</v>
      </c>
      <c r="E25">
        <v>485</v>
      </c>
      <c r="F25">
        <v>436</v>
      </c>
      <c r="G25">
        <v>376</v>
      </c>
      <c r="H25">
        <v>345</v>
      </c>
      <c r="I25">
        <v>322</v>
      </c>
      <c r="J25">
        <v>13</v>
      </c>
      <c r="K25" s="207">
        <f t="shared" si="7"/>
        <v>8.2981481330628135</v>
      </c>
      <c r="L25" s="207">
        <f t="shared" si="8"/>
        <v>7.0286810231392591</v>
      </c>
      <c r="M25" s="207">
        <f t="shared" si="9"/>
        <v>6.8644070348549624</v>
      </c>
      <c r="N25" s="207">
        <f t="shared" si="10"/>
        <v>7.0759534344720736</v>
      </c>
      <c r="O25" s="207">
        <f t="shared" si="11"/>
        <v>5.9336783614280293</v>
      </c>
      <c r="P25" s="207">
        <f t="shared" si="12"/>
        <v>4.4190504875414245</v>
      </c>
      <c r="Q25" s="207">
        <f t="shared" si="13"/>
        <v>2.5339144747714513</v>
      </c>
      <c r="R25">
        <v>13</v>
      </c>
      <c r="S25" s="146">
        <v>18</v>
      </c>
      <c r="T25" s="146">
        <v>15</v>
      </c>
      <c r="U25" s="146">
        <v>15</v>
      </c>
      <c r="V25" s="146">
        <v>13</v>
      </c>
      <c r="W25" s="146">
        <v>12</v>
      </c>
      <c r="X25" s="146">
        <v>14</v>
      </c>
      <c r="Y25" s="146">
        <v>16</v>
      </c>
      <c r="AB25" s="220">
        <f t="shared" si="14"/>
        <v>1.1691586738830932</v>
      </c>
      <c r="AC25" s="220">
        <f t="shared" si="5"/>
        <v>1.1341130648294047</v>
      </c>
      <c r="AD25" s="220">
        <f t="shared" si="5"/>
        <v>1.1851851039478656</v>
      </c>
      <c r="AE25" s="220">
        <f t="shared" si="5"/>
        <v>0.83720824626510715</v>
      </c>
      <c r="AF25" s="220">
        <f t="shared" si="5"/>
        <v>1.0223543085864226</v>
      </c>
      <c r="AG25" s="220">
        <f t="shared" si="5"/>
        <v>2.1681013917967289</v>
      </c>
      <c r="AH25" s="220">
        <f t="shared" si="5"/>
        <v>5.3143409768962844</v>
      </c>
      <c r="AJ25" s="162" t="e">
        <f>#REF!*C25</f>
        <v>#REF!</v>
      </c>
      <c r="AK25" s="162" t="e">
        <f>#REF!*D25</f>
        <v>#REF!</v>
      </c>
      <c r="AL25" s="162" t="e">
        <f>#REF!*E25</f>
        <v>#REF!</v>
      </c>
      <c r="AM25" s="162" t="e">
        <f>#REF!*F25</f>
        <v>#REF!</v>
      </c>
      <c r="AN25" s="162" t="e">
        <f>#REF!*G25</f>
        <v>#REF!</v>
      </c>
      <c r="AO25" s="162" t="e">
        <f>#REF!*H25</f>
        <v>#REF!</v>
      </c>
      <c r="AP25" s="162" t="e">
        <f>#REF!*I25</f>
        <v>#REF!</v>
      </c>
    </row>
    <row r="26" spans="1:42" x14ac:dyDescent="0.2">
      <c r="A26" s="143">
        <f t="shared" si="6"/>
        <v>367</v>
      </c>
      <c r="B26" s="147">
        <f t="shared" si="15"/>
        <v>0.54166666666666663</v>
      </c>
      <c r="C26">
        <v>394</v>
      </c>
      <c r="D26">
        <v>374</v>
      </c>
      <c r="E26">
        <v>430</v>
      </c>
      <c r="F26">
        <v>412</v>
      </c>
      <c r="G26">
        <v>352</v>
      </c>
      <c r="H26">
        <v>297</v>
      </c>
      <c r="I26">
        <v>310</v>
      </c>
      <c r="J26">
        <v>14</v>
      </c>
      <c r="K26" s="207">
        <f t="shared" si="7"/>
        <v>7.6211430406217913</v>
      </c>
      <c r="L26" s="207">
        <f t="shared" si="8"/>
        <v>5.7521372049323469</v>
      </c>
      <c r="M26" s="207">
        <f t="shared" si="9"/>
        <v>6.0859691236858433</v>
      </c>
      <c r="N26" s="207">
        <f t="shared" si="10"/>
        <v>6.6864514105561801</v>
      </c>
      <c r="O26" s="207">
        <f t="shared" si="11"/>
        <v>5.5549329341028368</v>
      </c>
      <c r="P26" s="207">
        <f t="shared" si="12"/>
        <v>3.804226071883487</v>
      </c>
      <c r="Q26" s="207">
        <f t="shared" si="13"/>
        <v>2.4394828794383536</v>
      </c>
      <c r="R26">
        <v>14</v>
      </c>
      <c r="S26" s="146">
        <v>13</v>
      </c>
      <c r="T26" s="146">
        <v>13</v>
      </c>
      <c r="U26" s="146">
        <v>13</v>
      </c>
      <c r="V26" s="146">
        <v>14</v>
      </c>
      <c r="W26" s="146">
        <v>12</v>
      </c>
      <c r="X26" s="146">
        <v>12</v>
      </c>
      <c r="Y26" s="146">
        <v>9</v>
      </c>
      <c r="AB26" s="220">
        <f t="shared" si="14"/>
        <v>0.70578086918302496</v>
      </c>
      <c r="AC26" s="220">
        <f t="shared" si="5"/>
        <v>1.2600295397774501</v>
      </c>
      <c r="AD26" s="220">
        <f t="shared" si="5"/>
        <v>1.1360607876575646</v>
      </c>
      <c r="AE26" s="220">
        <f t="shared" si="5"/>
        <v>1.0937862463036248</v>
      </c>
      <c r="AF26" s="220">
        <f t="shared" si="5"/>
        <v>1.1602421023536786</v>
      </c>
      <c r="AG26" s="220">
        <f t="shared" si="5"/>
        <v>2.1543866671569161</v>
      </c>
      <c r="AH26" s="220">
        <f t="shared" si="5"/>
        <v>2.6893064820656112</v>
      </c>
      <c r="AJ26" s="162" t="e">
        <f>#REF!*C26</f>
        <v>#REF!</v>
      </c>
      <c r="AK26" s="162" t="e">
        <f>#REF!*D26</f>
        <v>#REF!</v>
      </c>
      <c r="AL26" s="162" t="e">
        <f>#REF!*E26</f>
        <v>#REF!</v>
      </c>
      <c r="AM26" s="162" t="e">
        <f>#REF!*F26</f>
        <v>#REF!</v>
      </c>
      <c r="AN26" s="162" t="e">
        <f>#REF!*G26</f>
        <v>#REF!</v>
      </c>
      <c r="AO26" s="162" t="e">
        <f>#REF!*H26</f>
        <v>#REF!</v>
      </c>
      <c r="AP26" s="162" t="e">
        <f>#REF!*I26</f>
        <v>#REF!</v>
      </c>
    </row>
    <row r="27" spans="1:42" x14ac:dyDescent="0.2">
      <c r="A27" s="143">
        <f t="shared" si="6"/>
        <v>358.57142857142856</v>
      </c>
      <c r="B27" s="147">
        <f t="shared" si="15"/>
        <v>0.58333333333333326</v>
      </c>
      <c r="C27">
        <v>387</v>
      </c>
      <c r="D27">
        <v>352</v>
      </c>
      <c r="E27">
        <v>419</v>
      </c>
      <c r="F27">
        <v>386</v>
      </c>
      <c r="G27">
        <v>383</v>
      </c>
      <c r="H27">
        <v>267</v>
      </c>
      <c r="I27">
        <v>316</v>
      </c>
      <c r="J27">
        <v>15</v>
      </c>
      <c r="K27" s="207">
        <f t="shared" si="7"/>
        <v>7.4857420221335857</v>
      </c>
      <c r="L27" s="207">
        <f t="shared" si="8"/>
        <v>5.4137761928775028</v>
      </c>
      <c r="M27" s="207">
        <f t="shared" si="9"/>
        <v>5.9302815414520191</v>
      </c>
      <c r="N27" s="207">
        <f t="shared" si="10"/>
        <v>6.2644908846472935</v>
      </c>
      <c r="O27" s="207">
        <f t="shared" si="11"/>
        <v>6.0441457777312113</v>
      </c>
      <c r="P27" s="207">
        <f t="shared" si="12"/>
        <v>3.4199608120972762</v>
      </c>
      <c r="Q27" s="207">
        <f t="shared" si="13"/>
        <v>2.4866986771049024</v>
      </c>
      <c r="R27">
        <v>15</v>
      </c>
      <c r="S27" s="146">
        <v>17</v>
      </c>
      <c r="T27" s="146">
        <v>15</v>
      </c>
      <c r="U27" s="146">
        <v>19</v>
      </c>
      <c r="V27" s="146">
        <v>17</v>
      </c>
      <c r="W27" s="146">
        <v>14</v>
      </c>
      <c r="X27" s="146">
        <v>15</v>
      </c>
      <c r="Y27" s="146">
        <v>17</v>
      </c>
      <c r="AB27" s="220">
        <f t="shared" si="14"/>
        <v>1.2709839518560728</v>
      </c>
      <c r="AC27" s="220">
        <f t="shared" si="5"/>
        <v>1.7707092915540854</v>
      </c>
      <c r="AD27" s="220">
        <f t="shared" si="5"/>
        <v>2.2038951046745554</v>
      </c>
      <c r="AE27" s="220">
        <f t="shared" si="5"/>
        <v>1.7137081549057345</v>
      </c>
      <c r="AF27" s="220">
        <f t="shared" si="5"/>
        <v>1.3162909226281392</v>
      </c>
      <c r="AG27" s="220">
        <f t="shared" si="5"/>
        <v>3.3860151692209932</v>
      </c>
      <c r="AH27" s="220">
        <f t="shared" si="5"/>
        <v>5.8363731225336748</v>
      </c>
      <c r="AJ27" s="162" t="e">
        <f>#REF!*C27</f>
        <v>#REF!</v>
      </c>
      <c r="AK27" s="162" t="e">
        <f>#REF!*D27</f>
        <v>#REF!</v>
      </c>
      <c r="AL27" s="162" t="e">
        <f>#REF!*E27</f>
        <v>#REF!</v>
      </c>
      <c r="AM27" s="162" t="e">
        <f>#REF!*F27</f>
        <v>#REF!</v>
      </c>
      <c r="AN27" s="162" t="e">
        <f>#REF!*G27</f>
        <v>#REF!</v>
      </c>
      <c r="AO27" s="162" t="e">
        <f>#REF!*H27</f>
        <v>#REF!</v>
      </c>
      <c r="AP27" s="162" t="e">
        <f>#REF!*I27</f>
        <v>#REF!</v>
      </c>
    </row>
    <row r="28" spans="1:42" x14ac:dyDescent="0.2">
      <c r="A28" s="143">
        <f t="shared" si="6"/>
        <v>364.71428571428572</v>
      </c>
      <c r="B28" s="147">
        <f t="shared" si="15"/>
        <v>0.62499999999999989</v>
      </c>
      <c r="C28">
        <v>382</v>
      </c>
      <c r="D28">
        <v>352</v>
      </c>
      <c r="E28">
        <v>493</v>
      </c>
      <c r="F28">
        <v>397</v>
      </c>
      <c r="G28">
        <v>368</v>
      </c>
      <c r="H28">
        <v>261</v>
      </c>
      <c r="I28">
        <v>300</v>
      </c>
      <c r="J28">
        <v>16</v>
      </c>
      <c r="K28" s="207">
        <f t="shared" si="7"/>
        <v>7.3890270089277257</v>
      </c>
      <c r="L28" s="207">
        <f t="shared" si="8"/>
        <v>5.4137761928775028</v>
      </c>
      <c r="M28" s="207">
        <f t="shared" si="9"/>
        <v>6.9776343673886529</v>
      </c>
      <c r="N28" s="207">
        <f t="shared" si="10"/>
        <v>6.4430126456087464</v>
      </c>
      <c r="O28" s="207">
        <f t="shared" si="11"/>
        <v>5.8074298856529651</v>
      </c>
      <c r="P28" s="207">
        <f t="shared" si="12"/>
        <v>3.3431077601400334</v>
      </c>
      <c r="Q28" s="207">
        <f t="shared" si="13"/>
        <v>2.3607898833274388</v>
      </c>
      <c r="R28">
        <v>16</v>
      </c>
      <c r="S28" s="146">
        <v>14</v>
      </c>
      <c r="T28" s="146">
        <v>17</v>
      </c>
      <c r="U28" s="146">
        <v>17</v>
      </c>
      <c r="V28" s="146">
        <v>16</v>
      </c>
      <c r="W28" s="146">
        <v>13</v>
      </c>
      <c r="X28" s="146">
        <v>16</v>
      </c>
      <c r="Y28" s="146">
        <v>16</v>
      </c>
      <c r="AB28" s="220">
        <f t="shared" si="14"/>
        <v>0.89470142456978774</v>
      </c>
      <c r="AC28" s="220">
        <f t="shared" si="5"/>
        <v>2.1401371970946301</v>
      </c>
      <c r="AD28" s="220">
        <f t="shared" si="5"/>
        <v>1.4363558055510683</v>
      </c>
      <c r="AE28" s="220">
        <f t="shared" si="5"/>
        <v>1.4833103518592106</v>
      </c>
      <c r="AF28" s="220">
        <f t="shared" si="5"/>
        <v>1.2385117437433046</v>
      </c>
      <c r="AG28" s="220">
        <f t="shared" si="5"/>
        <v>3.7859659777553221</v>
      </c>
      <c r="AH28" s="220">
        <f t="shared" si="5"/>
        <v>5.7773926485353453</v>
      </c>
      <c r="AJ28" s="162" t="e">
        <f>#REF!*C28</f>
        <v>#REF!</v>
      </c>
      <c r="AK28" s="162" t="e">
        <f>#REF!*D28</f>
        <v>#REF!</v>
      </c>
      <c r="AL28" s="162" t="e">
        <f>#REF!*E28</f>
        <v>#REF!</v>
      </c>
      <c r="AM28" s="162" t="e">
        <f>#REF!*F28</f>
        <v>#REF!</v>
      </c>
      <c r="AN28" s="162" t="e">
        <f>#REF!*G28</f>
        <v>#REF!</v>
      </c>
      <c r="AO28" s="162" t="e">
        <f>#REF!*H28</f>
        <v>#REF!</v>
      </c>
      <c r="AP28" s="162" t="e">
        <f>#REF!*I28</f>
        <v>#REF!</v>
      </c>
    </row>
    <row r="29" spans="1:42" x14ac:dyDescent="0.2">
      <c r="A29" s="143">
        <f t="shared" si="6"/>
        <v>351.57142857142856</v>
      </c>
      <c r="B29" s="147">
        <f t="shared" si="15"/>
        <v>0.66666666666666652</v>
      </c>
      <c r="C29">
        <v>351</v>
      </c>
      <c r="D29">
        <v>342</v>
      </c>
      <c r="E29">
        <v>389</v>
      </c>
      <c r="F29">
        <v>385</v>
      </c>
      <c r="G29">
        <v>363</v>
      </c>
      <c r="H29">
        <v>354</v>
      </c>
      <c r="I29">
        <v>277</v>
      </c>
      <c r="J29">
        <v>17</v>
      </c>
      <c r="K29" s="207">
        <f t="shared" si="7"/>
        <v>6.7893939270513926</v>
      </c>
      <c r="L29" s="207">
        <f t="shared" si="8"/>
        <v>5.259975732852574</v>
      </c>
      <c r="M29" s="207">
        <f t="shared" si="9"/>
        <v>5.5056790444506811</v>
      </c>
      <c r="N29" s="207">
        <f t="shared" si="10"/>
        <v>6.2482616336507988</v>
      </c>
      <c r="O29" s="207">
        <f t="shared" si="11"/>
        <v>5.72852458829355</v>
      </c>
      <c r="P29" s="207">
        <f t="shared" si="12"/>
        <v>4.5343300654772873</v>
      </c>
      <c r="Q29" s="207">
        <f t="shared" si="13"/>
        <v>2.1797959922723353</v>
      </c>
      <c r="R29">
        <v>17</v>
      </c>
      <c r="S29" s="146">
        <v>11</v>
      </c>
      <c r="T29" s="146">
        <v>9</v>
      </c>
      <c r="U29" s="146">
        <v>8</v>
      </c>
      <c r="V29" s="146">
        <v>10</v>
      </c>
      <c r="W29" s="146">
        <v>11</v>
      </c>
      <c r="X29" s="146">
        <v>7</v>
      </c>
      <c r="Y29" s="146">
        <v>9</v>
      </c>
      <c r="AB29" s="220">
        <f t="shared" si="14"/>
        <v>0.62017407123366852</v>
      </c>
      <c r="AC29" s="220">
        <f t="shared" si="14"/>
        <v>0.71103450987199657</v>
      </c>
      <c r="AD29" s="220">
        <f t="shared" si="14"/>
        <v>0.45304510768084283</v>
      </c>
      <c r="AE29" s="220">
        <f t="shared" si="14"/>
        <v>0.60044514559757589</v>
      </c>
      <c r="AF29" s="220">
        <f t="shared" si="14"/>
        <v>0.92021520209215879</v>
      </c>
      <c r="AG29" s="220">
        <f t="shared" si="14"/>
        <v>0.54377822057891456</v>
      </c>
      <c r="AH29" s="220">
        <f t="shared" si="14"/>
        <v>3.1288267488820916</v>
      </c>
      <c r="AJ29" s="162" t="e">
        <f>#REF!*C29</f>
        <v>#REF!</v>
      </c>
      <c r="AK29" s="162" t="e">
        <f>#REF!*D29</f>
        <v>#REF!</v>
      </c>
      <c r="AL29" s="162" t="e">
        <f>#REF!*E29</f>
        <v>#REF!</v>
      </c>
      <c r="AM29" s="162" t="e">
        <f>#REF!*F29</f>
        <v>#REF!</v>
      </c>
      <c r="AN29" s="162" t="e">
        <f>#REF!*G29</f>
        <v>#REF!</v>
      </c>
      <c r="AO29" s="162" t="e">
        <f>#REF!*H29</f>
        <v>#REF!</v>
      </c>
      <c r="AP29" s="162" t="e">
        <f>#REF!*I29</f>
        <v>#REF!</v>
      </c>
    </row>
    <row r="30" spans="1:42" x14ac:dyDescent="0.2">
      <c r="A30" s="143">
        <f t="shared" si="6"/>
        <v>337.28571428571428</v>
      </c>
      <c r="B30" s="147">
        <f t="shared" si="15"/>
        <v>0.70833333333333315</v>
      </c>
      <c r="C30">
        <v>363</v>
      </c>
      <c r="D30">
        <v>353</v>
      </c>
      <c r="E30">
        <v>373</v>
      </c>
      <c r="F30">
        <v>375</v>
      </c>
      <c r="G30">
        <v>300</v>
      </c>
      <c r="H30">
        <v>325</v>
      </c>
      <c r="I30">
        <v>272</v>
      </c>
      <c r="J30">
        <v>18</v>
      </c>
      <c r="K30" s="207">
        <f t="shared" si="7"/>
        <v>7.0215099587454572</v>
      </c>
      <c r="L30" s="207">
        <f t="shared" si="8"/>
        <v>5.4291562388799957</v>
      </c>
      <c r="M30" s="207">
        <f t="shared" si="9"/>
        <v>5.2792243793833009</v>
      </c>
      <c r="N30" s="207">
        <f t="shared" si="10"/>
        <v>6.0859691236858433</v>
      </c>
      <c r="O30" s="207">
        <f t="shared" si="11"/>
        <v>4.7343178415649181</v>
      </c>
      <c r="P30" s="207">
        <f t="shared" si="12"/>
        <v>4.1628736476839503</v>
      </c>
      <c r="Q30" s="207">
        <f t="shared" si="13"/>
        <v>2.1404494942168779</v>
      </c>
      <c r="R30">
        <v>18</v>
      </c>
      <c r="S30" s="146">
        <v>10</v>
      </c>
      <c r="T30" s="146">
        <v>11</v>
      </c>
      <c r="U30" s="146">
        <v>12</v>
      </c>
      <c r="V30" s="146">
        <v>13</v>
      </c>
      <c r="W30" s="146">
        <v>11</v>
      </c>
      <c r="X30" s="146">
        <v>12</v>
      </c>
      <c r="Y30" s="146">
        <v>11</v>
      </c>
      <c r="AB30" s="220">
        <f t="shared" si="14"/>
        <v>0.42419508891314228</v>
      </c>
      <c r="AC30" s="220">
        <f t="shared" si="14"/>
        <v>1.0260975216048007</v>
      </c>
      <c r="AD30" s="220">
        <f t="shared" si="14"/>
        <v>1.2730611805141336</v>
      </c>
      <c r="AE30" s="220">
        <f t="shared" si="14"/>
        <v>1.1360607876575646</v>
      </c>
      <c r="AF30" s="220">
        <f t="shared" si="14"/>
        <v>1.3234603945315118</v>
      </c>
      <c r="AG30" s="220">
        <f t="shared" si="14"/>
        <v>1.8826241235249359</v>
      </c>
      <c r="AH30" s="220">
        <f t="shared" si="14"/>
        <v>4.1391074770603495</v>
      </c>
      <c r="AJ30" s="162" t="e">
        <f>#REF!*C30</f>
        <v>#REF!</v>
      </c>
      <c r="AK30" s="162" t="e">
        <f>#REF!*D30</f>
        <v>#REF!</v>
      </c>
      <c r="AL30" s="162" t="e">
        <f>#REF!*E30</f>
        <v>#REF!</v>
      </c>
      <c r="AM30" s="162" t="e">
        <f>#REF!*F30</f>
        <v>#REF!</v>
      </c>
      <c r="AN30" s="162" t="e">
        <f>#REF!*G30</f>
        <v>#REF!</v>
      </c>
      <c r="AO30" s="162" t="e">
        <f>#REF!*H30</f>
        <v>#REF!</v>
      </c>
      <c r="AP30" s="162" t="e">
        <f>#REF!*I30</f>
        <v>#REF!</v>
      </c>
    </row>
    <row r="31" spans="1:42" x14ac:dyDescent="0.2">
      <c r="A31" s="143">
        <f t="shared" si="6"/>
        <v>351.28571428571428</v>
      </c>
      <c r="B31" s="147">
        <f t="shared" si="15"/>
        <v>0.74999999999999978</v>
      </c>
      <c r="C31">
        <v>356</v>
      </c>
      <c r="D31">
        <v>325</v>
      </c>
      <c r="E31">
        <v>369</v>
      </c>
      <c r="F31">
        <v>371</v>
      </c>
      <c r="G31">
        <v>306</v>
      </c>
      <c r="H31">
        <v>355</v>
      </c>
      <c r="I31">
        <v>377</v>
      </c>
      <c r="J31">
        <v>19</v>
      </c>
      <c r="K31" s="207">
        <f t="shared" si="7"/>
        <v>6.8861089402572535</v>
      </c>
      <c r="L31" s="207">
        <f t="shared" si="8"/>
        <v>4.9985149508101943</v>
      </c>
      <c r="M31" s="207">
        <f t="shared" si="9"/>
        <v>5.2226107131164561</v>
      </c>
      <c r="N31" s="207">
        <f t="shared" si="10"/>
        <v>6.0210521196998608</v>
      </c>
      <c r="O31" s="207">
        <f t="shared" si="11"/>
        <v>4.8290041983962162</v>
      </c>
      <c r="P31" s="207">
        <f t="shared" si="12"/>
        <v>4.5471389074701607</v>
      </c>
      <c r="Q31" s="207">
        <f t="shared" si="13"/>
        <v>2.9667259533814816</v>
      </c>
      <c r="R31">
        <v>19</v>
      </c>
      <c r="S31" s="146">
        <v>10</v>
      </c>
      <c r="T31" s="146">
        <v>11</v>
      </c>
      <c r="U31" s="146">
        <v>10</v>
      </c>
      <c r="V31" s="146">
        <v>14</v>
      </c>
      <c r="W31" s="146">
        <v>11</v>
      </c>
      <c r="X31" s="146">
        <v>11</v>
      </c>
      <c r="Y31" s="146">
        <v>10</v>
      </c>
      <c r="AB31" s="220">
        <f t="shared" si="14"/>
        <v>0.45219892493109715</v>
      </c>
      <c r="AC31" s="220">
        <f t="shared" si="14"/>
        <v>1.2006536157738297</v>
      </c>
      <c r="AD31" s="220">
        <f t="shared" si="14"/>
        <v>0.91475117509433557</v>
      </c>
      <c r="AE31" s="220">
        <f t="shared" si="14"/>
        <v>1.3251750228493084</v>
      </c>
      <c r="AF31" s="220">
        <f t="shared" si="14"/>
        <v>1.2779023475799138</v>
      </c>
      <c r="AG31" s="220">
        <f t="shared" si="14"/>
        <v>1.4191035778407621</v>
      </c>
      <c r="AH31" s="220">
        <f t="shared" si="14"/>
        <v>2.3707191554386662</v>
      </c>
      <c r="AJ31" s="162" t="e">
        <f>#REF!*C31</f>
        <v>#REF!</v>
      </c>
      <c r="AK31" s="162" t="e">
        <f>#REF!*D31</f>
        <v>#REF!</v>
      </c>
      <c r="AL31" s="162" t="e">
        <f>#REF!*E31</f>
        <v>#REF!</v>
      </c>
      <c r="AM31" s="162" t="e">
        <f>#REF!*F31</f>
        <v>#REF!</v>
      </c>
      <c r="AN31" s="162" t="e">
        <f>#REF!*G31</f>
        <v>#REF!</v>
      </c>
      <c r="AO31" s="162" t="e">
        <f>#REF!*H31</f>
        <v>#REF!</v>
      </c>
      <c r="AP31" s="162" t="e">
        <f>#REF!*I31</f>
        <v>#REF!</v>
      </c>
    </row>
    <row r="32" spans="1:42" x14ac:dyDescent="0.2">
      <c r="A32" s="143">
        <f t="shared" si="6"/>
        <v>368.85714285714283</v>
      </c>
      <c r="B32" s="147">
        <f t="shared" si="15"/>
        <v>0.79166666666666641</v>
      </c>
      <c r="C32">
        <v>335</v>
      </c>
      <c r="D32">
        <v>316</v>
      </c>
      <c r="E32">
        <v>358</v>
      </c>
      <c r="F32">
        <v>408</v>
      </c>
      <c r="G32">
        <v>412</v>
      </c>
      <c r="H32">
        <v>325</v>
      </c>
      <c r="I32">
        <v>428</v>
      </c>
      <c r="J32">
        <v>20</v>
      </c>
      <c r="K32" s="207">
        <f t="shared" si="7"/>
        <v>6.4799058847926396</v>
      </c>
      <c r="L32" s="207">
        <f t="shared" si="8"/>
        <v>4.8600945367877575</v>
      </c>
      <c r="M32" s="207">
        <f t="shared" si="9"/>
        <v>5.0669231308826319</v>
      </c>
      <c r="N32" s="207">
        <f t="shared" si="10"/>
        <v>6.6215344065701967</v>
      </c>
      <c r="O32" s="207">
        <f t="shared" si="11"/>
        <v>6.5017965024158197</v>
      </c>
      <c r="P32" s="207">
        <f t="shared" si="12"/>
        <v>4.1628736476839503</v>
      </c>
      <c r="Q32" s="207">
        <f t="shared" si="13"/>
        <v>3.3680602335471459</v>
      </c>
      <c r="R32">
        <v>20</v>
      </c>
      <c r="S32" s="146">
        <v>10</v>
      </c>
      <c r="T32" s="146">
        <v>8</v>
      </c>
      <c r="U32" s="146">
        <v>9</v>
      </c>
      <c r="V32" s="146">
        <v>14</v>
      </c>
      <c r="W32" s="146">
        <v>11</v>
      </c>
      <c r="X32" s="146">
        <v>9</v>
      </c>
      <c r="Y32" s="146">
        <v>8</v>
      </c>
      <c r="AB32" s="220">
        <f t="shared" si="14"/>
        <v>0.54323229037453924</v>
      </c>
      <c r="AC32" s="220">
        <f t="shared" si="14"/>
        <v>0.64605851582622487</v>
      </c>
      <c r="AD32" s="220">
        <f t="shared" si="14"/>
        <v>0.77622588058332087</v>
      </c>
      <c r="AE32" s="220">
        <f t="shared" si="14"/>
        <v>1.1143135624438565</v>
      </c>
      <c r="AF32" s="220">
        <f t="shared" si="14"/>
        <v>0.69184009310547001</v>
      </c>
      <c r="AG32" s="220">
        <f t="shared" si="14"/>
        <v>1.1619680926437019</v>
      </c>
      <c r="AH32" s="220">
        <f t="shared" si="14"/>
        <v>1.3752544328979015</v>
      </c>
      <c r="AJ32" s="162" t="e">
        <f>#REF!*C32</f>
        <v>#REF!</v>
      </c>
      <c r="AK32" s="162" t="e">
        <f>#REF!*D32</f>
        <v>#REF!</v>
      </c>
      <c r="AL32" s="162" t="e">
        <f>#REF!*E32</f>
        <v>#REF!</v>
      </c>
      <c r="AM32" s="162" t="e">
        <f>#REF!*F32</f>
        <v>#REF!</v>
      </c>
      <c r="AN32" s="162" t="e">
        <f>#REF!*G32</f>
        <v>#REF!</v>
      </c>
      <c r="AO32" s="162" t="e">
        <f>#REF!*H32</f>
        <v>#REF!</v>
      </c>
      <c r="AP32" s="162" t="e">
        <f>#REF!*I32</f>
        <v>#REF!</v>
      </c>
    </row>
    <row r="33" spans="1:42" x14ac:dyDescent="0.2">
      <c r="A33" s="143">
        <f t="shared" si="6"/>
        <v>321</v>
      </c>
      <c r="B33" s="147">
        <f t="shared" si="15"/>
        <v>0.83333333333333304</v>
      </c>
      <c r="C33">
        <v>304</v>
      </c>
      <c r="D33">
        <v>286</v>
      </c>
      <c r="E33">
        <v>317</v>
      </c>
      <c r="F33">
        <v>336</v>
      </c>
      <c r="G33">
        <v>361</v>
      </c>
      <c r="H33">
        <v>281</v>
      </c>
      <c r="I33">
        <v>362</v>
      </c>
      <c r="J33">
        <v>21</v>
      </c>
      <c r="K33" s="207">
        <f t="shared" si="7"/>
        <v>5.8802728029163056</v>
      </c>
      <c r="L33" s="207">
        <f t="shared" si="8"/>
        <v>4.3986931567129703</v>
      </c>
      <c r="M33" s="207">
        <f t="shared" si="9"/>
        <v>4.4866330516474706</v>
      </c>
      <c r="N33" s="207">
        <f t="shared" si="10"/>
        <v>5.4530283348225153</v>
      </c>
      <c r="O33" s="207">
        <f t="shared" si="11"/>
        <v>5.696962469349784</v>
      </c>
      <c r="P33" s="207">
        <f t="shared" si="12"/>
        <v>3.5992845999975076</v>
      </c>
      <c r="Q33" s="207">
        <f t="shared" si="13"/>
        <v>2.8486864592151098</v>
      </c>
      <c r="R33">
        <v>21</v>
      </c>
      <c r="S33" s="146">
        <v>6</v>
      </c>
      <c r="T33" s="146">
        <v>6</v>
      </c>
      <c r="U33" s="146">
        <v>5</v>
      </c>
      <c r="V33" s="146">
        <v>9</v>
      </c>
      <c r="W33" s="146">
        <v>7</v>
      </c>
      <c r="X33" s="146">
        <v>8</v>
      </c>
      <c r="Y33" s="146">
        <v>7</v>
      </c>
      <c r="AB33" s="220">
        <f t="shared" si="14"/>
        <v>2.0360823570007902E-2</v>
      </c>
      <c r="AC33" s="220">
        <f t="shared" si="14"/>
        <v>0.36404149738047309</v>
      </c>
      <c r="AD33" s="220">
        <f t="shared" si="14"/>
        <v>0.11442142525206589</v>
      </c>
      <c r="AE33" s="220">
        <f t="shared" si="14"/>
        <v>0.65045905639750012</v>
      </c>
      <c r="AF33" s="220">
        <f t="shared" si="14"/>
        <v>0.22872496311160306</v>
      </c>
      <c r="AG33" s="220">
        <f t="shared" si="14"/>
        <v>1.2226639149361902</v>
      </c>
      <c r="AH33" s="220">
        <f t="shared" si="14"/>
        <v>1.4572728870725524</v>
      </c>
      <c r="AJ33" s="162" t="e">
        <f>#REF!*C33</f>
        <v>#REF!</v>
      </c>
      <c r="AK33" s="162" t="e">
        <f>#REF!*D33</f>
        <v>#REF!</v>
      </c>
      <c r="AL33" s="162" t="e">
        <f>#REF!*E33</f>
        <v>#REF!</v>
      </c>
      <c r="AM33" s="162" t="e">
        <f>#REF!*F33</f>
        <v>#REF!</v>
      </c>
      <c r="AN33" s="162" t="e">
        <f>#REF!*G33</f>
        <v>#REF!</v>
      </c>
      <c r="AO33" s="162" t="e">
        <f>#REF!*H33</f>
        <v>#REF!</v>
      </c>
      <c r="AP33" s="162" t="e">
        <f>#REF!*I33</f>
        <v>#REF!</v>
      </c>
    </row>
    <row r="34" spans="1:42" x14ac:dyDescent="0.2">
      <c r="A34" s="143">
        <f t="shared" si="6"/>
        <v>266.14285714285717</v>
      </c>
      <c r="B34" s="147">
        <f t="shared" si="15"/>
        <v>0.87499999999999967</v>
      </c>
      <c r="C34">
        <v>246</v>
      </c>
      <c r="D34">
        <v>250</v>
      </c>
      <c r="E34">
        <v>249</v>
      </c>
      <c r="F34">
        <v>332</v>
      </c>
      <c r="G34">
        <v>285</v>
      </c>
      <c r="H34">
        <v>223</v>
      </c>
      <c r="I34">
        <v>278</v>
      </c>
      <c r="J34">
        <v>22</v>
      </c>
      <c r="K34" s="207">
        <f t="shared" si="7"/>
        <v>4.7583786497283267</v>
      </c>
      <c r="L34" s="207">
        <f t="shared" si="8"/>
        <v>3.8450115006232264</v>
      </c>
      <c r="M34" s="207">
        <f t="shared" si="9"/>
        <v>3.5242007251111045</v>
      </c>
      <c r="N34" s="207">
        <f t="shared" si="10"/>
        <v>5.3881113308365327</v>
      </c>
      <c r="O34" s="207">
        <f t="shared" si="11"/>
        <v>4.497601949486671</v>
      </c>
      <c r="P34" s="207">
        <f t="shared" si="12"/>
        <v>2.8563717644108335</v>
      </c>
      <c r="Q34" s="207">
        <f t="shared" si="13"/>
        <v>2.1876652918834267</v>
      </c>
      <c r="R34">
        <v>22</v>
      </c>
      <c r="S34" s="146">
        <v>7</v>
      </c>
      <c r="T34" s="146">
        <v>6</v>
      </c>
      <c r="U34" s="146">
        <v>5</v>
      </c>
      <c r="V34" s="146">
        <v>9</v>
      </c>
      <c r="W34" s="146">
        <v>10</v>
      </c>
      <c r="X34" s="146">
        <v>9</v>
      </c>
      <c r="Y34" s="146">
        <v>9</v>
      </c>
      <c r="AB34" s="220">
        <f t="shared" si="14"/>
        <v>0.47108931745052618</v>
      </c>
      <c r="AC34" s="220">
        <f t="shared" si="14"/>
        <v>0.56046347300326094</v>
      </c>
      <c r="AD34" s="220">
        <f t="shared" si="14"/>
        <v>0.41876141287110413</v>
      </c>
      <c r="AE34" s="220">
        <f t="shared" si="14"/>
        <v>0.67034410526975918</v>
      </c>
      <c r="AF34" s="220">
        <f t="shared" si="14"/>
        <v>1.2234070761067106</v>
      </c>
      <c r="AG34" s="220">
        <f t="shared" si="14"/>
        <v>2.1508503592340946</v>
      </c>
      <c r="AH34" s="220">
        <f t="shared" si="14"/>
        <v>3.113974854101941</v>
      </c>
      <c r="AJ34" s="162" t="e">
        <f>#REF!*C34</f>
        <v>#REF!</v>
      </c>
      <c r="AK34" s="162" t="e">
        <f>#REF!*D34</f>
        <v>#REF!</v>
      </c>
      <c r="AL34" s="162" t="e">
        <f>#REF!*E34</f>
        <v>#REF!</v>
      </c>
      <c r="AM34" s="162" t="e">
        <f>#REF!*F34</f>
        <v>#REF!</v>
      </c>
      <c r="AN34" s="162" t="e">
        <f>#REF!*G34</f>
        <v>#REF!</v>
      </c>
      <c r="AO34" s="162" t="e">
        <f>#REF!*H34</f>
        <v>#REF!</v>
      </c>
      <c r="AP34" s="162" t="e">
        <f>#REF!*I34</f>
        <v>#REF!</v>
      </c>
    </row>
    <row r="35" spans="1:42" x14ac:dyDescent="0.2">
      <c r="A35" s="143">
        <f t="shared" si="6"/>
        <v>212.14285714285714</v>
      </c>
      <c r="B35" s="147">
        <f t="shared" si="15"/>
        <v>0.9166666666666663</v>
      </c>
      <c r="C35">
        <v>197</v>
      </c>
      <c r="D35">
        <v>186</v>
      </c>
      <c r="E35">
        <v>185</v>
      </c>
      <c r="F35">
        <v>261</v>
      </c>
      <c r="G35">
        <v>300</v>
      </c>
      <c r="H35">
        <v>162</v>
      </c>
      <c r="I35">
        <v>194</v>
      </c>
      <c r="J35">
        <v>23</v>
      </c>
      <c r="K35" s="207">
        <f t="shared" si="7"/>
        <v>3.8105715203108956</v>
      </c>
      <c r="L35" s="207">
        <f t="shared" si="8"/>
        <v>2.8606885564636806</v>
      </c>
      <c r="M35" s="207">
        <f t="shared" si="9"/>
        <v>2.6183820648415836</v>
      </c>
      <c r="N35" s="207">
        <f t="shared" si="10"/>
        <v>4.2358345100853469</v>
      </c>
      <c r="O35" s="207">
        <f t="shared" si="11"/>
        <v>4.7343178415649181</v>
      </c>
      <c r="P35" s="207">
        <f t="shared" si="12"/>
        <v>2.075032402845538</v>
      </c>
      <c r="Q35" s="207">
        <f t="shared" si="13"/>
        <v>1.5266441245517435</v>
      </c>
      <c r="R35">
        <v>23</v>
      </c>
      <c r="S35" s="146">
        <v>5</v>
      </c>
      <c r="T35" s="146">
        <v>3</v>
      </c>
      <c r="U35" s="146">
        <v>2</v>
      </c>
      <c r="V35" s="146">
        <v>4</v>
      </c>
      <c r="W35" s="146">
        <v>4</v>
      </c>
      <c r="X35" s="146">
        <v>3</v>
      </c>
      <c r="Y35" s="146">
        <v>5</v>
      </c>
      <c r="AB35" s="220">
        <f t="shared" si="14"/>
        <v>0.31213913014078831</v>
      </c>
      <c r="AC35" s="220">
        <f t="shared" si="14"/>
        <v>4.8698570566707566E-2</v>
      </c>
      <c r="AD35" s="220">
        <f t="shared" si="14"/>
        <v>-0.23616953123263806</v>
      </c>
      <c r="AE35" s="220">
        <f t="shared" si="14"/>
        <v>-5.5676044360051025E-2</v>
      </c>
      <c r="AF35" s="220">
        <f t="shared" si="14"/>
        <v>-0.15510531107945025</v>
      </c>
      <c r="AG35" s="220">
        <f t="shared" si="14"/>
        <v>0.44576055578025353</v>
      </c>
      <c r="AH35" s="220">
        <f t="shared" si="14"/>
        <v>2.2751575298978803</v>
      </c>
      <c r="AJ35" s="162" t="e">
        <f>#REF!*C35</f>
        <v>#REF!</v>
      </c>
      <c r="AK35" s="162" t="e">
        <f>#REF!*D35</f>
        <v>#REF!</v>
      </c>
      <c r="AL35" s="162" t="e">
        <f>#REF!*E35</f>
        <v>#REF!</v>
      </c>
      <c r="AM35" s="162" t="e">
        <f>#REF!*F35</f>
        <v>#REF!</v>
      </c>
      <c r="AN35" s="162" t="e">
        <f>#REF!*G35</f>
        <v>#REF!</v>
      </c>
      <c r="AO35" s="162" t="e">
        <f>#REF!*H35</f>
        <v>#REF!</v>
      </c>
      <c r="AP35" s="162" t="e">
        <f>#REF!*I35</f>
        <v>#REF!</v>
      </c>
    </row>
    <row r="36" spans="1:42" ht="13.5" thickBot="1" x14ac:dyDescent="0.25">
      <c r="A36" s="143">
        <f t="shared" si="6"/>
        <v>141.14285714285714</v>
      </c>
      <c r="B36" s="147">
        <f t="shared" si="15"/>
        <v>0.95833333333333293</v>
      </c>
      <c r="C36">
        <v>103</v>
      </c>
      <c r="D36">
        <v>112</v>
      </c>
      <c r="E36">
        <v>129</v>
      </c>
      <c r="F36">
        <v>164</v>
      </c>
      <c r="G36">
        <v>204</v>
      </c>
      <c r="H36">
        <v>130</v>
      </c>
      <c r="I36">
        <v>146</v>
      </c>
      <c r="J36">
        <v>24</v>
      </c>
      <c r="K36" s="207">
        <f t="shared" si="7"/>
        <v>1.9923292720407222</v>
      </c>
      <c r="L36" s="207">
        <f t="shared" si="8"/>
        <v>1.7225651522792054</v>
      </c>
      <c r="M36" s="207">
        <f t="shared" si="9"/>
        <v>1.8257907371057529</v>
      </c>
      <c r="N36" s="207">
        <f t="shared" si="10"/>
        <v>2.6615971634252751</v>
      </c>
      <c r="O36" s="207">
        <f t="shared" si="11"/>
        <v>3.2193361322641438</v>
      </c>
      <c r="P36" s="207">
        <f t="shared" si="12"/>
        <v>1.66514945907358</v>
      </c>
      <c r="Q36" s="207">
        <f t="shared" si="13"/>
        <v>1.1489177432193536</v>
      </c>
      <c r="R36">
        <v>24</v>
      </c>
      <c r="S36" s="146">
        <v>5</v>
      </c>
      <c r="T36" s="146">
        <v>3</v>
      </c>
      <c r="U36" s="146">
        <v>2</v>
      </c>
      <c r="V36" s="146">
        <v>4</v>
      </c>
      <c r="W36" s="146">
        <v>4</v>
      </c>
      <c r="X36" s="146">
        <v>3</v>
      </c>
      <c r="Y36" s="146">
        <v>5</v>
      </c>
      <c r="AB36" s="220">
        <f t="shared" si="14"/>
        <v>1.5096253265799544</v>
      </c>
      <c r="AC36" s="220">
        <f t="shared" si="14"/>
        <v>0.74158869754828238</v>
      </c>
      <c r="AD36" s="220">
        <f t="shared" si="14"/>
        <v>9.5415788542340785E-2</v>
      </c>
      <c r="AE36" s="220">
        <f t="shared" si="14"/>
        <v>0.50285702696357748</v>
      </c>
      <c r="AF36" s="220">
        <f t="shared" si="14"/>
        <v>0.24249218958904395</v>
      </c>
      <c r="AG36" s="220">
        <f t="shared" si="14"/>
        <v>0.80164007720308494</v>
      </c>
      <c r="AH36" s="220">
        <f t="shared" si="14"/>
        <v>3.3519216493163606</v>
      </c>
      <c r="AJ36" s="162" t="e">
        <f>#REF!*C36</f>
        <v>#REF!</v>
      </c>
      <c r="AK36" s="162" t="e">
        <f>#REF!*D36</f>
        <v>#REF!</v>
      </c>
      <c r="AL36" s="162" t="e">
        <f>#REF!*E36</f>
        <v>#REF!</v>
      </c>
      <c r="AM36" s="162" t="e">
        <f>#REF!*F36</f>
        <v>#REF!</v>
      </c>
      <c r="AN36" s="162" t="e">
        <f>#REF!*G36</f>
        <v>#REF!</v>
      </c>
      <c r="AO36" s="162" t="e">
        <f>#REF!*H36</f>
        <v>#REF!</v>
      </c>
      <c r="AP36" s="162" t="e">
        <f>#REF!*I36</f>
        <v>#REF!</v>
      </c>
    </row>
    <row r="37" spans="1:42" ht="13.5" thickBot="1" x14ac:dyDescent="0.25">
      <c r="A37" s="158">
        <f>SUM(K37:Q37)</f>
        <v>597.46075417020313</v>
      </c>
      <c r="B37" s="153">
        <f>SUM(C37:I37)</f>
        <v>40741</v>
      </c>
      <c r="C37">
        <v>6259</v>
      </c>
      <c r="D37">
        <v>5615</v>
      </c>
      <c r="E37">
        <v>6242</v>
      </c>
      <c r="F37">
        <v>6221</v>
      </c>
      <c r="G37">
        <v>5697</v>
      </c>
      <c r="H37">
        <v>5378</v>
      </c>
      <c r="I37">
        <v>5329</v>
      </c>
      <c r="K37" s="148">
        <f t="shared" ref="K37:Q37" si="16">SUM(K13:K36)</f>
        <v>121.06785353109593</v>
      </c>
      <c r="L37" s="148">
        <f t="shared" si="16"/>
        <v>86.358958303997667</v>
      </c>
      <c r="M37" s="148">
        <f t="shared" si="16"/>
        <v>88.345626209411691</v>
      </c>
      <c r="N37" s="148">
        <f t="shared" si="16"/>
        <v>100.96217044919901</v>
      </c>
      <c r="O37" s="148">
        <f t="shared" si="16"/>
        <v>89.904695811317765</v>
      </c>
      <c r="P37" s="148">
        <f t="shared" si="16"/>
        <v>68.885952237674729</v>
      </c>
      <c r="Q37" s="148">
        <f t="shared" si="16"/>
        <v>41.935497627506408</v>
      </c>
      <c r="S37" s="148">
        <f>SUM(S13:S36)</f>
        <v>218</v>
      </c>
      <c r="T37" s="148">
        <f t="shared" ref="T37:Y37" si="17">SUM(T13:T36)</f>
        <v>199</v>
      </c>
      <c r="U37" s="148">
        <f t="shared" si="17"/>
        <v>188</v>
      </c>
      <c r="V37" s="148">
        <f t="shared" si="17"/>
        <v>216</v>
      </c>
      <c r="W37" s="148">
        <f t="shared" si="17"/>
        <v>191</v>
      </c>
      <c r="X37" s="148">
        <f t="shared" si="17"/>
        <v>191</v>
      </c>
      <c r="Y37" s="148">
        <f t="shared" si="17"/>
        <v>213</v>
      </c>
      <c r="AA37" s="21" t="s">
        <v>161</v>
      </c>
      <c r="AB37" s="215">
        <f>COUNTIF(AB13:AB36,$AP$37)/48</f>
        <v>0</v>
      </c>
      <c r="AC37" s="215">
        <f t="shared" ref="AC37:AH37" si="18">COUNTIF(AC13:AC36,$AP$37)/48</f>
        <v>0</v>
      </c>
      <c r="AD37" s="215">
        <f t="shared" si="18"/>
        <v>0</v>
      </c>
      <c r="AE37" s="215">
        <f t="shared" si="18"/>
        <v>0</v>
      </c>
      <c r="AF37" s="215">
        <f t="shared" si="18"/>
        <v>0</v>
      </c>
      <c r="AG37" s="215">
        <f t="shared" si="18"/>
        <v>0</v>
      </c>
      <c r="AH37" s="215">
        <f t="shared" si="18"/>
        <v>0</v>
      </c>
    </row>
    <row r="38" spans="1:42" ht="13.5" thickBot="1" x14ac:dyDescent="0.25">
      <c r="A38" s="158">
        <f>SUM(S37:Y37)</f>
        <v>1416</v>
      </c>
      <c r="C38">
        <v>205</v>
      </c>
      <c r="D38">
        <v>163</v>
      </c>
      <c r="E38">
        <v>150</v>
      </c>
      <c r="F38">
        <v>172</v>
      </c>
      <c r="G38">
        <v>223</v>
      </c>
      <c r="H38">
        <v>181</v>
      </c>
      <c r="I38">
        <v>139</v>
      </c>
      <c r="AA38" s="21" t="s">
        <v>164</v>
      </c>
      <c r="AB38" s="215">
        <f>COUNTIF(AB13:AB36,$AP$62)/48</f>
        <v>0</v>
      </c>
      <c r="AC38" s="215">
        <f t="shared" ref="AC38:AH38" si="19">COUNTIF(AC13:AC36,$AP$62)/48</f>
        <v>0</v>
      </c>
      <c r="AD38" s="215">
        <f t="shared" si="19"/>
        <v>0</v>
      </c>
      <c r="AE38" s="215">
        <f t="shared" si="19"/>
        <v>0</v>
      </c>
      <c r="AF38" s="215">
        <f t="shared" si="19"/>
        <v>0</v>
      </c>
      <c r="AG38" s="215">
        <f t="shared" si="19"/>
        <v>0</v>
      </c>
      <c r="AH38" s="215">
        <f t="shared" si="19"/>
        <v>0</v>
      </c>
    </row>
    <row r="39" spans="1:42" x14ac:dyDescent="0.2">
      <c r="C39">
        <v>3</v>
      </c>
      <c r="D39">
        <v>3</v>
      </c>
      <c r="E39">
        <v>3</v>
      </c>
      <c r="F39">
        <v>3</v>
      </c>
      <c r="G39">
        <v>4</v>
      </c>
      <c r="H39">
        <v>4</v>
      </c>
      <c r="I39">
        <v>5</v>
      </c>
      <c r="K39" s="151">
        <f>K37/$A$37</f>
        <v>0.20263733255457717</v>
      </c>
      <c r="L39" s="151">
        <f t="shared" ref="L39:Q39" si="20">L37/$A$37</f>
        <v>0.14454331552528377</v>
      </c>
      <c r="M39" s="151">
        <f t="shared" si="20"/>
        <v>0.14786850114048497</v>
      </c>
      <c r="N39" s="151">
        <f t="shared" si="20"/>
        <v>0.16898544338602223</v>
      </c>
      <c r="O39" s="151">
        <f t="shared" si="20"/>
        <v>0.15047799405031034</v>
      </c>
      <c r="P39" s="151">
        <f t="shared" si="20"/>
        <v>0.11529786978786337</v>
      </c>
      <c r="Q39" s="151">
        <f t="shared" si="20"/>
        <v>7.0189543555458256E-2</v>
      </c>
      <c r="S39" s="151">
        <f>S37/$A$38</f>
        <v>0.153954802259887</v>
      </c>
      <c r="T39" s="151">
        <f t="shared" ref="T39:Y39" si="21">T37/$A$38</f>
        <v>0.1405367231638418</v>
      </c>
      <c r="U39" s="151">
        <f t="shared" si="21"/>
        <v>0.1327683615819209</v>
      </c>
      <c r="V39" s="151">
        <f t="shared" si="21"/>
        <v>0.15254237288135594</v>
      </c>
      <c r="W39" s="151">
        <f t="shared" si="21"/>
        <v>0.13488700564971751</v>
      </c>
      <c r="X39" s="151">
        <f t="shared" si="21"/>
        <v>0.13488700564971751</v>
      </c>
      <c r="Y39" s="151">
        <f t="shared" si="21"/>
        <v>0.15042372881355931</v>
      </c>
      <c r="AA39" s="165"/>
      <c r="AB39" s="165"/>
      <c r="AC39" s="165"/>
      <c r="AD39" s="165"/>
      <c r="AE39" s="165"/>
      <c r="AF39" s="165"/>
      <c r="AG39" s="165"/>
      <c r="AH39" s="165"/>
    </row>
    <row r="40" spans="1:42" x14ac:dyDescent="0.2">
      <c r="AA40" s="165"/>
      <c r="AB40" s="165"/>
      <c r="AC40" s="165"/>
      <c r="AD40" s="165"/>
      <c r="AE40" s="165"/>
      <c r="AF40" s="165"/>
      <c r="AG40" s="165"/>
      <c r="AH40" s="165"/>
    </row>
    <row r="41" spans="1:42" x14ac:dyDescent="0.2">
      <c r="K41" s="314" t="str">
        <f>"ETP HEBDO =  "&amp;A37/40</f>
        <v>ETP HEBDO =  14,9365188542551</v>
      </c>
      <c r="L41" s="314"/>
      <c r="M41" s="314"/>
      <c r="N41" s="314"/>
      <c r="O41" s="314"/>
      <c r="P41" s="314"/>
      <c r="Q41" s="314"/>
      <c r="S41" s="315" t="str">
        <f>"ETP HEBDO =  "&amp;A38/40</f>
        <v>ETP HEBDO =  35,4</v>
      </c>
      <c r="T41" s="315"/>
      <c r="U41" s="315"/>
      <c r="V41" s="315"/>
      <c r="W41" s="315"/>
      <c r="X41" s="315"/>
      <c r="Y41" s="315"/>
      <c r="AA41" s="165" t="s">
        <v>162</v>
      </c>
      <c r="AB41" s="309" t="s">
        <v>149</v>
      </c>
      <c r="AC41" s="309"/>
      <c r="AD41" s="196">
        <f>COUNTIF(AB13:AH36, AA41)</f>
        <v>4</v>
      </c>
      <c r="AE41" s="165"/>
      <c r="AF41" s="165"/>
      <c r="AG41" s="165"/>
      <c r="AH41" s="165"/>
    </row>
    <row r="42" spans="1:42" x14ac:dyDescent="0.2">
      <c r="AA42" s="165"/>
      <c r="AB42" s="165"/>
      <c r="AC42" s="165"/>
      <c r="AD42" s="165"/>
      <c r="AE42" s="165"/>
      <c r="AF42" s="165"/>
      <c r="AG42" s="165"/>
      <c r="AH42" s="165"/>
    </row>
    <row r="43" spans="1:42" x14ac:dyDescent="0.2">
      <c r="AA43" s="165"/>
      <c r="AB43" s="165"/>
      <c r="AC43" s="165"/>
      <c r="AD43" s="165"/>
      <c r="AE43" s="165"/>
      <c r="AF43" s="165"/>
      <c r="AG43" s="165"/>
      <c r="AH43" s="165"/>
    </row>
    <row r="44" spans="1:42" x14ac:dyDescent="0.2">
      <c r="AA44" s="165" t="s">
        <v>163</v>
      </c>
      <c r="AB44" s="305" t="s">
        <v>152</v>
      </c>
      <c r="AC44" s="305"/>
      <c r="AD44" s="196">
        <f>COUNTIF(AB13:AH36, AA44)</f>
        <v>0</v>
      </c>
      <c r="AE44" s="165"/>
      <c r="AF44" s="165"/>
      <c r="AG44" s="165"/>
      <c r="AH44" s="165"/>
    </row>
    <row r="45" spans="1:42" x14ac:dyDescent="0.2">
      <c r="AA45" s="165"/>
      <c r="AB45" s="165"/>
      <c r="AC45" s="165"/>
      <c r="AD45" s="165"/>
      <c r="AE45" s="165"/>
      <c r="AF45" s="165"/>
      <c r="AG45" s="165"/>
      <c r="AH45" s="165"/>
    </row>
    <row r="46" spans="1:42" x14ac:dyDescent="0.2">
      <c r="AA46" s="165" t="s">
        <v>161</v>
      </c>
      <c r="AB46" s="221">
        <f>COUNTIF(AB13:AH36,AA46)/336</f>
        <v>5.9523809523809521E-3</v>
      </c>
      <c r="AC46" s="203" t="s">
        <v>153</v>
      </c>
      <c r="AD46" s="165"/>
      <c r="AE46" s="165"/>
      <c r="AF46" s="165"/>
      <c r="AG46" s="165"/>
      <c r="AH46" s="165"/>
    </row>
    <row r="47" spans="1:42" x14ac:dyDescent="0.2">
      <c r="AA47" s="21" t="s">
        <v>164</v>
      </c>
      <c r="AB47" s="221">
        <f>COUNTIF(AB13:AH36,AA47)/336</f>
        <v>0.48214285714285715</v>
      </c>
      <c r="AC47" s="203" t="s">
        <v>167</v>
      </c>
      <c r="AD47" s="165"/>
      <c r="AE47" s="165"/>
      <c r="AF47" s="165"/>
      <c r="AG47" s="165"/>
      <c r="AH47" s="165"/>
    </row>
  </sheetData>
  <mergeCells count="12">
    <mergeCell ref="AB44:AC44"/>
    <mergeCell ref="AB11:AH11"/>
    <mergeCell ref="K41:Q41"/>
    <mergeCell ref="S41:Y41"/>
    <mergeCell ref="AB41:AC41"/>
    <mergeCell ref="A4:B4"/>
    <mergeCell ref="A6:B6"/>
    <mergeCell ref="S7:Y7"/>
    <mergeCell ref="A8:B8"/>
    <mergeCell ref="C11:I11"/>
    <mergeCell ref="K11:Q11"/>
    <mergeCell ref="S11:Y11"/>
  </mergeCells>
  <conditionalFormatting sqref="AB10:AH1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B13:AH36">
    <cfRule type="cellIs" dxfId="1490" priority="23" operator="lessThan">
      <formula>-0.1</formula>
    </cfRule>
    <cfRule type="cellIs" dxfId="1489" priority="37" operator="between">
      <formula>-9</formula>
      <formula>-1</formula>
    </cfRule>
    <cfRule type="cellIs" dxfId="1488" priority="38" operator="between">
      <formula>1</formula>
      <formula>9</formula>
    </cfRule>
    <cfRule type="cellIs" dxfId="1487" priority="39" operator="lessThan">
      <formula>-9</formula>
    </cfRule>
    <cfRule type="cellIs" dxfId="1486" priority="40" operator="greaterThan">
      <formula>9</formula>
    </cfRule>
  </conditionalFormatting>
  <conditionalFormatting sqref="AJ13:AP36">
    <cfRule type="cellIs" dxfId="1485" priority="29" operator="between">
      <formula>-9</formula>
      <formula>-1</formula>
    </cfRule>
    <cfRule type="cellIs" dxfId="1484" priority="30" operator="between">
      <formula>1</formula>
      <formula>9</formula>
    </cfRule>
    <cfRule type="cellIs" dxfId="1483" priority="31" operator="lessThan">
      <formula>-9</formula>
    </cfRule>
    <cfRule type="cellIs" dxfId="1482" priority="32" operator="greaterThan">
      <formula>9</formula>
    </cfRule>
  </conditionalFormatting>
  <conditionalFormatting sqref="C13:I3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Q36">
    <cfRule type="cellIs" dxfId="1481" priority="26" operator="greaterThan">
      <formula>50</formula>
    </cfRule>
    <cfRule type="cellIs" dxfId="1480" priority="27" operator="greaterThan">
      <formula>69</formula>
    </cfRule>
    <cfRule type="colorScale" priority="28">
      <colorScale>
        <cfvo type="min"/>
        <cfvo type="max"/>
        <color rgb="FFFCFCFF"/>
        <color rgb="FF63BE7B"/>
      </colorScale>
    </cfRule>
  </conditionalFormatting>
  <conditionalFormatting sqref="S13:Y36">
    <cfRule type="cellIs" dxfId="1479" priority="24" operator="lessThan">
      <formula>30</formula>
    </cfRule>
    <cfRule type="cellIs" dxfId="1478" priority="25" operator="greaterThan">
      <formula>50</formula>
    </cfRule>
  </conditionalFormatting>
  <conditionalFormatting sqref="AB37:AH37">
    <cfRule type="cellIs" dxfId="1477" priority="8" operator="between">
      <formula>-9</formula>
      <formula>-1</formula>
    </cfRule>
    <cfRule type="cellIs" dxfId="1476" priority="9" operator="between">
      <formula>1</formula>
      <formula>9</formula>
    </cfRule>
    <cfRule type="cellIs" dxfId="1475" priority="10" operator="lessThan">
      <formula>-9</formula>
    </cfRule>
    <cfRule type="cellIs" dxfId="1474" priority="11" operator="greaterThan">
      <formula>9</formula>
    </cfRule>
  </conditionalFormatting>
  <conditionalFormatting sqref="AD44">
    <cfRule type="cellIs" dxfId="1473" priority="7" operator="greaterThan">
      <formula>0</formula>
    </cfRule>
  </conditionalFormatting>
  <conditionalFormatting sqref="AB46">
    <cfRule type="cellIs" dxfId="1472" priority="6" operator="greaterThan">
      <formula>0.1</formula>
    </cfRule>
  </conditionalFormatting>
  <conditionalFormatting sqref="AD41">
    <cfRule type="cellIs" dxfId="1471" priority="5" operator="greaterThan">
      <formula>0</formula>
    </cfRule>
  </conditionalFormatting>
  <conditionalFormatting sqref="AB37:AH37">
    <cfRule type="cellIs" dxfId="1470" priority="4" operator="lessThan">
      <formula>-0.1</formula>
    </cfRule>
  </conditionalFormatting>
  <conditionalFormatting sqref="AB37:AH37">
    <cfRule type="cellIs" dxfId="1469" priority="3" operator="greaterThan">
      <formula>0.1499</formula>
    </cfRule>
  </conditionalFormatting>
  <conditionalFormatting sqref="AB38:AH38">
    <cfRule type="cellIs" dxfId="1468" priority="2" operator="greaterThan">
      <formula>0.2</formula>
    </cfRule>
  </conditionalFormatting>
  <conditionalFormatting sqref="AB47">
    <cfRule type="cellIs" dxfId="1467" priority="1" operator="greaterThan">
      <formula>0.15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75ED-D61C-44B7-99FB-D1DC0FAD0EC2}">
  <sheetPr>
    <tabColor rgb="FFC00000"/>
  </sheetPr>
  <dimension ref="A1:BE47"/>
  <sheetViews>
    <sheetView zoomScale="80" zoomScaleNormal="80" workbookViewId="0">
      <selection activeCell="R39" sqref="R39"/>
    </sheetView>
  </sheetViews>
  <sheetFormatPr baseColWidth="10" defaultRowHeight="12.75" x14ac:dyDescent="0.2"/>
  <cols>
    <col min="3" max="3" width="7.85546875" bestFit="1" customWidth="1"/>
    <col min="4" max="4" width="5.85546875" bestFit="1" customWidth="1"/>
    <col min="5" max="5" width="8.7109375" bestFit="1" customWidth="1"/>
    <col min="6" max="6" width="5.7109375" bestFit="1" customWidth="1"/>
    <col min="7" max="7" width="9.140625" bestFit="1" customWidth="1"/>
    <col min="8" max="8" width="7.42578125" bestFit="1" customWidth="1"/>
    <col min="9" max="9" width="9.5703125" bestFit="1" customWidth="1"/>
    <col min="10" max="10" width="12.140625" bestFit="1" customWidth="1"/>
    <col min="11" max="12" width="6.5703125" bestFit="1" customWidth="1"/>
    <col min="13" max="13" width="8.85546875" bestFit="1" customWidth="1"/>
    <col min="14" max="14" width="6.5703125" bestFit="1" customWidth="1"/>
    <col min="15" max="15" width="9.28515625" bestFit="1" customWidth="1"/>
    <col min="16" max="16" width="7.5703125" bestFit="1" customWidth="1"/>
    <col min="17" max="17" width="9.710937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7" max="27" width="8" bestFit="1" customWidth="1"/>
    <col min="28" max="28" width="6" bestFit="1" customWidth="1"/>
    <col min="29" max="29" width="8.7109375" bestFit="1" customWidth="1"/>
    <col min="30" max="30" width="6" bestFit="1" customWidth="1"/>
    <col min="31" max="31" width="9.140625" bestFit="1" customWidth="1"/>
    <col min="32" max="32" width="7.42578125" bestFit="1" customWidth="1"/>
    <col min="33" max="33" width="9.5703125" bestFit="1" customWidth="1"/>
    <col min="35" max="36" width="5.85546875" hidden="1" customWidth="1"/>
    <col min="37" max="37" width="8.7109375" hidden="1" customWidth="1"/>
    <col min="38" max="38" width="5.7109375" hidden="1" customWidth="1"/>
    <col min="39" max="39" width="9.140625" hidden="1" customWidth="1"/>
    <col min="40" max="40" width="7.42578125" hidden="1" customWidth="1"/>
    <col min="41" max="41" width="9.5703125" hidden="1" customWidth="1"/>
    <col min="43" max="43" width="8.7109375" bestFit="1" customWidth="1"/>
    <col min="44" max="44" width="7.28515625" bestFit="1" customWidth="1"/>
    <col min="45" max="45" width="8.85546875" bestFit="1" customWidth="1"/>
    <col min="46" max="46" width="7.28515625" bestFit="1" customWidth="1"/>
    <col min="47" max="47" width="9.28515625" bestFit="1" customWidth="1"/>
    <col min="48" max="48" width="7.5703125" bestFit="1" customWidth="1"/>
    <col min="49" max="49" width="9.5703125" customWidth="1"/>
    <col min="51" max="57" width="7.42578125" hidden="1" customWidth="1"/>
  </cols>
  <sheetData>
    <row r="1" spans="1:57" ht="13.5" thickBot="1" x14ac:dyDescent="0.25"/>
    <row r="2" spans="1:57" ht="13.5" thickBot="1" x14ac:dyDescent="0.25">
      <c r="A2" s="131" t="s">
        <v>126</v>
      </c>
      <c r="C2" s="132">
        <v>0.7</v>
      </c>
      <c r="K2" s="161"/>
      <c r="L2" s="161"/>
      <c r="M2" s="161"/>
      <c r="N2" s="161"/>
      <c r="O2" s="161"/>
      <c r="P2" s="161"/>
      <c r="Q2" s="161"/>
    </row>
    <row r="3" spans="1:57" ht="13.5" thickBot="1" x14ac:dyDescent="0.25"/>
    <row r="4" spans="1:57" ht="13.5" thickBot="1" x14ac:dyDescent="0.25">
      <c r="A4" s="317" t="s">
        <v>132</v>
      </c>
      <c r="B4" s="317"/>
      <c r="C4" s="132">
        <v>0.95</v>
      </c>
      <c r="J4" s="21" t="s">
        <v>165</v>
      </c>
      <c r="K4" s="223">
        <f>C39</f>
        <v>2.1666999999999999E-2</v>
      </c>
      <c r="L4" s="224">
        <f t="shared" ref="L4:Q4" si="0">D39</f>
        <v>0.02</v>
      </c>
      <c r="M4" s="224">
        <f t="shared" si="0"/>
        <v>0.02</v>
      </c>
      <c r="N4" s="224">
        <f t="shared" si="0"/>
        <v>1.6667000000000001E-2</v>
      </c>
      <c r="O4" s="224">
        <f t="shared" si="0"/>
        <v>1.4999999999999999E-2</v>
      </c>
      <c r="P4" s="224">
        <f t="shared" si="0"/>
        <v>2.4E-2</v>
      </c>
      <c r="Q4" s="225">
        <f t="shared" si="0"/>
        <v>0.01</v>
      </c>
    </row>
    <row r="5" spans="1:57" ht="13.5" thickBot="1" x14ac:dyDescent="0.25">
      <c r="C5" s="133"/>
      <c r="H5" t="s">
        <v>133</v>
      </c>
      <c r="S5" s="21"/>
    </row>
    <row r="6" spans="1:57" ht="13.5" thickBot="1" x14ac:dyDescent="0.25">
      <c r="A6" s="317" t="s">
        <v>134</v>
      </c>
      <c r="B6" s="317"/>
      <c r="C6" s="134">
        <v>30</v>
      </c>
    </row>
    <row r="7" spans="1:57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7" t="s">
        <v>135</v>
      </c>
      <c r="B8" s="318"/>
      <c r="C8" s="220">
        <v>1.9045992803210857E-2</v>
      </c>
      <c r="D8" s="220">
        <v>1.7385944534326667E-2</v>
      </c>
      <c r="E8" s="220">
        <v>2.2653832283230872E-2</v>
      </c>
      <c r="F8" s="220">
        <v>1.951425861474514E-2</v>
      </c>
      <c r="G8" s="220">
        <v>1.5981682467846248E-2</v>
      </c>
      <c r="H8" s="220">
        <v>1.6451959320648333E-2</v>
      </c>
      <c r="I8" s="220">
        <v>1.1121389436689182E-2</v>
      </c>
      <c r="J8" s="21"/>
      <c r="K8" s="135"/>
      <c r="L8" s="135"/>
      <c r="M8" s="135"/>
      <c r="N8" s="135"/>
      <c r="O8" s="135"/>
      <c r="P8" s="135"/>
      <c r="Q8" s="135"/>
      <c r="S8" s="204"/>
      <c r="T8" s="204"/>
      <c r="U8" s="204"/>
      <c r="V8" s="204"/>
      <c r="W8" s="204"/>
      <c r="X8" s="204"/>
      <c r="Y8" s="204"/>
    </row>
    <row r="9" spans="1:57" ht="13.5" thickBot="1" x14ac:dyDescent="0.25">
      <c r="S9" s="136"/>
      <c r="T9" s="136"/>
      <c r="U9" s="136"/>
      <c r="V9" s="136"/>
      <c r="W9" s="136"/>
      <c r="X9" s="136"/>
      <c r="Y9" s="136"/>
    </row>
    <row r="10" spans="1:57" ht="13.5" thickBot="1" x14ac:dyDescent="0.25">
      <c r="A10" s="137" t="s">
        <v>136</v>
      </c>
      <c r="B10" s="134">
        <v>60</v>
      </c>
      <c r="C10" s="21" t="s">
        <v>17</v>
      </c>
      <c r="J10" s="138" t="s">
        <v>137</v>
      </c>
      <c r="K10">
        <f>C38</f>
        <v>721</v>
      </c>
      <c r="L10">
        <f t="shared" ref="L10:Q10" si="1">D38</f>
        <v>788</v>
      </c>
      <c r="M10">
        <f t="shared" si="1"/>
        <v>728</v>
      </c>
      <c r="N10">
        <f t="shared" si="1"/>
        <v>675</v>
      </c>
      <c r="O10">
        <f t="shared" si="1"/>
        <v>833</v>
      </c>
      <c r="P10">
        <f t="shared" si="1"/>
        <v>863</v>
      </c>
      <c r="Q10">
        <f t="shared" si="1"/>
        <v>771</v>
      </c>
      <c r="S10">
        <f t="shared" ref="S10:Y10" si="2">MAX(K13:K36)</f>
        <v>5.3808315000000002</v>
      </c>
      <c r="T10">
        <f t="shared" si="2"/>
        <v>5.88</v>
      </c>
      <c r="U10">
        <f t="shared" si="2"/>
        <v>5.39</v>
      </c>
      <c r="V10">
        <f t="shared" si="2"/>
        <v>5.4083315000000001</v>
      </c>
      <c r="W10">
        <f t="shared" si="2"/>
        <v>7.3875000000000002</v>
      </c>
      <c r="X10">
        <f t="shared" si="2"/>
        <v>4.88</v>
      </c>
      <c r="Y10">
        <f t="shared" si="2"/>
        <v>4.4550000000000001</v>
      </c>
      <c r="AA10" s="139">
        <f t="shared" ref="AA10:AG10" si="3">AY10/C37</f>
        <v>0.96465016296600881</v>
      </c>
      <c r="AB10" s="139">
        <f t="shared" si="3"/>
        <v>0.9168434387893567</v>
      </c>
      <c r="AC10" s="139">
        <f t="shared" si="3"/>
        <v>0.87098433928549823</v>
      </c>
      <c r="AD10" s="139">
        <f t="shared" si="3"/>
        <v>0.96142942445288371</v>
      </c>
      <c r="AE10" s="139">
        <f t="shared" si="3"/>
        <v>0.87201570172359355</v>
      </c>
      <c r="AF10" s="139">
        <f t="shared" si="3"/>
        <v>0.94107110367336866</v>
      </c>
      <c r="AG10" s="139">
        <f t="shared" si="3"/>
        <v>0.98616507048929336</v>
      </c>
      <c r="AI10" s="139"/>
      <c r="AJ10" s="139"/>
      <c r="AK10" s="139"/>
      <c r="AL10" s="139"/>
      <c r="AM10" s="139"/>
      <c r="AN10" s="139"/>
      <c r="AO10" s="139"/>
      <c r="AQ10" s="323" t="s">
        <v>158</v>
      </c>
      <c r="AR10" s="324"/>
      <c r="AS10" s="324"/>
      <c r="AT10" s="324"/>
      <c r="AU10" s="324"/>
      <c r="AV10" s="324"/>
      <c r="AW10" s="325"/>
      <c r="AY10" s="163">
        <f t="shared" ref="AY10:BE10" si="4">SUM(AY13:AY36)</f>
        <v>345.34475834183115</v>
      </c>
      <c r="AZ10" s="163">
        <f t="shared" si="4"/>
        <v>332.81416828053648</v>
      </c>
      <c r="BA10" s="163">
        <f t="shared" si="4"/>
        <v>303.10255007135339</v>
      </c>
      <c r="BB10" s="163">
        <f t="shared" si="4"/>
        <v>398.99321114794674</v>
      </c>
      <c r="BC10" s="163">
        <f t="shared" si="4"/>
        <v>333.98201376013634</v>
      </c>
      <c r="BD10" s="163">
        <f t="shared" si="4"/>
        <v>265.38205123588995</v>
      </c>
      <c r="BE10" s="163">
        <f t="shared" si="4"/>
        <v>269.22306424357708</v>
      </c>
    </row>
    <row r="11" spans="1:57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A11" s="319" t="s">
        <v>11</v>
      </c>
      <c r="AB11" s="319"/>
      <c r="AC11" s="319"/>
      <c r="AD11" s="319"/>
      <c r="AE11" s="319"/>
      <c r="AF11" s="319"/>
      <c r="AG11" s="319"/>
      <c r="AI11" s="319" t="s">
        <v>45</v>
      </c>
      <c r="AJ11" s="319"/>
      <c r="AK11" s="319"/>
      <c r="AL11" s="319"/>
      <c r="AM11" s="319"/>
      <c r="AN11" s="319"/>
      <c r="AO11" s="319"/>
      <c r="AQ11" s="319" t="s">
        <v>45</v>
      </c>
      <c r="AR11" s="319"/>
      <c r="AS11" s="319"/>
      <c r="AT11" s="319"/>
      <c r="AU11" s="319"/>
      <c r="AV11" s="319"/>
      <c r="AW11" s="319"/>
    </row>
    <row r="12" spans="1:57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A12" s="142" t="s">
        <v>139</v>
      </c>
      <c r="AB12" s="142" t="s">
        <v>140</v>
      </c>
      <c r="AC12" s="142" t="s">
        <v>141</v>
      </c>
      <c r="AD12" s="142" t="s">
        <v>142</v>
      </c>
      <c r="AE12" s="142" t="s">
        <v>143</v>
      </c>
      <c r="AF12" s="142" t="s">
        <v>144</v>
      </c>
      <c r="AG12" s="142" t="s">
        <v>145</v>
      </c>
      <c r="AI12" s="142" t="s">
        <v>139</v>
      </c>
      <c r="AJ12" s="142" t="s">
        <v>140</v>
      </c>
      <c r="AK12" s="142" t="s">
        <v>141</v>
      </c>
      <c r="AL12" s="142" t="s">
        <v>142</v>
      </c>
      <c r="AM12" s="142" t="s">
        <v>143</v>
      </c>
      <c r="AN12" s="142" t="s">
        <v>144</v>
      </c>
      <c r="AO12" s="142" t="s">
        <v>145</v>
      </c>
      <c r="AQ12" s="142" t="s">
        <v>139</v>
      </c>
      <c r="AR12" s="142" t="s">
        <v>140</v>
      </c>
      <c r="AS12" s="142" t="s">
        <v>141</v>
      </c>
      <c r="AT12" s="142" t="s">
        <v>142</v>
      </c>
      <c r="AU12" s="142" t="s">
        <v>143</v>
      </c>
      <c r="AV12" s="142" t="s">
        <v>144</v>
      </c>
      <c r="AW12" s="142" t="s">
        <v>145</v>
      </c>
    </row>
    <row r="13" spans="1:57" x14ac:dyDescent="0.2">
      <c r="A13" s="143">
        <f>AVERAGE(C13:I13)</f>
        <v>7.1428571428571432</v>
      </c>
      <c r="B13" s="144">
        <v>0</v>
      </c>
      <c r="C13">
        <v>2</v>
      </c>
      <c r="D13">
        <v>12</v>
      </c>
      <c r="E13">
        <v>4</v>
      </c>
      <c r="F13">
        <v>14</v>
      </c>
      <c r="G13">
        <v>6</v>
      </c>
      <c r="H13">
        <v>7</v>
      </c>
      <c r="I13">
        <v>5</v>
      </c>
      <c r="J13" s="165">
        <v>1</v>
      </c>
      <c r="K13" s="207">
        <f>AgentsRequired(C13,$B$10,K$10,$C$4,$C$6,$C$2,$C$8)*(1-K$4)/2</f>
        <v>1.4674995</v>
      </c>
      <c r="L13" s="207">
        <f t="shared" ref="L13:Q28" si="5">AgentsRequired(D13,$B$10,L$10,$C$4,$C$6,$C$2,$C$8)*(1-L$4)/2</f>
        <v>3.4299999999999997</v>
      </c>
      <c r="M13" s="207">
        <f t="shared" si="5"/>
        <v>1.47</v>
      </c>
      <c r="N13" s="207">
        <f t="shared" si="5"/>
        <v>2.949999</v>
      </c>
      <c r="O13" s="207">
        <f t="shared" si="5"/>
        <v>2.4624999999999999</v>
      </c>
      <c r="P13" s="207">
        <f t="shared" si="5"/>
        <v>2.44</v>
      </c>
      <c r="Q13" s="207">
        <f t="shared" si="5"/>
        <v>1.98</v>
      </c>
      <c r="R13" s="165">
        <v>1</v>
      </c>
      <c r="S13" s="146">
        <v>5</v>
      </c>
      <c r="T13" s="146">
        <v>4</v>
      </c>
      <c r="U13" s="146">
        <v>2</v>
      </c>
      <c r="V13" s="146">
        <v>4</v>
      </c>
      <c r="W13" s="146">
        <v>3</v>
      </c>
      <c r="X13" s="146">
        <v>4</v>
      </c>
      <c r="Y13" s="146">
        <v>4</v>
      </c>
      <c r="AA13" s="55">
        <f>ServiceLevel(C13,$B$10,K$10,$C$6,S13)</f>
        <v>0.99994831989140054</v>
      </c>
      <c r="AB13" s="55">
        <f>ServiceLevel(D13,$B$10,L$10,$C$6,T13)</f>
        <v>0.65460990330540325</v>
      </c>
      <c r="AC13" s="55">
        <f t="shared" ref="AC13:AG28" si="6">ServiceLevel(E13,$B$10,M$10,$C$6,U13)</f>
        <v>0.77821806869251031</v>
      </c>
      <c r="AD13" s="55">
        <f t="shared" si="6"/>
        <v>0.6582075741400516</v>
      </c>
      <c r="AE13" s="55">
        <f t="shared" si="6"/>
        <v>0.81269142967914643</v>
      </c>
      <c r="AF13" s="55">
        <f t="shared" si="6"/>
        <v>0.90353809228847715</v>
      </c>
      <c r="AG13" s="55">
        <f t="shared" si="6"/>
        <v>0.97716667792803402</v>
      </c>
      <c r="AI13" s="214">
        <f>S13-K13</f>
        <v>3.5325005000000003</v>
      </c>
      <c r="AJ13" s="214">
        <f t="shared" ref="AJ13:AO28" si="7">T13-L13</f>
        <v>0.57000000000000028</v>
      </c>
      <c r="AK13" s="214">
        <f t="shared" si="7"/>
        <v>0.53</v>
      </c>
      <c r="AL13" s="214">
        <f t="shared" si="7"/>
        <v>1.050001</v>
      </c>
      <c r="AM13" s="214">
        <f t="shared" si="7"/>
        <v>0.53750000000000009</v>
      </c>
      <c r="AN13" s="214">
        <f t="shared" si="7"/>
        <v>1.56</v>
      </c>
      <c r="AO13" s="214">
        <f t="shared" si="7"/>
        <v>2.02</v>
      </c>
      <c r="AP13" s="206">
        <f>B13</f>
        <v>0</v>
      </c>
      <c r="AQ13" s="213">
        <f>S13/K13-1</f>
        <v>2.4071561864245949</v>
      </c>
      <c r="AR13" s="213">
        <f t="shared" ref="AR13:AW28" si="8">T13/L13-1</f>
        <v>0.16618075801749277</v>
      </c>
      <c r="AS13" s="213">
        <f t="shared" si="8"/>
        <v>0.36054421768707479</v>
      </c>
      <c r="AT13" s="213">
        <f t="shared" si="8"/>
        <v>0.35593266302802129</v>
      </c>
      <c r="AU13" s="213">
        <f t="shared" si="8"/>
        <v>0.218274111675127</v>
      </c>
      <c r="AV13" s="213">
        <f t="shared" si="8"/>
        <v>0.63934426229508201</v>
      </c>
      <c r="AW13" s="213">
        <f t="shared" si="8"/>
        <v>1.0202020202020203</v>
      </c>
      <c r="AY13" s="162">
        <f>AA13*C13</f>
        <v>1.9998966397828011</v>
      </c>
      <c r="AZ13" s="162">
        <f t="shared" ref="AZ13:BE28" si="9">AB13*D13</f>
        <v>7.8553188396648395</v>
      </c>
      <c r="BA13" s="162">
        <f t="shared" si="9"/>
        <v>3.1128722747700412</v>
      </c>
      <c r="BB13" s="162">
        <f t="shared" si="9"/>
        <v>9.2149060379607217</v>
      </c>
      <c r="BC13" s="162">
        <f t="shared" si="9"/>
        <v>4.8761485780748783</v>
      </c>
      <c r="BD13" s="162">
        <f t="shared" si="9"/>
        <v>6.3247666460193397</v>
      </c>
      <c r="BE13" s="162">
        <f t="shared" si="9"/>
        <v>4.8858333896401698</v>
      </c>
    </row>
    <row r="14" spans="1:57" x14ac:dyDescent="0.2">
      <c r="A14" s="143">
        <f t="shared" ref="A14:A36" si="10">AVERAGE(C14:I14)</f>
        <v>4.7142857142857144</v>
      </c>
      <c r="B14" s="147">
        <f>B13+TIME(0,$B$10,0)</f>
        <v>4.1666666666666664E-2</v>
      </c>
      <c r="C14">
        <v>2</v>
      </c>
      <c r="D14">
        <v>5</v>
      </c>
      <c r="E14">
        <v>6</v>
      </c>
      <c r="F14">
        <v>3</v>
      </c>
      <c r="G14">
        <v>4</v>
      </c>
      <c r="H14">
        <v>7</v>
      </c>
      <c r="I14">
        <v>6</v>
      </c>
      <c r="J14" s="165">
        <v>2</v>
      </c>
      <c r="K14" s="207">
        <f t="shared" ref="K14:K36" si="11">AgentsRequired(C14,$B$10,K$10,$C$4,$C$6,$C$2,$C$8)*(1-K$4)/2</f>
        <v>1.4674995</v>
      </c>
      <c r="L14" s="207">
        <f t="shared" si="5"/>
        <v>1.96</v>
      </c>
      <c r="M14" s="207">
        <f t="shared" si="5"/>
        <v>1.96</v>
      </c>
      <c r="N14" s="207">
        <f t="shared" si="5"/>
        <v>1.4749995</v>
      </c>
      <c r="O14" s="207">
        <f t="shared" si="5"/>
        <v>1.97</v>
      </c>
      <c r="P14" s="207">
        <f t="shared" si="5"/>
        <v>2.44</v>
      </c>
      <c r="Q14" s="207">
        <f t="shared" si="5"/>
        <v>1.98</v>
      </c>
      <c r="R14" s="165">
        <v>2</v>
      </c>
      <c r="S14" s="146">
        <v>5</v>
      </c>
      <c r="T14" s="146">
        <v>4</v>
      </c>
      <c r="U14" s="146">
        <v>2</v>
      </c>
      <c r="V14" s="146">
        <v>4</v>
      </c>
      <c r="W14" s="146">
        <v>3</v>
      </c>
      <c r="X14" s="146">
        <v>4</v>
      </c>
      <c r="Y14" s="146">
        <v>4</v>
      </c>
      <c r="AA14" s="55">
        <f t="shared" ref="AA14:AG36" si="12">ServiceLevel(C14,$B$10,K$10,$C$6,S14)</f>
        <v>0.99994831989140054</v>
      </c>
      <c r="AB14" s="55">
        <f t="shared" si="12"/>
        <v>0.97539166771645425</v>
      </c>
      <c r="AC14" s="55">
        <f t="shared" si="6"/>
        <v>0.55646724151582661</v>
      </c>
      <c r="AD14" s="55">
        <f t="shared" si="6"/>
        <v>0.99762636464003895</v>
      </c>
      <c r="AE14" s="55">
        <f t="shared" si="6"/>
        <v>0.93031429079527828</v>
      </c>
      <c r="AF14" s="55">
        <f t="shared" si="6"/>
        <v>0.90353809228847715</v>
      </c>
      <c r="AG14" s="55">
        <f t="shared" si="6"/>
        <v>0.95853223197788651</v>
      </c>
      <c r="AI14" s="214">
        <f t="shared" ref="AI14:AO36" si="13">S14-K14</f>
        <v>3.5325005000000003</v>
      </c>
      <c r="AJ14" s="214">
        <f t="shared" si="7"/>
        <v>2.04</v>
      </c>
      <c r="AK14" s="214">
        <f t="shared" si="7"/>
        <v>4.0000000000000036E-2</v>
      </c>
      <c r="AL14" s="214">
        <f t="shared" si="7"/>
        <v>2.5250005</v>
      </c>
      <c r="AM14" s="214">
        <f t="shared" si="7"/>
        <v>1.03</v>
      </c>
      <c r="AN14" s="214">
        <f t="shared" si="7"/>
        <v>1.56</v>
      </c>
      <c r="AO14" s="214">
        <f t="shared" si="7"/>
        <v>2.02</v>
      </c>
      <c r="AP14" s="206">
        <f t="shared" ref="AP14:AP36" si="14">B14</f>
        <v>4.1666666666666664E-2</v>
      </c>
      <c r="AQ14" s="213">
        <f t="shared" ref="AQ14:AW36" si="15">S14/K14-1</f>
        <v>2.4071561864245949</v>
      </c>
      <c r="AR14" s="213">
        <f t="shared" si="8"/>
        <v>1.0408163265306123</v>
      </c>
      <c r="AS14" s="213">
        <f t="shared" si="8"/>
        <v>2.0408163265306145E-2</v>
      </c>
      <c r="AT14" s="213">
        <f t="shared" si="8"/>
        <v>1.7118653260560426</v>
      </c>
      <c r="AU14" s="213">
        <f t="shared" si="8"/>
        <v>0.52284263959390875</v>
      </c>
      <c r="AV14" s="213">
        <f t="shared" si="8"/>
        <v>0.63934426229508201</v>
      </c>
      <c r="AW14" s="213">
        <f t="shared" si="8"/>
        <v>1.0202020202020203</v>
      </c>
      <c r="AY14" s="162">
        <f t="shared" ref="AY14:BE36" si="16">AA14*C14</f>
        <v>1.9998966397828011</v>
      </c>
      <c r="AZ14" s="162">
        <f t="shared" si="9"/>
        <v>4.8769583385822717</v>
      </c>
      <c r="BA14" s="162">
        <f t="shared" si="9"/>
        <v>3.3388034490949599</v>
      </c>
      <c r="BB14" s="162">
        <f t="shared" si="9"/>
        <v>2.9928790939201169</v>
      </c>
      <c r="BC14" s="162">
        <f t="shared" si="9"/>
        <v>3.7212571631811131</v>
      </c>
      <c r="BD14" s="162">
        <f t="shared" si="9"/>
        <v>6.3247666460193397</v>
      </c>
      <c r="BE14" s="162">
        <f t="shared" si="9"/>
        <v>5.7511933918673188</v>
      </c>
    </row>
    <row r="15" spans="1:57" x14ac:dyDescent="0.2">
      <c r="A15" s="143">
        <f t="shared" si="10"/>
        <v>3.2857142857142856</v>
      </c>
      <c r="B15" s="147">
        <f t="shared" ref="B15:B36" si="17">B14+TIME(0,$B$10,0)</f>
        <v>8.3333333333333329E-2</v>
      </c>
      <c r="C15">
        <v>1</v>
      </c>
      <c r="D15">
        <v>3</v>
      </c>
      <c r="E15">
        <v>3</v>
      </c>
      <c r="F15">
        <v>5</v>
      </c>
      <c r="G15">
        <v>2</v>
      </c>
      <c r="H15">
        <v>3</v>
      </c>
      <c r="I15">
        <v>6</v>
      </c>
      <c r="J15" s="165">
        <v>3</v>
      </c>
      <c r="K15" s="207">
        <f t="shared" si="11"/>
        <v>0.97833300000000001</v>
      </c>
      <c r="L15" s="207">
        <f t="shared" si="5"/>
        <v>1.47</v>
      </c>
      <c r="M15" s="207">
        <f t="shared" si="5"/>
        <v>1.47</v>
      </c>
      <c r="N15" s="207">
        <f t="shared" si="5"/>
        <v>1.966666</v>
      </c>
      <c r="O15" s="207">
        <f t="shared" si="5"/>
        <v>1.4775</v>
      </c>
      <c r="P15" s="207">
        <f t="shared" si="5"/>
        <v>1.464</v>
      </c>
      <c r="Q15" s="207">
        <f t="shared" si="5"/>
        <v>1.98</v>
      </c>
      <c r="R15" s="165">
        <v>3</v>
      </c>
      <c r="S15" s="146">
        <v>3</v>
      </c>
      <c r="T15" s="146">
        <v>3</v>
      </c>
      <c r="U15" s="146">
        <v>2</v>
      </c>
      <c r="V15" s="146">
        <v>4</v>
      </c>
      <c r="W15" s="146">
        <v>3</v>
      </c>
      <c r="X15" s="146">
        <v>3</v>
      </c>
      <c r="Y15" s="146">
        <v>3</v>
      </c>
      <c r="AA15" s="55">
        <f t="shared" si="12"/>
        <v>0.9989548654775523</v>
      </c>
      <c r="AB15" s="55">
        <f t="shared" si="12"/>
        <v>0.97140674097822732</v>
      </c>
      <c r="AC15" s="55">
        <f t="shared" si="6"/>
        <v>0.86668511911279955</v>
      </c>
      <c r="AD15" s="55">
        <f t="shared" si="6"/>
        <v>0.98564742124352034</v>
      </c>
      <c r="AE15" s="55">
        <f t="shared" si="6"/>
        <v>0.98878461954908137</v>
      </c>
      <c r="AF15" s="55">
        <f t="shared" si="6"/>
        <v>0.96342282517177547</v>
      </c>
      <c r="AG15" s="55">
        <f t="shared" si="6"/>
        <v>0.8448270148941992</v>
      </c>
      <c r="AI15" s="214">
        <f t="shared" si="13"/>
        <v>2.0216669999999999</v>
      </c>
      <c r="AJ15" s="214">
        <f t="shared" si="7"/>
        <v>1.53</v>
      </c>
      <c r="AK15" s="214">
        <f t="shared" si="7"/>
        <v>0.53</v>
      </c>
      <c r="AL15" s="214">
        <f t="shared" si="7"/>
        <v>2.033334</v>
      </c>
      <c r="AM15" s="214">
        <f t="shared" si="7"/>
        <v>1.5225</v>
      </c>
      <c r="AN15" s="214">
        <f t="shared" si="7"/>
        <v>1.536</v>
      </c>
      <c r="AO15" s="214">
        <f t="shared" si="7"/>
        <v>1.02</v>
      </c>
      <c r="AP15" s="206">
        <f t="shared" si="14"/>
        <v>8.3333333333333329E-2</v>
      </c>
      <c r="AQ15" s="213">
        <f t="shared" si="15"/>
        <v>2.0664405677821356</v>
      </c>
      <c r="AR15" s="213">
        <f t="shared" si="8"/>
        <v>1.0408163265306123</v>
      </c>
      <c r="AS15" s="213">
        <f t="shared" si="8"/>
        <v>0.36054421768707479</v>
      </c>
      <c r="AT15" s="213">
        <f t="shared" si="8"/>
        <v>1.033898994542032</v>
      </c>
      <c r="AU15" s="213">
        <f t="shared" si="8"/>
        <v>1.030456852791878</v>
      </c>
      <c r="AV15" s="213">
        <f t="shared" si="8"/>
        <v>1.0491803278688523</v>
      </c>
      <c r="AW15" s="213">
        <f t="shared" si="8"/>
        <v>0.51515151515151514</v>
      </c>
      <c r="AY15" s="162">
        <f t="shared" si="16"/>
        <v>0.9989548654775523</v>
      </c>
      <c r="AZ15" s="162">
        <f t="shared" si="9"/>
        <v>2.9142202229346821</v>
      </c>
      <c r="BA15" s="162">
        <f t="shared" si="9"/>
        <v>2.6000553573383987</v>
      </c>
      <c r="BB15" s="162">
        <f t="shared" si="9"/>
        <v>4.928237106217602</v>
      </c>
      <c r="BC15" s="162">
        <f t="shared" si="9"/>
        <v>1.9775692390981627</v>
      </c>
      <c r="BD15" s="162">
        <f t="shared" si="9"/>
        <v>2.8902684755153265</v>
      </c>
      <c r="BE15" s="162">
        <f t="shared" si="9"/>
        <v>5.0689620893651952</v>
      </c>
    </row>
    <row r="16" spans="1:57" x14ac:dyDescent="0.2">
      <c r="A16" s="143">
        <f t="shared" si="10"/>
        <v>2.5714285714285716</v>
      </c>
      <c r="B16" s="147">
        <f t="shared" si="17"/>
        <v>0.125</v>
      </c>
      <c r="C16">
        <v>0</v>
      </c>
      <c r="D16">
        <v>1</v>
      </c>
      <c r="E16">
        <v>6</v>
      </c>
      <c r="F16">
        <v>5</v>
      </c>
      <c r="G16">
        <v>2</v>
      </c>
      <c r="H16">
        <v>1</v>
      </c>
      <c r="I16">
        <v>3</v>
      </c>
      <c r="J16" s="165">
        <v>4</v>
      </c>
      <c r="K16" s="207">
        <f t="shared" si="11"/>
        <v>0</v>
      </c>
      <c r="L16" s="207">
        <f t="shared" si="5"/>
        <v>0.98</v>
      </c>
      <c r="M16" s="207">
        <f t="shared" si="5"/>
        <v>1.96</v>
      </c>
      <c r="N16" s="207">
        <f t="shared" si="5"/>
        <v>1.966666</v>
      </c>
      <c r="O16" s="207">
        <f t="shared" si="5"/>
        <v>1.4775</v>
      </c>
      <c r="P16" s="207">
        <f t="shared" si="5"/>
        <v>0.97599999999999998</v>
      </c>
      <c r="Q16" s="207">
        <f t="shared" si="5"/>
        <v>1.4849999999999999</v>
      </c>
      <c r="R16" s="165">
        <v>4</v>
      </c>
      <c r="S16" s="146">
        <v>3</v>
      </c>
      <c r="T16" s="146">
        <v>3</v>
      </c>
      <c r="U16" s="146">
        <v>2</v>
      </c>
      <c r="V16" s="146">
        <v>4</v>
      </c>
      <c r="W16" s="146">
        <v>3</v>
      </c>
      <c r="X16" s="146">
        <v>2</v>
      </c>
      <c r="Y16" s="146">
        <v>3</v>
      </c>
      <c r="AA16" s="55">
        <f t="shared" si="12"/>
        <v>0.11735008538239655</v>
      </c>
      <c r="AB16" s="55">
        <f t="shared" si="12"/>
        <v>0.99863741241958914</v>
      </c>
      <c r="AC16" s="55">
        <f t="shared" si="6"/>
        <v>0.55646724151582661</v>
      </c>
      <c r="AD16" s="55">
        <f t="shared" si="6"/>
        <v>0.98564742124352034</v>
      </c>
      <c r="AE16" s="55">
        <f t="shared" si="6"/>
        <v>0.98878461954908137</v>
      </c>
      <c r="AF16" s="55">
        <f t="shared" si="6"/>
        <v>0.97586500209620219</v>
      </c>
      <c r="AG16" s="55">
        <f t="shared" si="6"/>
        <v>0.97306178147371125</v>
      </c>
      <c r="AI16" s="214">
        <f t="shared" si="13"/>
        <v>3</v>
      </c>
      <c r="AJ16" s="214">
        <f t="shared" si="7"/>
        <v>2.02</v>
      </c>
      <c r="AK16" s="214">
        <f t="shared" si="7"/>
        <v>4.0000000000000036E-2</v>
      </c>
      <c r="AL16" s="214">
        <f t="shared" si="7"/>
        <v>2.033334</v>
      </c>
      <c r="AM16" s="214">
        <f t="shared" si="7"/>
        <v>1.5225</v>
      </c>
      <c r="AN16" s="214">
        <f t="shared" si="7"/>
        <v>1.024</v>
      </c>
      <c r="AO16" s="214">
        <f t="shared" si="7"/>
        <v>1.5150000000000001</v>
      </c>
      <c r="AP16" s="206">
        <f t="shared" si="14"/>
        <v>0.125</v>
      </c>
      <c r="AQ16" s="213" t="e">
        <f t="shared" si="15"/>
        <v>#DIV/0!</v>
      </c>
      <c r="AR16" s="213">
        <f t="shared" si="8"/>
        <v>2.0612244897959182</v>
      </c>
      <c r="AS16" s="213">
        <f t="shared" si="8"/>
        <v>2.0408163265306145E-2</v>
      </c>
      <c r="AT16" s="213">
        <f t="shared" si="8"/>
        <v>1.033898994542032</v>
      </c>
      <c r="AU16" s="213">
        <f t="shared" si="8"/>
        <v>1.030456852791878</v>
      </c>
      <c r="AV16" s="213">
        <f t="shared" si="8"/>
        <v>1.0491803278688523</v>
      </c>
      <c r="AW16" s="213">
        <f t="shared" si="8"/>
        <v>1.0202020202020203</v>
      </c>
      <c r="AY16" s="162">
        <f t="shared" si="16"/>
        <v>0</v>
      </c>
      <c r="AZ16" s="162">
        <f t="shared" si="9"/>
        <v>0.99863741241958914</v>
      </c>
      <c r="BA16" s="162">
        <f t="shared" si="9"/>
        <v>3.3388034490949599</v>
      </c>
      <c r="BB16" s="162">
        <f t="shared" si="9"/>
        <v>4.928237106217602</v>
      </c>
      <c r="BC16" s="162">
        <f t="shared" si="9"/>
        <v>1.9775692390981627</v>
      </c>
      <c r="BD16" s="162">
        <f t="shared" si="9"/>
        <v>0.97586500209620219</v>
      </c>
      <c r="BE16" s="162">
        <f t="shared" si="9"/>
        <v>2.919185344421134</v>
      </c>
    </row>
    <row r="17" spans="1:57" x14ac:dyDescent="0.2">
      <c r="A17" s="143">
        <f t="shared" si="10"/>
        <v>4.2857142857142856</v>
      </c>
      <c r="B17" s="147">
        <f t="shared" si="17"/>
        <v>0.16666666666666666</v>
      </c>
      <c r="C17">
        <v>4</v>
      </c>
      <c r="D17">
        <v>3</v>
      </c>
      <c r="E17">
        <v>6</v>
      </c>
      <c r="F17">
        <v>6</v>
      </c>
      <c r="G17">
        <v>5</v>
      </c>
      <c r="H17">
        <v>2</v>
      </c>
      <c r="I17">
        <v>4</v>
      </c>
      <c r="J17" s="165">
        <v>5</v>
      </c>
      <c r="K17" s="207">
        <f t="shared" si="11"/>
        <v>1.4674995</v>
      </c>
      <c r="L17" s="207">
        <f t="shared" si="5"/>
        <v>1.47</v>
      </c>
      <c r="M17" s="207">
        <f t="shared" si="5"/>
        <v>1.96</v>
      </c>
      <c r="N17" s="207">
        <f t="shared" si="5"/>
        <v>1.966666</v>
      </c>
      <c r="O17" s="207">
        <f t="shared" si="5"/>
        <v>1.97</v>
      </c>
      <c r="P17" s="207">
        <f t="shared" si="5"/>
        <v>1.464</v>
      </c>
      <c r="Q17" s="207">
        <f t="shared" si="5"/>
        <v>1.98</v>
      </c>
      <c r="R17" s="165">
        <v>5</v>
      </c>
      <c r="S17" s="146">
        <v>5</v>
      </c>
      <c r="T17" s="146">
        <v>3</v>
      </c>
      <c r="U17" s="146">
        <v>2</v>
      </c>
      <c r="V17" s="146">
        <v>2</v>
      </c>
      <c r="W17" s="146">
        <v>3</v>
      </c>
      <c r="X17" s="146">
        <v>3</v>
      </c>
      <c r="Y17" s="146">
        <v>4</v>
      </c>
      <c r="AA17" s="55">
        <f t="shared" si="12"/>
        <v>0.9987660363526899</v>
      </c>
      <c r="AB17" s="55">
        <f t="shared" si="12"/>
        <v>0.97140674097822732</v>
      </c>
      <c r="AC17" s="55">
        <f t="shared" si="6"/>
        <v>0.55646724151582661</v>
      </c>
      <c r="AD17" s="55">
        <f t="shared" si="6"/>
        <v>0.61044768160934404</v>
      </c>
      <c r="AE17" s="55">
        <f t="shared" si="6"/>
        <v>0.87889816521303632</v>
      </c>
      <c r="AF17" s="55">
        <f t="shared" si="6"/>
        <v>0.98760833685515725</v>
      </c>
      <c r="AG17" s="55">
        <f t="shared" si="6"/>
        <v>0.98927891803345391</v>
      </c>
      <c r="AI17" s="214">
        <f t="shared" si="13"/>
        <v>3.5325005000000003</v>
      </c>
      <c r="AJ17" s="214">
        <f t="shared" si="7"/>
        <v>1.53</v>
      </c>
      <c r="AK17" s="214">
        <f t="shared" si="7"/>
        <v>4.0000000000000036E-2</v>
      </c>
      <c r="AL17" s="214">
        <f t="shared" si="7"/>
        <v>3.3333999999999975E-2</v>
      </c>
      <c r="AM17" s="214">
        <f t="shared" si="7"/>
        <v>1.03</v>
      </c>
      <c r="AN17" s="214">
        <f t="shared" si="7"/>
        <v>1.536</v>
      </c>
      <c r="AO17" s="214">
        <f t="shared" si="7"/>
        <v>2.02</v>
      </c>
      <c r="AP17" s="206">
        <f t="shared" si="14"/>
        <v>0.16666666666666666</v>
      </c>
      <c r="AQ17" s="213">
        <f t="shared" si="15"/>
        <v>2.4071561864245949</v>
      </c>
      <c r="AR17" s="213">
        <f t="shared" si="8"/>
        <v>1.0408163265306123</v>
      </c>
      <c r="AS17" s="213">
        <f t="shared" si="8"/>
        <v>2.0408163265306145E-2</v>
      </c>
      <c r="AT17" s="213">
        <f t="shared" si="8"/>
        <v>1.6949497271016023E-2</v>
      </c>
      <c r="AU17" s="213">
        <f t="shared" si="8"/>
        <v>0.52284263959390875</v>
      </c>
      <c r="AV17" s="213">
        <f t="shared" si="8"/>
        <v>1.0491803278688523</v>
      </c>
      <c r="AW17" s="213">
        <f t="shared" si="8"/>
        <v>1.0202020202020203</v>
      </c>
      <c r="AY17" s="162">
        <f t="shared" si="16"/>
        <v>3.9950641454107596</v>
      </c>
      <c r="AZ17" s="162">
        <f t="shared" si="9"/>
        <v>2.9142202229346821</v>
      </c>
      <c r="BA17" s="162">
        <f t="shared" si="9"/>
        <v>3.3388034490949599</v>
      </c>
      <c r="BB17" s="162">
        <f t="shared" si="9"/>
        <v>3.6626860896560642</v>
      </c>
      <c r="BC17" s="162">
        <f t="shared" si="9"/>
        <v>4.3944908260651818</v>
      </c>
      <c r="BD17" s="162">
        <f t="shared" si="9"/>
        <v>1.9752166737103145</v>
      </c>
      <c r="BE17" s="162">
        <f t="shared" si="9"/>
        <v>3.9571156721338157</v>
      </c>
    </row>
    <row r="18" spans="1:57" x14ac:dyDescent="0.2">
      <c r="A18" s="143">
        <f t="shared" si="10"/>
        <v>3.7142857142857144</v>
      </c>
      <c r="B18" s="147">
        <f t="shared" si="17"/>
        <v>0.20833333333333331</v>
      </c>
      <c r="C18">
        <v>5</v>
      </c>
      <c r="D18">
        <v>1</v>
      </c>
      <c r="E18">
        <v>4</v>
      </c>
      <c r="F18">
        <v>3</v>
      </c>
      <c r="G18">
        <v>4</v>
      </c>
      <c r="H18">
        <v>4</v>
      </c>
      <c r="I18">
        <v>5</v>
      </c>
      <c r="J18" s="165">
        <v>6</v>
      </c>
      <c r="K18" s="207">
        <f t="shared" si="11"/>
        <v>1.956666</v>
      </c>
      <c r="L18" s="207">
        <f t="shared" si="5"/>
        <v>0.98</v>
      </c>
      <c r="M18" s="207">
        <f t="shared" si="5"/>
        <v>1.47</v>
      </c>
      <c r="N18" s="207">
        <f t="shared" si="5"/>
        <v>1.4749995</v>
      </c>
      <c r="O18" s="207">
        <f t="shared" si="5"/>
        <v>1.97</v>
      </c>
      <c r="P18" s="207">
        <f t="shared" si="5"/>
        <v>1.952</v>
      </c>
      <c r="Q18" s="207">
        <f t="shared" si="5"/>
        <v>1.98</v>
      </c>
      <c r="R18" s="165">
        <v>6</v>
      </c>
      <c r="S18" s="146">
        <v>5</v>
      </c>
      <c r="T18" s="146">
        <v>3</v>
      </c>
      <c r="U18" s="146">
        <v>2</v>
      </c>
      <c r="V18" s="146">
        <v>2</v>
      </c>
      <c r="W18" s="146">
        <v>3</v>
      </c>
      <c r="X18" s="146">
        <v>4</v>
      </c>
      <c r="Y18" s="146">
        <v>4</v>
      </c>
      <c r="AA18" s="55">
        <f t="shared" si="12"/>
        <v>0.99673665141662759</v>
      </c>
      <c r="AB18" s="55">
        <f t="shared" si="12"/>
        <v>0.99863741241958914</v>
      </c>
      <c r="AC18" s="55">
        <f t="shared" si="6"/>
        <v>0.77821806869251031</v>
      </c>
      <c r="AD18" s="55">
        <f t="shared" si="6"/>
        <v>0.88416639104267569</v>
      </c>
      <c r="AE18" s="55">
        <f t="shared" si="6"/>
        <v>0.93031429079527828</v>
      </c>
      <c r="AF18" s="55">
        <f t="shared" si="6"/>
        <v>0.98404043997487467</v>
      </c>
      <c r="AG18" s="55">
        <f t="shared" si="6"/>
        <v>0.97716667792803402</v>
      </c>
      <c r="AI18" s="214">
        <f t="shared" si="13"/>
        <v>3.0433339999999998</v>
      </c>
      <c r="AJ18" s="214">
        <f t="shared" si="7"/>
        <v>2.02</v>
      </c>
      <c r="AK18" s="214">
        <f t="shared" si="7"/>
        <v>0.53</v>
      </c>
      <c r="AL18" s="214">
        <f t="shared" si="7"/>
        <v>0.52500049999999998</v>
      </c>
      <c r="AM18" s="214">
        <f t="shared" si="7"/>
        <v>1.03</v>
      </c>
      <c r="AN18" s="214">
        <f t="shared" si="7"/>
        <v>2.048</v>
      </c>
      <c r="AO18" s="214">
        <f t="shared" si="7"/>
        <v>2.02</v>
      </c>
      <c r="AP18" s="206">
        <f t="shared" si="14"/>
        <v>0.20833333333333331</v>
      </c>
      <c r="AQ18" s="213">
        <f t="shared" si="15"/>
        <v>1.5553671398184461</v>
      </c>
      <c r="AR18" s="213">
        <f t="shared" si="8"/>
        <v>2.0612244897959182</v>
      </c>
      <c r="AS18" s="213">
        <f t="shared" si="8"/>
        <v>0.36054421768707479</v>
      </c>
      <c r="AT18" s="213">
        <f t="shared" si="8"/>
        <v>0.35593266302802129</v>
      </c>
      <c r="AU18" s="213">
        <f t="shared" si="8"/>
        <v>0.52284263959390875</v>
      </c>
      <c r="AV18" s="213">
        <f t="shared" si="8"/>
        <v>1.0491803278688523</v>
      </c>
      <c r="AW18" s="213">
        <f t="shared" si="8"/>
        <v>1.0202020202020203</v>
      </c>
      <c r="AY18" s="162">
        <f t="shared" si="16"/>
        <v>4.983683257083138</v>
      </c>
      <c r="AZ18" s="162">
        <f t="shared" si="9"/>
        <v>0.99863741241958914</v>
      </c>
      <c r="BA18" s="162">
        <f t="shared" si="9"/>
        <v>3.1128722747700412</v>
      </c>
      <c r="BB18" s="162">
        <f t="shared" si="9"/>
        <v>2.6524991731280272</v>
      </c>
      <c r="BC18" s="162">
        <f t="shared" si="9"/>
        <v>3.7212571631811131</v>
      </c>
      <c r="BD18" s="162">
        <f t="shared" si="9"/>
        <v>3.9361617598994987</v>
      </c>
      <c r="BE18" s="162">
        <f t="shared" si="9"/>
        <v>4.8858333896401698</v>
      </c>
    </row>
    <row r="19" spans="1:57" x14ac:dyDescent="0.2">
      <c r="A19" s="143">
        <f t="shared" si="10"/>
        <v>6.5714285714285712</v>
      </c>
      <c r="B19" s="147">
        <f t="shared" si="17"/>
        <v>0.24999999999999997</v>
      </c>
      <c r="C19">
        <v>6</v>
      </c>
      <c r="D19">
        <v>4</v>
      </c>
      <c r="E19">
        <v>5</v>
      </c>
      <c r="F19">
        <v>6</v>
      </c>
      <c r="G19">
        <v>14</v>
      </c>
      <c r="H19">
        <v>5</v>
      </c>
      <c r="I19">
        <v>6</v>
      </c>
      <c r="J19" s="165">
        <v>7</v>
      </c>
      <c r="K19" s="207">
        <f t="shared" si="11"/>
        <v>1.956666</v>
      </c>
      <c r="L19" s="207">
        <f t="shared" si="5"/>
        <v>1.96</v>
      </c>
      <c r="M19" s="207">
        <f t="shared" si="5"/>
        <v>1.96</v>
      </c>
      <c r="N19" s="207">
        <f t="shared" si="5"/>
        <v>1.966666</v>
      </c>
      <c r="O19" s="207">
        <f t="shared" si="5"/>
        <v>3.4474999999999998</v>
      </c>
      <c r="P19" s="207">
        <f t="shared" si="5"/>
        <v>1.952</v>
      </c>
      <c r="Q19" s="207">
        <f t="shared" si="5"/>
        <v>1.98</v>
      </c>
      <c r="R19" s="165">
        <v>7</v>
      </c>
      <c r="S19" s="146">
        <v>5</v>
      </c>
      <c r="T19" s="146">
        <v>4</v>
      </c>
      <c r="U19" s="146">
        <v>2</v>
      </c>
      <c r="V19" s="146">
        <v>4</v>
      </c>
      <c r="W19" s="146">
        <v>3</v>
      </c>
      <c r="X19" s="146">
        <v>4</v>
      </c>
      <c r="Y19" s="146">
        <v>4</v>
      </c>
      <c r="AA19" s="55">
        <f t="shared" si="12"/>
        <v>0.9929466697925875</v>
      </c>
      <c r="AB19" s="55">
        <f t="shared" si="12"/>
        <v>0.98841314446989448</v>
      </c>
      <c r="AC19" s="55">
        <f t="shared" si="6"/>
        <v>0.67403341208529433</v>
      </c>
      <c r="AD19" s="55">
        <f t="shared" si="6"/>
        <v>0.97353609343791658</v>
      </c>
      <c r="AE19" s="55">
        <f t="shared" si="6"/>
        <v>0</v>
      </c>
      <c r="AF19" s="55">
        <f t="shared" si="6"/>
        <v>0.96651300159428177</v>
      </c>
      <c r="AG19" s="55">
        <f t="shared" si="6"/>
        <v>0.95853223197788651</v>
      </c>
      <c r="AI19" s="214">
        <f t="shared" si="13"/>
        <v>3.0433339999999998</v>
      </c>
      <c r="AJ19" s="214">
        <f t="shared" si="7"/>
        <v>2.04</v>
      </c>
      <c r="AK19" s="214">
        <f t="shared" si="7"/>
        <v>4.0000000000000036E-2</v>
      </c>
      <c r="AL19" s="214">
        <f t="shared" si="7"/>
        <v>2.033334</v>
      </c>
      <c r="AM19" s="214">
        <f t="shared" si="7"/>
        <v>-0.44749999999999979</v>
      </c>
      <c r="AN19" s="214">
        <f t="shared" si="7"/>
        <v>2.048</v>
      </c>
      <c r="AO19" s="214">
        <f t="shared" si="7"/>
        <v>2.02</v>
      </c>
      <c r="AP19" s="206">
        <f t="shared" si="14"/>
        <v>0.24999999999999997</v>
      </c>
      <c r="AQ19" s="213">
        <f t="shared" si="15"/>
        <v>1.5553671398184461</v>
      </c>
      <c r="AR19" s="213">
        <f t="shared" si="8"/>
        <v>1.0408163265306123</v>
      </c>
      <c r="AS19" s="213">
        <f t="shared" si="8"/>
        <v>2.0408163265306145E-2</v>
      </c>
      <c r="AT19" s="213">
        <f t="shared" si="8"/>
        <v>1.033898994542032</v>
      </c>
      <c r="AU19" s="213">
        <f t="shared" si="8"/>
        <v>-0.1298042059463379</v>
      </c>
      <c r="AV19" s="213">
        <f t="shared" si="8"/>
        <v>1.0491803278688523</v>
      </c>
      <c r="AW19" s="213">
        <f t="shared" si="8"/>
        <v>1.0202020202020203</v>
      </c>
      <c r="AY19" s="162">
        <f t="shared" si="16"/>
        <v>5.957680018755525</v>
      </c>
      <c r="AZ19" s="162">
        <f t="shared" si="9"/>
        <v>3.9536525778795779</v>
      </c>
      <c r="BA19" s="162">
        <f t="shared" si="9"/>
        <v>3.3701670604264717</v>
      </c>
      <c r="BB19" s="162">
        <f t="shared" si="9"/>
        <v>5.8412165606274993</v>
      </c>
      <c r="BC19" s="162">
        <f t="shared" si="9"/>
        <v>0</v>
      </c>
      <c r="BD19" s="162">
        <f t="shared" si="9"/>
        <v>4.8325650079714091</v>
      </c>
      <c r="BE19" s="162">
        <f t="shared" si="9"/>
        <v>5.7511933918673188</v>
      </c>
    </row>
    <row r="20" spans="1:57" x14ac:dyDescent="0.2">
      <c r="A20" s="143">
        <f t="shared" si="10"/>
        <v>10.428571428571429</v>
      </c>
      <c r="B20" s="147">
        <f t="shared" si="17"/>
        <v>0.29166666666666663</v>
      </c>
      <c r="C20">
        <v>8</v>
      </c>
      <c r="D20">
        <v>9</v>
      </c>
      <c r="E20">
        <v>10</v>
      </c>
      <c r="F20">
        <v>15</v>
      </c>
      <c r="G20">
        <v>9</v>
      </c>
      <c r="H20">
        <v>11</v>
      </c>
      <c r="I20">
        <v>11</v>
      </c>
      <c r="J20" s="165">
        <v>8</v>
      </c>
      <c r="K20" s="207">
        <f t="shared" si="11"/>
        <v>2.4458324999999999</v>
      </c>
      <c r="L20" s="207">
        <f t="shared" si="5"/>
        <v>2.94</v>
      </c>
      <c r="M20" s="207">
        <f t="shared" si="5"/>
        <v>2.94</v>
      </c>
      <c r="N20" s="207">
        <f t="shared" si="5"/>
        <v>3.4416655</v>
      </c>
      <c r="O20" s="207">
        <f t="shared" si="5"/>
        <v>2.9550000000000001</v>
      </c>
      <c r="P20" s="207">
        <f t="shared" si="5"/>
        <v>3.4159999999999999</v>
      </c>
      <c r="Q20" s="207">
        <f t="shared" si="5"/>
        <v>2.9699999999999998</v>
      </c>
      <c r="R20" s="165">
        <v>8</v>
      </c>
      <c r="S20" s="146">
        <v>11</v>
      </c>
      <c r="T20" s="146">
        <v>10</v>
      </c>
      <c r="U20" s="146">
        <v>9</v>
      </c>
      <c r="V20" s="146">
        <v>11</v>
      </c>
      <c r="W20" s="146">
        <v>9</v>
      </c>
      <c r="X20" s="146">
        <v>8</v>
      </c>
      <c r="Y20" s="146">
        <v>11</v>
      </c>
      <c r="AA20" s="55">
        <f t="shared" si="12"/>
        <v>0.99999928632056245</v>
      </c>
      <c r="AB20" s="55">
        <f t="shared" si="12"/>
        <v>0.99996896479372721</v>
      </c>
      <c r="AC20" s="55">
        <f t="shared" si="6"/>
        <v>0.99980042832833893</v>
      </c>
      <c r="AD20" s="55">
        <f t="shared" si="6"/>
        <v>0.99987764753719788</v>
      </c>
      <c r="AE20" s="55">
        <f t="shared" si="6"/>
        <v>0.99974344733116449</v>
      </c>
      <c r="AF20" s="55">
        <f t="shared" si="6"/>
        <v>0.9948641600904955</v>
      </c>
      <c r="AG20" s="55">
        <f t="shared" si="6"/>
        <v>0.99997321425650409</v>
      </c>
      <c r="AI20" s="214">
        <f t="shared" si="13"/>
        <v>8.5541675000000001</v>
      </c>
      <c r="AJ20" s="214">
        <f t="shared" si="7"/>
        <v>7.0600000000000005</v>
      </c>
      <c r="AK20" s="214">
        <f t="shared" si="7"/>
        <v>6.0600000000000005</v>
      </c>
      <c r="AL20" s="214">
        <f t="shared" si="7"/>
        <v>7.5583345</v>
      </c>
      <c r="AM20" s="214">
        <f t="shared" si="7"/>
        <v>6.0449999999999999</v>
      </c>
      <c r="AN20" s="214">
        <f t="shared" si="7"/>
        <v>4.5839999999999996</v>
      </c>
      <c r="AO20" s="214">
        <f t="shared" si="7"/>
        <v>8.0300000000000011</v>
      </c>
      <c r="AP20" s="206">
        <f t="shared" si="14"/>
        <v>0.29166666666666663</v>
      </c>
      <c r="AQ20" s="213">
        <f t="shared" si="15"/>
        <v>3.4974461660804659</v>
      </c>
      <c r="AR20" s="213">
        <f t="shared" si="8"/>
        <v>2.4013605442176873</v>
      </c>
      <c r="AS20" s="213">
        <f t="shared" si="8"/>
        <v>2.0612244897959182</v>
      </c>
      <c r="AT20" s="213">
        <f t="shared" si="8"/>
        <v>2.1961269914231933</v>
      </c>
      <c r="AU20" s="213">
        <f t="shared" si="8"/>
        <v>2.0456852791878171</v>
      </c>
      <c r="AV20" s="213">
        <f t="shared" si="8"/>
        <v>1.3419203747072599</v>
      </c>
      <c r="AW20" s="213">
        <f t="shared" si="8"/>
        <v>2.7037037037037042</v>
      </c>
      <c r="AY20" s="162">
        <f t="shared" si="16"/>
        <v>7.9999942905644996</v>
      </c>
      <c r="AZ20" s="162">
        <f t="shared" si="9"/>
        <v>8.9997206831435452</v>
      </c>
      <c r="BA20" s="162">
        <f t="shared" si="9"/>
        <v>9.9980042832833895</v>
      </c>
      <c r="BB20" s="162">
        <f t="shared" si="9"/>
        <v>14.998164713057967</v>
      </c>
      <c r="BC20" s="162">
        <f t="shared" si="9"/>
        <v>8.9976910259804797</v>
      </c>
      <c r="BD20" s="162">
        <f t="shared" si="9"/>
        <v>10.94350576099545</v>
      </c>
      <c r="BE20" s="162">
        <f t="shared" si="9"/>
        <v>10.999705356821545</v>
      </c>
    </row>
    <row r="21" spans="1:57" x14ac:dyDescent="0.2">
      <c r="A21" s="143">
        <f t="shared" si="10"/>
        <v>15.142857142857142</v>
      </c>
      <c r="B21" s="147">
        <f t="shared" si="17"/>
        <v>0.33333333333333331</v>
      </c>
      <c r="C21">
        <v>12</v>
      </c>
      <c r="D21">
        <v>16</v>
      </c>
      <c r="E21">
        <v>11</v>
      </c>
      <c r="F21">
        <v>29</v>
      </c>
      <c r="G21">
        <v>14</v>
      </c>
      <c r="H21">
        <v>13</v>
      </c>
      <c r="I21">
        <v>11</v>
      </c>
      <c r="J21" s="165">
        <v>9</v>
      </c>
      <c r="K21" s="207">
        <f t="shared" si="11"/>
        <v>2.9349989999999999</v>
      </c>
      <c r="L21" s="207">
        <f t="shared" si="5"/>
        <v>3.92</v>
      </c>
      <c r="M21" s="207">
        <f t="shared" si="5"/>
        <v>2.94</v>
      </c>
      <c r="N21" s="207">
        <f t="shared" si="5"/>
        <v>4.9166650000000001</v>
      </c>
      <c r="O21" s="207">
        <f t="shared" si="5"/>
        <v>3.4474999999999998</v>
      </c>
      <c r="P21" s="207">
        <f t="shared" si="5"/>
        <v>3.4159999999999999</v>
      </c>
      <c r="Q21" s="207">
        <f t="shared" si="5"/>
        <v>2.9699999999999998</v>
      </c>
      <c r="R21" s="165">
        <v>9</v>
      </c>
      <c r="S21" s="146">
        <v>11</v>
      </c>
      <c r="T21" s="146">
        <v>10</v>
      </c>
      <c r="U21" s="146">
        <v>9</v>
      </c>
      <c r="V21" s="146">
        <v>11</v>
      </c>
      <c r="W21" s="146">
        <v>10</v>
      </c>
      <c r="X21" s="146">
        <v>8</v>
      </c>
      <c r="Y21" s="146">
        <v>11</v>
      </c>
      <c r="AA21" s="55">
        <f t="shared" si="12"/>
        <v>0.99996868445710818</v>
      </c>
      <c r="AB21" s="55">
        <f t="shared" si="12"/>
        <v>0.99723061013353453</v>
      </c>
      <c r="AC21" s="55">
        <f t="shared" si="6"/>
        <v>0.99960079544357172</v>
      </c>
      <c r="AD21" s="55">
        <f t="shared" si="6"/>
        <v>0.97938278748491281</v>
      </c>
      <c r="AE21" s="55">
        <f t="shared" si="6"/>
        <v>0.99840669565910323</v>
      </c>
      <c r="AF21" s="55">
        <f t="shared" si="6"/>
        <v>0.98650180783889718</v>
      </c>
      <c r="AG21" s="55">
        <f t="shared" si="6"/>
        <v>0.99997321425650409</v>
      </c>
      <c r="AI21" s="214">
        <f t="shared" si="13"/>
        <v>8.0650010000000005</v>
      </c>
      <c r="AJ21" s="214">
        <f t="shared" si="7"/>
        <v>6.08</v>
      </c>
      <c r="AK21" s="214">
        <f t="shared" si="7"/>
        <v>6.0600000000000005</v>
      </c>
      <c r="AL21" s="214">
        <f t="shared" si="7"/>
        <v>6.0833349999999999</v>
      </c>
      <c r="AM21" s="214">
        <f t="shared" si="7"/>
        <v>6.5525000000000002</v>
      </c>
      <c r="AN21" s="214">
        <f t="shared" si="7"/>
        <v>4.5839999999999996</v>
      </c>
      <c r="AO21" s="214">
        <f t="shared" si="7"/>
        <v>8.0300000000000011</v>
      </c>
      <c r="AP21" s="206">
        <f t="shared" si="14"/>
        <v>0.33333333333333331</v>
      </c>
      <c r="AQ21" s="213">
        <f t="shared" si="15"/>
        <v>2.7478718050670548</v>
      </c>
      <c r="AR21" s="213">
        <f t="shared" si="8"/>
        <v>1.5510204081632653</v>
      </c>
      <c r="AS21" s="213">
        <f t="shared" si="8"/>
        <v>2.0612244897959182</v>
      </c>
      <c r="AT21" s="213">
        <f t="shared" si="8"/>
        <v>1.2372888939962352</v>
      </c>
      <c r="AU21" s="213">
        <f t="shared" si="8"/>
        <v>1.9006526468455403</v>
      </c>
      <c r="AV21" s="213">
        <f t="shared" si="8"/>
        <v>1.3419203747072599</v>
      </c>
      <c r="AW21" s="213">
        <f t="shared" si="8"/>
        <v>2.7037037037037042</v>
      </c>
      <c r="AY21" s="162">
        <f t="shared" si="16"/>
        <v>11.999624213485298</v>
      </c>
      <c r="AZ21" s="162">
        <f t="shared" si="9"/>
        <v>15.955689762136553</v>
      </c>
      <c r="BA21" s="162">
        <f t="shared" si="9"/>
        <v>10.995608749879288</v>
      </c>
      <c r="BB21" s="162">
        <f t="shared" si="9"/>
        <v>28.40210083706247</v>
      </c>
      <c r="BC21" s="162">
        <f t="shared" si="9"/>
        <v>13.977693739227446</v>
      </c>
      <c r="BD21" s="162">
        <f t="shared" si="9"/>
        <v>12.824523501905663</v>
      </c>
      <c r="BE21" s="162">
        <f t="shared" si="9"/>
        <v>10.999705356821545</v>
      </c>
    </row>
    <row r="22" spans="1:57" x14ac:dyDescent="0.2">
      <c r="A22" s="143">
        <f t="shared" si="10"/>
        <v>21</v>
      </c>
      <c r="B22" s="147">
        <f t="shared" si="17"/>
        <v>0.375</v>
      </c>
      <c r="C22">
        <v>23</v>
      </c>
      <c r="D22">
        <v>28</v>
      </c>
      <c r="E22">
        <v>22</v>
      </c>
      <c r="F22">
        <v>22</v>
      </c>
      <c r="G22">
        <v>26</v>
      </c>
      <c r="H22">
        <v>15</v>
      </c>
      <c r="I22">
        <v>11</v>
      </c>
      <c r="J22" s="165">
        <v>10</v>
      </c>
      <c r="K22" s="207">
        <f t="shared" si="11"/>
        <v>4.4024985000000001</v>
      </c>
      <c r="L22" s="207">
        <f t="shared" si="5"/>
        <v>5.39</v>
      </c>
      <c r="M22" s="207">
        <f t="shared" si="5"/>
        <v>4.41</v>
      </c>
      <c r="N22" s="207">
        <f t="shared" si="5"/>
        <v>4.4249985000000001</v>
      </c>
      <c r="O22" s="207">
        <f t="shared" si="5"/>
        <v>5.4174999999999995</v>
      </c>
      <c r="P22" s="207">
        <f t="shared" si="5"/>
        <v>3.9039999999999999</v>
      </c>
      <c r="Q22" s="207">
        <f t="shared" si="5"/>
        <v>2.9699999999999998</v>
      </c>
      <c r="R22" s="165">
        <v>10</v>
      </c>
      <c r="S22" s="146">
        <v>11</v>
      </c>
      <c r="T22" s="146">
        <v>10</v>
      </c>
      <c r="U22" s="146">
        <v>11</v>
      </c>
      <c r="V22" s="146">
        <v>10</v>
      </c>
      <c r="W22" s="146">
        <v>9</v>
      </c>
      <c r="X22" s="146">
        <v>9</v>
      </c>
      <c r="Y22" s="146">
        <v>12</v>
      </c>
      <c r="AA22" s="55">
        <f t="shared" si="12"/>
        <v>0.99346721951426631</v>
      </c>
      <c r="AB22" s="55">
        <f t="shared" si="12"/>
        <v>0.9021348047726595</v>
      </c>
      <c r="AC22" s="55">
        <f t="shared" si="6"/>
        <v>0.99492888695372383</v>
      </c>
      <c r="AD22" s="55">
        <f t="shared" si="6"/>
        <v>0.99167821759288444</v>
      </c>
      <c r="AE22" s="55">
        <f t="shared" si="6"/>
        <v>0.82180108672197338</v>
      </c>
      <c r="AF22" s="55">
        <f t="shared" si="6"/>
        <v>0.98952276179010112</v>
      </c>
      <c r="AG22" s="55">
        <f t="shared" si="6"/>
        <v>0.99999505443685455</v>
      </c>
      <c r="AI22" s="214">
        <f t="shared" si="13"/>
        <v>6.5975014999999999</v>
      </c>
      <c r="AJ22" s="214">
        <f t="shared" si="7"/>
        <v>4.6100000000000003</v>
      </c>
      <c r="AK22" s="214">
        <f t="shared" si="7"/>
        <v>6.59</v>
      </c>
      <c r="AL22" s="214">
        <f t="shared" si="7"/>
        <v>5.5750014999999999</v>
      </c>
      <c r="AM22" s="214">
        <f t="shared" si="7"/>
        <v>3.5825000000000005</v>
      </c>
      <c r="AN22" s="214">
        <f t="shared" si="7"/>
        <v>5.0960000000000001</v>
      </c>
      <c r="AO22" s="214">
        <f t="shared" si="7"/>
        <v>9.0300000000000011</v>
      </c>
      <c r="AP22" s="206">
        <f t="shared" si="14"/>
        <v>0.375</v>
      </c>
      <c r="AQ22" s="213">
        <f t="shared" si="15"/>
        <v>1.4985812033780364</v>
      </c>
      <c r="AR22" s="213">
        <f t="shared" si="8"/>
        <v>0.855287569573284</v>
      </c>
      <c r="AS22" s="213">
        <f t="shared" si="8"/>
        <v>1.4943310657596371</v>
      </c>
      <c r="AT22" s="213">
        <f t="shared" si="8"/>
        <v>1.2598877717133687</v>
      </c>
      <c r="AU22" s="213">
        <f t="shared" si="8"/>
        <v>0.66128287955699139</v>
      </c>
      <c r="AV22" s="213">
        <f t="shared" si="8"/>
        <v>1.305327868852459</v>
      </c>
      <c r="AW22" s="213">
        <f t="shared" si="8"/>
        <v>3.0404040404040407</v>
      </c>
      <c r="AY22" s="162">
        <f t="shared" si="16"/>
        <v>22.849746048828123</v>
      </c>
      <c r="AZ22" s="162">
        <f t="shared" si="9"/>
        <v>25.259774533634467</v>
      </c>
      <c r="BA22" s="162">
        <f t="shared" si="9"/>
        <v>21.888435512981925</v>
      </c>
      <c r="BB22" s="162">
        <f t="shared" si="9"/>
        <v>21.816920787043458</v>
      </c>
      <c r="BC22" s="162">
        <f t="shared" si="9"/>
        <v>21.366828254771306</v>
      </c>
      <c r="BD22" s="162">
        <f t="shared" si="9"/>
        <v>14.842841426851518</v>
      </c>
      <c r="BE22" s="162">
        <f t="shared" si="9"/>
        <v>10.9999455988054</v>
      </c>
    </row>
    <row r="23" spans="1:57" x14ac:dyDescent="0.2">
      <c r="A23" s="143">
        <f t="shared" si="10"/>
        <v>24.571428571428573</v>
      </c>
      <c r="B23" s="147">
        <f t="shared" si="17"/>
        <v>0.41666666666666669</v>
      </c>
      <c r="C23">
        <v>28</v>
      </c>
      <c r="D23">
        <v>30</v>
      </c>
      <c r="E23">
        <v>29</v>
      </c>
      <c r="F23">
        <v>25</v>
      </c>
      <c r="G23">
        <v>27</v>
      </c>
      <c r="H23">
        <v>17</v>
      </c>
      <c r="I23">
        <v>16</v>
      </c>
      <c r="J23" s="165">
        <v>11</v>
      </c>
      <c r="K23" s="207">
        <f t="shared" si="11"/>
        <v>5.3808315000000002</v>
      </c>
      <c r="L23" s="207">
        <f t="shared" si="5"/>
        <v>5.88</v>
      </c>
      <c r="M23" s="207">
        <f t="shared" si="5"/>
        <v>5.39</v>
      </c>
      <c r="N23" s="207">
        <f t="shared" si="5"/>
        <v>4.4249985000000001</v>
      </c>
      <c r="O23" s="207">
        <f t="shared" si="5"/>
        <v>5.91</v>
      </c>
      <c r="P23" s="207">
        <f t="shared" si="5"/>
        <v>4.3919999999999995</v>
      </c>
      <c r="Q23" s="207">
        <f t="shared" si="5"/>
        <v>3.96</v>
      </c>
      <c r="R23" s="165">
        <v>11</v>
      </c>
      <c r="S23" s="146">
        <v>12</v>
      </c>
      <c r="T23" s="146">
        <v>13</v>
      </c>
      <c r="U23" s="146">
        <v>12</v>
      </c>
      <c r="V23" s="146">
        <v>9</v>
      </c>
      <c r="W23" s="146">
        <v>9</v>
      </c>
      <c r="X23" s="146">
        <v>11</v>
      </c>
      <c r="Y23" s="146">
        <v>15</v>
      </c>
      <c r="AA23" s="55">
        <f t="shared" si="12"/>
        <v>0.98935412974284731</v>
      </c>
      <c r="AB23" s="55">
        <f t="shared" si="12"/>
        <v>0.98494779588520998</v>
      </c>
      <c r="AC23" s="55">
        <f t="shared" si="6"/>
        <v>0.98513533711267232</v>
      </c>
      <c r="AD23" s="55">
        <f t="shared" si="6"/>
        <v>0.95261468902933666</v>
      </c>
      <c r="AE23" s="55">
        <f t="shared" si="6"/>
        <v>0.78669585922306084</v>
      </c>
      <c r="AF23" s="55">
        <f t="shared" si="6"/>
        <v>0.99726438836298426</v>
      </c>
      <c r="AG23" s="55">
        <f t="shared" si="6"/>
        <v>0.99999783501301853</v>
      </c>
      <c r="AI23" s="214">
        <f t="shared" si="13"/>
        <v>6.6191684999999998</v>
      </c>
      <c r="AJ23" s="214">
        <f t="shared" si="7"/>
        <v>7.12</v>
      </c>
      <c r="AK23" s="214">
        <f t="shared" si="7"/>
        <v>6.61</v>
      </c>
      <c r="AL23" s="214">
        <f t="shared" si="7"/>
        <v>4.5750014999999999</v>
      </c>
      <c r="AM23" s="214">
        <f t="shared" si="7"/>
        <v>3.09</v>
      </c>
      <c r="AN23" s="214">
        <f t="shared" si="7"/>
        <v>6.6080000000000005</v>
      </c>
      <c r="AO23" s="214">
        <f t="shared" si="7"/>
        <v>11.04</v>
      </c>
      <c r="AP23" s="206">
        <f t="shared" si="14"/>
        <v>0.41666666666666669</v>
      </c>
      <c r="AQ23" s="213">
        <f t="shared" si="15"/>
        <v>1.230138594750644</v>
      </c>
      <c r="AR23" s="213">
        <f t="shared" si="8"/>
        <v>1.2108843537414966</v>
      </c>
      <c r="AS23" s="213">
        <f t="shared" si="8"/>
        <v>1.2263450834879408</v>
      </c>
      <c r="AT23" s="213">
        <f t="shared" si="8"/>
        <v>1.033898994542032</v>
      </c>
      <c r="AU23" s="213">
        <f t="shared" si="8"/>
        <v>0.52284263959390853</v>
      </c>
      <c r="AV23" s="213">
        <f t="shared" si="8"/>
        <v>1.5045537340619313</v>
      </c>
      <c r="AW23" s="213">
        <f t="shared" si="8"/>
        <v>2.7878787878787881</v>
      </c>
      <c r="AY23" s="162">
        <f t="shared" si="16"/>
        <v>27.701915632799725</v>
      </c>
      <c r="AZ23" s="162">
        <f t="shared" si="9"/>
        <v>29.548433876556299</v>
      </c>
      <c r="BA23" s="162">
        <f t="shared" si="9"/>
        <v>28.568924776267497</v>
      </c>
      <c r="BB23" s="162">
        <f t="shared" si="9"/>
        <v>23.815367225733418</v>
      </c>
      <c r="BC23" s="162">
        <f t="shared" si="9"/>
        <v>21.240788199022642</v>
      </c>
      <c r="BD23" s="162">
        <f t="shared" si="9"/>
        <v>16.953494602170732</v>
      </c>
      <c r="BE23" s="162">
        <f t="shared" si="9"/>
        <v>15.999965360208297</v>
      </c>
    </row>
    <row r="24" spans="1:57" x14ac:dyDescent="0.2">
      <c r="A24" s="143">
        <f t="shared" si="10"/>
        <v>20.142857142857142</v>
      </c>
      <c r="B24" s="147">
        <f t="shared" si="17"/>
        <v>0.45833333333333337</v>
      </c>
      <c r="C24">
        <v>21</v>
      </c>
      <c r="D24">
        <v>24</v>
      </c>
      <c r="E24">
        <v>19</v>
      </c>
      <c r="F24">
        <v>28</v>
      </c>
      <c r="G24">
        <v>21</v>
      </c>
      <c r="H24">
        <v>16</v>
      </c>
      <c r="I24">
        <v>12</v>
      </c>
      <c r="J24" s="165">
        <v>12</v>
      </c>
      <c r="K24" s="207">
        <f t="shared" si="11"/>
        <v>4.4024985000000001</v>
      </c>
      <c r="L24" s="207">
        <f t="shared" si="5"/>
        <v>4.9000000000000004</v>
      </c>
      <c r="M24" s="207">
        <f t="shared" si="5"/>
        <v>3.92</v>
      </c>
      <c r="N24" s="207">
        <f t="shared" si="5"/>
        <v>4.9166650000000001</v>
      </c>
      <c r="O24" s="207">
        <f t="shared" si="5"/>
        <v>4.9249999999999998</v>
      </c>
      <c r="P24" s="207">
        <f t="shared" si="5"/>
        <v>3.9039999999999999</v>
      </c>
      <c r="Q24" s="207">
        <f t="shared" si="5"/>
        <v>2.9699999999999998</v>
      </c>
      <c r="R24" s="165">
        <v>12</v>
      </c>
      <c r="S24" s="146">
        <v>16</v>
      </c>
      <c r="T24" s="146">
        <v>15</v>
      </c>
      <c r="U24" s="146">
        <v>16</v>
      </c>
      <c r="V24" s="146">
        <v>14</v>
      </c>
      <c r="W24" s="146">
        <v>13</v>
      </c>
      <c r="X24" s="146">
        <v>12</v>
      </c>
      <c r="Y24" s="146">
        <v>16</v>
      </c>
      <c r="AA24" s="55">
        <f t="shared" si="12"/>
        <v>0.99999432756927498</v>
      </c>
      <c r="AB24" s="55">
        <f t="shared" si="12"/>
        <v>0.99972797633000199</v>
      </c>
      <c r="AC24" s="55">
        <f t="shared" si="6"/>
        <v>0.99999815615163068</v>
      </c>
      <c r="AD24" s="55">
        <f t="shared" si="6"/>
        <v>0.99921118248855956</v>
      </c>
      <c r="AE24" s="55">
        <f t="shared" si="6"/>
        <v>0.99875084117868018</v>
      </c>
      <c r="AF24" s="55">
        <f t="shared" si="6"/>
        <v>0.99949438109188526</v>
      </c>
      <c r="AG24" s="55">
        <f t="shared" si="6"/>
        <v>0.99999999064014566</v>
      </c>
      <c r="AI24" s="214">
        <f t="shared" si="13"/>
        <v>11.5975015</v>
      </c>
      <c r="AJ24" s="214">
        <f t="shared" si="7"/>
        <v>10.1</v>
      </c>
      <c r="AK24" s="214">
        <f t="shared" si="7"/>
        <v>12.08</v>
      </c>
      <c r="AL24" s="214">
        <f t="shared" si="7"/>
        <v>9.0833349999999999</v>
      </c>
      <c r="AM24" s="214">
        <f t="shared" si="7"/>
        <v>8.0749999999999993</v>
      </c>
      <c r="AN24" s="214">
        <f t="shared" si="7"/>
        <v>8.0960000000000001</v>
      </c>
      <c r="AO24" s="214">
        <f t="shared" si="7"/>
        <v>13.030000000000001</v>
      </c>
      <c r="AP24" s="206">
        <f t="shared" si="14"/>
        <v>0.45833333333333337</v>
      </c>
      <c r="AQ24" s="213">
        <f t="shared" si="15"/>
        <v>2.6342999321862348</v>
      </c>
      <c r="AR24" s="213">
        <f t="shared" si="8"/>
        <v>2.0612244897959182</v>
      </c>
      <c r="AS24" s="213">
        <f t="shared" si="8"/>
        <v>3.0816326530612246</v>
      </c>
      <c r="AT24" s="213">
        <f t="shared" si="8"/>
        <v>1.8474585923588447</v>
      </c>
      <c r="AU24" s="213">
        <f t="shared" si="8"/>
        <v>1.6395939086294415</v>
      </c>
      <c r="AV24" s="213">
        <f t="shared" si="8"/>
        <v>2.0737704918032787</v>
      </c>
      <c r="AW24" s="213">
        <f t="shared" si="8"/>
        <v>4.3872053872053876</v>
      </c>
      <c r="AY24" s="162">
        <f t="shared" si="16"/>
        <v>20.999880878954773</v>
      </c>
      <c r="AZ24" s="162">
        <f t="shared" si="9"/>
        <v>23.993471431920049</v>
      </c>
      <c r="BA24" s="162">
        <f t="shared" si="9"/>
        <v>18.999964966880984</v>
      </c>
      <c r="BB24" s="162">
        <f t="shared" si="9"/>
        <v>27.977913109679669</v>
      </c>
      <c r="BC24" s="162">
        <f t="shared" si="9"/>
        <v>20.973767664752284</v>
      </c>
      <c r="BD24" s="162">
        <f t="shared" si="9"/>
        <v>15.991910097470164</v>
      </c>
      <c r="BE24" s="162">
        <f t="shared" si="9"/>
        <v>11.999999887681748</v>
      </c>
    </row>
    <row r="25" spans="1:57" x14ac:dyDescent="0.2">
      <c r="A25" s="143">
        <f t="shared" si="10"/>
        <v>20.857142857142858</v>
      </c>
      <c r="B25" s="147">
        <f t="shared" si="17"/>
        <v>0.5</v>
      </c>
      <c r="C25">
        <v>21</v>
      </c>
      <c r="D25">
        <v>21</v>
      </c>
      <c r="E25">
        <v>25</v>
      </c>
      <c r="F25">
        <v>25</v>
      </c>
      <c r="G25">
        <v>19</v>
      </c>
      <c r="H25">
        <v>22</v>
      </c>
      <c r="I25">
        <v>13</v>
      </c>
      <c r="J25" s="165">
        <v>13</v>
      </c>
      <c r="K25" s="207">
        <f t="shared" si="11"/>
        <v>4.4024985000000001</v>
      </c>
      <c r="L25" s="207">
        <f t="shared" si="5"/>
        <v>4.41</v>
      </c>
      <c r="M25" s="207">
        <f t="shared" si="5"/>
        <v>4.9000000000000004</v>
      </c>
      <c r="N25" s="207">
        <f t="shared" si="5"/>
        <v>4.4249985000000001</v>
      </c>
      <c r="O25" s="207">
        <f t="shared" si="5"/>
        <v>4.4325000000000001</v>
      </c>
      <c r="P25" s="207">
        <f t="shared" si="5"/>
        <v>4.88</v>
      </c>
      <c r="Q25" s="207">
        <f t="shared" si="5"/>
        <v>3.4649999999999999</v>
      </c>
      <c r="R25" s="165">
        <v>13</v>
      </c>
      <c r="S25" s="146">
        <v>18</v>
      </c>
      <c r="T25" s="146">
        <v>15</v>
      </c>
      <c r="U25" s="146">
        <v>15</v>
      </c>
      <c r="V25" s="146">
        <v>13</v>
      </c>
      <c r="W25" s="146">
        <v>12</v>
      </c>
      <c r="X25" s="146">
        <v>14</v>
      </c>
      <c r="Y25" s="146">
        <v>16</v>
      </c>
      <c r="AA25" s="55">
        <f t="shared" si="12"/>
        <v>0.99999970977468255</v>
      </c>
      <c r="AB25" s="55">
        <f t="shared" si="12"/>
        <v>0.99993532348774616</v>
      </c>
      <c r="AC25" s="55">
        <f t="shared" si="6"/>
        <v>0.99982422118733894</v>
      </c>
      <c r="AD25" s="55">
        <f t="shared" si="6"/>
        <v>0.99915678751912895</v>
      </c>
      <c r="AE25" s="55">
        <f t="shared" si="6"/>
        <v>0.99839057761190531</v>
      </c>
      <c r="AF25" s="55">
        <f t="shared" si="6"/>
        <v>0.99910351299777123</v>
      </c>
      <c r="AG25" s="55">
        <f t="shared" si="6"/>
        <v>0.99999997213545411</v>
      </c>
      <c r="AI25" s="214">
        <f t="shared" si="13"/>
        <v>13.5975015</v>
      </c>
      <c r="AJ25" s="214">
        <f t="shared" si="7"/>
        <v>10.59</v>
      </c>
      <c r="AK25" s="214">
        <f t="shared" si="7"/>
        <v>10.1</v>
      </c>
      <c r="AL25" s="214">
        <f t="shared" si="7"/>
        <v>8.5750014999999991</v>
      </c>
      <c r="AM25" s="214">
        <f t="shared" si="7"/>
        <v>7.5674999999999999</v>
      </c>
      <c r="AN25" s="214">
        <f t="shared" si="7"/>
        <v>9.120000000000001</v>
      </c>
      <c r="AO25" s="214">
        <f t="shared" si="7"/>
        <v>12.535</v>
      </c>
      <c r="AP25" s="206">
        <f t="shared" si="14"/>
        <v>0.5</v>
      </c>
      <c r="AQ25" s="213">
        <f t="shared" si="15"/>
        <v>3.0885874237095141</v>
      </c>
      <c r="AR25" s="213">
        <f t="shared" si="8"/>
        <v>2.4013605442176869</v>
      </c>
      <c r="AS25" s="213">
        <f t="shared" si="8"/>
        <v>2.0612244897959182</v>
      </c>
      <c r="AT25" s="213">
        <f t="shared" si="8"/>
        <v>1.9378541032273797</v>
      </c>
      <c r="AU25" s="213">
        <f t="shared" si="8"/>
        <v>1.7072758037225042</v>
      </c>
      <c r="AV25" s="213">
        <f t="shared" si="8"/>
        <v>1.8688524590163933</v>
      </c>
      <c r="AW25" s="213">
        <f t="shared" si="8"/>
        <v>3.6176046176046182</v>
      </c>
      <c r="AY25" s="162">
        <f t="shared" si="16"/>
        <v>20.999993905268333</v>
      </c>
      <c r="AZ25" s="162">
        <f t="shared" si="9"/>
        <v>20.998641793242669</v>
      </c>
      <c r="BA25" s="162">
        <f t="shared" si="9"/>
        <v>24.995605529683473</v>
      </c>
      <c r="BB25" s="162">
        <f t="shared" si="9"/>
        <v>24.978919687978223</v>
      </c>
      <c r="BC25" s="162">
        <f t="shared" si="9"/>
        <v>18.9694209746262</v>
      </c>
      <c r="BD25" s="162">
        <f t="shared" si="9"/>
        <v>21.980277285950969</v>
      </c>
      <c r="BE25" s="162">
        <f t="shared" si="9"/>
        <v>12.999999637760903</v>
      </c>
    </row>
    <row r="26" spans="1:57" x14ac:dyDescent="0.2">
      <c r="A26" s="143">
        <f t="shared" si="10"/>
        <v>20.857142857142858</v>
      </c>
      <c r="B26" s="147">
        <f t="shared" si="17"/>
        <v>0.54166666666666663</v>
      </c>
      <c r="C26">
        <v>23</v>
      </c>
      <c r="D26">
        <v>20</v>
      </c>
      <c r="E26">
        <v>23</v>
      </c>
      <c r="F26">
        <v>24</v>
      </c>
      <c r="G26">
        <v>20</v>
      </c>
      <c r="H26">
        <v>20</v>
      </c>
      <c r="I26">
        <v>16</v>
      </c>
      <c r="J26" s="165">
        <v>14</v>
      </c>
      <c r="K26" s="207">
        <f t="shared" si="11"/>
        <v>4.4024985000000001</v>
      </c>
      <c r="L26" s="207">
        <f t="shared" si="5"/>
        <v>4.41</v>
      </c>
      <c r="M26" s="207">
        <f t="shared" si="5"/>
        <v>4.41</v>
      </c>
      <c r="N26" s="207">
        <f t="shared" si="5"/>
        <v>4.4249985000000001</v>
      </c>
      <c r="O26" s="207">
        <f t="shared" si="5"/>
        <v>4.4325000000000001</v>
      </c>
      <c r="P26" s="207">
        <f t="shared" si="5"/>
        <v>4.88</v>
      </c>
      <c r="Q26" s="207">
        <f t="shared" si="5"/>
        <v>3.96</v>
      </c>
      <c r="R26" s="165">
        <v>14</v>
      </c>
      <c r="S26" s="146">
        <v>13</v>
      </c>
      <c r="T26" s="146">
        <v>13</v>
      </c>
      <c r="U26" s="146">
        <v>13</v>
      </c>
      <c r="V26" s="146">
        <v>14</v>
      </c>
      <c r="W26" s="146">
        <v>12</v>
      </c>
      <c r="X26" s="146">
        <v>12</v>
      </c>
      <c r="Y26" s="146">
        <v>9</v>
      </c>
      <c r="AA26" s="55">
        <f t="shared" si="12"/>
        <v>0.99926349999536734</v>
      </c>
      <c r="AB26" s="55">
        <f t="shared" si="12"/>
        <v>0.99952518579135907</v>
      </c>
      <c r="AC26" s="55">
        <f t="shared" si="6"/>
        <v>0.99919299528143657</v>
      </c>
      <c r="AD26" s="55">
        <f t="shared" si="6"/>
        <v>0.9998281012538518</v>
      </c>
      <c r="AE26" s="55">
        <f t="shared" si="6"/>
        <v>0.99754245701030919</v>
      </c>
      <c r="AF26" s="55">
        <f t="shared" si="6"/>
        <v>0.99669686018378789</v>
      </c>
      <c r="AG26" s="55">
        <f t="shared" si="6"/>
        <v>0.99242239091625262</v>
      </c>
      <c r="AI26" s="214">
        <f t="shared" si="13"/>
        <v>8.5975014999999999</v>
      </c>
      <c r="AJ26" s="214">
        <f t="shared" si="7"/>
        <v>8.59</v>
      </c>
      <c r="AK26" s="214">
        <f t="shared" si="7"/>
        <v>8.59</v>
      </c>
      <c r="AL26" s="214">
        <f t="shared" si="7"/>
        <v>9.5750014999999991</v>
      </c>
      <c r="AM26" s="214">
        <f t="shared" si="7"/>
        <v>7.5674999999999999</v>
      </c>
      <c r="AN26" s="214">
        <f t="shared" si="7"/>
        <v>7.12</v>
      </c>
      <c r="AO26" s="214">
        <f t="shared" si="7"/>
        <v>5.04</v>
      </c>
      <c r="AP26" s="206">
        <f t="shared" si="14"/>
        <v>0.54166666666666663</v>
      </c>
      <c r="AQ26" s="213">
        <f t="shared" si="15"/>
        <v>1.9528686949013156</v>
      </c>
      <c r="AR26" s="213">
        <f t="shared" si="8"/>
        <v>1.947845804988662</v>
      </c>
      <c r="AS26" s="213">
        <f t="shared" si="8"/>
        <v>1.947845804988662</v>
      </c>
      <c r="AT26" s="213">
        <f t="shared" si="8"/>
        <v>2.1638428803987164</v>
      </c>
      <c r="AU26" s="213">
        <f t="shared" si="8"/>
        <v>1.7072758037225042</v>
      </c>
      <c r="AV26" s="213">
        <f t="shared" si="8"/>
        <v>1.459016393442623</v>
      </c>
      <c r="AW26" s="213">
        <f t="shared" si="8"/>
        <v>1.2727272727272729</v>
      </c>
      <c r="AY26" s="162">
        <f t="shared" si="16"/>
        <v>22.983060499893448</v>
      </c>
      <c r="AZ26" s="162">
        <f t="shared" si="9"/>
        <v>19.990503715827181</v>
      </c>
      <c r="BA26" s="162">
        <f t="shared" si="9"/>
        <v>22.98143889147304</v>
      </c>
      <c r="BB26" s="162">
        <f t="shared" si="9"/>
        <v>23.995874430092442</v>
      </c>
      <c r="BC26" s="162">
        <f t="shared" si="9"/>
        <v>19.950849140206184</v>
      </c>
      <c r="BD26" s="162">
        <f t="shared" si="9"/>
        <v>19.933937203675757</v>
      </c>
      <c r="BE26" s="162">
        <f t="shared" si="9"/>
        <v>15.878758254660042</v>
      </c>
    </row>
    <row r="27" spans="1:57" x14ac:dyDescent="0.2">
      <c r="A27" s="143">
        <f t="shared" si="10"/>
        <v>24</v>
      </c>
      <c r="B27" s="147">
        <f t="shared" si="17"/>
        <v>0.58333333333333326</v>
      </c>
      <c r="C27">
        <v>31</v>
      </c>
      <c r="D27">
        <v>20</v>
      </c>
      <c r="E27">
        <v>20</v>
      </c>
      <c r="F27">
        <v>27</v>
      </c>
      <c r="G27">
        <v>37</v>
      </c>
      <c r="H27">
        <v>18</v>
      </c>
      <c r="I27">
        <v>15</v>
      </c>
      <c r="J27" s="165">
        <v>15</v>
      </c>
      <c r="K27" s="207">
        <f t="shared" si="11"/>
        <v>5.3808315000000002</v>
      </c>
      <c r="L27" s="207">
        <f t="shared" si="5"/>
        <v>4.41</v>
      </c>
      <c r="M27" s="207">
        <f t="shared" si="5"/>
        <v>4.41</v>
      </c>
      <c r="N27" s="207">
        <f t="shared" si="5"/>
        <v>4.9166650000000001</v>
      </c>
      <c r="O27" s="207">
        <f t="shared" si="5"/>
        <v>7.3875000000000002</v>
      </c>
      <c r="P27" s="207">
        <f t="shared" si="5"/>
        <v>4.3919999999999995</v>
      </c>
      <c r="Q27" s="207">
        <f t="shared" si="5"/>
        <v>3.4649999999999999</v>
      </c>
      <c r="R27" s="165">
        <v>15</v>
      </c>
      <c r="S27" s="146">
        <v>17</v>
      </c>
      <c r="T27" s="146">
        <v>15</v>
      </c>
      <c r="U27" s="146">
        <v>19</v>
      </c>
      <c r="V27" s="146">
        <v>17</v>
      </c>
      <c r="W27" s="146">
        <v>14</v>
      </c>
      <c r="X27" s="146">
        <v>15</v>
      </c>
      <c r="Y27" s="146">
        <v>17</v>
      </c>
      <c r="AA27" s="55">
        <f t="shared" si="12"/>
        <v>0.99982787959357733</v>
      </c>
      <c r="AB27" s="55">
        <f t="shared" si="12"/>
        <v>0.99996238959335115</v>
      </c>
      <c r="AC27" s="55">
        <f t="shared" si="6"/>
        <v>0.99999996650042589</v>
      </c>
      <c r="AD27" s="55">
        <f t="shared" si="6"/>
        <v>0.99998595120227929</v>
      </c>
      <c r="AE27" s="55">
        <f t="shared" si="6"/>
        <v>0.9477420983378384</v>
      </c>
      <c r="AF27" s="55">
        <f t="shared" si="6"/>
        <v>0.99996686898071996</v>
      </c>
      <c r="AG27" s="55">
        <f t="shared" si="6"/>
        <v>0.99999996626602805</v>
      </c>
      <c r="AI27" s="214">
        <f t="shared" si="13"/>
        <v>11.619168500000001</v>
      </c>
      <c r="AJ27" s="214">
        <f t="shared" si="7"/>
        <v>10.59</v>
      </c>
      <c r="AK27" s="214">
        <f t="shared" si="7"/>
        <v>14.59</v>
      </c>
      <c r="AL27" s="214">
        <f t="shared" si="7"/>
        <v>12.083335</v>
      </c>
      <c r="AM27" s="214">
        <f t="shared" si="7"/>
        <v>6.6124999999999998</v>
      </c>
      <c r="AN27" s="214">
        <f t="shared" si="7"/>
        <v>10.608000000000001</v>
      </c>
      <c r="AO27" s="214">
        <f t="shared" si="7"/>
        <v>13.535</v>
      </c>
      <c r="AP27" s="206">
        <f t="shared" si="14"/>
        <v>0.58333333333333326</v>
      </c>
      <c r="AQ27" s="213">
        <f t="shared" si="15"/>
        <v>2.1593630092300788</v>
      </c>
      <c r="AR27" s="213">
        <f t="shared" si="8"/>
        <v>2.4013605442176869</v>
      </c>
      <c r="AS27" s="213">
        <f t="shared" si="8"/>
        <v>3.308390022675737</v>
      </c>
      <c r="AT27" s="213">
        <f t="shared" si="8"/>
        <v>2.4576282907214546</v>
      </c>
      <c r="AU27" s="213">
        <f t="shared" si="8"/>
        <v>0.89509306260575294</v>
      </c>
      <c r="AV27" s="213">
        <f t="shared" si="8"/>
        <v>2.4153005464480879</v>
      </c>
      <c r="AW27" s="213">
        <f t="shared" si="8"/>
        <v>3.9062049062049065</v>
      </c>
      <c r="AY27" s="162">
        <f t="shared" si="16"/>
        <v>30.994664267400896</v>
      </c>
      <c r="AZ27" s="162">
        <f t="shared" si="9"/>
        <v>19.999247791867024</v>
      </c>
      <c r="BA27" s="162">
        <f t="shared" si="9"/>
        <v>19.999999330008517</v>
      </c>
      <c r="BB27" s="162">
        <f t="shared" si="9"/>
        <v>26.99962068246154</v>
      </c>
      <c r="BC27" s="162">
        <f t="shared" si="9"/>
        <v>35.066457638500019</v>
      </c>
      <c r="BD27" s="162">
        <f t="shared" si="9"/>
        <v>17.999403641652961</v>
      </c>
      <c r="BE27" s="162">
        <f t="shared" si="9"/>
        <v>14.999999493990421</v>
      </c>
    </row>
    <row r="28" spans="1:57" x14ac:dyDescent="0.2">
      <c r="A28" s="143">
        <f t="shared" si="10"/>
        <v>22.571428571428573</v>
      </c>
      <c r="B28" s="147">
        <f t="shared" si="17"/>
        <v>0.62499999999999989</v>
      </c>
      <c r="C28">
        <v>28</v>
      </c>
      <c r="D28">
        <v>22</v>
      </c>
      <c r="E28">
        <v>25</v>
      </c>
      <c r="F28">
        <v>17</v>
      </c>
      <c r="G28">
        <v>37</v>
      </c>
      <c r="H28">
        <v>12</v>
      </c>
      <c r="I28">
        <v>17</v>
      </c>
      <c r="J28" s="165">
        <v>16</v>
      </c>
      <c r="K28" s="207">
        <f t="shared" si="11"/>
        <v>5.3808315000000002</v>
      </c>
      <c r="L28" s="207">
        <f t="shared" si="5"/>
        <v>4.9000000000000004</v>
      </c>
      <c r="M28" s="207">
        <f t="shared" si="5"/>
        <v>4.9000000000000004</v>
      </c>
      <c r="N28" s="207">
        <f t="shared" si="5"/>
        <v>3.4416655</v>
      </c>
      <c r="O28" s="207">
        <f t="shared" si="5"/>
        <v>7.3875000000000002</v>
      </c>
      <c r="P28" s="207">
        <f t="shared" si="5"/>
        <v>3.4159999999999999</v>
      </c>
      <c r="Q28" s="207">
        <f t="shared" si="5"/>
        <v>3.96</v>
      </c>
      <c r="R28" s="165">
        <v>16</v>
      </c>
      <c r="S28" s="146">
        <v>14</v>
      </c>
      <c r="T28" s="146">
        <v>17</v>
      </c>
      <c r="U28" s="146">
        <v>17</v>
      </c>
      <c r="V28" s="146">
        <v>16</v>
      </c>
      <c r="W28" s="146">
        <v>13</v>
      </c>
      <c r="X28" s="146">
        <v>16</v>
      </c>
      <c r="Y28" s="146">
        <v>16</v>
      </c>
      <c r="AA28" s="55">
        <f t="shared" si="12"/>
        <v>0.99849415951633658</v>
      </c>
      <c r="AB28" s="55">
        <f t="shared" si="12"/>
        <v>0.99999195111334171</v>
      </c>
      <c r="AC28" s="55">
        <f t="shared" si="6"/>
        <v>0.99998564779587507</v>
      </c>
      <c r="AD28" s="55">
        <f t="shared" si="6"/>
        <v>0.99999984171150047</v>
      </c>
      <c r="AE28" s="55">
        <f t="shared" si="6"/>
        <v>0.90062949412565607</v>
      </c>
      <c r="AF28" s="55">
        <f t="shared" si="6"/>
        <v>0.99999995426553701</v>
      </c>
      <c r="AG28" s="55">
        <f t="shared" si="6"/>
        <v>0.99999904351689661</v>
      </c>
      <c r="AI28" s="214">
        <f t="shared" si="13"/>
        <v>8.6191685000000007</v>
      </c>
      <c r="AJ28" s="214">
        <f t="shared" si="7"/>
        <v>12.1</v>
      </c>
      <c r="AK28" s="214">
        <f t="shared" si="7"/>
        <v>12.1</v>
      </c>
      <c r="AL28" s="214">
        <f t="shared" si="7"/>
        <v>12.558334500000001</v>
      </c>
      <c r="AM28" s="214">
        <f t="shared" si="7"/>
        <v>5.6124999999999998</v>
      </c>
      <c r="AN28" s="214">
        <f t="shared" si="7"/>
        <v>12.584</v>
      </c>
      <c r="AO28" s="214">
        <f t="shared" si="7"/>
        <v>12.04</v>
      </c>
      <c r="AP28" s="206">
        <f t="shared" si="14"/>
        <v>0.62499999999999989</v>
      </c>
      <c r="AQ28" s="213">
        <f t="shared" si="15"/>
        <v>1.601828360542418</v>
      </c>
      <c r="AR28" s="213">
        <f t="shared" si="8"/>
        <v>2.4693877551020407</v>
      </c>
      <c r="AS28" s="213">
        <f t="shared" si="8"/>
        <v>2.4693877551020407</v>
      </c>
      <c r="AT28" s="213">
        <f t="shared" si="8"/>
        <v>3.6489119875246443</v>
      </c>
      <c r="AU28" s="213">
        <f t="shared" si="8"/>
        <v>0.75972927241962762</v>
      </c>
      <c r="AV28" s="213">
        <f t="shared" si="8"/>
        <v>3.6838407494145198</v>
      </c>
      <c r="AW28" s="213">
        <f t="shared" si="8"/>
        <v>3.0404040404040407</v>
      </c>
      <c r="AY28" s="162">
        <f t="shared" si="16"/>
        <v>27.957836466457422</v>
      </c>
      <c r="AZ28" s="162">
        <f t="shared" si="9"/>
        <v>21.999822924493518</v>
      </c>
      <c r="BA28" s="162">
        <f t="shared" si="9"/>
        <v>24.999641194896878</v>
      </c>
      <c r="BB28" s="162">
        <f t="shared" si="9"/>
        <v>16.999997309095509</v>
      </c>
      <c r="BC28" s="162">
        <f t="shared" si="9"/>
        <v>33.323291282649272</v>
      </c>
      <c r="BD28" s="162">
        <f t="shared" si="9"/>
        <v>11.999999451186444</v>
      </c>
      <c r="BE28" s="162">
        <f t="shared" si="9"/>
        <v>16.999983739787243</v>
      </c>
    </row>
    <row r="29" spans="1:57" x14ac:dyDescent="0.2">
      <c r="A29" s="143">
        <f t="shared" si="10"/>
        <v>21.571428571428573</v>
      </c>
      <c r="B29" s="147">
        <f t="shared" si="17"/>
        <v>0.66666666666666652</v>
      </c>
      <c r="C29">
        <v>22</v>
      </c>
      <c r="D29">
        <v>25</v>
      </c>
      <c r="E29">
        <v>19</v>
      </c>
      <c r="F29">
        <v>29</v>
      </c>
      <c r="G29">
        <v>21</v>
      </c>
      <c r="H29">
        <v>17</v>
      </c>
      <c r="I29">
        <v>18</v>
      </c>
      <c r="J29" s="165">
        <v>17</v>
      </c>
      <c r="K29" s="207">
        <f t="shared" si="11"/>
        <v>4.4024985000000001</v>
      </c>
      <c r="L29" s="207">
        <f t="shared" ref="L29:L36" si="18">AgentsRequired(D29,$B$10,L$10,$C$4,$C$6,$C$2,$C$8)*(1-L$4)/2</f>
        <v>5.39</v>
      </c>
      <c r="M29" s="207">
        <f t="shared" ref="M29:M36" si="19">AgentsRequired(E29,$B$10,M$10,$C$4,$C$6,$C$2,$C$8)*(1-M$4)/2</f>
        <v>3.92</v>
      </c>
      <c r="N29" s="207">
        <f t="shared" ref="N29:N36" si="20">AgentsRequired(F29,$B$10,N$10,$C$4,$C$6,$C$2,$C$8)*(1-N$4)/2</f>
        <v>4.9166650000000001</v>
      </c>
      <c r="O29" s="207">
        <f t="shared" ref="O29:O36" si="21">AgentsRequired(G29,$B$10,O$10,$C$4,$C$6,$C$2,$C$8)*(1-O$4)/2</f>
        <v>4.9249999999999998</v>
      </c>
      <c r="P29" s="207">
        <f t="shared" ref="P29:P36" si="22">AgentsRequired(H29,$B$10,P$10,$C$4,$C$6,$C$2,$C$8)*(1-P$4)/2</f>
        <v>4.3919999999999995</v>
      </c>
      <c r="Q29" s="207">
        <f t="shared" ref="Q29:Q36" si="23">AgentsRequired(I29,$B$10,Q$10,$C$4,$C$6,$C$2,$C$8)*(1-Q$4)/2</f>
        <v>3.96</v>
      </c>
      <c r="R29" s="165">
        <v>17</v>
      </c>
      <c r="S29" s="146">
        <v>11</v>
      </c>
      <c r="T29" s="146">
        <v>9</v>
      </c>
      <c r="U29" s="146">
        <v>8</v>
      </c>
      <c r="V29" s="146">
        <v>10</v>
      </c>
      <c r="W29" s="146">
        <v>11</v>
      </c>
      <c r="X29" s="146">
        <v>7</v>
      </c>
      <c r="Y29" s="146">
        <v>9</v>
      </c>
      <c r="AA29" s="55">
        <f t="shared" si="12"/>
        <v>0.99529234792110777</v>
      </c>
      <c r="AB29" s="55">
        <f t="shared" si="12"/>
        <v>0.8893044553543058</v>
      </c>
      <c r="AC29" s="55">
        <f t="shared" si="12"/>
        <v>0.95930267099469335</v>
      </c>
      <c r="AD29" s="55">
        <f t="shared" si="12"/>
        <v>0.95194991907208515</v>
      </c>
      <c r="AE29" s="55">
        <f t="shared" si="12"/>
        <v>0.99006069148805298</v>
      </c>
      <c r="AF29" s="55">
        <f t="shared" si="12"/>
        <v>0.86817222654037896</v>
      </c>
      <c r="AG29" s="55">
        <f t="shared" si="12"/>
        <v>0.98431925136735576</v>
      </c>
      <c r="AI29" s="214">
        <f t="shared" si="13"/>
        <v>6.5975014999999999</v>
      </c>
      <c r="AJ29" s="214">
        <f t="shared" si="13"/>
        <v>3.6100000000000003</v>
      </c>
      <c r="AK29" s="214">
        <f t="shared" si="13"/>
        <v>4.08</v>
      </c>
      <c r="AL29" s="214">
        <f t="shared" si="13"/>
        <v>5.0833349999999999</v>
      </c>
      <c r="AM29" s="214">
        <f t="shared" si="13"/>
        <v>6.0750000000000002</v>
      </c>
      <c r="AN29" s="214">
        <f t="shared" si="13"/>
        <v>2.6080000000000005</v>
      </c>
      <c r="AO29" s="214">
        <f t="shared" si="13"/>
        <v>5.04</v>
      </c>
      <c r="AP29" s="206">
        <f t="shared" si="14"/>
        <v>0.66666666666666652</v>
      </c>
      <c r="AQ29" s="213">
        <f t="shared" si="15"/>
        <v>1.4985812033780364</v>
      </c>
      <c r="AR29" s="213">
        <f t="shared" si="15"/>
        <v>0.66975881261595549</v>
      </c>
      <c r="AS29" s="213">
        <f t="shared" si="15"/>
        <v>1.0408163265306123</v>
      </c>
      <c r="AT29" s="213">
        <f t="shared" si="15"/>
        <v>1.033898994542032</v>
      </c>
      <c r="AU29" s="213">
        <f t="shared" si="15"/>
        <v>1.233502538071066</v>
      </c>
      <c r="AV29" s="213">
        <f t="shared" si="15"/>
        <v>0.59380692167577442</v>
      </c>
      <c r="AW29" s="213">
        <f t="shared" si="15"/>
        <v>1.2727272727272729</v>
      </c>
      <c r="AY29" s="162">
        <f t="shared" si="16"/>
        <v>21.896431654264372</v>
      </c>
      <c r="AZ29" s="162">
        <f t="shared" si="16"/>
        <v>22.232611383857645</v>
      </c>
      <c r="BA29" s="162">
        <f t="shared" si="16"/>
        <v>18.226750748899175</v>
      </c>
      <c r="BB29" s="162">
        <f t="shared" si="16"/>
        <v>27.60654765309047</v>
      </c>
      <c r="BC29" s="162">
        <f t="shared" si="16"/>
        <v>20.791274521249111</v>
      </c>
      <c r="BD29" s="162">
        <f t="shared" si="16"/>
        <v>14.758927851186442</v>
      </c>
      <c r="BE29" s="162">
        <f t="shared" si="16"/>
        <v>17.717746524612405</v>
      </c>
    </row>
    <row r="30" spans="1:57" x14ac:dyDescent="0.2">
      <c r="A30" s="143">
        <f t="shared" si="10"/>
        <v>21</v>
      </c>
      <c r="B30" s="147">
        <f t="shared" si="17"/>
        <v>0.70833333333333315</v>
      </c>
      <c r="C30">
        <v>18</v>
      </c>
      <c r="D30">
        <v>19</v>
      </c>
      <c r="E30">
        <v>23</v>
      </c>
      <c r="F30">
        <v>26</v>
      </c>
      <c r="G30">
        <v>27</v>
      </c>
      <c r="H30">
        <v>16</v>
      </c>
      <c r="I30">
        <v>18</v>
      </c>
      <c r="J30" s="165">
        <v>18</v>
      </c>
      <c r="K30" s="207">
        <f t="shared" si="11"/>
        <v>3.913332</v>
      </c>
      <c r="L30" s="207">
        <f t="shared" si="18"/>
        <v>4.41</v>
      </c>
      <c r="M30" s="207">
        <f t="shared" si="19"/>
        <v>4.41</v>
      </c>
      <c r="N30" s="207">
        <f t="shared" si="20"/>
        <v>4.9166650000000001</v>
      </c>
      <c r="O30" s="207">
        <f t="shared" si="21"/>
        <v>5.91</v>
      </c>
      <c r="P30" s="207">
        <f t="shared" si="22"/>
        <v>3.9039999999999999</v>
      </c>
      <c r="Q30" s="207">
        <f t="shared" si="23"/>
        <v>3.96</v>
      </c>
      <c r="R30" s="165">
        <v>18</v>
      </c>
      <c r="S30" s="146">
        <v>10</v>
      </c>
      <c r="T30" s="146">
        <v>11</v>
      </c>
      <c r="U30" s="146">
        <v>12</v>
      </c>
      <c r="V30" s="146">
        <v>13</v>
      </c>
      <c r="W30" s="146">
        <v>11</v>
      </c>
      <c r="X30" s="146">
        <v>12</v>
      </c>
      <c r="Y30" s="146">
        <v>11</v>
      </c>
      <c r="AA30" s="55">
        <f>ServiceLevel(C30,$B$10,K$10,$C$6,S30)</f>
        <v>0.99667237207735626</v>
      </c>
      <c r="AB30" s="55">
        <f t="shared" si="12"/>
        <v>0.99687786405135526</v>
      </c>
      <c r="AC30" s="55">
        <f t="shared" si="12"/>
        <v>0.99753545310608494</v>
      </c>
      <c r="AD30" s="55">
        <f t="shared" si="12"/>
        <v>0.99879924843633161</v>
      </c>
      <c r="AE30" s="55">
        <f t="shared" si="12"/>
        <v>0.94700214576614927</v>
      </c>
      <c r="AF30" s="55">
        <f t="shared" si="12"/>
        <v>0.99949438109188526</v>
      </c>
      <c r="AG30" s="55">
        <f t="shared" si="12"/>
        <v>0.99827217215289243</v>
      </c>
      <c r="AI30" s="214">
        <f t="shared" si="13"/>
        <v>6.0866679999999995</v>
      </c>
      <c r="AJ30" s="214">
        <f t="shared" si="13"/>
        <v>6.59</v>
      </c>
      <c r="AK30" s="214">
        <f t="shared" si="13"/>
        <v>7.59</v>
      </c>
      <c r="AL30" s="214">
        <f t="shared" si="13"/>
        <v>8.0833349999999999</v>
      </c>
      <c r="AM30" s="214">
        <f t="shared" si="13"/>
        <v>5.09</v>
      </c>
      <c r="AN30" s="214">
        <f t="shared" si="13"/>
        <v>8.0960000000000001</v>
      </c>
      <c r="AO30" s="214">
        <f t="shared" si="13"/>
        <v>7.04</v>
      </c>
      <c r="AP30" s="206">
        <f t="shared" si="14"/>
        <v>0.70833333333333315</v>
      </c>
      <c r="AQ30" s="213">
        <f t="shared" si="15"/>
        <v>1.5553671398184461</v>
      </c>
      <c r="AR30" s="213">
        <f t="shared" si="15"/>
        <v>1.4943310657596371</v>
      </c>
      <c r="AS30" s="213">
        <f t="shared" si="15"/>
        <v>1.7210884353741496</v>
      </c>
      <c r="AT30" s="213">
        <f t="shared" si="15"/>
        <v>1.6440686929046415</v>
      </c>
      <c r="AU30" s="213">
        <f t="shared" si="15"/>
        <v>0.86125211505922161</v>
      </c>
      <c r="AV30" s="213">
        <f t="shared" si="15"/>
        <v>2.0737704918032787</v>
      </c>
      <c r="AW30" s="213">
        <f t="shared" si="15"/>
        <v>1.7777777777777777</v>
      </c>
      <c r="AY30" s="162">
        <f t="shared" si="16"/>
        <v>17.940102697392412</v>
      </c>
      <c r="AZ30" s="162">
        <f t="shared" si="16"/>
        <v>18.940679416975751</v>
      </c>
      <c r="BA30" s="162">
        <f t="shared" si="16"/>
        <v>22.943315421439955</v>
      </c>
      <c r="BB30" s="162">
        <f t="shared" si="16"/>
        <v>25.968780459344622</v>
      </c>
      <c r="BC30" s="162">
        <f t="shared" si="16"/>
        <v>25.569057935686029</v>
      </c>
      <c r="BD30" s="162">
        <f t="shared" si="16"/>
        <v>15.991910097470164</v>
      </c>
      <c r="BE30" s="162">
        <f t="shared" si="16"/>
        <v>17.968899098752065</v>
      </c>
    </row>
    <row r="31" spans="1:57" x14ac:dyDescent="0.2">
      <c r="A31" s="143">
        <f t="shared" si="10"/>
        <v>21.714285714285715</v>
      </c>
      <c r="B31" s="147">
        <f t="shared" si="17"/>
        <v>0.74999999999999978</v>
      </c>
      <c r="C31">
        <v>20</v>
      </c>
      <c r="D31">
        <v>26</v>
      </c>
      <c r="E31">
        <v>20</v>
      </c>
      <c r="F31">
        <v>30</v>
      </c>
      <c r="G31">
        <v>20</v>
      </c>
      <c r="H31">
        <v>14</v>
      </c>
      <c r="I31">
        <v>22</v>
      </c>
      <c r="J31" s="165">
        <v>19</v>
      </c>
      <c r="K31" s="207">
        <f t="shared" si="11"/>
        <v>4.4024985000000001</v>
      </c>
      <c r="L31" s="207">
        <f t="shared" si="18"/>
        <v>5.39</v>
      </c>
      <c r="M31" s="207">
        <f t="shared" si="19"/>
        <v>4.41</v>
      </c>
      <c r="N31" s="207">
        <f t="shared" si="20"/>
        <v>5.4083315000000001</v>
      </c>
      <c r="O31" s="207">
        <f t="shared" si="21"/>
        <v>4.4325000000000001</v>
      </c>
      <c r="P31" s="207">
        <f t="shared" si="22"/>
        <v>3.9039999999999999</v>
      </c>
      <c r="Q31" s="207">
        <f t="shared" si="23"/>
        <v>4.4550000000000001</v>
      </c>
      <c r="R31" s="165">
        <v>19</v>
      </c>
      <c r="S31" s="146">
        <v>10</v>
      </c>
      <c r="T31" s="146">
        <v>11</v>
      </c>
      <c r="U31" s="146">
        <v>10</v>
      </c>
      <c r="V31" s="146">
        <v>14</v>
      </c>
      <c r="W31" s="146">
        <v>11</v>
      </c>
      <c r="X31" s="146">
        <v>11</v>
      </c>
      <c r="Y31" s="146">
        <v>10</v>
      </c>
      <c r="AA31" s="55">
        <f t="shared" si="12"/>
        <v>0.99306734140110653</v>
      </c>
      <c r="AB31" s="55">
        <f t="shared" si="12"/>
        <v>0.97108677857588521</v>
      </c>
      <c r="AC31" s="55">
        <f t="shared" si="12"/>
        <v>0.99257818776607809</v>
      </c>
      <c r="AD31" s="55">
        <f t="shared" si="12"/>
        <v>0.99848702566163572</v>
      </c>
      <c r="AE31" s="55">
        <f t="shared" si="12"/>
        <v>0.99299752922346218</v>
      </c>
      <c r="AF31" s="55">
        <f t="shared" si="12"/>
        <v>0.9994136380008527</v>
      </c>
      <c r="AG31" s="55">
        <f t="shared" si="12"/>
        <v>0.97949470689944163</v>
      </c>
      <c r="AI31" s="214">
        <f t="shared" si="13"/>
        <v>5.5975014999999999</v>
      </c>
      <c r="AJ31" s="214">
        <f t="shared" si="13"/>
        <v>5.61</v>
      </c>
      <c r="AK31" s="214">
        <f t="shared" si="13"/>
        <v>5.59</v>
      </c>
      <c r="AL31" s="214">
        <f t="shared" si="13"/>
        <v>8.5916685000000008</v>
      </c>
      <c r="AM31" s="214">
        <f t="shared" si="13"/>
        <v>6.5674999999999999</v>
      </c>
      <c r="AN31" s="214">
        <f t="shared" si="13"/>
        <v>7.0960000000000001</v>
      </c>
      <c r="AO31" s="214">
        <f t="shared" si="13"/>
        <v>5.5449999999999999</v>
      </c>
      <c r="AP31" s="206">
        <f t="shared" si="14"/>
        <v>0.74999999999999978</v>
      </c>
      <c r="AQ31" s="213">
        <f t="shared" si="15"/>
        <v>1.2714374576163965</v>
      </c>
      <c r="AR31" s="213">
        <f t="shared" si="15"/>
        <v>1.0408163265306123</v>
      </c>
      <c r="AS31" s="213">
        <f t="shared" si="15"/>
        <v>1.2675736961451247</v>
      </c>
      <c r="AT31" s="213">
        <f t="shared" si="15"/>
        <v>1.5885987203262224</v>
      </c>
      <c r="AU31" s="213">
        <f t="shared" si="15"/>
        <v>1.4816694867456288</v>
      </c>
      <c r="AV31" s="213">
        <f t="shared" si="15"/>
        <v>1.8176229508196724</v>
      </c>
      <c r="AW31" s="213">
        <f t="shared" si="15"/>
        <v>1.244668911335578</v>
      </c>
      <c r="AY31" s="162">
        <f t="shared" si="16"/>
        <v>19.861346828022132</v>
      </c>
      <c r="AZ31" s="162">
        <f t="shared" si="16"/>
        <v>25.248256242973014</v>
      </c>
      <c r="BA31" s="162">
        <f t="shared" si="16"/>
        <v>19.85156375532156</v>
      </c>
      <c r="BB31" s="162">
        <f t="shared" si="16"/>
        <v>29.954610769849072</v>
      </c>
      <c r="BC31" s="162">
        <f t="shared" si="16"/>
        <v>19.859950584469242</v>
      </c>
      <c r="BD31" s="162">
        <f t="shared" si="16"/>
        <v>13.991790932011938</v>
      </c>
      <c r="BE31" s="162">
        <f t="shared" si="16"/>
        <v>21.548883551787714</v>
      </c>
    </row>
    <row r="32" spans="1:57" x14ac:dyDescent="0.2">
      <c r="A32" s="143">
        <f t="shared" si="10"/>
        <v>17.857142857142858</v>
      </c>
      <c r="B32" s="147">
        <f t="shared" si="17"/>
        <v>0.79166666666666641</v>
      </c>
      <c r="C32">
        <v>21</v>
      </c>
      <c r="D32">
        <v>20</v>
      </c>
      <c r="E32">
        <v>14</v>
      </c>
      <c r="F32">
        <v>20</v>
      </c>
      <c r="G32">
        <v>19</v>
      </c>
      <c r="H32">
        <v>16</v>
      </c>
      <c r="I32">
        <v>15</v>
      </c>
      <c r="J32" s="165">
        <v>20</v>
      </c>
      <c r="K32" s="207">
        <f t="shared" si="11"/>
        <v>4.4024985000000001</v>
      </c>
      <c r="L32" s="207">
        <f t="shared" si="18"/>
        <v>4.41</v>
      </c>
      <c r="M32" s="207">
        <f t="shared" si="19"/>
        <v>3.4299999999999997</v>
      </c>
      <c r="N32" s="207">
        <f t="shared" si="20"/>
        <v>3.9333320000000001</v>
      </c>
      <c r="O32" s="207">
        <f t="shared" si="21"/>
        <v>4.4325000000000001</v>
      </c>
      <c r="P32" s="207">
        <f t="shared" si="22"/>
        <v>3.9039999999999999</v>
      </c>
      <c r="Q32" s="207">
        <f t="shared" si="23"/>
        <v>3.4649999999999999</v>
      </c>
      <c r="R32" s="165">
        <v>20</v>
      </c>
      <c r="S32" s="146">
        <v>10</v>
      </c>
      <c r="T32" s="146">
        <v>8</v>
      </c>
      <c r="U32" s="146">
        <v>9</v>
      </c>
      <c r="V32" s="146">
        <v>14</v>
      </c>
      <c r="W32" s="146">
        <v>11</v>
      </c>
      <c r="X32" s="146">
        <v>9</v>
      </c>
      <c r="Y32" s="146">
        <v>8</v>
      </c>
      <c r="AA32" s="55">
        <f t="shared" si="12"/>
        <v>0.99036093126771529</v>
      </c>
      <c r="AB32" s="55">
        <f t="shared" si="12"/>
        <v>0.92045045754435251</v>
      </c>
      <c r="AC32" s="55">
        <f t="shared" si="12"/>
        <v>0.99785276827058877</v>
      </c>
      <c r="AD32" s="55">
        <f t="shared" si="12"/>
        <v>0.99997459123988663</v>
      </c>
      <c r="AE32" s="55">
        <f t="shared" si="12"/>
        <v>0.9951948525204346</v>
      </c>
      <c r="AF32" s="55">
        <f t="shared" si="12"/>
        <v>0.98446131768835021</v>
      </c>
      <c r="AG32" s="55">
        <f t="shared" si="12"/>
        <v>0.98431894208813742</v>
      </c>
      <c r="AI32" s="214">
        <f t="shared" si="13"/>
        <v>5.5975014999999999</v>
      </c>
      <c r="AJ32" s="214">
        <f t="shared" si="13"/>
        <v>3.59</v>
      </c>
      <c r="AK32" s="214">
        <f t="shared" si="13"/>
        <v>5.57</v>
      </c>
      <c r="AL32" s="214">
        <f t="shared" si="13"/>
        <v>10.066668</v>
      </c>
      <c r="AM32" s="214">
        <f t="shared" si="13"/>
        <v>6.5674999999999999</v>
      </c>
      <c r="AN32" s="214">
        <f t="shared" si="13"/>
        <v>5.0960000000000001</v>
      </c>
      <c r="AO32" s="214">
        <f t="shared" si="13"/>
        <v>4.5350000000000001</v>
      </c>
      <c r="AP32" s="206">
        <f t="shared" si="14"/>
        <v>0.79166666666666641</v>
      </c>
      <c r="AQ32" s="213">
        <f t="shared" si="15"/>
        <v>1.2714374576163965</v>
      </c>
      <c r="AR32" s="213">
        <f t="shared" si="15"/>
        <v>0.81405895691609964</v>
      </c>
      <c r="AS32" s="213">
        <f t="shared" si="15"/>
        <v>1.6239067055393588</v>
      </c>
      <c r="AT32" s="213">
        <f t="shared" si="15"/>
        <v>2.5593232404485562</v>
      </c>
      <c r="AU32" s="213">
        <f t="shared" si="15"/>
        <v>1.4816694867456288</v>
      </c>
      <c r="AV32" s="213">
        <f t="shared" si="15"/>
        <v>1.305327868852459</v>
      </c>
      <c r="AW32" s="213">
        <f t="shared" si="15"/>
        <v>1.3088023088023091</v>
      </c>
      <c r="AY32" s="162">
        <f t="shared" si="16"/>
        <v>20.797579556622022</v>
      </c>
      <c r="AZ32" s="162">
        <f t="shared" si="16"/>
        <v>18.409009150887051</v>
      </c>
      <c r="BA32" s="162">
        <f t="shared" si="16"/>
        <v>13.969938755788244</v>
      </c>
      <c r="BB32" s="162">
        <f t="shared" si="16"/>
        <v>19.999491824797733</v>
      </c>
      <c r="BC32" s="162">
        <f t="shared" si="16"/>
        <v>18.908702197888257</v>
      </c>
      <c r="BD32" s="162">
        <f t="shared" si="16"/>
        <v>15.751381083013603</v>
      </c>
      <c r="BE32" s="162">
        <f t="shared" si="16"/>
        <v>14.764784131322061</v>
      </c>
    </row>
    <row r="33" spans="1:57" x14ac:dyDescent="0.2">
      <c r="A33" s="143">
        <f t="shared" si="10"/>
        <v>16.857142857142858</v>
      </c>
      <c r="B33" s="147">
        <f t="shared" si="17"/>
        <v>0.83333333333333304</v>
      </c>
      <c r="C33">
        <v>22</v>
      </c>
      <c r="D33">
        <v>16</v>
      </c>
      <c r="E33">
        <v>13</v>
      </c>
      <c r="F33">
        <v>18</v>
      </c>
      <c r="G33">
        <v>19</v>
      </c>
      <c r="H33">
        <v>17</v>
      </c>
      <c r="I33">
        <v>13</v>
      </c>
      <c r="J33" s="165">
        <v>21</v>
      </c>
      <c r="K33" s="207">
        <f t="shared" si="11"/>
        <v>4.4024985000000001</v>
      </c>
      <c r="L33" s="207">
        <f t="shared" si="18"/>
        <v>3.92</v>
      </c>
      <c r="M33" s="207">
        <f t="shared" si="19"/>
        <v>3.4299999999999997</v>
      </c>
      <c r="N33" s="207">
        <f t="shared" si="20"/>
        <v>3.9333320000000001</v>
      </c>
      <c r="O33" s="207">
        <f t="shared" si="21"/>
        <v>4.4325000000000001</v>
      </c>
      <c r="P33" s="207">
        <f t="shared" si="22"/>
        <v>4.3919999999999995</v>
      </c>
      <c r="Q33" s="207">
        <f t="shared" si="23"/>
        <v>3.4649999999999999</v>
      </c>
      <c r="R33" s="165">
        <v>21</v>
      </c>
      <c r="S33" s="146">
        <v>6</v>
      </c>
      <c r="T33" s="146">
        <v>6</v>
      </c>
      <c r="U33" s="146">
        <v>5</v>
      </c>
      <c r="V33" s="146">
        <v>9</v>
      </c>
      <c r="W33" s="146">
        <v>7</v>
      </c>
      <c r="X33" s="146">
        <v>8</v>
      </c>
      <c r="Y33" s="146">
        <v>7</v>
      </c>
      <c r="AA33" s="55">
        <f t="shared" si="12"/>
        <v>0.6315583337645102</v>
      </c>
      <c r="AB33" s="55">
        <f t="shared" si="12"/>
        <v>0.83825681992233148</v>
      </c>
      <c r="AC33" s="55">
        <f t="shared" si="12"/>
        <v>0.86015352767451281</v>
      </c>
      <c r="AD33" s="55">
        <f t="shared" si="12"/>
        <v>0.99332848433838972</v>
      </c>
      <c r="AE33" s="55">
        <f t="shared" si="12"/>
        <v>0.8195368616260682</v>
      </c>
      <c r="AF33" s="55">
        <f t="shared" si="12"/>
        <v>0.94353889305645688</v>
      </c>
      <c r="AG33" s="55">
        <f t="shared" si="12"/>
        <v>0.97765792253927741</v>
      </c>
      <c r="AI33" s="214">
        <f t="shared" si="13"/>
        <v>1.5975014999999999</v>
      </c>
      <c r="AJ33" s="214">
        <f t="shared" si="13"/>
        <v>2.08</v>
      </c>
      <c r="AK33" s="214">
        <f t="shared" si="13"/>
        <v>1.5700000000000003</v>
      </c>
      <c r="AL33" s="214">
        <f t="shared" si="13"/>
        <v>5.0666679999999999</v>
      </c>
      <c r="AM33" s="214">
        <f t="shared" si="13"/>
        <v>2.5674999999999999</v>
      </c>
      <c r="AN33" s="214">
        <f t="shared" si="13"/>
        <v>3.6080000000000005</v>
      </c>
      <c r="AO33" s="214">
        <f t="shared" si="13"/>
        <v>3.5350000000000001</v>
      </c>
      <c r="AP33" s="206">
        <f t="shared" si="14"/>
        <v>0.83333333333333304</v>
      </c>
      <c r="AQ33" s="213">
        <f t="shared" si="15"/>
        <v>0.36286247456983789</v>
      </c>
      <c r="AR33" s="213">
        <f t="shared" si="15"/>
        <v>0.53061224489795911</v>
      </c>
      <c r="AS33" s="213">
        <f t="shared" si="15"/>
        <v>0.45772594752186602</v>
      </c>
      <c r="AT33" s="213">
        <f t="shared" si="15"/>
        <v>1.288136368859786</v>
      </c>
      <c r="AU33" s="213">
        <f t="shared" si="15"/>
        <v>0.57924421883812749</v>
      </c>
      <c r="AV33" s="213">
        <f t="shared" si="15"/>
        <v>0.82149362477231347</v>
      </c>
      <c r="AW33" s="213">
        <f t="shared" si="15"/>
        <v>1.0202020202020203</v>
      </c>
      <c r="AY33" s="162">
        <f t="shared" si="16"/>
        <v>13.894283342819225</v>
      </c>
      <c r="AZ33" s="162">
        <f t="shared" si="16"/>
        <v>13.412109118757304</v>
      </c>
      <c r="BA33" s="162">
        <f t="shared" si="16"/>
        <v>11.181995859768666</v>
      </c>
      <c r="BB33" s="162">
        <f t="shared" si="16"/>
        <v>17.879912718091013</v>
      </c>
      <c r="BC33" s="162">
        <f t="shared" si="16"/>
        <v>15.571200370895296</v>
      </c>
      <c r="BD33" s="162">
        <f t="shared" si="16"/>
        <v>16.040161181959768</v>
      </c>
      <c r="BE33" s="162">
        <f t="shared" si="16"/>
        <v>12.709552993010606</v>
      </c>
    </row>
    <row r="34" spans="1:57" x14ac:dyDescent="0.2">
      <c r="A34" s="143">
        <f t="shared" si="10"/>
        <v>14</v>
      </c>
      <c r="B34" s="147">
        <f t="shared" si="17"/>
        <v>0.87499999999999967</v>
      </c>
      <c r="C34">
        <v>15</v>
      </c>
      <c r="D34">
        <v>19</v>
      </c>
      <c r="E34">
        <v>17</v>
      </c>
      <c r="F34">
        <v>15</v>
      </c>
      <c r="G34">
        <v>8</v>
      </c>
      <c r="H34">
        <v>10</v>
      </c>
      <c r="I34">
        <v>14</v>
      </c>
      <c r="J34" s="165">
        <v>22</v>
      </c>
      <c r="K34" s="207">
        <f t="shared" si="11"/>
        <v>3.4241655</v>
      </c>
      <c r="L34" s="207">
        <f t="shared" si="18"/>
        <v>4.41</v>
      </c>
      <c r="M34" s="207">
        <f t="shared" si="19"/>
        <v>3.92</v>
      </c>
      <c r="N34" s="207">
        <f t="shared" si="20"/>
        <v>3.4416655</v>
      </c>
      <c r="O34" s="207">
        <f t="shared" si="21"/>
        <v>2.4624999999999999</v>
      </c>
      <c r="P34" s="207">
        <f t="shared" si="22"/>
        <v>2.9279999999999999</v>
      </c>
      <c r="Q34" s="207">
        <f t="shared" si="23"/>
        <v>3.4649999999999999</v>
      </c>
      <c r="R34" s="165">
        <v>22</v>
      </c>
      <c r="S34" s="146">
        <v>7</v>
      </c>
      <c r="T34" s="146">
        <v>6</v>
      </c>
      <c r="U34" s="146">
        <v>5</v>
      </c>
      <c r="V34" s="146">
        <v>9</v>
      </c>
      <c r="W34" s="146">
        <v>10</v>
      </c>
      <c r="X34" s="146">
        <v>9</v>
      </c>
      <c r="Y34" s="146">
        <v>9</v>
      </c>
      <c r="AA34" s="55">
        <f t="shared" si="12"/>
        <v>0.96791155681699337</v>
      </c>
      <c r="AB34" s="55">
        <f t="shared" si="12"/>
        <v>0.69694180446811582</v>
      </c>
      <c r="AC34" s="55">
        <f t="shared" si="12"/>
        <v>0.66405794001123408</v>
      </c>
      <c r="AD34" s="55">
        <f t="shared" si="12"/>
        <v>0.99798697330153252</v>
      </c>
      <c r="AE34" s="55">
        <f t="shared" si="12"/>
        <v>0.99998128972200273</v>
      </c>
      <c r="AF34" s="55">
        <f t="shared" si="12"/>
        <v>0.99928988713745626</v>
      </c>
      <c r="AG34" s="55">
        <f t="shared" si="12"/>
        <v>0.99680522537058469</v>
      </c>
      <c r="AI34" s="214">
        <f t="shared" si="13"/>
        <v>3.5758345</v>
      </c>
      <c r="AJ34" s="214">
        <f t="shared" si="13"/>
        <v>1.5899999999999999</v>
      </c>
      <c r="AK34" s="214">
        <f t="shared" si="13"/>
        <v>1.08</v>
      </c>
      <c r="AL34" s="214">
        <f t="shared" si="13"/>
        <v>5.5583345</v>
      </c>
      <c r="AM34" s="214">
        <f t="shared" si="13"/>
        <v>7.5374999999999996</v>
      </c>
      <c r="AN34" s="214">
        <f t="shared" si="13"/>
        <v>6.0720000000000001</v>
      </c>
      <c r="AO34" s="214">
        <f t="shared" si="13"/>
        <v>5.5350000000000001</v>
      </c>
      <c r="AP34" s="206">
        <f t="shared" si="14"/>
        <v>0.87499999999999967</v>
      </c>
      <c r="AQ34" s="213">
        <f t="shared" si="15"/>
        <v>1.0442937118547571</v>
      </c>
      <c r="AR34" s="213">
        <f t="shared" si="15"/>
        <v>0.36054421768707479</v>
      </c>
      <c r="AS34" s="213">
        <f t="shared" si="15"/>
        <v>0.27551020408163263</v>
      </c>
      <c r="AT34" s="213">
        <f t="shared" si="15"/>
        <v>1.6150129929826127</v>
      </c>
      <c r="AU34" s="213">
        <f t="shared" si="15"/>
        <v>3.0609137055837561</v>
      </c>
      <c r="AV34" s="213">
        <f t="shared" si="15"/>
        <v>2.0737704918032787</v>
      </c>
      <c r="AW34" s="213">
        <f t="shared" si="15"/>
        <v>1.5974025974025974</v>
      </c>
      <c r="AY34" s="162">
        <f t="shared" si="16"/>
        <v>14.518673352254901</v>
      </c>
      <c r="AZ34" s="162">
        <f t="shared" si="16"/>
        <v>13.241894284894201</v>
      </c>
      <c r="BA34" s="162">
        <f t="shared" si="16"/>
        <v>11.28898498019098</v>
      </c>
      <c r="BB34" s="162">
        <f t="shared" si="16"/>
        <v>14.969804599522988</v>
      </c>
      <c r="BC34" s="162">
        <f t="shared" si="16"/>
        <v>7.9998503177760218</v>
      </c>
      <c r="BD34" s="162">
        <f t="shared" si="16"/>
        <v>9.9928988713745621</v>
      </c>
      <c r="BE34" s="162">
        <f t="shared" si="16"/>
        <v>13.955273155188186</v>
      </c>
    </row>
    <row r="35" spans="1:57" x14ac:dyDescent="0.2">
      <c r="A35" s="143">
        <f t="shared" si="10"/>
        <v>11.285714285714286</v>
      </c>
      <c r="B35" s="147">
        <f t="shared" si="17"/>
        <v>0.9166666666666663</v>
      </c>
      <c r="C35">
        <v>12</v>
      </c>
      <c r="D35">
        <v>9</v>
      </c>
      <c r="E35">
        <v>13</v>
      </c>
      <c r="F35">
        <v>12</v>
      </c>
      <c r="G35">
        <v>15</v>
      </c>
      <c r="H35">
        <v>9</v>
      </c>
      <c r="I35">
        <v>9</v>
      </c>
      <c r="J35" s="165">
        <v>23</v>
      </c>
      <c r="K35" s="207">
        <f t="shared" si="11"/>
        <v>2.9349989999999999</v>
      </c>
      <c r="L35" s="207">
        <f t="shared" si="18"/>
        <v>2.94</v>
      </c>
      <c r="M35" s="207">
        <f t="shared" si="19"/>
        <v>3.4299999999999997</v>
      </c>
      <c r="N35" s="207">
        <f t="shared" si="20"/>
        <v>2.949999</v>
      </c>
      <c r="O35" s="207">
        <f t="shared" si="21"/>
        <v>3.94</v>
      </c>
      <c r="P35" s="207">
        <f t="shared" si="22"/>
        <v>2.9279999999999999</v>
      </c>
      <c r="Q35" s="207">
        <f t="shared" si="23"/>
        <v>2.4750000000000001</v>
      </c>
      <c r="R35" s="165">
        <v>23</v>
      </c>
      <c r="S35" s="146">
        <v>5</v>
      </c>
      <c r="T35" s="146">
        <v>3</v>
      </c>
      <c r="U35" s="146">
        <v>2</v>
      </c>
      <c r="V35" s="146">
        <v>4</v>
      </c>
      <c r="W35" s="146">
        <v>4</v>
      </c>
      <c r="X35" s="146">
        <v>3</v>
      </c>
      <c r="Y35" s="146">
        <v>5</v>
      </c>
      <c r="AA35" s="55">
        <f t="shared" si="12"/>
        <v>0.89763603986926666</v>
      </c>
      <c r="AB35" s="55">
        <f t="shared" si="12"/>
        <v>0.5860921778154683</v>
      </c>
      <c r="AC35" s="55">
        <f t="shared" si="12"/>
        <v>0</v>
      </c>
      <c r="AD35" s="55">
        <f t="shared" si="12"/>
        <v>0.77686956511757832</v>
      </c>
      <c r="AE35" s="55">
        <f t="shared" si="12"/>
        <v>0.29009760097973514</v>
      </c>
      <c r="AF35" s="55">
        <f t="shared" si="12"/>
        <v>0.49427107907985823</v>
      </c>
      <c r="AG35" s="55">
        <f t="shared" si="12"/>
        <v>0.9536999366368839</v>
      </c>
      <c r="AI35" s="214">
        <f t="shared" si="13"/>
        <v>2.0650010000000001</v>
      </c>
      <c r="AJ35" s="214">
        <f t="shared" si="13"/>
        <v>6.0000000000000053E-2</v>
      </c>
      <c r="AK35" s="214">
        <f t="shared" si="13"/>
        <v>-1.4299999999999997</v>
      </c>
      <c r="AL35" s="214">
        <f t="shared" si="13"/>
        <v>1.050001</v>
      </c>
      <c r="AM35" s="214">
        <f t="shared" si="13"/>
        <v>6.0000000000000053E-2</v>
      </c>
      <c r="AN35" s="214">
        <f t="shared" si="13"/>
        <v>7.2000000000000064E-2</v>
      </c>
      <c r="AO35" s="214">
        <f t="shared" si="13"/>
        <v>2.5249999999999999</v>
      </c>
      <c r="AP35" s="206">
        <f t="shared" si="14"/>
        <v>0.9166666666666663</v>
      </c>
      <c r="AQ35" s="213">
        <f t="shared" si="15"/>
        <v>0.70357809321229747</v>
      </c>
      <c r="AR35" s="213">
        <f t="shared" si="15"/>
        <v>2.0408163265306145E-2</v>
      </c>
      <c r="AS35" s="213">
        <f t="shared" si="15"/>
        <v>-0.41690962099125362</v>
      </c>
      <c r="AT35" s="213">
        <f t="shared" si="15"/>
        <v>0.35593266302802129</v>
      </c>
      <c r="AU35" s="213">
        <f t="shared" si="15"/>
        <v>1.5228426395939021E-2</v>
      </c>
      <c r="AV35" s="213">
        <f t="shared" si="15"/>
        <v>2.4590163934426146E-2</v>
      </c>
      <c r="AW35" s="213">
        <f t="shared" si="15"/>
        <v>1.0202020202020203</v>
      </c>
      <c r="AY35" s="162">
        <f t="shared" si="16"/>
        <v>10.771632478431201</v>
      </c>
      <c r="AZ35" s="162">
        <f t="shared" si="16"/>
        <v>5.2748296003392143</v>
      </c>
      <c r="BA35" s="162">
        <f t="shared" si="16"/>
        <v>0</v>
      </c>
      <c r="BB35" s="162">
        <f t="shared" si="16"/>
        <v>9.3224347814109407</v>
      </c>
      <c r="BC35" s="162">
        <f t="shared" si="16"/>
        <v>4.3514640146960275</v>
      </c>
      <c r="BD35" s="162">
        <f t="shared" si="16"/>
        <v>4.4484397117187244</v>
      </c>
      <c r="BE35" s="162">
        <f t="shared" si="16"/>
        <v>8.5832994297319551</v>
      </c>
    </row>
    <row r="36" spans="1:57" ht="13.5" thickBot="1" x14ac:dyDescent="0.25">
      <c r="A36" s="143">
        <f t="shared" si="10"/>
        <v>9.8571428571428577</v>
      </c>
      <c r="B36" s="147">
        <f t="shared" si="17"/>
        <v>0.95833333333333293</v>
      </c>
      <c r="C36">
        <v>13</v>
      </c>
      <c r="D36">
        <v>10</v>
      </c>
      <c r="E36">
        <v>11</v>
      </c>
      <c r="F36">
        <v>11</v>
      </c>
      <c r="G36">
        <v>7</v>
      </c>
      <c r="H36">
        <v>10</v>
      </c>
      <c r="I36">
        <v>7</v>
      </c>
      <c r="J36" s="165">
        <v>24</v>
      </c>
      <c r="K36" s="207">
        <f t="shared" si="11"/>
        <v>2.9349989999999999</v>
      </c>
      <c r="L36" s="207">
        <f t="shared" si="18"/>
        <v>2.94</v>
      </c>
      <c r="M36" s="207">
        <f t="shared" si="19"/>
        <v>2.94</v>
      </c>
      <c r="N36" s="207">
        <f t="shared" si="20"/>
        <v>2.949999</v>
      </c>
      <c r="O36" s="207">
        <f t="shared" si="21"/>
        <v>2.4624999999999999</v>
      </c>
      <c r="P36" s="207">
        <f t="shared" si="22"/>
        <v>2.9279999999999999</v>
      </c>
      <c r="Q36" s="207">
        <f t="shared" si="23"/>
        <v>2.4750000000000001</v>
      </c>
      <c r="R36" s="165">
        <v>24</v>
      </c>
      <c r="S36" s="146">
        <v>5</v>
      </c>
      <c r="T36" s="146">
        <v>3</v>
      </c>
      <c r="U36" s="146">
        <v>2</v>
      </c>
      <c r="V36" s="146">
        <v>4</v>
      </c>
      <c r="W36" s="146">
        <v>4</v>
      </c>
      <c r="X36" s="146">
        <v>3</v>
      </c>
      <c r="Y36" s="146">
        <v>5</v>
      </c>
      <c r="AA36" s="55">
        <f t="shared" si="12"/>
        <v>0.86483205092921411</v>
      </c>
      <c r="AB36" s="55">
        <f t="shared" si="12"/>
        <v>0.47978275421957495</v>
      </c>
      <c r="AC36" s="55">
        <f t="shared" si="12"/>
        <v>0</v>
      </c>
      <c r="AD36" s="55">
        <f t="shared" si="12"/>
        <v>0.82600803562795688</v>
      </c>
      <c r="AE36" s="55">
        <f t="shared" si="12"/>
        <v>0.91363338414884854</v>
      </c>
      <c r="AF36" s="55">
        <f t="shared" si="12"/>
        <v>0.36770383240636373</v>
      </c>
      <c r="AG36" s="55">
        <f t="shared" si="12"/>
        <v>0.98246371481425743</v>
      </c>
      <c r="AI36" s="214">
        <f t="shared" si="13"/>
        <v>2.0650010000000001</v>
      </c>
      <c r="AJ36" s="214">
        <f t="shared" si="13"/>
        <v>6.0000000000000053E-2</v>
      </c>
      <c r="AK36" s="214">
        <f t="shared" si="13"/>
        <v>-0.94</v>
      </c>
      <c r="AL36" s="214">
        <f t="shared" si="13"/>
        <v>1.050001</v>
      </c>
      <c r="AM36" s="214">
        <f t="shared" si="13"/>
        <v>1.5375000000000001</v>
      </c>
      <c r="AN36" s="214">
        <f t="shared" si="13"/>
        <v>7.2000000000000064E-2</v>
      </c>
      <c r="AO36" s="214">
        <f t="shared" si="13"/>
        <v>2.5249999999999999</v>
      </c>
      <c r="AP36" s="206">
        <f t="shared" si="14"/>
        <v>0.95833333333333293</v>
      </c>
      <c r="AQ36" s="213">
        <f t="shared" si="15"/>
        <v>0.70357809321229747</v>
      </c>
      <c r="AR36" s="213">
        <f t="shared" si="15"/>
        <v>2.0408163265306145E-2</v>
      </c>
      <c r="AS36" s="213">
        <f t="shared" si="15"/>
        <v>-0.31972789115646261</v>
      </c>
      <c r="AT36" s="213">
        <f t="shared" si="15"/>
        <v>0.35593266302802129</v>
      </c>
      <c r="AU36" s="213">
        <f t="shared" si="15"/>
        <v>0.62436548223350252</v>
      </c>
      <c r="AV36" s="213">
        <f t="shared" si="15"/>
        <v>2.4590163934426146E-2</v>
      </c>
      <c r="AW36" s="213">
        <f t="shared" si="15"/>
        <v>1.0202020202020203</v>
      </c>
      <c r="AY36" s="162">
        <f t="shared" si="16"/>
        <v>11.242816662079784</v>
      </c>
      <c r="AZ36" s="162">
        <f t="shared" si="16"/>
        <v>4.7978275421957495</v>
      </c>
      <c r="BA36" s="162">
        <f t="shared" si="16"/>
        <v>0</v>
      </c>
      <c r="BB36" s="162">
        <f t="shared" si="16"/>
        <v>9.0860883919075253</v>
      </c>
      <c r="BC36" s="162">
        <f t="shared" si="16"/>
        <v>6.3954336890419397</v>
      </c>
      <c r="BD36" s="162">
        <f t="shared" si="16"/>
        <v>3.6770383240636373</v>
      </c>
      <c r="BE36" s="162">
        <f t="shared" si="16"/>
        <v>6.8772460036998018</v>
      </c>
    </row>
    <row r="37" spans="1:57" ht="13.5" thickBot="1" x14ac:dyDescent="0.25">
      <c r="A37" s="152">
        <f>SUM(K37:Q37)</f>
        <v>576.78544399999998</v>
      </c>
      <c r="B37" s="153">
        <f>SUM(C37:I37)</f>
        <v>2422</v>
      </c>
      <c r="C37">
        <v>358</v>
      </c>
      <c r="D37">
        <v>363</v>
      </c>
      <c r="E37">
        <v>348</v>
      </c>
      <c r="F37">
        <v>415</v>
      </c>
      <c r="G37">
        <v>383</v>
      </c>
      <c r="H37">
        <v>282</v>
      </c>
      <c r="I37">
        <v>273</v>
      </c>
      <c r="K37" s="148">
        <f>SUM(K13:K36)</f>
        <v>79.244973000000002</v>
      </c>
      <c r="L37" s="148">
        <f t="shared" ref="L37:Q37" si="24">SUM(L13:L36)</f>
        <v>87.219999999999985</v>
      </c>
      <c r="M37" s="148">
        <f t="shared" si="24"/>
        <v>80.359999999999985</v>
      </c>
      <c r="N37" s="148">
        <f t="shared" si="24"/>
        <v>85.549971000000028</v>
      </c>
      <c r="O37" s="148">
        <f t="shared" si="24"/>
        <v>94.067500000000024</v>
      </c>
      <c r="P37" s="148">
        <f t="shared" si="24"/>
        <v>78.567999999999969</v>
      </c>
      <c r="Q37" s="148">
        <f t="shared" si="24"/>
        <v>71.774999999999991</v>
      </c>
      <c r="S37" s="148">
        <f>SUM(S13:S36)</f>
        <v>218</v>
      </c>
      <c r="T37" s="148">
        <f t="shared" ref="T37:Y37" si="25">SUM(T13:T36)</f>
        <v>199</v>
      </c>
      <c r="U37" s="148">
        <f t="shared" si="25"/>
        <v>188</v>
      </c>
      <c r="V37" s="148">
        <f t="shared" si="25"/>
        <v>216</v>
      </c>
      <c r="W37" s="148">
        <f t="shared" si="25"/>
        <v>191</v>
      </c>
      <c r="X37" s="148">
        <f t="shared" si="25"/>
        <v>191</v>
      </c>
      <c r="Y37" s="148">
        <f t="shared" si="25"/>
        <v>213</v>
      </c>
      <c r="AP37" s="21" t="s">
        <v>161</v>
      </c>
      <c r="AQ37" s="215">
        <f>COUNTIF(AQ13:AQ36,$AP$37)/48</f>
        <v>0</v>
      </c>
      <c r="AR37" s="215">
        <f t="shared" ref="AR37:AW37" si="26">COUNTIF(AR13:AR36,$AP$37)/48</f>
        <v>0</v>
      </c>
      <c r="AS37" s="215">
        <f t="shared" si="26"/>
        <v>4.1666666666666664E-2</v>
      </c>
      <c r="AT37" s="215">
        <f t="shared" si="26"/>
        <v>0</v>
      </c>
      <c r="AU37" s="215">
        <f t="shared" si="26"/>
        <v>2.0833333333333332E-2</v>
      </c>
      <c r="AV37" s="215">
        <f t="shared" si="26"/>
        <v>0</v>
      </c>
      <c r="AW37" s="215">
        <f t="shared" si="26"/>
        <v>0</v>
      </c>
    </row>
    <row r="38" spans="1:57" ht="13.5" thickBot="1" x14ac:dyDescent="0.25">
      <c r="A38" s="152">
        <f>SUM(S37:Y37)</f>
        <v>1416</v>
      </c>
      <c r="C38">
        <v>721</v>
      </c>
      <c r="D38">
        <v>788</v>
      </c>
      <c r="E38">
        <v>728</v>
      </c>
      <c r="F38">
        <v>675</v>
      </c>
      <c r="G38">
        <v>833</v>
      </c>
      <c r="H38">
        <v>863</v>
      </c>
      <c r="I38">
        <v>771</v>
      </c>
      <c r="AP38" s="21" t="s">
        <v>164</v>
      </c>
      <c r="AQ38" s="215">
        <f>COUNTIF(AQ13:AQ36,$AP$62)/48</f>
        <v>0</v>
      </c>
      <c r="AR38" s="215">
        <f t="shared" ref="AR38:AW38" si="27">COUNTIF(AR13:AR36,$AP$62)/48</f>
        <v>0</v>
      </c>
      <c r="AS38" s="215">
        <f t="shared" si="27"/>
        <v>0</v>
      </c>
      <c r="AT38" s="215">
        <f t="shared" si="27"/>
        <v>0</v>
      </c>
      <c r="AU38" s="215">
        <f t="shared" si="27"/>
        <v>0</v>
      </c>
      <c r="AV38" s="215">
        <f t="shared" si="27"/>
        <v>0</v>
      </c>
      <c r="AW38" s="215">
        <f t="shared" si="27"/>
        <v>0</v>
      </c>
    </row>
    <row r="39" spans="1:57" x14ac:dyDescent="0.2">
      <c r="C39">
        <v>2.1666999999999999E-2</v>
      </c>
      <c r="D39">
        <v>0.02</v>
      </c>
      <c r="E39">
        <v>0.02</v>
      </c>
      <c r="F39">
        <v>1.6667000000000001E-2</v>
      </c>
      <c r="G39">
        <v>1.4999999999999999E-2</v>
      </c>
      <c r="H39">
        <v>2.4E-2</v>
      </c>
      <c r="I39">
        <v>0.01</v>
      </c>
      <c r="K39" s="151">
        <f>K37/$A$37</f>
        <v>0.13739072964538959</v>
      </c>
      <c r="L39" s="151">
        <f t="shared" ref="L39:Q39" si="28">L37/$A$37</f>
        <v>0.15121740832280778</v>
      </c>
      <c r="M39" s="151">
        <f t="shared" si="28"/>
        <v>0.13932390429741842</v>
      </c>
      <c r="N39" s="151">
        <f t="shared" si="28"/>
        <v>0.14832200065021064</v>
      </c>
      <c r="O39" s="151">
        <f t="shared" si="28"/>
        <v>0.16308924051141627</v>
      </c>
      <c r="P39" s="151">
        <f t="shared" si="28"/>
        <v>0.13621702977650035</v>
      </c>
      <c r="Q39" s="151">
        <f t="shared" si="28"/>
        <v>0.12443968679625693</v>
      </c>
      <c r="S39" s="151">
        <f>S37/$A$38</f>
        <v>0.153954802259887</v>
      </c>
      <c r="T39" s="151">
        <f t="shared" ref="T39:Y39" si="29">T37/$A$38</f>
        <v>0.1405367231638418</v>
      </c>
      <c r="U39" s="151">
        <f t="shared" si="29"/>
        <v>0.1327683615819209</v>
      </c>
      <c r="V39" s="151">
        <f t="shared" si="29"/>
        <v>0.15254237288135594</v>
      </c>
      <c r="W39" s="151">
        <f t="shared" si="29"/>
        <v>0.13488700564971751</v>
      </c>
      <c r="X39" s="151">
        <f t="shared" si="29"/>
        <v>0.13488700564971751</v>
      </c>
      <c r="Y39" s="151">
        <f t="shared" si="29"/>
        <v>0.15042372881355931</v>
      </c>
      <c r="AP39" s="165"/>
      <c r="AQ39" s="165"/>
      <c r="AR39" s="165"/>
      <c r="AS39" s="165"/>
      <c r="AT39" s="165"/>
      <c r="AU39" s="165"/>
      <c r="AV39" s="165"/>
      <c r="AW39" s="165"/>
    </row>
    <row r="40" spans="1:57" x14ac:dyDescent="0.2">
      <c r="AP40" s="165"/>
      <c r="AQ40" s="165"/>
      <c r="AR40" s="165"/>
      <c r="AS40" s="165"/>
      <c r="AT40" s="165"/>
      <c r="AU40" s="165"/>
      <c r="AV40" s="165"/>
      <c r="AW40" s="165"/>
    </row>
    <row r="41" spans="1:57" x14ac:dyDescent="0.2">
      <c r="K41" s="314" t="str">
        <f>"ETP HEBDO =  "&amp;A37/40</f>
        <v>ETP HEBDO =  14,4196361</v>
      </c>
      <c r="L41" s="314"/>
      <c r="M41" s="314"/>
      <c r="N41" s="314"/>
      <c r="O41" s="314"/>
      <c r="P41" s="314"/>
      <c r="Q41" s="314"/>
      <c r="S41" s="315" t="str">
        <f>"ETP HEBDO =  "&amp;A38/40</f>
        <v>ETP HEBDO =  35,4</v>
      </c>
      <c r="T41" s="315"/>
      <c r="U41" s="315"/>
      <c r="V41" s="315"/>
      <c r="W41" s="315"/>
      <c r="X41" s="315"/>
      <c r="Y41" s="315"/>
      <c r="AP41" s="165" t="s">
        <v>162</v>
      </c>
      <c r="AQ41" s="309" t="s">
        <v>149</v>
      </c>
      <c r="AR41" s="309"/>
      <c r="AS41" s="196">
        <f>COUNTIF(AQ13:AW36, AP41)</f>
        <v>0</v>
      </c>
      <c r="AT41" s="165"/>
      <c r="AU41" s="165"/>
      <c r="AV41" s="165"/>
      <c r="AW41" s="165"/>
    </row>
    <row r="42" spans="1:57" x14ac:dyDescent="0.2">
      <c r="AP42" s="165"/>
      <c r="AQ42" s="165"/>
      <c r="AR42" s="165"/>
      <c r="AS42" s="165"/>
      <c r="AT42" s="165"/>
      <c r="AU42" s="165"/>
      <c r="AV42" s="165"/>
      <c r="AW42" s="165"/>
    </row>
    <row r="43" spans="1:57" x14ac:dyDescent="0.2">
      <c r="AP43" s="165"/>
      <c r="AQ43" s="165"/>
      <c r="AR43" s="165"/>
      <c r="AS43" s="165"/>
      <c r="AT43" s="165"/>
      <c r="AU43" s="165"/>
      <c r="AV43" s="165"/>
      <c r="AW43" s="165"/>
    </row>
    <row r="44" spans="1:57" x14ac:dyDescent="0.2">
      <c r="AP44" s="165" t="s">
        <v>163</v>
      </c>
      <c r="AQ44" s="305" t="s">
        <v>152</v>
      </c>
      <c r="AR44" s="305"/>
      <c r="AS44" s="196">
        <f>COUNTIF(AQ13:AW36, AP44)</f>
        <v>0</v>
      </c>
      <c r="AT44" s="165"/>
      <c r="AU44" s="165"/>
      <c r="AV44" s="165"/>
      <c r="AW44" s="165"/>
    </row>
    <row r="45" spans="1:57" x14ac:dyDescent="0.2">
      <c r="AP45" s="165"/>
      <c r="AQ45" s="165"/>
      <c r="AR45" s="165"/>
      <c r="AS45" s="165"/>
      <c r="AT45" s="165"/>
      <c r="AU45" s="165"/>
      <c r="AV45" s="165"/>
      <c r="AW45" s="165"/>
    </row>
    <row r="46" spans="1:57" x14ac:dyDescent="0.2">
      <c r="AP46" s="165" t="s">
        <v>161</v>
      </c>
      <c r="AQ46" s="221">
        <f>COUNTIF(AQ13:AW36,AP46)/336</f>
        <v>8.9285714285714281E-3</v>
      </c>
      <c r="AR46" s="203" t="s">
        <v>153</v>
      </c>
      <c r="AS46" s="165"/>
      <c r="AT46" s="165"/>
      <c r="AU46" s="165"/>
      <c r="AV46" s="165"/>
      <c r="AW46" s="165"/>
    </row>
    <row r="47" spans="1:57" x14ac:dyDescent="0.2">
      <c r="AP47" s="21" t="s">
        <v>164</v>
      </c>
      <c r="AQ47" s="221">
        <f>COUNTIF(AQ13:AW36,AP47)/336</f>
        <v>0.45833333333333331</v>
      </c>
      <c r="AR47" s="203" t="s">
        <v>167</v>
      </c>
      <c r="AS47" s="165"/>
      <c r="AT47" s="165"/>
      <c r="AU47" s="165"/>
      <c r="AV47" s="165"/>
      <c r="AW47" s="165"/>
    </row>
  </sheetData>
  <mergeCells count="15">
    <mergeCell ref="C11:I11"/>
    <mergeCell ref="K11:Q11"/>
    <mergeCell ref="S11:Y11"/>
    <mergeCell ref="AA11:AG11"/>
    <mergeCell ref="AI11:AO11"/>
    <mergeCell ref="A4:B4"/>
    <mergeCell ref="A6:B6"/>
    <mergeCell ref="S7:Y7"/>
    <mergeCell ref="A8:B8"/>
    <mergeCell ref="AQ10:AW10"/>
    <mergeCell ref="AQ44:AR44"/>
    <mergeCell ref="AQ11:AW11"/>
    <mergeCell ref="K41:Q41"/>
    <mergeCell ref="S41:Y41"/>
    <mergeCell ref="AQ41:AR41"/>
  </mergeCells>
  <conditionalFormatting sqref="AA13:AG36">
    <cfRule type="cellIs" dxfId="1466" priority="47" operator="lessThan">
      <formula>0.8</formula>
    </cfRule>
    <cfRule type="cellIs" dxfId="1465" priority="48" operator="greaterThan">
      <formula>0.9</formula>
    </cfRule>
    <cfRule type="cellIs" dxfId="1464" priority="49" operator="between">
      <formula>0.8</formula>
      <formula>0.9</formula>
    </cfRule>
  </conditionalFormatting>
  <conditionalFormatting sqref="AQ1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Y13:BE36">
    <cfRule type="cellIs" dxfId="1463" priority="33" operator="between">
      <formula>-9</formula>
      <formula>-1</formula>
    </cfRule>
    <cfRule type="cellIs" dxfId="1462" priority="34" operator="between">
      <formula>1</formula>
      <formula>9</formula>
    </cfRule>
    <cfRule type="cellIs" dxfId="1461" priority="35" operator="lessThan">
      <formula>-9</formula>
    </cfRule>
    <cfRule type="cellIs" dxfId="1460" priority="36" operator="greaterThan">
      <formula>9</formula>
    </cfRule>
  </conditionalFormatting>
  <conditionalFormatting sqref="AA10:AG10">
    <cfRule type="cellIs" dxfId="1459" priority="32" operator="lessThan">
      <formula>0.8</formula>
    </cfRule>
  </conditionalFormatting>
  <conditionalFormatting sqref="AQ13:AW36">
    <cfRule type="cellIs" dxfId="1458" priority="26" operator="between">
      <formula>-9</formula>
      <formula>-1</formula>
    </cfRule>
    <cfRule type="cellIs" dxfId="1457" priority="27" operator="between">
      <formula>1</formula>
      <formula>9</formula>
    </cfRule>
    <cfRule type="cellIs" dxfId="1456" priority="28" operator="lessThan">
      <formula>-9</formula>
    </cfRule>
    <cfRule type="cellIs" dxfId="1455" priority="29" operator="greaterThan">
      <formula>9</formula>
    </cfRule>
  </conditionalFormatting>
  <conditionalFormatting sqref="AQ13:AW36">
    <cfRule type="cellIs" dxfId="1454" priority="25" operator="lessThan">
      <formula>-0.1</formula>
    </cfRule>
  </conditionalFormatting>
  <conditionalFormatting sqref="AI13:AO36">
    <cfRule type="cellIs" dxfId="1453" priority="22" operator="greaterThan">
      <formula>10</formula>
    </cfRule>
    <cfRule type="cellIs" dxfId="1452" priority="23" operator="lessThan">
      <formula>-10</formula>
    </cfRule>
    <cfRule type="cellIs" dxfId="1451" priority="24" operator="lessThan">
      <formula>0</formula>
    </cfRule>
  </conditionalFormatting>
  <conditionalFormatting sqref="K13:Q36">
    <cfRule type="cellIs" dxfId="1450" priority="77" operator="greaterThan">
      <formula>50</formula>
    </cfRule>
    <cfRule type="cellIs" dxfId="1449" priority="78" operator="greaterThan">
      <formula>69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C13:I3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Y36">
    <cfRule type="cellIs" dxfId="1448" priority="12" operator="lessThan">
      <formula>30</formula>
    </cfRule>
    <cfRule type="cellIs" dxfId="1447" priority="13" operator="greaterThan">
      <formula>50</formula>
    </cfRule>
  </conditionalFormatting>
  <conditionalFormatting sqref="AQ37:AW37">
    <cfRule type="cellIs" dxfId="1446" priority="8" operator="between">
      <formula>-9</formula>
      <formula>-1</formula>
    </cfRule>
    <cfRule type="cellIs" dxfId="1445" priority="9" operator="between">
      <formula>1</formula>
      <formula>9</formula>
    </cfRule>
    <cfRule type="cellIs" dxfId="1444" priority="10" operator="lessThan">
      <formula>-9</formula>
    </cfRule>
    <cfRule type="cellIs" dxfId="1443" priority="11" operator="greaterThan">
      <formula>9</formula>
    </cfRule>
  </conditionalFormatting>
  <conditionalFormatting sqref="AS44">
    <cfRule type="cellIs" dxfId="1442" priority="7" operator="greaterThan">
      <formula>0</formula>
    </cfRule>
  </conditionalFormatting>
  <conditionalFormatting sqref="AQ46">
    <cfRule type="cellIs" dxfId="1441" priority="6" operator="greaterThan">
      <formula>0.1</formula>
    </cfRule>
  </conditionalFormatting>
  <conditionalFormatting sqref="AS41">
    <cfRule type="cellIs" dxfId="1440" priority="5" operator="greaterThan">
      <formula>0</formula>
    </cfRule>
  </conditionalFormatting>
  <conditionalFormatting sqref="AQ37:AW37">
    <cfRule type="cellIs" dxfId="1439" priority="4" operator="lessThan">
      <formula>-0.1</formula>
    </cfRule>
  </conditionalFormatting>
  <conditionalFormatting sqref="AQ37:AW37">
    <cfRule type="cellIs" dxfId="1438" priority="3" operator="greaterThan">
      <formula>0.1499</formula>
    </cfRule>
  </conditionalFormatting>
  <conditionalFormatting sqref="AQ38:AW38">
    <cfRule type="cellIs" dxfId="1437" priority="2" operator="greaterThan">
      <formula>0.2</formula>
    </cfRule>
  </conditionalFormatting>
  <conditionalFormatting sqref="AQ47">
    <cfRule type="cellIs" dxfId="1436" priority="1" operator="greaterThan">
      <formula>0.15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8D476-2882-4DEA-80EC-703AD4EB77D1}">
  <sheetPr>
    <tabColor theme="1"/>
  </sheetPr>
  <dimension ref="A1:AM190"/>
  <sheetViews>
    <sheetView zoomScale="80" zoomScaleNormal="80" workbookViewId="0">
      <selection activeCell="J1" sqref="J1:N1"/>
    </sheetView>
  </sheetViews>
  <sheetFormatPr baseColWidth="10" defaultRowHeight="12.75" x14ac:dyDescent="0.2"/>
  <cols>
    <col min="1" max="1" width="48.85546875" customWidth="1"/>
    <col min="2" max="2" width="4.42578125" hidden="1" customWidth="1"/>
    <col min="3" max="3" width="16.5703125" hidden="1" customWidth="1"/>
    <col min="4" max="4" width="5.140625" customWidth="1"/>
    <col min="5" max="6" width="6" bestFit="1" customWidth="1"/>
    <col min="7" max="7" width="7.42578125" bestFit="1" customWidth="1"/>
    <col min="8" max="8" width="6" bestFit="1" customWidth="1"/>
    <col min="9" max="9" width="11.42578125" bestFit="1" customWidth="1"/>
    <col min="10" max="11" width="6" bestFit="1" customWidth="1"/>
    <col min="12" max="12" width="7.42578125" bestFit="1" customWidth="1"/>
    <col min="13" max="13" width="6" bestFit="1" customWidth="1"/>
    <col min="14" max="14" width="11.42578125" bestFit="1" customWidth="1"/>
    <col min="15" max="16" width="6" bestFit="1" customWidth="1"/>
    <col min="17" max="17" width="7.42578125" bestFit="1" customWidth="1"/>
    <col min="18" max="18" width="6" bestFit="1" customWidth="1"/>
    <col min="19" max="19" width="11.42578125" bestFit="1" customWidth="1"/>
    <col min="20" max="21" width="6" bestFit="1" customWidth="1"/>
    <col min="22" max="22" width="7.42578125" bestFit="1" customWidth="1"/>
    <col min="23" max="23" width="6" bestFit="1" customWidth="1"/>
    <col min="24" max="24" width="11.42578125" bestFit="1" customWidth="1"/>
    <col min="25" max="26" width="6" bestFit="1" customWidth="1"/>
    <col min="27" max="27" width="7.42578125" bestFit="1" customWidth="1"/>
    <col min="28" max="28" width="6" bestFit="1" customWidth="1"/>
    <col min="29" max="29" width="11.42578125" bestFit="1" customWidth="1"/>
    <col min="30" max="31" width="6" bestFit="1" customWidth="1"/>
    <col min="32" max="32" width="7.42578125" bestFit="1" customWidth="1"/>
    <col min="33" max="33" width="6" bestFit="1" customWidth="1"/>
    <col min="34" max="34" width="11.42578125" bestFit="1" customWidth="1"/>
    <col min="35" max="36" width="6" bestFit="1" customWidth="1"/>
    <col min="37" max="37" width="7.42578125" bestFit="1" customWidth="1"/>
    <col min="38" max="38" width="6" bestFit="1" customWidth="1"/>
    <col min="39" max="39" width="11.42578125" bestFit="1" customWidth="1"/>
  </cols>
  <sheetData>
    <row r="1" spans="1:39" ht="13.5" thickBot="1" x14ac:dyDescent="0.25">
      <c r="A1" s="226" t="str">
        <f>"S"&amp;_xlfn.ISOWEEKNUM(E1)</f>
        <v>S20</v>
      </c>
      <c r="B1" s="260"/>
      <c r="C1" s="260"/>
      <c r="D1" s="227"/>
      <c r="E1" s="329">
        <v>46153</v>
      </c>
      <c r="F1" s="330"/>
      <c r="G1" s="330"/>
      <c r="H1" s="330"/>
      <c r="I1" s="331"/>
      <c r="J1" s="329">
        <f>E1+1</f>
        <v>46154</v>
      </c>
      <c r="K1" s="330"/>
      <c r="L1" s="330"/>
      <c r="M1" s="330"/>
      <c r="N1" s="331"/>
      <c r="O1" s="329">
        <f t="shared" ref="O1" si="0">J1+1</f>
        <v>46155</v>
      </c>
      <c r="P1" s="330"/>
      <c r="Q1" s="330"/>
      <c r="R1" s="330"/>
      <c r="S1" s="331"/>
      <c r="T1" s="329">
        <f t="shared" ref="T1" si="1">O1+1</f>
        <v>46156</v>
      </c>
      <c r="U1" s="330"/>
      <c r="V1" s="330"/>
      <c r="W1" s="330"/>
      <c r="X1" s="331"/>
      <c r="Y1" s="329">
        <f>T1+1</f>
        <v>46157</v>
      </c>
      <c r="Z1" s="330"/>
      <c r="AA1" s="330"/>
      <c r="AB1" s="330"/>
      <c r="AC1" s="331"/>
      <c r="AD1" s="329">
        <f>Y1+1</f>
        <v>46158</v>
      </c>
      <c r="AE1" s="330"/>
      <c r="AF1" s="330"/>
      <c r="AG1" s="330"/>
      <c r="AH1" s="331"/>
      <c r="AI1" s="326">
        <f>AD1+1</f>
        <v>46159</v>
      </c>
      <c r="AJ1" s="327"/>
      <c r="AK1" s="327"/>
      <c r="AL1" s="327"/>
      <c r="AM1" s="328"/>
    </row>
    <row r="2" spans="1:39" ht="14.25" thickTop="1" thickBot="1" x14ac:dyDescent="0.25">
      <c r="A2" s="227"/>
      <c r="B2" s="227"/>
      <c r="C2" s="227"/>
      <c r="D2" s="227"/>
      <c r="E2" s="228" t="s">
        <v>170</v>
      </c>
      <c r="F2" s="229">
        <f>I2/"8:00:00"</f>
        <v>128.50000000000003</v>
      </c>
      <c r="G2" s="281" t="e">
        <f>I2/#REF!</f>
        <v>#REF!</v>
      </c>
      <c r="H2" s="230">
        <f>COUNT(E4:E191)</f>
        <v>149</v>
      </c>
      <c r="I2" s="231">
        <f>SUM(I4:I191)</f>
        <v>42.833333333333336</v>
      </c>
      <c r="J2" s="228" t="s">
        <v>170</v>
      </c>
      <c r="K2" s="229">
        <f>N2/"8:00:00"</f>
        <v>116.24999999999994</v>
      </c>
      <c r="L2" s="281" t="e">
        <f>N2/#REF!</f>
        <v>#REF!</v>
      </c>
      <c r="M2" s="230">
        <f>COUNT(J4:J191)</f>
        <v>139</v>
      </c>
      <c r="N2" s="231">
        <f>SUM(N4:N191)</f>
        <v>38.749999999999979</v>
      </c>
      <c r="O2" s="228" t="s">
        <v>170</v>
      </c>
      <c r="P2" s="229">
        <f>S2/"8:00:00"</f>
        <v>128.49999999999994</v>
      </c>
      <c r="Q2" s="281" t="e">
        <f>S2/#REF!</f>
        <v>#REF!</v>
      </c>
      <c r="R2" s="230">
        <f>COUNT(O4:O191)</f>
        <v>147</v>
      </c>
      <c r="S2" s="231">
        <f>SUM(S4:S191)</f>
        <v>42.833333333333314</v>
      </c>
      <c r="T2" s="228" t="s">
        <v>170</v>
      </c>
      <c r="U2" s="229">
        <f>X2/"8:00:00"</f>
        <v>112.74999999999994</v>
      </c>
      <c r="V2" s="281" t="e">
        <f>X2/#REF!</f>
        <v>#REF!</v>
      </c>
      <c r="W2" s="230">
        <f>COUNT(T4:T191)</f>
        <v>130</v>
      </c>
      <c r="X2" s="231">
        <f>SUM(X4:X191)</f>
        <v>37.583333333333314</v>
      </c>
      <c r="Y2" s="228" t="s">
        <v>170</v>
      </c>
      <c r="Z2" s="229">
        <f>AC2/"8:00:00"</f>
        <v>111.06249999999993</v>
      </c>
      <c r="AA2" s="281" t="e">
        <f>AC2/#REF!</f>
        <v>#REF!</v>
      </c>
      <c r="AB2" s="230">
        <f>COUNT(Y4:Y191)</f>
        <v>128</v>
      </c>
      <c r="AC2" s="231">
        <f>SUM(AC4:AC191)</f>
        <v>37.020833333333307</v>
      </c>
      <c r="AD2" s="228" t="s">
        <v>170</v>
      </c>
      <c r="AE2" s="229">
        <f>AH2/"8:00:00"</f>
        <v>114.31249999999993</v>
      </c>
      <c r="AF2" s="281" t="e">
        <f>AH2/#REF!</f>
        <v>#REF!</v>
      </c>
      <c r="AG2" s="230">
        <f>COUNT(AD4:AD191)</f>
        <v>120</v>
      </c>
      <c r="AH2" s="231">
        <f>SUM(AH4:AH191)</f>
        <v>38.104166666666643</v>
      </c>
      <c r="AI2" s="228" t="s">
        <v>170</v>
      </c>
      <c r="AJ2" s="229">
        <f>AM2/"8:00:00"</f>
        <v>107.1249999999999</v>
      </c>
      <c r="AK2" s="281" t="e">
        <f>AM2/#REF!</f>
        <v>#REF!</v>
      </c>
      <c r="AL2" s="230">
        <f>COUNT(AI4:AI191)</f>
        <v>111</v>
      </c>
      <c r="AM2" s="231">
        <f>SUM(AM4:AM191)</f>
        <v>35.7083333333333</v>
      </c>
    </row>
    <row r="3" spans="1:39" ht="13.5" thickBot="1" x14ac:dyDescent="0.25">
      <c r="A3" s="232" t="s">
        <v>171</v>
      </c>
      <c r="B3" s="261"/>
      <c r="C3" s="261"/>
      <c r="D3" s="233" t="s">
        <v>172</v>
      </c>
      <c r="E3" s="234" t="s">
        <v>173</v>
      </c>
      <c r="F3" s="235" t="s">
        <v>174</v>
      </c>
      <c r="G3" s="236" t="s">
        <v>175</v>
      </c>
      <c r="H3" s="237" t="s">
        <v>176</v>
      </c>
      <c r="I3" s="238" t="s">
        <v>177</v>
      </c>
      <c r="J3" s="234" t="s">
        <v>173</v>
      </c>
      <c r="K3" s="235" t="s">
        <v>174</v>
      </c>
      <c r="L3" s="236" t="s">
        <v>175</v>
      </c>
      <c r="M3" s="237" t="s">
        <v>176</v>
      </c>
      <c r="N3" s="238" t="s">
        <v>177</v>
      </c>
      <c r="O3" s="234" t="s">
        <v>173</v>
      </c>
      <c r="P3" s="235" t="s">
        <v>174</v>
      </c>
      <c r="Q3" s="236" t="s">
        <v>175</v>
      </c>
      <c r="R3" s="237" t="s">
        <v>176</v>
      </c>
      <c r="S3" s="238" t="s">
        <v>177</v>
      </c>
      <c r="T3" s="234" t="s">
        <v>173</v>
      </c>
      <c r="U3" s="235" t="s">
        <v>174</v>
      </c>
      <c r="V3" s="236" t="s">
        <v>175</v>
      </c>
      <c r="W3" s="237" t="s">
        <v>176</v>
      </c>
      <c r="X3" s="238" t="s">
        <v>177</v>
      </c>
      <c r="Y3" s="234" t="s">
        <v>173</v>
      </c>
      <c r="Z3" s="235" t="s">
        <v>174</v>
      </c>
      <c r="AA3" s="236" t="s">
        <v>175</v>
      </c>
      <c r="AB3" s="237" t="s">
        <v>176</v>
      </c>
      <c r="AC3" s="238" t="s">
        <v>177</v>
      </c>
      <c r="AD3" s="234" t="s">
        <v>173</v>
      </c>
      <c r="AE3" s="235" t="s">
        <v>174</v>
      </c>
      <c r="AF3" s="236" t="s">
        <v>175</v>
      </c>
      <c r="AG3" s="237" t="s">
        <v>176</v>
      </c>
      <c r="AH3" s="238" t="s">
        <v>177</v>
      </c>
      <c r="AI3" s="234" t="s">
        <v>173</v>
      </c>
      <c r="AJ3" s="235" t="s">
        <v>174</v>
      </c>
      <c r="AK3" s="236" t="s">
        <v>175</v>
      </c>
      <c r="AL3" s="237" t="s">
        <v>176</v>
      </c>
      <c r="AM3" s="238" t="s">
        <v>177</v>
      </c>
    </row>
    <row r="4" spans="1:39" x14ac:dyDescent="0.2">
      <c r="A4" s="250" t="s">
        <v>200</v>
      </c>
      <c r="B4" s="262"/>
      <c r="C4" s="270" t="s">
        <v>348</v>
      </c>
      <c r="D4" s="252" t="s">
        <v>242</v>
      </c>
      <c r="E4" s="244" t="s">
        <v>178</v>
      </c>
      <c r="F4" s="241" t="s">
        <v>178</v>
      </c>
      <c r="G4" s="241" t="s">
        <v>178</v>
      </c>
      <c r="H4" s="244" t="s">
        <v>178</v>
      </c>
      <c r="I4" s="242" t="str">
        <f t="shared" ref="I4:I35" si="2">IFERROR(MOD(H4-E4,1)-MOD(G4-F4,1),"")</f>
        <v/>
      </c>
      <c r="J4" s="244" t="s">
        <v>178</v>
      </c>
      <c r="K4" s="241" t="s">
        <v>178</v>
      </c>
      <c r="L4" s="241" t="s">
        <v>178</v>
      </c>
      <c r="M4" s="244" t="s">
        <v>178</v>
      </c>
      <c r="N4" s="242" t="str">
        <f t="shared" ref="N4:N16" si="3">IFERROR(MOD(M4-J4,1)-MOD(L4-K4,1),"")</f>
        <v/>
      </c>
      <c r="O4" s="240">
        <v>0.5</v>
      </c>
      <c r="P4" s="241">
        <v>0.72916666666666663</v>
      </c>
      <c r="Q4" s="241">
        <v>0.77083333333333337</v>
      </c>
      <c r="R4" s="240">
        <v>0.91666666666666663</v>
      </c>
      <c r="S4" s="242">
        <f t="shared" ref="S4:S19" si="4">IFERROR(MOD(R4-O4,1)-MOD(Q4-P4,1),"")</f>
        <v>0.37499999999999989</v>
      </c>
      <c r="T4" s="240">
        <v>0.45833333333333331</v>
      </c>
      <c r="U4" s="241">
        <v>0.625</v>
      </c>
      <c r="V4" s="241">
        <v>0.66666666666666663</v>
      </c>
      <c r="W4" s="240">
        <v>0.875</v>
      </c>
      <c r="X4" s="242">
        <f t="shared" ref="X4:X35" si="5">IFERROR(MOD(W4-T4,1)-MOD(V4-U4,1),"")</f>
        <v>0.37500000000000006</v>
      </c>
      <c r="Y4" s="240">
        <v>0.5</v>
      </c>
      <c r="Z4" s="241">
        <v>0.72916666666666663</v>
      </c>
      <c r="AA4" s="241">
        <v>0.77083333333333337</v>
      </c>
      <c r="AB4" s="240">
        <v>0.875</v>
      </c>
      <c r="AC4" s="242">
        <f t="shared" ref="AC4:AC21" si="6">IFERROR(MOD(AB4-Y4,1)-MOD(AA4-Z4,1),"")</f>
        <v>0.33333333333333326</v>
      </c>
      <c r="AD4" s="240">
        <v>0.29166666666666669</v>
      </c>
      <c r="AE4" s="241">
        <v>0.54166666666666663</v>
      </c>
      <c r="AF4" s="241">
        <v>0.625</v>
      </c>
      <c r="AG4" s="240">
        <v>0.70833333333333337</v>
      </c>
      <c r="AH4" s="242">
        <f t="shared" ref="AH4:AH35" si="7">IFERROR(MOD(AG4-AD4,1)-MOD(AF4-AE4,1),"")</f>
        <v>0.33333333333333331</v>
      </c>
      <c r="AI4" s="240">
        <v>0.29166666666666669</v>
      </c>
      <c r="AJ4" s="241">
        <v>0.54166666666666663</v>
      </c>
      <c r="AK4" s="241">
        <v>0.625</v>
      </c>
      <c r="AL4" s="240">
        <v>0.70833333333333337</v>
      </c>
      <c r="AM4" s="242">
        <f>IFERROR(MOD(AL4-AI4,1)-MOD(AK4-AJ4,1),"")</f>
        <v>0.33333333333333331</v>
      </c>
    </row>
    <row r="5" spans="1:39" x14ac:dyDescent="0.2">
      <c r="A5" s="250" t="s">
        <v>201</v>
      </c>
      <c r="B5" s="262"/>
      <c r="C5" s="270" t="s">
        <v>348</v>
      </c>
      <c r="D5" s="252" t="s">
        <v>242</v>
      </c>
      <c r="E5" s="244" t="s">
        <v>178</v>
      </c>
      <c r="F5" s="241" t="s">
        <v>178</v>
      </c>
      <c r="G5" s="241" t="s">
        <v>178</v>
      </c>
      <c r="H5" s="244" t="s">
        <v>178</v>
      </c>
      <c r="I5" s="242" t="str">
        <f t="shared" si="2"/>
        <v/>
      </c>
      <c r="J5" s="244" t="s">
        <v>178</v>
      </c>
      <c r="K5" s="241" t="s">
        <v>178</v>
      </c>
      <c r="L5" s="241" t="s">
        <v>178</v>
      </c>
      <c r="M5" s="244" t="s">
        <v>178</v>
      </c>
      <c r="N5" s="242" t="str">
        <f t="shared" si="3"/>
        <v/>
      </c>
      <c r="O5" s="240">
        <v>0.29166666666666669</v>
      </c>
      <c r="P5" s="241">
        <v>0.54166666666666663</v>
      </c>
      <c r="Q5" s="241">
        <v>0.625</v>
      </c>
      <c r="R5" s="240">
        <v>0.70833333333333337</v>
      </c>
      <c r="S5" s="242">
        <f t="shared" si="4"/>
        <v>0.33333333333333331</v>
      </c>
      <c r="T5" s="240">
        <v>0.52083333333333337</v>
      </c>
      <c r="U5" s="241">
        <v>0.75</v>
      </c>
      <c r="V5" s="241">
        <v>0.79166666666666663</v>
      </c>
      <c r="W5" s="240">
        <v>0.9375</v>
      </c>
      <c r="X5" s="242">
        <f t="shared" si="5"/>
        <v>0.375</v>
      </c>
      <c r="Y5" s="240">
        <v>0.54166666666666663</v>
      </c>
      <c r="Z5" s="241">
        <v>0.75</v>
      </c>
      <c r="AA5" s="241">
        <v>0.79166666666666663</v>
      </c>
      <c r="AB5" s="240">
        <v>0.9375</v>
      </c>
      <c r="AC5" s="242">
        <f t="shared" si="6"/>
        <v>0.35416666666666674</v>
      </c>
      <c r="AD5" s="246">
        <v>0.83333333333333337</v>
      </c>
      <c r="AE5" s="241"/>
      <c r="AF5" s="241"/>
      <c r="AG5" s="246">
        <v>1</v>
      </c>
      <c r="AH5" s="242">
        <f t="shared" si="7"/>
        <v>0.16666666666666663</v>
      </c>
      <c r="AI5" s="246">
        <v>0</v>
      </c>
      <c r="AJ5" s="241">
        <v>0.29166666666666669</v>
      </c>
      <c r="AK5" s="241">
        <v>0.83333333333333337</v>
      </c>
      <c r="AL5" s="246">
        <v>1</v>
      </c>
      <c r="AM5" s="242">
        <v>0.375</v>
      </c>
    </row>
    <row r="6" spans="1:39" x14ac:dyDescent="0.2">
      <c r="A6" s="250" t="s">
        <v>202</v>
      </c>
      <c r="B6" s="262"/>
      <c r="C6" s="270" t="s">
        <v>348</v>
      </c>
      <c r="D6" s="252" t="s">
        <v>242</v>
      </c>
      <c r="E6" s="240">
        <v>0.41666666666666669</v>
      </c>
      <c r="F6" s="241">
        <v>0.66666666666666663</v>
      </c>
      <c r="G6" s="241">
        <v>0.75</v>
      </c>
      <c r="H6" s="240">
        <v>0.83333333333333337</v>
      </c>
      <c r="I6" s="242">
        <f t="shared" si="2"/>
        <v>0.33333333333333331</v>
      </c>
      <c r="J6" s="240">
        <v>0.33333333333333331</v>
      </c>
      <c r="K6" s="241" t="s">
        <v>391</v>
      </c>
      <c r="L6" s="241" t="s">
        <v>392</v>
      </c>
      <c r="M6" s="240">
        <v>0.66666666666666663</v>
      </c>
      <c r="N6" s="242" t="str">
        <f t="shared" si="3"/>
        <v/>
      </c>
      <c r="O6" s="240">
        <v>0.5</v>
      </c>
      <c r="P6" s="241">
        <v>0.625</v>
      </c>
      <c r="Q6" s="241">
        <v>0.66666666666666663</v>
      </c>
      <c r="R6" s="240">
        <v>0.875</v>
      </c>
      <c r="S6" s="242">
        <f t="shared" si="4"/>
        <v>0.33333333333333337</v>
      </c>
      <c r="T6" s="244" t="s">
        <v>178</v>
      </c>
      <c r="U6" s="241" t="s">
        <v>178</v>
      </c>
      <c r="V6" s="241" t="s">
        <v>178</v>
      </c>
      <c r="W6" s="244" t="s">
        <v>178</v>
      </c>
      <c r="X6" s="242" t="str">
        <f t="shared" si="5"/>
        <v/>
      </c>
      <c r="Y6" s="244" t="s">
        <v>178</v>
      </c>
      <c r="Z6" s="241" t="s">
        <v>178</v>
      </c>
      <c r="AA6" s="241" t="s">
        <v>178</v>
      </c>
      <c r="AB6" s="244" t="s">
        <v>178</v>
      </c>
      <c r="AC6" s="242" t="str">
        <f t="shared" si="6"/>
        <v/>
      </c>
      <c r="AD6" s="240">
        <v>0.29166666666666669</v>
      </c>
      <c r="AE6" s="241">
        <v>0.54166666666666663</v>
      </c>
      <c r="AF6" s="241">
        <v>0.625</v>
      </c>
      <c r="AG6" s="240">
        <v>0.70833333333333337</v>
      </c>
      <c r="AH6" s="242">
        <f t="shared" si="7"/>
        <v>0.33333333333333331</v>
      </c>
      <c r="AI6" s="240">
        <v>0.29166666666666669</v>
      </c>
      <c r="AJ6" s="241">
        <v>0.54166666666666663</v>
      </c>
      <c r="AK6" s="241">
        <v>0.625</v>
      </c>
      <c r="AL6" s="240">
        <v>0.70833333333333337</v>
      </c>
      <c r="AM6" s="242">
        <f t="shared" ref="AM6:AM37" si="8">IFERROR(MOD(AL6-AI6,1)-MOD(AK6-AJ6,1),"")</f>
        <v>0.33333333333333331</v>
      </c>
    </row>
    <row r="7" spans="1:39" x14ac:dyDescent="0.2">
      <c r="A7" s="250" t="s">
        <v>203</v>
      </c>
      <c r="B7" s="262"/>
      <c r="C7" s="270" t="s">
        <v>348</v>
      </c>
      <c r="D7" s="252" t="s">
        <v>242</v>
      </c>
      <c r="E7" s="240">
        <v>0.52083333333333337</v>
      </c>
      <c r="F7" s="241">
        <v>0.75</v>
      </c>
      <c r="G7" s="241">
        <v>0.79166666666666663</v>
      </c>
      <c r="H7" s="240">
        <v>0.9375</v>
      </c>
      <c r="I7" s="242">
        <f t="shared" si="2"/>
        <v>0.375</v>
      </c>
      <c r="J7" s="240">
        <v>0.52083333333333337</v>
      </c>
      <c r="K7" s="241">
        <v>0.75</v>
      </c>
      <c r="L7" s="241">
        <v>0.79166666666666663</v>
      </c>
      <c r="M7" s="240">
        <v>0.9375</v>
      </c>
      <c r="N7" s="242">
        <f t="shared" si="3"/>
        <v>0.375</v>
      </c>
      <c r="O7" s="240">
        <v>0.52083333333333337</v>
      </c>
      <c r="P7" s="241">
        <v>0.75</v>
      </c>
      <c r="Q7" s="241">
        <v>0.79166666666666663</v>
      </c>
      <c r="R7" s="240">
        <v>0.9375</v>
      </c>
      <c r="S7" s="242">
        <f t="shared" si="4"/>
        <v>0.375</v>
      </c>
      <c r="T7" s="244" t="s">
        <v>178</v>
      </c>
      <c r="U7" s="241" t="s">
        <v>178</v>
      </c>
      <c r="V7" s="241" t="s">
        <v>178</v>
      </c>
      <c r="W7" s="244" t="s">
        <v>178</v>
      </c>
      <c r="X7" s="242" t="str">
        <f t="shared" si="5"/>
        <v/>
      </c>
      <c r="Y7" s="244" t="s">
        <v>178</v>
      </c>
      <c r="Z7" s="241" t="s">
        <v>178</v>
      </c>
      <c r="AA7" s="241" t="s">
        <v>178</v>
      </c>
      <c r="AB7" s="244" t="s">
        <v>178</v>
      </c>
      <c r="AC7" s="242" t="str">
        <f t="shared" si="6"/>
        <v/>
      </c>
      <c r="AD7" s="240">
        <v>0.33333333333333331</v>
      </c>
      <c r="AE7" s="241">
        <v>0.58333333333333337</v>
      </c>
      <c r="AF7" s="241">
        <v>0.66666666666666663</v>
      </c>
      <c r="AG7" s="240">
        <v>0.75</v>
      </c>
      <c r="AH7" s="242">
        <f t="shared" si="7"/>
        <v>0.33333333333333343</v>
      </c>
      <c r="AI7" s="240">
        <v>0.45833333333333331</v>
      </c>
      <c r="AJ7" s="241">
        <v>0.64583333333333337</v>
      </c>
      <c r="AK7" s="241">
        <v>0.72916666666666663</v>
      </c>
      <c r="AL7" s="240">
        <v>0.875</v>
      </c>
      <c r="AM7" s="242">
        <f t="shared" si="8"/>
        <v>0.33333333333333343</v>
      </c>
    </row>
    <row r="8" spans="1:39" x14ac:dyDescent="0.2">
      <c r="A8" s="250" t="s">
        <v>204</v>
      </c>
      <c r="B8" s="262">
        <v>6</v>
      </c>
      <c r="C8" s="270" t="s">
        <v>348</v>
      </c>
      <c r="D8" s="252" t="s">
        <v>242</v>
      </c>
      <c r="E8" s="240">
        <v>0.66666666666666663</v>
      </c>
      <c r="F8" s="241"/>
      <c r="G8" s="241"/>
      <c r="H8" s="240">
        <v>0.9375</v>
      </c>
      <c r="I8" s="242">
        <f t="shared" si="2"/>
        <v>0.27083333333333337</v>
      </c>
      <c r="J8" s="240">
        <v>0.66666666666666663</v>
      </c>
      <c r="K8" s="241"/>
      <c r="L8" s="241"/>
      <c r="M8" s="240">
        <v>0.9375</v>
      </c>
      <c r="N8" s="242">
        <f t="shared" si="3"/>
        <v>0.27083333333333337</v>
      </c>
      <c r="O8" s="240">
        <v>0.66666666666666663</v>
      </c>
      <c r="P8" s="241"/>
      <c r="Q8" s="241"/>
      <c r="R8" s="240">
        <v>0.9375</v>
      </c>
      <c r="S8" s="242">
        <f t="shared" si="4"/>
        <v>0.27083333333333337</v>
      </c>
      <c r="T8" s="244" t="s">
        <v>178</v>
      </c>
      <c r="U8" s="241" t="s">
        <v>178</v>
      </c>
      <c r="V8" s="241" t="s">
        <v>178</v>
      </c>
      <c r="W8" s="244" t="s">
        <v>178</v>
      </c>
      <c r="X8" s="242" t="str">
        <f t="shared" si="5"/>
        <v/>
      </c>
      <c r="Y8" s="244" t="s">
        <v>178</v>
      </c>
      <c r="Z8" s="241" t="s">
        <v>178</v>
      </c>
      <c r="AA8" s="241" t="s">
        <v>178</v>
      </c>
      <c r="AB8" s="244" t="s">
        <v>178</v>
      </c>
      <c r="AC8" s="242" t="str">
        <f t="shared" si="6"/>
        <v/>
      </c>
      <c r="AD8" s="240">
        <v>0.29166666666666669</v>
      </c>
      <c r="AE8" s="241"/>
      <c r="AF8" s="241"/>
      <c r="AG8" s="240">
        <v>0.5625</v>
      </c>
      <c r="AH8" s="242">
        <f t="shared" si="7"/>
        <v>0.27083333333333331</v>
      </c>
      <c r="AI8" s="240">
        <v>0.29166666666666669</v>
      </c>
      <c r="AJ8" s="241"/>
      <c r="AK8" s="241"/>
      <c r="AL8" s="240">
        <v>0.5625</v>
      </c>
      <c r="AM8" s="242">
        <f t="shared" si="8"/>
        <v>0.27083333333333331</v>
      </c>
    </row>
    <row r="9" spans="1:39" x14ac:dyDescent="0.2">
      <c r="A9" s="250" t="s">
        <v>205</v>
      </c>
      <c r="B9" s="262"/>
      <c r="C9" s="270" t="s">
        <v>348</v>
      </c>
      <c r="D9" s="252" t="s">
        <v>242</v>
      </c>
      <c r="E9" s="244" t="s">
        <v>178</v>
      </c>
      <c r="F9" s="241" t="s">
        <v>178</v>
      </c>
      <c r="G9" s="241" t="s">
        <v>178</v>
      </c>
      <c r="H9" s="244" t="s">
        <v>178</v>
      </c>
      <c r="I9" s="242" t="str">
        <f t="shared" si="2"/>
        <v/>
      </c>
      <c r="J9" s="240">
        <v>0.45833333333333331</v>
      </c>
      <c r="K9" s="241">
        <v>0.70833333333333337</v>
      </c>
      <c r="L9" s="241">
        <v>0.75</v>
      </c>
      <c r="M9" s="240">
        <v>0.875</v>
      </c>
      <c r="N9" s="242">
        <f t="shared" si="3"/>
        <v>0.37500000000000006</v>
      </c>
      <c r="O9" s="240">
        <v>0.35416666666666669</v>
      </c>
      <c r="P9" s="241">
        <v>0.58333333333333337</v>
      </c>
      <c r="Q9" s="241">
        <v>0.66666666666666663</v>
      </c>
      <c r="R9" s="240">
        <v>0.77083333333333337</v>
      </c>
      <c r="S9" s="242">
        <f t="shared" si="4"/>
        <v>0.33333333333333343</v>
      </c>
      <c r="T9" s="240">
        <v>0.52083333333333337</v>
      </c>
      <c r="U9" s="241">
        <v>0.70833333333333337</v>
      </c>
      <c r="V9" s="241">
        <v>0.75</v>
      </c>
      <c r="W9" s="240">
        <v>0.9375</v>
      </c>
      <c r="X9" s="242">
        <f t="shared" si="5"/>
        <v>0.375</v>
      </c>
      <c r="Y9" s="240">
        <v>0.52083333333333337</v>
      </c>
      <c r="Z9" s="241">
        <v>0.72916666666666663</v>
      </c>
      <c r="AA9" s="241">
        <v>0.77083333333333337</v>
      </c>
      <c r="AB9" s="240">
        <v>0.9375</v>
      </c>
      <c r="AC9" s="242">
        <f t="shared" si="6"/>
        <v>0.37499999999999989</v>
      </c>
      <c r="AD9" s="244" t="s">
        <v>178</v>
      </c>
      <c r="AE9" s="241" t="s">
        <v>178</v>
      </c>
      <c r="AF9" s="241" t="s">
        <v>178</v>
      </c>
      <c r="AG9" s="244" t="s">
        <v>178</v>
      </c>
      <c r="AH9" s="242" t="str">
        <f t="shared" si="7"/>
        <v/>
      </c>
      <c r="AI9" s="240">
        <v>0.33333333333333331</v>
      </c>
      <c r="AJ9" s="241">
        <v>0.58333333333333337</v>
      </c>
      <c r="AK9" s="241">
        <v>0.66666666666666663</v>
      </c>
      <c r="AL9" s="240">
        <v>0.75</v>
      </c>
      <c r="AM9" s="242">
        <f t="shared" si="8"/>
        <v>0.33333333333333343</v>
      </c>
    </row>
    <row r="10" spans="1:39" x14ac:dyDescent="0.2">
      <c r="A10" s="250" t="s">
        <v>206</v>
      </c>
      <c r="B10" s="262"/>
      <c r="C10" s="270" t="s">
        <v>348</v>
      </c>
      <c r="D10" s="252" t="s">
        <v>242</v>
      </c>
      <c r="E10" s="240">
        <v>0.45833333333333331</v>
      </c>
      <c r="F10" s="241">
        <v>0.6875</v>
      </c>
      <c r="G10" s="241">
        <v>0.77083333333333337</v>
      </c>
      <c r="H10" s="240">
        <v>0.875</v>
      </c>
      <c r="I10" s="242">
        <f t="shared" si="2"/>
        <v>0.33333333333333331</v>
      </c>
      <c r="J10" s="240">
        <v>0.5</v>
      </c>
      <c r="K10" s="241">
        <v>0.75</v>
      </c>
      <c r="L10" s="241">
        <v>0.79166666666666663</v>
      </c>
      <c r="M10" s="240">
        <v>0.91666666666666663</v>
      </c>
      <c r="N10" s="242">
        <f t="shared" si="3"/>
        <v>0.375</v>
      </c>
      <c r="O10" s="240">
        <v>0.54166666666666663</v>
      </c>
      <c r="P10" s="241">
        <v>0.75</v>
      </c>
      <c r="Q10" s="241">
        <v>0.79166666666666663</v>
      </c>
      <c r="R10" s="240">
        <v>0.9375</v>
      </c>
      <c r="S10" s="242">
        <f t="shared" si="4"/>
        <v>0.35416666666666674</v>
      </c>
      <c r="T10" s="244" t="s">
        <v>178</v>
      </c>
      <c r="U10" s="241" t="s">
        <v>178</v>
      </c>
      <c r="V10" s="241" t="s">
        <v>178</v>
      </c>
      <c r="W10" s="244" t="s">
        <v>178</v>
      </c>
      <c r="X10" s="242" t="str">
        <f t="shared" si="5"/>
        <v/>
      </c>
      <c r="Y10" s="244" t="s">
        <v>178</v>
      </c>
      <c r="Z10" s="241" t="s">
        <v>178</v>
      </c>
      <c r="AA10" s="241" t="s">
        <v>178</v>
      </c>
      <c r="AB10" s="244" t="s">
        <v>178</v>
      </c>
      <c r="AC10" s="242" t="str">
        <f t="shared" si="6"/>
        <v/>
      </c>
      <c r="AD10" s="240">
        <v>0.29166666666666669</v>
      </c>
      <c r="AE10" s="241">
        <v>0.5</v>
      </c>
      <c r="AF10" s="241">
        <v>0.54166666666666663</v>
      </c>
      <c r="AG10" s="240">
        <v>0.66666666666666663</v>
      </c>
      <c r="AH10" s="242">
        <f t="shared" si="7"/>
        <v>0.33333333333333331</v>
      </c>
      <c r="AI10" s="240">
        <v>0.29166666666666669</v>
      </c>
      <c r="AJ10" s="241">
        <v>0.5</v>
      </c>
      <c r="AK10" s="241">
        <v>0.54166666666666663</v>
      </c>
      <c r="AL10" s="240">
        <v>0.66666666666666663</v>
      </c>
      <c r="AM10" s="242">
        <f t="shared" si="8"/>
        <v>0.33333333333333331</v>
      </c>
    </row>
    <row r="11" spans="1:39" x14ac:dyDescent="0.2">
      <c r="A11" s="250" t="s">
        <v>207</v>
      </c>
      <c r="B11" s="262"/>
      <c r="C11" s="270" t="s">
        <v>348</v>
      </c>
      <c r="D11" s="252" t="s">
        <v>242</v>
      </c>
      <c r="E11" s="244" t="s">
        <v>178</v>
      </c>
      <c r="F11" s="241" t="s">
        <v>178</v>
      </c>
      <c r="G11" s="241" t="s">
        <v>178</v>
      </c>
      <c r="H11" s="244" t="s">
        <v>178</v>
      </c>
      <c r="I11" s="242" t="str">
        <f t="shared" si="2"/>
        <v/>
      </c>
      <c r="J11" s="240">
        <v>0.6875</v>
      </c>
      <c r="K11" s="241"/>
      <c r="L11" s="241"/>
      <c r="M11" s="240">
        <v>0.9375</v>
      </c>
      <c r="N11" s="242">
        <f t="shared" si="3"/>
        <v>0.25</v>
      </c>
      <c r="O11" s="240">
        <v>0.52083333333333337</v>
      </c>
      <c r="P11" s="241">
        <v>0.6875</v>
      </c>
      <c r="Q11" s="241">
        <v>0.75</v>
      </c>
      <c r="R11" s="240">
        <v>0.9375</v>
      </c>
      <c r="S11" s="242">
        <f t="shared" si="4"/>
        <v>0.35416666666666663</v>
      </c>
      <c r="T11" s="240">
        <v>0.66666666666666663</v>
      </c>
      <c r="U11" s="241"/>
      <c r="V11" s="241"/>
      <c r="W11" s="240">
        <v>0.9375</v>
      </c>
      <c r="X11" s="242">
        <f t="shared" si="5"/>
        <v>0.27083333333333337</v>
      </c>
      <c r="Y11" s="240">
        <v>0.66666666666666663</v>
      </c>
      <c r="Z11" s="241"/>
      <c r="AA11" s="241"/>
      <c r="AB11" s="240">
        <v>0.9375</v>
      </c>
      <c r="AC11" s="242">
        <f t="shared" si="6"/>
        <v>0.27083333333333337</v>
      </c>
      <c r="AD11" s="240">
        <v>0.54166666666666663</v>
      </c>
      <c r="AE11" s="241">
        <v>0.70833333333333337</v>
      </c>
      <c r="AF11" s="241">
        <v>0.75</v>
      </c>
      <c r="AG11" s="240">
        <v>0.9375</v>
      </c>
      <c r="AH11" s="242">
        <f t="shared" si="7"/>
        <v>0.35416666666666674</v>
      </c>
      <c r="AI11" s="244" t="s">
        <v>178</v>
      </c>
      <c r="AJ11" s="241" t="s">
        <v>178</v>
      </c>
      <c r="AK11" s="241" t="s">
        <v>178</v>
      </c>
      <c r="AL11" s="244" t="s">
        <v>178</v>
      </c>
      <c r="AM11" s="242" t="str">
        <f t="shared" si="8"/>
        <v/>
      </c>
    </row>
    <row r="12" spans="1:39" x14ac:dyDescent="0.2">
      <c r="A12" s="250" t="s">
        <v>208</v>
      </c>
      <c r="B12" s="262">
        <v>6</v>
      </c>
      <c r="C12" s="270" t="s">
        <v>348</v>
      </c>
      <c r="D12" s="252" t="s">
        <v>242</v>
      </c>
      <c r="E12" s="240">
        <v>0.6875</v>
      </c>
      <c r="F12" s="241"/>
      <c r="G12" s="241"/>
      <c r="H12" s="240">
        <v>0.9375</v>
      </c>
      <c r="I12" s="242">
        <f t="shared" si="2"/>
        <v>0.25</v>
      </c>
      <c r="J12" s="240">
        <v>0.6875</v>
      </c>
      <c r="K12" s="241"/>
      <c r="L12" s="241"/>
      <c r="M12" s="240">
        <v>0.9375</v>
      </c>
      <c r="N12" s="242">
        <f t="shared" si="3"/>
        <v>0.25</v>
      </c>
      <c r="O12" s="244" t="s">
        <v>178</v>
      </c>
      <c r="P12" s="241" t="s">
        <v>178</v>
      </c>
      <c r="Q12" s="241" t="s">
        <v>178</v>
      </c>
      <c r="R12" s="244" t="s">
        <v>178</v>
      </c>
      <c r="S12" s="242" t="str">
        <f t="shared" si="4"/>
        <v/>
      </c>
      <c r="T12" s="240">
        <v>0.6875</v>
      </c>
      <c r="U12" s="241"/>
      <c r="V12" s="241"/>
      <c r="W12" s="240">
        <v>0.9375</v>
      </c>
      <c r="X12" s="242">
        <f t="shared" si="5"/>
        <v>0.25</v>
      </c>
      <c r="Y12" s="240">
        <v>0.6875</v>
      </c>
      <c r="Z12" s="241"/>
      <c r="AA12" s="241"/>
      <c r="AB12" s="240">
        <v>0.9375</v>
      </c>
      <c r="AC12" s="242">
        <f t="shared" si="6"/>
        <v>0.25</v>
      </c>
      <c r="AD12" s="240">
        <v>0.6875</v>
      </c>
      <c r="AE12" s="241"/>
      <c r="AF12" s="241"/>
      <c r="AG12" s="240">
        <v>0.9375</v>
      </c>
      <c r="AH12" s="242">
        <f t="shared" si="7"/>
        <v>0.25</v>
      </c>
      <c r="AI12" s="244" t="s">
        <v>178</v>
      </c>
      <c r="AJ12" s="241" t="s">
        <v>178</v>
      </c>
      <c r="AK12" s="241" t="s">
        <v>178</v>
      </c>
      <c r="AL12" s="244" t="s">
        <v>178</v>
      </c>
      <c r="AM12" s="242" t="str">
        <f t="shared" si="8"/>
        <v/>
      </c>
    </row>
    <row r="13" spans="1:39" x14ac:dyDescent="0.2">
      <c r="A13" s="250" t="s">
        <v>209</v>
      </c>
      <c r="B13" s="262">
        <v>6</v>
      </c>
      <c r="C13" s="270" t="s">
        <v>348</v>
      </c>
      <c r="D13" s="252" t="s">
        <v>242</v>
      </c>
      <c r="E13" s="240">
        <v>0.6875</v>
      </c>
      <c r="F13" s="241"/>
      <c r="G13" s="241"/>
      <c r="H13" s="240">
        <v>0.9375</v>
      </c>
      <c r="I13" s="242">
        <f t="shared" si="2"/>
        <v>0.25</v>
      </c>
      <c r="J13" s="240">
        <v>0.6875</v>
      </c>
      <c r="K13" s="241"/>
      <c r="L13" s="241"/>
      <c r="M13" s="240">
        <v>0.9375</v>
      </c>
      <c r="N13" s="242">
        <f t="shared" si="3"/>
        <v>0.25</v>
      </c>
      <c r="O13" s="240">
        <v>0.6875</v>
      </c>
      <c r="P13" s="241"/>
      <c r="Q13" s="241"/>
      <c r="R13" s="240">
        <v>0.9375</v>
      </c>
      <c r="S13" s="242">
        <f t="shared" si="4"/>
        <v>0.25</v>
      </c>
      <c r="T13" s="240">
        <v>0.6875</v>
      </c>
      <c r="U13" s="241"/>
      <c r="V13" s="241"/>
      <c r="W13" s="240">
        <v>0.9375</v>
      </c>
      <c r="X13" s="242">
        <f t="shared" si="5"/>
        <v>0.25</v>
      </c>
      <c r="Y13" s="246">
        <v>0.83333333333333337</v>
      </c>
      <c r="Z13" s="241"/>
      <c r="AA13" s="241"/>
      <c r="AB13" s="246">
        <v>1</v>
      </c>
      <c r="AC13" s="242">
        <f t="shared" si="6"/>
        <v>0.16666666666666663</v>
      </c>
      <c r="AD13" s="246">
        <v>0</v>
      </c>
      <c r="AE13" s="241">
        <v>0.125</v>
      </c>
      <c r="AF13" s="241">
        <v>0.20833333333333334</v>
      </c>
      <c r="AG13" s="246">
        <v>0.29166666666666669</v>
      </c>
      <c r="AH13" s="242">
        <f t="shared" si="7"/>
        <v>0.20833333333333334</v>
      </c>
      <c r="AI13" s="244" t="s">
        <v>178</v>
      </c>
      <c r="AJ13" s="241" t="s">
        <v>178</v>
      </c>
      <c r="AK13" s="241" t="s">
        <v>178</v>
      </c>
      <c r="AL13" s="244" t="s">
        <v>178</v>
      </c>
      <c r="AM13" s="242" t="str">
        <f t="shared" si="8"/>
        <v/>
      </c>
    </row>
    <row r="14" spans="1:39" x14ac:dyDescent="0.2">
      <c r="A14" s="250" t="s">
        <v>210</v>
      </c>
      <c r="B14" s="262">
        <v>6</v>
      </c>
      <c r="C14" s="270" t="s">
        <v>348</v>
      </c>
      <c r="D14" s="252" t="s">
        <v>242</v>
      </c>
      <c r="E14" s="246">
        <v>0.83333333333333337</v>
      </c>
      <c r="F14" s="241"/>
      <c r="G14" s="241"/>
      <c r="H14" s="246">
        <v>1</v>
      </c>
      <c r="I14" s="242">
        <f t="shared" si="2"/>
        <v>0.16666666666666663</v>
      </c>
      <c r="J14" s="246">
        <v>0</v>
      </c>
      <c r="K14" s="241">
        <v>0.125</v>
      </c>
      <c r="L14" s="241">
        <v>0.20833333333333334</v>
      </c>
      <c r="M14" s="246">
        <v>0.29166666666666669</v>
      </c>
      <c r="N14" s="242">
        <f t="shared" si="3"/>
        <v>0.20833333333333334</v>
      </c>
      <c r="O14" s="244" t="s">
        <v>178</v>
      </c>
      <c r="P14" s="241" t="s">
        <v>178</v>
      </c>
      <c r="Q14" s="241" t="s">
        <v>178</v>
      </c>
      <c r="R14" s="244" t="s">
        <v>178</v>
      </c>
      <c r="S14" s="242" t="str">
        <f t="shared" si="4"/>
        <v/>
      </c>
      <c r="T14" s="240">
        <v>0.6875</v>
      </c>
      <c r="U14" s="241"/>
      <c r="V14" s="241"/>
      <c r="W14" s="240">
        <v>0.9375</v>
      </c>
      <c r="X14" s="242">
        <f t="shared" si="5"/>
        <v>0.25</v>
      </c>
      <c r="Y14" s="240">
        <v>0.6875</v>
      </c>
      <c r="Z14" s="241"/>
      <c r="AA14" s="241"/>
      <c r="AB14" s="240">
        <v>0.9375</v>
      </c>
      <c r="AC14" s="242">
        <f t="shared" si="6"/>
        <v>0.25</v>
      </c>
      <c r="AD14" s="240">
        <v>0.6875</v>
      </c>
      <c r="AE14" s="241"/>
      <c r="AF14" s="241"/>
      <c r="AG14" s="240">
        <v>0.9375</v>
      </c>
      <c r="AH14" s="242">
        <f t="shared" si="7"/>
        <v>0.25</v>
      </c>
      <c r="AI14" s="240">
        <v>0.6875</v>
      </c>
      <c r="AJ14" s="241"/>
      <c r="AK14" s="241"/>
      <c r="AL14" s="240">
        <v>0.9375</v>
      </c>
      <c r="AM14" s="242">
        <f t="shared" si="8"/>
        <v>0.25</v>
      </c>
    </row>
    <row r="15" spans="1:39" x14ac:dyDescent="0.2">
      <c r="A15" s="250" t="s">
        <v>211</v>
      </c>
      <c r="B15" s="262">
        <v>6</v>
      </c>
      <c r="C15" s="270" t="s">
        <v>348</v>
      </c>
      <c r="D15" s="252" t="s">
        <v>242</v>
      </c>
      <c r="E15" s="240">
        <v>0.6875</v>
      </c>
      <c r="F15" s="241"/>
      <c r="G15" s="241"/>
      <c r="H15" s="240">
        <v>0.9375</v>
      </c>
      <c r="I15" s="242">
        <f t="shared" si="2"/>
        <v>0.25</v>
      </c>
      <c r="J15" s="246">
        <v>0.91666666666666663</v>
      </c>
      <c r="K15" s="241"/>
      <c r="L15" s="241"/>
      <c r="M15" s="246">
        <v>1</v>
      </c>
      <c r="N15" s="242">
        <f t="shared" si="3"/>
        <v>8.333333333333337E-2</v>
      </c>
      <c r="O15" s="246">
        <v>0</v>
      </c>
      <c r="P15" s="241">
        <v>4.1666666666666664E-2</v>
      </c>
      <c r="Q15" s="241">
        <v>0.125</v>
      </c>
      <c r="R15" s="246">
        <v>0.29166666666666669</v>
      </c>
      <c r="S15" s="242">
        <f t="shared" si="4"/>
        <v>0.20833333333333334</v>
      </c>
      <c r="T15" s="244" t="s">
        <v>178</v>
      </c>
      <c r="U15" s="241" t="s">
        <v>178</v>
      </c>
      <c r="V15" s="241" t="s">
        <v>178</v>
      </c>
      <c r="W15" s="244" t="s">
        <v>178</v>
      </c>
      <c r="X15" s="242" t="str">
        <f t="shared" si="5"/>
        <v/>
      </c>
      <c r="Y15" s="240">
        <v>0.6875</v>
      </c>
      <c r="Z15" s="241"/>
      <c r="AA15" s="241"/>
      <c r="AB15" s="240">
        <v>0.9375</v>
      </c>
      <c r="AC15" s="242">
        <f t="shared" si="6"/>
        <v>0.25</v>
      </c>
      <c r="AD15" s="240">
        <v>0.6875</v>
      </c>
      <c r="AE15" s="241"/>
      <c r="AF15" s="241"/>
      <c r="AG15" s="240">
        <v>0.9375</v>
      </c>
      <c r="AH15" s="242">
        <f t="shared" si="7"/>
        <v>0.25</v>
      </c>
      <c r="AI15" s="240">
        <v>0.6875</v>
      </c>
      <c r="AJ15" s="241"/>
      <c r="AK15" s="241"/>
      <c r="AL15" s="240">
        <v>0.9375</v>
      </c>
      <c r="AM15" s="242">
        <f t="shared" si="8"/>
        <v>0.25</v>
      </c>
    </row>
    <row r="16" spans="1:39" x14ac:dyDescent="0.2">
      <c r="A16" s="250" t="s">
        <v>212</v>
      </c>
      <c r="B16" s="262"/>
      <c r="C16" s="270" t="s">
        <v>348</v>
      </c>
      <c r="D16" s="252" t="s">
        <v>242</v>
      </c>
      <c r="E16" s="244" t="s">
        <v>178</v>
      </c>
      <c r="F16" s="241" t="s">
        <v>178</v>
      </c>
      <c r="G16" s="241" t="s">
        <v>178</v>
      </c>
      <c r="H16" s="244" t="s">
        <v>178</v>
      </c>
      <c r="I16" s="242" t="str">
        <f t="shared" si="2"/>
        <v/>
      </c>
      <c r="J16" s="240">
        <v>0.29166666666666669</v>
      </c>
      <c r="K16" s="241">
        <v>0.54166666666666663</v>
      </c>
      <c r="L16" s="241">
        <v>0.58333333333333337</v>
      </c>
      <c r="M16" s="240">
        <v>0.70833333333333337</v>
      </c>
      <c r="N16" s="242">
        <f t="shared" si="3"/>
        <v>0.37499999999999994</v>
      </c>
      <c r="O16" s="240">
        <v>0.3125</v>
      </c>
      <c r="P16" s="241">
        <v>0.54166666666666663</v>
      </c>
      <c r="Q16" s="241">
        <v>0.625</v>
      </c>
      <c r="R16" s="240">
        <v>0.72916666666666663</v>
      </c>
      <c r="S16" s="242">
        <f t="shared" si="4"/>
        <v>0.33333333333333326</v>
      </c>
      <c r="T16" s="244" t="s">
        <v>178</v>
      </c>
      <c r="U16" s="241" t="s">
        <v>178</v>
      </c>
      <c r="V16" s="241" t="s">
        <v>178</v>
      </c>
      <c r="W16" s="244" t="s">
        <v>178</v>
      </c>
      <c r="X16" s="242" t="str">
        <f t="shared" si="5"/>
        <v/>
      </c>
      <c r="Y16" s="240">
        <v>0.29166666666666669</v>
      </c>
      <c r="Z16" s="241">
        <v>0.54166666666666663</v>
      </c>
      <c r="AA16" s="241">
        <v>0.625</v>
      </c>
      <c r="AB16" s="240">
        <v>0.70833333333333337</v>
      </c>
      <c r="AC16" s="242">
        <f t="shared" si="6"/>
        <v>0.33333333333333331</v>
      </c>
      <c r="AD16" s="240">
        <v>0.54166666666666663</v>
      </c>
      <c r="AE16" s="241">
        <v>0.70833333333333337</v>
      </c>
      <c r="AF16" s="241">
        <v>0.75</v>
      </c>
      <c r="AG16" s="240">
        <v>0.9375</v>
      </c>
      <c r="AH16" s="242">
        <f t="shared" si="7"/>
        <v>0.35416666666666674</v>
      </c>
      <c r="AI16" s="240">
        <v>0.54166666666666663</v>
      </c>
      <c r="AJ16" s="241">
        <v>0.70833333333333337</v>
      </c>
      <c r="AK16" s="241">
        <v>0.75</v>
      </c>
      <c r="AL16" s="240">
        <v>0.9375</v>
      </c>
      <c r="AM16" s="242">
        <f t="shared" si="8"/>
        <v>0.35416666666666674</v>
      </c>
    </row>
    <row r="17" spans="1:39" x14ac:dyDescent="0.2">
      <c r="A17" s="239" t="s">
        <v>243</v>
      </c>
      <c r="B17" s="262"/>
      <c r="C17" s="263" t="s">
        <v>340</v>
      </c>
      <c r="D17" s="253" t="s">
        <v>336</v>
      </c>
      <c r="E17" s="243">
        <v>0.83333333333333337</v>
      </c>
      <c r="F17" s="241"/>
      <c r="G17" s="241"/>
      <c r="H17" s="243">
        <v>1</v>
      </c>
      <c r="I17" s="242">
        <f t="shared" si="2"/>
        <v>0.16666666666666663</v>
      </c>
      <c r="J17" s="243">
        <v>0</v>
      </c>
      <c r="K17" s="241">
        <v>0.29166666666666669</v>
      </c>
      <c r="L17" s="241">
        <v>0.83333333333333337</v>
      </c>
      <c r="M17" s="243">
        <v>1</v>
      </c>
      <c r="N17" s="242">
        <v>0.375</v>
      </c>
      <c r="O17" s="243">
        <v>0</v>
      </c>
      <c r="P17" s="241">
        <v>0.125</v>
      </c>
      <c r="Q17" s="241">
        <v>0.20833333333333334</v>
      </c>
      <c r="R17" s="243">
        <v>0.29166666666666669</v>
      </c>
      <c r="S17" s="242">
        <f t="shared" si="4"/>
        <v>0.20833333333333334</v>
      </c>
      <c r="T17" s="244" t="s">
        <v>178</v>
      </c>
      <c r="U17" s="241" t="s">
        <v>178</v>
      </c>
      <c r="V17" s="241" t="s">
        <v>178</v>
      </c>
      <c r="W17" s="244" t="s">
        <v>178</v>
      </c>
      <c r="X17" s="242" t="str">
        <f t="shared" si="5"/>
        <v/>
      </c>
      <c r="Y17" s="240">
        <v>0.27083333333333331</v>
      </c>
      <c r="Z17" s="241">
        <v>0.41666666666666669</v>
      </c>
      <c r="AA17" s="241">
        <v>0.5</v>
      </c>
      <c r="AB17" s="240">
        <v>0.6875</v>
      </c>
      <c r="AC17" s="242">
        <f t="shared" si="6"/>
        <v>0.33333333333333337</v>
      </c>
      <c r="AD17" s="240">
        <v>0.5625</v>
      </c>
      <c r="AE17" s="241">
        <v>0.66666666666666663</v>
      </c>
      <c r="AF17" s="241">
        <v>0.70833333333333337</v>
      </c>
      <c r="AG17" s="240">
        <v>0.9375</v>
      </c>
      <c r="AH17" s="242">
        <f t="shared" si="7"/>
        <v>0.33333333333333326</v>
      </c>
      <c r="AI17" s="240">
        <v>0.5625</v>
      </c>
      <c r="AJ17" s="241">
        <v>0.75</v>
      </c>
      <c r="AK17" s="241">
        <v>0.79166666666666663</v>
      </c>
      <c r="AL17" s="240">
        <v>0.9375</v>
      </c>
      <c r="AM17" s="242">
        <f t="shared" si="8"/>
        <v>0.33333333333333337</v>
      </c>
    </row>
    <row r="18" spans="1:39" x14ac:dyDescent="0.2">
      <c r="A18" s="239" t="s">
        <v>244</v>
      </c>
      <c r="B18" s="262"/>
      <c r="C18" s="263" t="s">
        <v>340</v>
      </c>
      <c r="D18" s="253" t="s">
        <v>336</v>
      </c>
      <c r="E18" s="240">
        <v>0.41666666666666669</v>
      </c>
      <c r="F18" s="241">
        <v>0.58333333333333337</v>
      </c>
      <c r="G18" s="241">
        <v>0.66666666666666663</v>
      </c>
      <c r="H18" s="240">
        <v>0.83333333333333337</v>
      </c>
      <c r="I18" s="242">
        <f t="shared" si="2"/>
        <v>0.33333333333333343</v>
      </c>
      <c r="J18" s="240">
        <v>0.54166666666666663</v>
      </c>
      <c r="K18" s="241">
        <v>0.75</v>
      </c>
      <c r="L18" s="241">
        <v>0.79166666666666663</v>
      </c>
      <c r="M18" s="240">
        <v>0.9375</v>
      </c>
      <c r="N18" s="242">
        <f t="shared" ref="N18:N49" si="9">IFERROR(MOD(M18-J18,1)-MOD(L18-K18,1),"")</f>
        <v>0.35416666666666674</v>
      </c>
      <c r="O18" s="240">
        <v>0.54166666666666663</v>
      </c>
      <c r="P18" s="241">
        <v>0.79166666666666663</v>
      </c>
      <c r="Q18" s="241">
        <v>0.83333333333333337</v>
      </c>
      <c r="R18" s="240">
        <v>0.9375</v>
      </c>
      <c r="S18" s="242">
        <f t="shared" si="4"/>
        <v>0.35416666666666663</v>
      </c>
      <c r="T18" s="244" t="s">
        <v>178</v>
      </c>
      <c r="U18" s="241" t="s">
        <v>178</v>
      </c>
      <c r="V18" s="241" t="s">
        <v>178</v>
      </c>
      <c r="W18" s="244" t="s">
        <v>178</v>
      </c>
      <c r="X18" s="242" t="str">
        <f t="shared" si="5"/>
        <v/>
      </c>
      <c r="Y18" s="244" t="s">
        <v>178</v>
      </c>
      <c r="Z18" s="241" t="s">
        <v>178</v>
      </c>
      <c r="AA18" s="241" t="s">
        <v>178</v>
      </c>
      <c r="AB18" s="244" t="s">
        <v>178</v>
      </c>
      <c r="AC18" s="242" t="str">
        <f t="shared" si="6"/>
        <v/>
      </c>
      <c r="AD18" s="240">
        <v>0.29166666666666669</v>
      </c>
      <c r="AE18" s="241">
        <v>0.54166666666666663</v>
      </c>
      <c r="AF18" s="241">
        <v>0.625</v>
      </c>
      <c r="AG18" s="240">
        <v>0.70833333333333337</v>
      </c>
      <c r="AH18" s="242">
        <f t="shared" si="7"/>
        <v>0.33333333333333331</v>
      </c>
      <c r="AI18" s="240">
        <v>0.29166666666666669</v>
      </c>
      <c r="AJ18" s="241">
        <v>0.54166666666666663</v>
      </c>
      <c r="AK18" s="241">
        <v>0.625</v>
      </c>
      <c r="AL18" s="240">
        <v>0.70833333333333337</v>
      </c>
      <c r="AM18" s="242">
        <f t="shared" si="8"/>
        <v>0.33333333333333331</v>
      </c>
    </row>
    <row r="19" spans="1:39" x14ac:dyDescent="0.2">
      <c r="A19" s="239" t="s">
        <v>245</v>
      </c>
      <c r="B19" s="262"/>
      <c r="C19" s="263" t="s">
        <v>340</v>
      </c>
      <c r="D19" s="253" t="s">
        <v>336</v>
      </c>
      <c r="E19" s="240">
        <v>0.41666666666666669</v>
      </c>
      <c r="F19" s="241">
        <v>0.58333333333333337</v>
      </c>
      <c r="G19" s="241">
        <v>0.66666666666666663</v>
      </c>
      <c r="H19" s="240">
        <v>0.83333333333333337</v>
      </c>
      <c r="I19" s="242">
        <f t="shared" si="2"/>
        <v>0.33333333333333343</v>
      </c>
      <c r="J19" s="244" t="s">
        <v>178</v>
      </c>
      <c r="K19" s="241" t="s">
        <v>178</v>
      </c>
      <c r="L19" s="241" t="s">
        <v>178</v>
      </c>
      <c r="M19" s="244" t="s">
        <v>178</v>
      </c>
      <c r="N19" s="242" t="str">
        <f t="shared" si="9"/>
        <v/>
      </c>
      <c r="O19" s="244" t="s">
        <v>178</v>
      </c>
      <c r="P19" s="241" t="s">
        <v>178</v>
      </c>
      <c r="Q19" s="241" t="s">
        <v>178</v>
      </c>
      <c r="R19" s="244" t="s">
        <v>178</v>
      </c>
      <c r="S19" s="242" t="str">
        <f t="shared" si="4"/>
        <v/>
      </c>
      <c r="T19" s="240">
        <v>0.45833333333333331</v>
      </c>
      <c r="U19" s="241">
        <v>0.625</v>
      </c>
      <c r="V19" s="241">
        <v>0.66666666666666663</v>
      </c>
      <c r="W19" s="240">
        <v>0.83333333333333337</v>
      </c>
      <c r="X19" s="242">
        <f t="shared" si="5"/>
        <v>0.33333333333333343</v>
      </c>
      <c r="Y19" s="240">
        <v>0.29166666666666669</v>
      </c>
      <c r="Z19" s="241">
        <v>0.54166666666666663</v>
      </c>
      <c r="AA19" s="241">
        <v>0.625</v>
      </c>
      <c r="AB19" s="240">
        <v>0.70833333333333337</v>
      </c>
      <c r="AC19" s="242">
        <f t="shared" si="6"/>
        <v>0.33333333333333331</v>
      </c>
      <c r="AD19" s="240">
        <v>0.54166666666666663</v>
      </c>
      <c r="AE19" s="241">
        <v>0.66666666666666663</v>
      </c>
      <c r="AF19" s="241">
        <v>0.70833333333333337</v>
      </c>
      <c r="AG19" s="240">
        <v>0.9375</v>
      </c>
      <c r="AH19" s="242">
        <f t="shared" si="7"/>
        <v>0.35416666666666663</v>
      </c>
      <c r="AI19" s="240">
        <v>0.41666666666666669</v>
      </c>
      <c r="AJ19" s="241">
        <v>0.625</v>
      </c>
      <c r="AK19" s="241">
        <v>0.70833333333333337</v>
      </c>
      <c r="AL19" s="240">
        <v>0.83333333333333337</v>
      </c>
      <c r="AM19" s="242">
        <f t="shared" si="8"/>
        <v>0.33333333333333331</v>
      </c>
    </row>
    <row r="20" spans="1:39" x14ac:dyDescent="0.2">
      <c r="A20" s="239" t="s">
        <v>246</v>
      </c>
      <c r="B20" s="262"/>
      <c r="C20" s="263" t="s">
        <v>340</v>
      </c>
      <c r="D20" s="253" t="s">
        <v>336</v>
      </c>
      <c r="E20" s="240">
        <v>0.5</v>
      </c>
      <c r="F20" s="241">
        <v>0.625</v>
      </c>
      <c r="G20" s="241">
        <v>0.66666666666666663</v>
      </c>
      <c r="H20" s="240">
        <v>0.875</v>
      </c>
      <c r="I20" s="242">
        <f t="shared" si="2"/>
        <v>0.33333333333333337</v>
      </c>
      <c r="J20" s="243">
        <v>0.83333333333333337</v>
      </c>
      <c r="K20" s="241"/>
      <c r="L20" s="241"/>
      <c r="M20" s="243">
        <v>1</v>
      </c>
      <c r="N20" s="242">
        <f t="shared" si="9"/>
        <v>0.16666666666666663</v>
      </c>
      <c r="O20" s="243">
        <v>0</v>
      </c>
      <c r="P20" s="241">
        <v>0.29166666666666669</v>
      </c>
      <c r="Q20" s="241">
        <v>0.83333333333333337</v>
      </c>
      <c r="R20" s="243">
        <v>1</v>
      </c>
      <c r="S20" s="242">
        <v>0.375</v>
      </c>
      <c r="T20" s="243">
        <v>0</v>
      </c>
      <c r="U20" s="241">
        <v>0.16666666666666666</v>
      </c>
      <c r="V20" s="241">
        <v>0.25</v>
      </c>
      <c r="W20" s="243">
        <v>0.29166666666666669</v>
      </c>
      <c r="X20" s="242">
        <f t="shared" si="5"/>
        <v>0.20833333333333334</v>
      </c>
      <c r="Y20" s="244" t="s">
        <v>178</v>
      </c>
      <c r="Z20" s="241" t="s">
        <v>178</v>
      </c>
      <c r="AA20" s="241" t="s">
        <v>178</v>
      </c>
      <c r="AB20" s="244" t="s">
        <v>178</v>
      </c>
      <c r="AC20" s="242" t="str">
        <f t="shared" si="6"/>
        <v/>
      </c>
      <c r="AD20" s="240">
        <v>0.25</v>
      </c>
      <c r="AE20" s="241">
        <v>0.5</v>
      </c>
      <c r="AF20" s="241">
        <v>0.58333333333333337</v>
      </c>
      <c r="AG20" s="240">
        <v>0.66666666666666663</v>
      </c>
      <c r="AH20" s="242">
        <f t="shared" si="7"/>
        <v>0.33333333333333326</v>
      </c>
      <c r="AI20" s="240">
        <v>0.54166666666666663</v>
      </c>
      <c r="AJ20" s="241">
        <v>0.70833333333333337</v>
      </c>
      <c r="AK20" s="241">
        <v>0.75</v>
      </c>
      <c r="AL20" s="240">
        <v>0.9375</v>
      </c>
      <c r="AM20" s="242">
        <f t="shared" si="8"/>
        <v>0.35416666666666674</v>
      </c>
    </row>
    <row r="21" spans="1:39" x14ac:dyDescent="0.2">
      <c r="A21" s="239" t="s">
        <v>247</v>
      </c>
      <c r="B21" s="262"/>
      <c r="C21" s="263" t="s">
        <v>340</v>
      </c>
      <c r="D21" s="253" t="s">
        <v>336</v>
      </c>
      <c r="E21" s="240">
        <v>0.33333333333333331</v>
      </c>
      <c r="F21" s="241">
        <v>0.54166666666666663</v>
      </c>
      <c r="G21" s="241">
        <v>0.54166666666666663</v>
      </c>
      <c r="H21" s="240">
        <v>0.66666666666666663</v>
      </c>
      <c r="I21" s="242">
        <f t="shared" si="2"/>
        <v>0.33333333333333331</v>
      </c>
      <c r="J21" s="240">
        <v>0.39583333333333331</v>
      </c>
      <c r="K21" s="241">
        <v>0.58333333333333337</v>
      </c>
      <c r="L21" s="241">
        <v>0.66666666666666663</v>
      </c>
      <c r="M21" s="240">
        <v>0.8125</v>
      </c>
      <c r="N21" s="242">
        <f t="shared" si="9"/>
        <v>0.33333333333333343</v>
      </c>
      <c r="O21" s="240">
        <v>0.41666666666666669</v>
      </c>
      <c r="P21" s="241">
        <v>0.66666666666666663</v>
      </c>
      <c r="Q21" s="241">
        <v>0.75</v>
      </c>
      <c r="R21" s="240">
        <v>0.83333333333333337</v>
      </c>
      <c r="S21" s="242">
        <f t="shared" ref="S21:S66" si="10">IFERROR(MOD(R21-O21,1)-MOD(Q21-P21,1),"")</f>
        <v>0.33333333333333331</v>
      </c>
      <c r="T21" s="240">
        <v>0.5</v>
      </c>
      <c r="U21" s="241">
        <v>0.66666666666666663</v>
      </c>
      <c r="V21" s="241">
        <v>0.70833333333333337</v>
      </c>
      <c r="W21" s="240">
        <v>0.875</v>
      </c>
      <c r="X21" s="242">
        <f t="shared" si="5"/>
        <v>0.33333333333333326</v>
      </c>
      <c r="Y21" s="240">
        <v>0.54166666666666663</v>
      </c>
      <c r="Z21" s="241">
        <v>0.75</v>
      </c>
      <c r="AA21" s="241">
        <v>0.79166666666666663</v>
      </c>
      <c r="AB21" s="240">
        <v>0.9375</v>
      </c>
      <c r="AC21" s="242">
        <f t="shared" si="6"/>
        <v>0.35416666666666674</v>
      </c>
      <c r="AD21" s="244" t="s">
        <v>178</v>
      </c>
      <c r="AE21" s="241" t="s">
        <v>178</v>
      </c>
      <c r="AF21" s="241" t="s">
        <v>178</v>
      </c>
      <c r="AG21" s="244" t="s">
        <v>178</v>
      </c>
      <c r="AH21" s="242" t="str">
        <f t="shared" si="7"/>
        <v/>
      </c>
      <c r="AI21" s="244" t="s">
        <v>178</v>
      </c>
      <c r="AJ21" s="241" t="s">
        <v>178</v>
      </c>
      <c r="AK21" s="241" t="s">
        <v>178</v>
      </c>
      <c r="AL21" s="244" t="s">
        <v>178</v>
      </c>
      <c r="AM21" s="242" t="str">
        <f t="shared" si="8"/>
        <v/>
      </c>
    </row>
    <row r="22" spans="1:39" x14ac:dyDescent="0.2">
      <c r="A22" s="239" t="s">
        <v>248</v>
      </c>
      <c r="B22" s="262"/>
      <c r="C22" s="263" t="s">
        <v>340</v>
      </c>
      <c r="D22" s="253" t="s">
        <v>336</v>
      </c>
      <c r="E22" s="240">
        <v>0.27083333333333331</v>
      </c>
      <c r="F22" s="241">
        <v>0.41666666666666669</v>
      </c>
      <c r="G22" s="241">
        <v>0.5</v>
      </c>
      <c r="H22" s="240">
        <v>0.6875</v>
      </c>
      <c r="I22" s="242">
        <f t="shared" si="2"/>
        <v>0.33333333333333337</v>
      </c>
      <c r="J22" s="240">
        <v>0.375</v>
      </c>
      <c r="K22" s="241">
        <v>0.625</v>
      </c>
      <c r="L22" s="241">
        <v>0.70833333333333337</v>
      </c>
      <c r="M22" s="240">
        <v>0.79166666666666663</v>
      </c>
      <c r="N22" s="242">
        <f t="shared" si="9"/>
        <v>0.33333333333333326</v>
      </c>
      <c r="O22" s="240">
        <v>0.25</v>
      </c>
      <c r="P22" s="241">
        <v>0.41666666666666669</v>
      </c>
      <c r="Q22" s="241">
        <v>0.5</v>
      </c>
      <c r="R22" s="240">
        <v>0.66666666666666663</v>
      </c>
      <c r="S22" s="242">
        <f t="shared" si="10"/>
        <v>0.33333333333333331</v>
      </c>
      <c r="T22" s="243">
        <v>0.83333333333333337</v>
      </c>
      <c r="U22" s="241"/>
      <c r="V22" s="241"/>
      <c r="W22" s="243">
        <v>1</v>
      </c>
      <c r="X22" s="242">
        <f t="shared" si="5"/>
        <v>0.16666666666666663</v>
      </c>
      <c r="Y22" s="243">
        <v>0</v>
      </c>
      <c r="Z22" s="241">
        <v>0.29166666666666669</v>
      </c>
      <c r="AA22" s="241">
        <v>0.83333333333333337</v>
      </c>
      <c r="AB22" s="243">
        <v>1</v>
      </c>
      <c r="AC22" s="242">
        <v>0.375</v>
      </c>
      <c r="AD22" s="243">
        <v>0</v>
      </c>
      <c r="AE22" s="241">
        <v>8.3333333333333329E-2</v>
      </c>
      <c r="AF22" s="241">
        <v>0.16666666666666666</v>
      </c>
      <c r="AG22" s="243">
        <v>0.29166666666666669</v>
      </c>
      <c r="AH22" s="242">
        <f t="shared" si="7"/>
        <v>0.20833333333333337</v>
      </c>
      <c r="AI22" s="244" t="s">
        <v>178</v>
      </c>
      <c r="AJ22" s="241" t="s">
        <v>178</v>
      </c>
      <c r="AK22" s="241" t="s">
        <v>178</v>
      </c>
      <c r="AL22" s="244" t="s">
        <v>178</v>
      </c>
      <c r="AM22" s="242" t="str">
        <f t="shared" si="8"/>
        <v/>
      </c>
    </row>
    <row r="23" spans="1:39" x14ac:dyDescent="0.2">
      <c r="A23" s="239" t="s">
        <v>249</v>
      </c>
      <c r="B23" s="262"/>
      <c r="C23" s="263" t="s">
        <v>340</v>
      </c>
      <c r="D23" s="253" t="s">
        <v>336</v>
      </c>
      <c r="E23" s="240">
        <v>0.54166666666666663</v>
      </c>
      <c r="F23" s="241">
        <v>0.66666666666666663</v>
      </c>
      <c r="G23" s="241">
        <v>0.70833333333333337</v>
      </c>
      <c r="H23" s="240">
        <v>0.9375</v>
      </c>
      <c r="I23" s="242">
        <f t="shared" si="2"/>
        <v>0.35416666666666663</v>
      </c>
      <c r="J23" s="244" t="s">
        <v>178</v>
      </c>
      <c r="K23" s="241" t="s">
        <v>178</v>
      </c>
      <c r="L23" s="241" t="s">
        <v>178</v>
      </c>
      <c r="M23" s="244" t="s">
        <v>178</v>
      </c>
      <c r="N23" s="242" t="str">
        <f t="shared" si="9"/>
        <v/>
      </c>
      <c r="O23" s="244" t="s">
        <v>178</v>
      </c>
      <c r="P23" s="241" t="s">
        <v>178</v>
      </c>
      <c r="Q23" s="241" t="s">
        <v>178</v>
      </c>
      <c r="R23" s="244" t="s">
        <v>178</v>
      </c>
      <c r="S23" s="242" t="str">
        <f t="shared" si="10"/>
        <v/>
      </c>
      <c r="T23" s="240">
        <v>0.29166666666666669</v>
      </c>
      <c r="U23" s="241">
        <v>0.54166666666666663</v>
      </c>
      <c r="V23" s="241">
        <v>0.625</v>
      </c>
      <c r="W23" s="240">
        <v>0.70833333333333337</v>
      </c>
      <c r="X23" s="242">
        <f t="shared" si="5"/>
        <v>0.33333333333333331</v>
      </c>
      <c r="Y23" s="240">
        <v>0.33333333333333331</v>
      </c>
      <c r="Z23" s="241">
        <v>0.58333333333333337</v>
      </c>
      <c r="AA23" s="241">
        <v>0.66666666666666663</v>
      </c>
      <c r="AB23" s="240">
        <v>0.75</v>
      </c>
      <c r="AC23" s="242">
        <f t="shared" ref="AC23:AC67" si="11">IFERROR(MOD(AB23-Y23,1)-MOD(AA23-Z23,1),"")</f>
        <v>0.33333333333333343</v>
      </c>
      <c r="AD23" s="240">
        <v>0.5</v>
      </c>
      <c r="AE23" s="241">
        <v>0.625</v>
      </c>
      <c r="AF23" s="241">
        <v>0.66666666666666663</v>
      </c>
      <c r="AG23" s="240">
        <v>0.875</v>
      </c>
      <c r="AH23" s="242">
        <f t="shared" si="7"/>
        <v>0.33333333333333337</v>
      </c>
      <c r="AI23" s="240">
        <v>0.4375</v>
      </c>
      <c r="AJ23" s="241">
        <v>0.625</v>
      </c>
      <c r="AK23" s="241">
        <v>0.70833333333333337</v>
      </c>
      <c r="AL23" s="240">
        <v>0.85416666666666663</v>
      </c>
      <c r="AM23" s="242">
        <f t="shared" si="8"/>
        <v>0.33333333333333326</v>
      </c>
    </row>
    <row r="24" spans="1:39" x14ac:dyDescent="0.2">
      <c r="A24" s="239" t="s">
        <v>250</v>
      </c>
      <c r="B24" s="262"/>
      <c r="C24" s="263" t="s">
        <v>340</v>
      </c>
      <c r="D24" s="253" t="s">
        <v>336</v>
      </c>
      <c r="E24" s="240">
        <v>0.54166666666666663</v>
      </c>
      <c r="F24" s="241">
        <v>0.66666666666666663</v>
      </c>
      <c r="G24" s="241">
        <v>0.70833333333333337</v>
      </c>
      <c r="H24" s="240">
        <v>0.91666666666666663</v>
      </c>
      <c r="I24" s="242">
        <f t="shared" si="2"/>
        <v>0.33333333333333326</v>
      </c>
      <c r="J24" s="244" t="s">
        <v>178</v>
      </c>
      <c r="K24" s="241" t="s">
        <v>178</v>
      </c>
      <c r="L24" s="241" t="s">
        <v>178</v>
      </c>
      <c r="M24" s="244" t="s">
        <v>178</v>
      </c>
      <c r="N24" s="242" t="str">
        <f t="shared" si="9"/>
        <v/>
      </c>
      <c r="O24" s="244" t="s">
        <v>178</v>
      </c>
      <c r="P24" s="241" t="s">
        <v>178</v>
      </c>
      <c r="Q24" s="241" t="s">
        <v>178</v>
      </c>
      <c r="R24" s="244" t="s">
        <v>178</v>
      </c>
      <c r="S24" s="242" t="str">
        <f t="shared" si="10"/>
        <v/>
      </c>
      <c r="T24" s="240">
        <v>0.29166666666666669</v>
      </c>
      <c r="U24" s="241">
        <v>0.54166666666666663</v>
      </c>
      <c r="V24" s="241">
        <v>0.625</v>
      </c>
      <c r="W24" s="240">
        <v>0.70833333333333337</v>
      </c>
      <c r="X24" s="242">
        <f t="shared" si="5"/>
        <v>0.33333333333333331</v>
      </c>
      <c r="Y24" s="240">
        <v>0.375</v>
      </c>
      <c r="Z24" s="241">
        <v>0.625</v>
      </c>
      <c r="AA24" s="241">
        <v>0.70833333333333337</v>
      </c>
      <c r="AB24" s="240">
        <v>0.79166666666666663</v>
      </c>
      <c r="AC24" s="242">
        <f t="shared" si="11"/>
        <v>0.33333333333333326</v>
      </c>
      <c r="AD24" s="240">
        <v>0.5</v>
      </c>
      <c r="AE24" s="241">
        <v>0.625</v>
      </c>
      <c r="AF24" s="241">
        <v>0.66666666666666663</v>
      </c>
      <c r="AG24" s="240">
        <v>0.875</v>
      </c>
      <c r="AH24" s="242">
        <f t="shared" si="7"/>
        <v>0.33333333333333337</v>
      </c>
      <c r="AI24" s="240">
        <v>0.52083333333333337</v>
      </c>
      <c r="AJ24" s="241">
        <v>0.66666666666666663</v>
      </c>
      <c r="AK24" s="241">
        <v>0.70833333333333337</v>
      </c>
      <c r="AL24" s="240">
        <v>0.89583333333333337</v>
      </c>
      <c r="AM24" s="242">
        <f t="shared" si="8"/>
        <v>0.33333333333333326</v>
      </c>
    </row>
    <row r="25" spans="1:39" x14ac:dyDescent="0.2">
      <c r="A25" s="239" t="s">
        <v>251</v>
      </c>
      <c r="B25" s="262"/>
      <c r="C25" s="263" t="s">
        <v>340</v>
      </c>
      <c r="D25" s="253" t="s">
        <v>336</v>
      </c>
      <c r="E25" s="240">
        <v>0.29166666666666669</v>
      </c>
      <c r="F25" s="241">
        <v>0.41666666666666669</v>
      </c>
      <c r="G25" s="241">
        <v>0.5</v>
      </c>
      <c r="H25" s="240">
        <v>0.70833333333333337</v>
      </c>
      <c r="I25" s="242">
        <f t="shared" si="2"/>
        <v>0.33333333333333337</v>
      </c>
      <c r="J25" s="240">
        <v>0.33333333333333331</v>
      </c>
      <c r="K25" s="241">
        <v>0.54166666666666663</v>
      </c>
      <c r="L25" s="241">
        <v>0.625</v>
      </c>
      <c r="M25" s="240">
        <v>0.75</v>
      </c>
      <c r="N25" s="242">
        <f t="shared" si="9"/>
        <v>0.33333333333333331</v>
      </c>
      <c r="O25" s="240">
        <v>0.41666666666666669</v>
      </c>
      <c r="P25" s="241">
        <v>0.66666666666666663</v>
      </c>
      <c r="Q25" s="241">
        <v>0.75</v>
      </c>
      <c r="R25" s="240">
        <v>0.83333333333333337</v>
      </c>
      <c r="S25" s="242">
        <f t="shared" si="10"/>
        <v>0.33333333333333331</v>
      </c>
      <c r="T25" s="240">
        <v>0.54166666666666663</v>
      </c>
      <c r="U25" s="241">
        <v>0.70833333333333337</v>
      </c>
      <c r="V25" s="241">
        <v>0.75</v>
      </c>
      <c r="W25" s="240">
        <v>0.9375</v>
      </c>
      <c r="X25" s="242">
        <f t="shared" si="5"/>
        <v>0.35416666666666674</v>
      </c>
      <c r="Y25" s="240">
        <v>0.54166666666666663</v>
      </c>
      <c r="Z25" s="241">
        <v>0.75</v>
      </c>
      <c r="AA25" s="241">
        <v>0.79166666666666663</v>
      </c>
      <c r="AB25" s="240">
        <v>0.91666666666666663</v>
      </c>
      <c r="AC25" s="242">
        <f t="shared" si="11"/>
        <v>0.33333333333333337</v>
      </c>
      <c r="AD25" s="244" t="s">
        <v>178</v>
      </c>
      <c r="AE25" s="241" t="s">
        <v>178</v>
      </c>
      <c r="AF25" s="241" t="s">
        <v>178</v>
      </c>
      <c r="AG25" s="244" t="s">
        <v>178</v>
      </c>
      <c r="AH25" s="242" t="str">
        <f t="shared" si="7"/>
        <v/>
      </c>
      <c r="AI25" s="244" t="s">
        <v>178</v>
      </c>
      <c r="AJ25" s="241" t="s">
        <v>178</v>
      </c>
      <c r="AK25" s="241" t="s">
        <v>178</v>
      </c>
      <c r="AL25" s="244" t="s">
        <v>178</v>
      </c>
      <c r="AM25" s="242" t="str">
        <f t="shared" si="8"/>
        <v/>
      </c>
    </row>
    <row r="26" spans="1:39" x14ac:dyDescent="0.2">
      <c r="A26" s="239" t="s">
        <v>252</v>
      </c>
      <c r="B26" s="262"/>
      <c r="C26" s="263" t="s">
        <v>340</v>
      </c>
      <c r="D26" s="253" t="s">
        <v>336</v>
      </c>
      <c r="E26" s="240">
        <v>0.29166666666666669</v>
      </c>
      <c r="F26" s="241">
        <v>0.5</v>
      </c>
      <c r="G26" s="241">
        <v>0.58333333333333337</v>
      </c>
      <c r="H26" s="240">
        <v>0.70833333333333337</v>
      </c>
      <c r="I26" s="242">
        <f t="shared" si="2"/>
        <v>0.33333333333333331</v>
      </c>
      <c r="J26" s="240">
        <v>0.3125</v>
      </c>
      <c r="K26" s="241">
        <v>0.41666666666666669</v>
      </c>
      <c r="L26" s="241">
        <v>0.5</v>
      </c>
      <c r="M26" s="240">
        <v>0.72916666666666663</v>
      </c>
      <c r="N26" s="242">
        <f t="shared" si="9"/>
        <v>0.33333333333333331</v>
      </c>
      <c r="O26" s="240">
        <v>0.3125</v>
      </c>
      <c r="P26" s="241">
        <v>0.54166666666666663</v>
      </c>
      <c r="Q26" s="241">
        <v>0.625</v>
      </c>
      <c r="R26" s="240">
        <v>0.72916666666666663</v>
      </c>
      <c r="S26" s="242">
        <f t="shared" si="10"/>
        <v>0.33333333333333326</v>
      </c>
      <c r="T26" s="240">
        <v>0.375</v>
      </c>
      <c r="U26" s="241">
        <v>0.625</v>
      </c>
      <c r="V26" s="241">
        <v>0.70833333333333337</v>
      </c>
      <c r="W26" s="240">
        <v>0.79166666666666663</v>
      </c>
      <c r="X26" s="242">
        <f t="shared" si="5"/>
        <v>0.33333333333333326</v>
      </c>
      <c r="Y26" s="240">
        <v>0.375</v>
      </c>
      <c r="Z26" s="241">
        <v>0.58333333333333337</v>
      </c>
      <c r="AA26" s="241">
        <v>0.66666666666666663</v>
      </c>
      <c r="AB26" s="240">
        <v>0.79166666666666663</v>
      </c>
      <c r="AC26" s="242">
        <f t="shared" si="11"/>
        <v>0.33333333333333337</v>
      </c>
      <c r="AD26" s="244" t="s">
        <v>178</v>
      </c>
      <c r="AE26" s="241" t="s">
        <v>178</v>
      </c>
      <c r="AF26" s="241" t="s">
        <v>178</v>
      </c>
      <c r="AG26" s="244" t="s">
        <v>178</v>
      </c>
      <c r="AH26" s="242" t="str">
        <f t="shared" si="7"/>
        <v/>
      </c>
      <c r="AI26" s="244" t="s">
        <v>178</v>
      </c>
      <c r="AJ26" s="241" t="s">
        <v>178</v>
      </c>
      <c r="AK26" s="241" t="s">
        <v>178</v>
      </c>
      <c r="AL26" s="244" t="s">
        <v>178</v>
      </c>
      <c r="AM26" s="242" t="str">
        <f t="shared" si="8"/>
        <v/>
      </c>
    </row>
    <row r="27" spans="1:39" x14ac:dyDescent="0.2">
      <c r="A27" s="239" t="s">
        <v>253</v>
      </c>
      <c r="B27" s="262" t="s">
        <v>347</v>
      </c>
      <c r="C27" s="263" t="s">
        <v>340</v>
      </c>
      <c r="D27" s="253" t="s">
        <v>336</v>
      </c>
      <c r="E27" s="240">
        <v>0.33333333333333331</v>
      </c>
      <c r="F27" s="241">
        <v>0.54166666666666663</v>
      </c>
      <c r="G27" s="241">
        <v>0.58333333333333337</v>
      </c>
      <c r="H27" s="240">
        <v>0.66666666666666663</v>
      </c>
      <c r="I27" s="242">
        <f t="shared" si="2"/>
        <v>0.29166666666666657</v>
      </c>
      <c r="J27" s="240">
        <v>0.33333333333333331</v>
      </c>
      <c r="K27" s="241">
        <v>0.54166666666666663</v>
      </c>
      <c r="L27" s="241">
        <v>0.58333333333333337</v>
      </c>
      <c r="M27" s="240">
        <v>0.66666666666666663</v>
      </c>
      <c r="N27" s="242">
        <f t="shared" si="9"/>
        <v>0.29166666666666657</v>
      </c>
      <c r="O27" s="240">
        <v>0.35416666666666669</v>
      </c>
      <c r="P27" s="241">
        <v>0.58333333333333337</v>
      </c>
      <c r="Q27" s="241">
        <v>0.625</v>
      </c>
      <c r="R27" s="240">
        <v>0.6875</v>
      </c>
      <c r="S27" s="242">
        <f t="shared" si="10"/>
        <v>0.29166666666666669</v>
      </c>
      <c r="T27" s="244" t="s">
        <v>178</v>
      </c>
      <c r="U27" s="241" t="s">
        <v>178</v>
      </c>
      <c r="V27" s="241" t="s">
        <v>178</v>
      </c>
      <c r="W27" s="244" t="s">
        <v>178</v>
      </c>
      <c r="X27" s="242" t="str">
        <f t="shared" si="5"/>
        <v/>
      </c>
      <c r="Y27" s="244" t="s">
        <v>178</v>
      </c>
      <c r="Z27" s="241" t="s">
        <v>178</v>
      </c>
      <c r="AA27" s="241" t="s">
        <v>178</v>
      </c>
      <c r="AB27" s="244" t="s">
        <v>178</v>
      </c>
      <c r="AC27" s="242" t="str">
        <f t="shared" si="11"/>
        <v/>
      </c>
      <c r="AD27" s="240">
        <v>0.35416666666666669</v>
      </c>
      <c r="AE27" s="241">
        <v>0.58333333333333337</v>
      </c>
      <c r="AF27" s="241">
        <v>0.625</v>
      </c>
      <c r="AG27" s="240">
        <v>0.6875</v>
      </c>
      <c r="AH27" s="242">
        <f t="shared" si="7"/>
        <v>0.29166666666666669</v>
      </c>
      <c r="AI27" s="240">
        <v>0.35416666666666669</v>
      </c>
      <c r="AJ27" s="241">
        <v>0.54166666666666663</v>
      </c>
      <c r="AK27" s="241">
        <v>0.58333333333333337</v>
      </c>
      <c r="AL27" s="240">
        <v>0.6875</v>
      </c>
      <c r="AM27" s="242">
        <f t="shared" si="8"/>
        <v>0.29166666666666657</v>
      </c>
    </row>
    <row r="28" spans="1:39" x14ac:dyDescent="0.2">
      <c r="A28" s="239" t="s">
        <v>254</v>
      </c>
      <c r="B28" s="262" t="s">
        <v>353</v>
      </c>
      <c r="C28" s="263" t="s">
        <v>340</v>
      </c>
      <c r="D28" s="253" t="s">
        <v>336</v>
      </c>
      <c r="E28" s="240">
        <v>0.66666666666666663</v>
      </c>
      <c r="F28" s="241"/>
      <c r="G28" s="241"/>
      <c r="H28" s="240">
        <v>0.9375</v>
      </c>
      <c r="I28" s="242">
        <f t="shared" si="2"/>
        <v>0.27083333333333337</v>
      </c>
      <c r="J28" s="240">
        <v>0.66666666666666663</v>
      </c>
      <c r="K28" s="241"/>
      <c r="L28" s="241"/>
      <c r="M28" s="240">
        <v>0.9375</v>
      </c>
      <c r="N28" s="242">
        <f t="shared" si="9"/>
        <v>0.27083333333333337</v>
      </c>
      <c r="O28" s="240">
        <v>0.66666666666666663</v>
      </c>
      <c r="P28" s="241"/>
      <c r="Q28" s="241"/>
      <c r="R28" s="240">
        <v>0.9375</v>
      </c>
      <c r="S28" s="242">
        <f t="shared" si="10"/>
        <v>0.27083333333333337</v>
      </c>
      <c r="T28" s="244" t="s">
        <v>178</v>
      </c>
      <c r="U28" s="241" t="s">
        <v>178</v>
      </c>
      <c r="V28" s="241" t="s">
        <v>178</v>
      </c>
      <c r="W28" s="244" t="s">
        <v>178</v>
      </c>
      <c r="X28" s="242" t="str">
        <f t="shared" si="5"/>
        <v/>
      </c>
      <c r="Y28" s="244" t="s">
        <v>178</v>
      </c>
      <c r="Z28" s="241" t="s">
        <v>178</v>
      </c>
      <c r="AA28" s="241" t="s">
        <v>178</v>
      </c>
      <c r="AB28" s="244" t="s">
        <v>178</v>
      </c>
      <c r="AC28" s="242" t="str">
        <f t="shared" si="11"/>
        <v/>
      </c>
      <c r="AD28" s="240">
        <v>0.66666666666666663</v>
      </c>
      <c r="AE28" s="241"/>
      <c r="AF28" s="241"/>
      <c r="AG28" s="240">
        <v>0.9375</v>
      </c>
      <c r="AH28" s="242">
        <f t="shared" si="7"/>
        <v>0.27083333333333337</v>
      </c>
      <c r="AI28" s="240">
        <v>0.66666666666666663</v>
      </c>
      <c r="AJ28" s="241"/>
      <c r="AK28" s="241"/>
      <c r="AL28" s="240">
        <v>0.9375</v>
      </c>
      <c r="AM28" s="242">
        <f t="shared" si="8"/>
        <v>0.27083333333333337</v>
      </c>
    </row>
    <row r="29" spans="1:39" x14ac:dyDescent="0.2">
      <c r="A29" s="250" t="s">
        <v>189</v>
      </c>
      <c r="B29" s="262"/>
      <c r="C29" s="263" t="s">
        <v>340</v>
      </c>
      <c r="D29" s="251" t="s">
        <v>199</v>
      </c>
      <c r="E29" s="240">
        <v>0.29166666666666669</v>
      </c>
      <c r="F29" s="241">
        <v>0.54166666666666663</v>
      </c>
      <c r="G29" s="241">
        <v>0.625</v>
      </c>
      <c r="H29" s="240">
        <v>0.70833333333333337</v>
      </c>
      <c r="I29" s="242">
        <f t="shared" si="2"/>
        <v>0.33333333333333331</v>
      </c>
      <c r="J29" s="240">
        <v>0.29166666666666669</v>
      </c>
      <c r="K29" s="241">
        <v>0.54166666666666663</v>
      </c>
      <c r="L29" s="241">
        <v>0.58333333333333337</v>
      </c>
      <c r="M29" s="240">
        <v>0.66666666666666663</v>
      </c>
      <c r="N29" s="242">
        <f t="shared" si="9"/>
        <v>0.3333333333333332</v>
      </c>
      <c r="O29" s="240">
        <v>0.5</v>
      </c>
      <c r="P29" s="241">
        <v>0.625</v>
      </c>
      <c r="Q29" s="241">
        <v>0.66666666666666663</v>
      </c>
      <c r="R29" s="240">
        <v>0.875</v>
      </c>
      <c r="S29" s="242">
        <f t="shared" si="10"/>
        <v>0.33333333333333337</v>
      </c>
      <c r="T29" s="240">
        <v>0.54166666666666663</v>
      </c>
      <c r="U29" s="241">
        <v>0.66666666666666663</v>
      </c>
      <c r="V29" s="241">
        <v>0.70833333333333337</v>
      </c>
      <c r="W29" s="240">
        <v>0.91666666666666663</v>
      </c>
      <c r="X29" s="242">
        <f t="shared" si="5"/>
        <v>0.33333333333333326</v>
      </c>
      <c r="Y29" s="240">
        <v>0.54166666666666663</v>
      </c>
      <c r="Z29" s="241">
        <v>0.625</v>
      </c>
      <c r="AA29" s="241">
        <v>0.66666666666666663</v>
      </c>
      <c r="AB29" s="240">
        <v>0.91666666666666663</v>
      </c>
      <c r="AC29" s="242">
        <f t="shared" si="11"/>
        <v>0.33333333333333337</v>
      </c>
      <c r="AD29" s="244" t="s">
        <v>178</v>
      </c>
      <c r="AE29" s="241" t="s">
        <v>178</v>
      </c>
      <c r="AF29" s="241" t="s">
        <v>178</v>
      </c>
      <c r="AG29" s="244" t="s">
        <v>178</v>
      </c>
      <c r="AH29" s="242" t="str">
        <f t="shared" si="7"/>
        <v/>
      </c>
      <c r="AI29" s="244" t="s">
        <v>178</v>
      </c>
      <c r="AJ29" s="241" t="s">
        <v>178</v>
      </c>
      <c r="AK29" s="241" t="s">
        <v>178</v>
      </c>
      <c r="AL29" s="244" t="s">
        <v>178</v>
      </c>
      <c r="AM29" s="242" t="str">
        <f t="shared" si="8"/>
        <v/>
      </c>
    </row>
    <row r="30" spans="1:39" ht="15" x14ac:dyDescent="0.25">
      <c r="A30" s="245" t="s">
        <v>255</v>
      </c>
      <c r="B30" s="262"/>
      <c r="C30" s="264" t="s">
        <v>341</v>
      </c>
      <c r="D30" s="253" t="s">
        <v>336</v>
      </c>
      <c r="E30" s="240">
        <v>0.5</v>
      </c>
      <c r="F30" s="241">
        <v>0.625</v>
      </c>
      <c r="G30" s="241">
        <v>0.66666666666666663</v>
      </c>
      <c r="H30" s="240">
        <v>0.875</v>
      </c>
      <c r="I30" s="242">
        <f t="shared" si="2"/>
        <v>0.33333333333333337</v>
      </c>
      <c r="J30" s="240">
        <v>0.41666666666666669</v>
      </c>
      <c r="K30" s="241">
        <v>0.625</v>
      </c>
      <c r="L30" s="241">
        <v>0.70833333333333337</v>
      </c>
      <c r="M30" s="240">
        <v>0.83333333333333337</v>
      </c>
      <c r="N30" s="242">
        <f t="shared" si="9"/>
        <v>0.33333333333333331</v>
      </c>
      <c r="O30" s="240">
        <v>0.52083333333333337</v>
      </c>
      <c r="P30" s="241">
        <v>0.75</v>
      </c>
      <c r="Q30" s="241">
        <v>0.79166666666666663</v>
      </c>
      <c r="R30" s="240">
        <v>0.89583333333333337</v>
      </c>
      <c r="S30" s="242">
        <f t="shared" si="10"/>
        <v>0.33333333333333337</v>
      </c>
      <c r="T30" s="244" t="s">
        <v>178</v>
      </c>
      <c r="U30" s="241" t="s">
        <v>178</v>
      </c>
      <c r="V30" s="241" t="s">
        <v>178</v>
      </c>
      <c r="W30" s="244" t="s">
        <v>178</v>
      </c>
      <c r="X30" s="242" t="str">
        <f t="shared" si="5"/>
        <v/>
      </c>
      <c r="Y30" s="244" t="s">
        <v>178</v>
      </c>
      <c r="Z30" s="241" t="s">
        <v>178</v>
      </c>
      <c r="AA30" s="241" t="s">
        <v>178</v>
      </c>
      <c r="AB30" s="244" t="s">
        <v>178</v>
      </c>
      <c r="AC30" s="242" t="str">
        <f t="shared" si="11"/>
        <v/>
      </c>
      <c r="AD30" s="240">
        <v>0.29166666666666669</v>
      </c>
      <c r="AE30" s="241">
        <v>0.54166666666666663</v>
      </c>
      <c r="AF30" s="241">
        <v>0.625</v>
      </c>
      <c r="AG30" s="240">
        <v>0.70833333333333337</v>
      </c>
      <c r="AH30" s="242">
        <f t="shared" si="7"/>
        <v>0.33333333333333331</v>
      </c>
      <c r="AI30" s="240">
        <v>0.29166666666666669</v>
      </c>
      <c r="AJ30" s="241">
        <v>0.54166666666666663</v>
      </c>
      <c r="AK30" s="241">
        <v>0.625</v>
      </c>
      <c r="AL30" s="240">
        <v>0.70833333333333337</v>
      </c>
      <c r="AM30" s="242">
        <f t="shared" si="8"/>
        <v>0.33333333333333331</v>
      </c>
    </row>
    <row r="31" spans="1:39" ht="15" x14ac:dyDescent="0.25">
      <c r="A31" s="245" t="s">
        <v>256</v>
      </c>
      <c r="B31" s="262"/>
      <c r="C31" s="264" t="s">
        <v>341</v>
      </c>
      <c r="D31" s="253" t="s">
        <v>336</v>
      </c>
      <c r="E31" s="243">
        <v>0.83333333333333337</v>
      </c>
      <c r="F31" s="241"/>
      <c r="G31" s="241"/>
      <c r="H31" s="243">
        <v>1</v>
      </c>
      <c r="I31" s="242">
        <f t="shared" si="2"/>
        <v>0.16666666666666663</v>
      </c>
      <c r="J31" s="243">
        <v>0</v>
      </c>
      <c r="K31" s="241">
        <v>0.125</v>
      </c>
      <c r="L31" s="241">
        <v>0.20833333333333334</v>
      </c>
      <c r="M31" s="243">
        <v>0.29166666666666669</v>
      </c>
      <c r="N31" s="242">
        <f t="shared" si="9"/>
        <v>0.20833333333333334</v>
      </c>
      <c r="O31" s="244" t="s">
        <v>178</v>
      </c>
      <c r="P31" s="241" t="s">
        <v>178</v>
      </c>
      <c r="Q31" s="241" t="s">
        <v>178</v>
      </c>
      <c r="R31" s="244" t="s">
        <v>178</v>
      </c>
      <c r="S31" s="242" t="str">
        <f t="shared" si="10"/>
        <v/>
      </c>
      <c r="T31" s="240">
        <v>0.27083333333333331</v>
      </c>
      <c r="U31" s="241">
        <v>0.41666666666666669</v>
      </c>
      <c r="V31" s="241">
        <v>0.5</v>
      </c>
      <c r="W31" s="240">
        <v>0.6875</v>
      </c>
      <c r="X31" s="242">
        <f t="shared" si="5"/>
        <v>0.33333333333333337</v>
      </c>
      <c r="Y31" s="240">
        <v>0.27083333333333331</v>
      </c>
      <c r="Z31" s="241">
        <v>0.41666666666666669</v>
      </c>
      <c r="AA31" s="241">
        <v>0.5</v>
      </c>
      <c r="AB31" s="240">
        <v>0.6875</v>
      </c>
      <c r="AC31" s="242">
        <f t="shared" si="11"/>
        <v>0.33333333333333337</v>
      </c>
      <c r="AD31" s="240">
        <v>0.5625</v>
      </c>
      <c r="AE31" s="241">
        <v>0.66666666666666663</v>
      </c>
      <c r="AF31" s="241">
        <v>0.70833333333333337</v>
      </c>
      <c r="AG31" s="240">
        <v>0.9375</v>
      </c>
      <c r="AH31" s="242">
        <f t="shared" si="7"/>
        <v>0.33333333333333326</v>
      </c>
      <c r="AI31" s="240">
        <v>0.5625</v>
      </c>
      <c r="AJ31" s="241">
        <v>0.75</v>
      </c>
      <c r="AK31" s="241">
        <v>0.79166666666666663</v>
      </c>
      <c r="AL31" s="240">
        <v>0.9375</v>
      </c>
      <c r="AM31" s="242">
        <f t="shared" si="8"/>
        <v>0.33333333333333337</v>
      </c>
    </row>
    <row r="32" spans="1:39" ht="15" x14ac:dyDescent="0.25">
      <c r="A32" s="245" t="s">
        <v>257</v>
      </c>
      <c r="B32" s="262"/>
      <c r="C32" s="264" t="s">
        <v>341</v>
      </c>
      <c r="D32" s="253" t="s">
        <v>336</v>
      </c>
      <c r="E32" s="240">
        <v>0.54166666666666663</v>
      </c>
      <c r="F32" s="241">
        <v>0.66666666666666663</v>
      </c>
      <c r="G32" s="241">
        <v>0.70833333333333337</v>
      </c>
      <c r="H32" s="240">
        <v>0.9375</v>
      </c>
      <c r="I32" s="242">
        <f t="shared" si="2"/>
        <v>0.35416666666666663</v>
      </c>
      <c r="J32" s="244" t="s">
        <v>178</v>
      </c>
      <c r="K32" s="241" t="s">
        <v>178</v>
      </c>
      <c r="L32" s="241" t="s">
        <v>178</v>
      </c>
      <c r="M32" s="244" t="s">
        <v>178</v>
      </c>
      <c r="N32" s="242" t="str">
        <f t="shared" si="9"/>
        <v/>
      </c>
      <c r="O32" s="244" t="s">
        <v>178</v>
      </c>
      <c r="P32" s="241" t="s">
        <v>178</v>
      </c>
      <c r="Q32" s="241" t="s">
        <v>178</v>
      </c>
      <c r="R32" s="244" t="s">
        <v>178</v>
      </c>
      <c r="S32" s="242" t="str">
        <f t="shared" si="10"/>
        <v/>
      </c>
      <c r="T32" s="240">
        <v>0.29166666666666669</v>
      </c>
      <c r="U32" s="241">
        <v>0.54166666666666663</v>
      </c>
      <c r="V32" s="241">
        <v>0.625</v>
      </c>
      <c r="W32" s="240">
        <v>0.70833333333333337</v>
      </c>
      <c r="X32" s="242">
        <f t="shared" si="5"/>
        <v>0.33333333333333331</v>
      </c>
      <c r="Y32" s="240">
        <v>0.41666666666666669</v>
      </c>
      <c r="Z32" s="241">
        <v>0.66666666666666663</v>
      </c>
      <c r="AA32" s="241">
        <v>0.75</v>
      </c>
      <c r="AB32" s="240">
        <v>0.83333333333333337</v>
      </c>
      <c r="AC32" s="242">
        <f t="shared" si="11"/>
        <v>0.33333333333333331</v>
      </c>
      <c r="AD32" s="240">
        <v>0.4375</v>
      </c>
      <c r="AE32" s="241">
        <v>0.58333333333333337</v>
      </c>
      <c r="AF32" s="241">
        <v>0.66666666666666663</v>
      </c>
      <c r="AG32" s="240">
        <v>0.85416666666666663</v>
      </c>
      <c r="AH32" s="242">
        <f t="shared" si="7"/>
        <v>0.33333333333333337</v>
      </c>
      <c r="AI32" s="240">
        <v>0.52083333333333337</v>
      </c>
      <c r="AJ32" s="241">
        <v>0.66666666666666663</v>
      </c>
      <c r="AK32" s="241">
        <v>0.70833333333333337</v>
      </c>
      <c r="AL32" s="240">
        <v>0.89583333333333337</v>
      </c>
      <c r="AM32" s="242">
        <f t="shared" si="8"/>
        <v>0.33333333333333326</v>
      </c>
    </row>
    <row r="33" spans="1:39" ht="15" x14ac:dyDescent="0.25">
      <c r="A33" s="245" t="s">
        <v>258</v>
      </c>
      <c r="B33" s="262"/>
      <c r="C33" s="264" t="s">
        <v>341</v>
      </c>
      <c r="D33" s="253" t="s">
        <v>336</v>
      </c>
      <c r="E33" s="240">
        <v>0.5625</v>
      </c>
      <c r="F33" s="241">
        <v>0.79166666666666663</v>
      </c>
      <c r="G33" s="241">
        <v>0.83333333333333337</v>
      </c>
      <c r="H33" s="240">
        <v>0.9375</v>
      </c>
      <c r="I33" s="242">
        <f t="shared" si="2"/>
        <v>0.33333333333333326</v>
      </c>
      <c r="J33" s="244" t="s">
        <v>178</v>
      </c>
      <c r="K33" s="241" t="s">
        <v>178</v>
      </c>
      <c r="L33" s="241" t="s">
        <v>178</v>
      </c>
      <c r="M33" s="244" t="s">
        <v>178</v>
      </c>
      <c r="N33" s="242" t="str">
        <f t="shared" si="9"/>
        <v/>
      </c>
      <c r="O33" s="244" t="s">
        <v>178</v>
      </c>
      <c r="P33" s="241" t="s">
        <v>178</v>
      </c>
      <c r="Q33" s="241" t="s">
        <v>178</v>
      </c>
      <c r="R33" s="244" t="s">
        <v>178</v>
      </c>
      <c r="S33" s="242" t="str">
        <f t="shared" si="10"/>
        <v/>
      </c>
      <c r="T33" s="240">
        <v>0.33333333333333331</v>
      </c>
      <c r="U33" s="241">
        <v>0.58333333333333337</v>
      </c>
      <c r="V33" s="241">
        <v>0.66666666666666663</v>
      </c>
      <c r="W33" s="240">
        <v>0.75</v>
      </c>
      <c r="X33" s="242">
        <f t="shared" si="5"/>
        <v>0.33333333333333343</v>
      </c>
      <c r="Y33" s="240">
        <v>0.3125</v>
      </c>
      <c r="Z33" s="241">
        <v>0.54166666666666663</v>
      </c>
      <c r="AA33" s="241">
        <v>0.625</v>
      </c>
      <c r="AB33" s="240">
        <v>0.72916666666666663</v>
      </c>
      <c r="AC33" s="242">
        <f t="shared" si="11"/>
        <v>0.33333333333333326</v>
      </c>
      <c r="AD33" s="240">
        <v>0.5</v>
      </c>
      <c r="AE33" s="241">
        <v>0.625</v>
      </c>
      <c r="AF33" s="241">
        <v>0.66666666666666663</v>
      </c>
      <c r="AG33" s="240">
        <v>0.875</v>
      </c>
      <c r="AH33" s="242">
        <f t="shared" si="7"/>
        <v>0.33333333333333337</v>
      </c>
      <c r="AI33" s="240">
        <v>0.39583333333333331</v>
      </c>
      <c r="AJ33" s="241">
        <v>0.625</v>
      </c>
      <c r="AK33" s="241">
        <v>0.70833333333333337</v>
      </c>
      <c r="AL33" s="240">
        <v>0.8125</v>
      </c>
      <c r="AM33" s="242">
        <f t="shared" si="8"/>
        <v>0.33333333333333331</v>
      </c>
    </row>
    <row r="34" spans="1:39" ht="15" x14ac:dyDescent="0.25">
      <c r="A34" s="245" t="s">
        <v>259</v>
      </c>
      <c r="B34" s="262"/>
      <c r="C34" s="264" t="s">
        <v>341</v>
      </c>
      <c r="D34" s="253" t="s">
        <v>336</v>
      </c>
      <c r="E34" s="240">
        <v>0.29166666666666669</v>
      </c>
      <c r="F34" s="241">
        <v>0.54166666666666663</v>
      </c>
      <c r="G34" s="241">
        <v>0.625</v>
      </c>
      <c r="H34" s="240">
        <v>0.70833333333333337</v>
      </c>
      <c r="I34" s="242">
        <f t="shared" si="2"/>
        <v>0.33333333333333331</v>
      </c>
      <c r="J34" s="240">
        <v>0.29166666666666669</v>
      </c>
      <c r="K34" s="241">
        <v>0.54166666666666663</v>
      </c>
      <c r="L34" s="241">
        <v>0.625</v>
      </c>
      <c r="M34" s="240">
        <v>0.70833333333333337</v>
      </c>
      <c r="N34" s="242">
        <f t="shared" si="9"/>
        <v>0.33333333333333331</v>
      </c>
      <c r="O34" s="240">
        <v>0.39583333333333331</v>
      </c>
      <c r="P34" s="241">
        <v>0.625</v>
      </c>
      <c r="Q34" s="241">
        <v>0.70833333333333337</v>
      </c>
      <c r="R34" s="240">
        <v>0.8125</v>
      </c>
      <c r="S34" s="242">
        <f t="shared" si="10"/>
        <v>0.33333333333333331</v>
      </c>
      <c r="T34" s="240">
        <v>0.5</v>
      </c>
      <c r="U34" s="241">
        <v>0.66666666666666663</v>
      </c>
      <c r="V34" s="241">
        <v>0.70833333333333337</v>
      </c>
      <c r="W34" s="240">
        <v>0.875</v>
      </c>
      <c r="X34" s="242">
        <f t="shared" si="5"/>
        <v>0.33333333333333326</v>
      </c>
      <c r="Y34" s="240">
        <v>0.45833333333333331</v>
      </c>
      <c r="Z34" s="241">
        <v>0.70833333333333337</v>
      </c>
      <c r="AA34" s="241">
        <v>0.75</v>
      </c>
      <c r="AB34" s="240">
        <v>0.83333333333333337</v>
      </c>
      <c r="AC34" s="242">
        <f t="shared" si="11"/>
        <v>0.33333333333333343</v>
      </c>
      <c r="AD34" s="244" t="s">
        <v>178</v>
      </c>
      <c r="AE34" s="241" t="s">
        <v>178</v>
      </c>
      <c r="AF34" s="241" t="s">
        <v>178</v>
      </c>
      <c r="AG34" s="244" t="s">
        <v>178</v>
      </c>
      <c r="AH34" s="242" t="str">
        <f t="shared" si="7"/>
        <v/>
      </c>
      <c r="AI34" s="244" t="s">
        <v>178</v>
      </c>
      <c r="AJ34" s="241" t="s">
        <v>178</v>
      </c>
      <c r="AK34" s="241" t="s">
        <v>178</v>
      </c>
      <c r="AL34" s="244" t="s">
        <v>178</v>
      </c>
      <c r="AM34" s="242" t="str">
        <f t="shared" si="8"/>
        <v/>
      </c>
    </row>
    <row r="35" spans="1:39" ht="15" x14ac:dyDescent="0.25">
      <c r="A35" s="245" t="s">
        <v>260</v>
      </c>
      <c r="B35" s="262"/>
      <c r="C35" s="264" t="s">
        <v>341</v>
      </c>
      <c r="D35" s="253" t="s">
        <v>336</v>
      </c>
      <c r="E35" s="240">
        <v>0.29166666666666669</v>
      </c>
      <c r="F35" s="241">
        <v>0.5</v>
      </c>
      <c r="G35" s="241">
        <v>0.58333333333333337</v>
      </c>
      <c r="H35" s="240">
        <v>0.70833333333333337</v>
      </c>
      <c r="I35" s="242">
        <f t="shared" si="2"/>
        <v>0.33333333333333331</v>
      </c>
      <c r="J35" s="240">
        <v>0.3125</v>
      </c>
      <c r="K35" s="241">
        <v>0.41666666666666669</v>
      </c>
      <c r="L35" s="241">
        <v>0.5</v>
      </c>
      <c r="M35" s="240">
        <v>0.72916666666666663</v>
      </c>
      <c r="N35" s="242">
        <f t="shared" si="9"/>
        <v>0.33333333333333331</v>
      </c>
      <c r="O35" s="240">
        <v>0.3125</v>
      </c>
      <c r="P35" s="241">
        <v>0.54166666666666663</v>
      </c>
      <c r="Q35" s="241">
        <v>0.625</v>
      </c>
      <c r="R35" s="240">
        <v>0.72916666666666663</v>
      </c>
      <c r="S35" s="242">
        <f t="shared" si="10"/>
        <v>0.33333333333333326</v>
      </c>
      <c r="T35" s="240">
        <v>0.5</v>
      </c>
      <c r="U35" s="241">
        <v>0.70833333333333337</v>
      </c>
      <c r="V35" s="241">
        <v>0.75</v>
      </c>
      <c r="W35" s="240">
        <v>0.875</v>
      </c>
      <c r="X35" s="242">
        <f t="shared" si="5"/>
        <v>0.33333333333333337</v>
      </c>
      <c r="Y35" s="240">
        <v>0.54166666666666663</v>
      </c>
      <c r="Z35" s="241">
        <v>0.75</v>
      </c>
      <c r="AA35" s="241">
        <v>0.79166666666666663</v>
      </c>
      <c r="AB35" s="240">
        <v>0.9375</v>
      </c>
      <c r="AC35" s="242">
        <f t="shared" si="11"/>
        <v>0.35416666666666674</v>
      </c>
      <c r="AD35" s="244" t="s">
        <v>178</v>
      </c>
      <c r="AE35" s="241" t="s">
        <v>178</v>
      </c>
      <c r="AF35" s="241" t="s">
        <v>178</v>
      </c>
      <c r="AG35" s="244" t="s">
        <v>178</v>
      </c>
      <c r="AH35" s="242" t="str">
        <f t="shared" si="7"/>
        <v/>
      </c>
      <c r="AI35" s="244" t="s">
        <v>178</v>
      </c>
      <c r="AJ35" s="241" t="s">
        <v>178</v>
      </c>
      <c r="AK35" s="241" t="s">
        <v>178</v>
      </c>
      <c r="AL35" s="244" t="s">
        <v>178</v>
      </c>
      <c r="AM35" s="242" t="str">
        <f t="shared" si="8"/>
        <v/>
      </c>
    </row>
    <row r="36" spans="1:39" ht="15" x14ac:dyDescent="0.25">
      <c r="A36" s="245" t="s">
        <v>261</v>
      </c>
      <c r="B36" s="262"/>
      <c r="C36" s="264" t="s">
        <v>341</v>
      </c>
      <c r="D36" s="253" t="s">
        <v>336</v>
      </c>
      <c r="E36" s="240">
        <v>0.41666666666666669</v>
      </c>
      <c r="F36" s="241">
        <v>0.58333333333333337</v>
      </c>
      <c r="G36" s="241">
        <v>0.66666666666666663</v>
      </c>
      <c r="H36" s="240">
        <v>0.83333333333333337</v>
      </c>
      <c r="I36" s="242">
        <f t="shared" ref="I36:I67" si="12">IFERROR(MOD(H36-E36,1)-MOD(G36-F36,1),"")</f>
        <v>0.33333333333333343</v>
      </c>
      <c r="J36" s="240">
        <v>0.39583333333333331</v>
      </c>
      <c r="K36" s="241">
        <v>0.58333333333333337</v>
      </c>
      <c r="L36" s="241">
        <v>0.66666666666666663</v>
      </c>
      <c r="M36" s="240">
        <v>0.8125</v>
      </c>
      <c r="N36" s="242">
        <f t="shared" si="9"/>
        <v>0.33333333333333343</v>
      </c>
      <c r="O36" s="244" t="s">
        <v>178</v>
      </c>
      <c r="P36" s="241" t="s">
        <v>178</v>
      </c>
      <c r="Q36" s="241" t="s">
        <v>178</v>
      </c>
      <c r="R36" s="244" t="s">
        <v>178</v>
      </c>
      <c r="S36" s="242" t="str">
        <f t="shared" si="10"/>
        <v/>
      </c>
      <c r="T36" s="244" t="s">
        <v>178</v>
      </c>
      <c r="U36" s="241" t="s">
        <v>178</v>
      </c>
      <c r="V36" s="241" t="s">
        <v>178</v>
      </c>
      <c r="W36" s="244" t="s">
        <v>178</v>
      </c>
      <c r="X36" s="242" t="str">
        <f t="shared" ref="X36:X67" si="13">IFERROR(MOD(W36-T36,1)-MOD(V36-U36,1),"")</f>
        <v/>
      </c>
      <c r="Y36" s="240">
        <v>0.29166666666666669</v>
      </c>
      <c r="Z36" s="241">
        <v>0.54166666666666663</v>
      </c>
      <c r="AA36" s="241">
        <v>0.625</v>
      </c>
      <c r="AB36" s="240">
        <v>0.70833333333333337</v>
      </c>
      <c r="AC36" s="242">
        <f t="shared" si="11"/>
        <v>0.33333333333333331</v>
      </c>
      <c r="AD36" s="240">
        <v>0.29166666666666669</v>
      </c>
      <c r="AE36" s="241">
        <v>0.54166666666666663</v>
      </c>
      <c r="AF36" s="241">
        <v>0.625</v>
      </c>
      <c r="AG36" s="240">
        <v>0.70833333333333337</v>
      </c>
      <c r="AH36" s="242">
        <f t="shared" ref="AH36:AH67" si="14">IFERROR(MOD(AG36-AD36,1)-MOD(AF36-AE36,1),"")</f>
        <v>0.33333333333333331</v>
      </c>
      <c r="AI36" s="240">
        <v>0.3125</v>
      </c>
      <c r="AJ36" s="241">
        <v>0.54166666666666663</v>
      </c>
      <c r="AK36" s="241">
        <v>0.625</v>
      </c>
      <c r="AL36" s="240">
        <v>0.72916666666666663</v>
      </c>
      <c r="AM36" s="242">
        <f t="shared" si="8"/>
        <v>0.33333333333333326</v>
      </c>
    </row>
    <row r="37" spans="1:39" ht="15" x14ac:dyDescent="0.25">
      <c r="A37" s="245" t="s">
        <v>262</v>
      </c>
      <c r="B37" s="262"/>
      <c r="C37" s="264" t="s">
        <v>341</v>
      </c>
      <c r="D37" s="253" t="s">
        <v>336</v>
      </c>
      <c r="E37" s="240">
        <v>0.29166666666666669</v>
      </c>
      <c r="F37" s="241">
        <v>0.54166666666666663</v>
      </c>
      <c r="G37" s="241">
        <v>0.625</v>
      </c>
      <c r="H37" s="240">
        <v>0.70833333333333337</v>
      </c>
      <c r="I37" s="242">
        <f t="shared" si="12"/>
        <v>0.33333333333333331</v>
      </c>
      <c r="J37" s="240">
        <v>0.41666666666666669</v>
      </c>
      <c r="K37" s="241">
        <v>0.58333333333333337</v>
      </c>
      <c r="L37" s="241">
        <v>0.66666666666666663</v>
      </c>
      <c r="M37" s="240">
        <v>0.83333333333333337</v>
      </c>
      <c r="N37" s="242">
        <f t="shared" si="9"/>
        <v>0.33333333333333343</v>
      </c>
      <c r="O37" s="240">
        <v>0.41666666666666669</v>
      </c>
      <c r="P37" s="241">
        <v>0.66666666666666663</v>
      </c>
      <c r="Q37" s="241">
        <v>0.75</v>
      </c>
      <c r="R37" s="240">
        <v>0.83333333333333337</v>
      </c>
      <c r="S37" s="242">
        <f t="shared" si="10"/>
        <v>0.33333333333333331</v>
      </c>
      <c r="T37" s="240">
        <v>0.54166666666666663</v>
      </c>
      <c r="U37" s="241">
        <v>0.70833333333333337</v>
      </c>
      <c r="V37" s="241">
        <v>0.75</v>
      </c>
      <c r="W37" s="240">
        <v>0.9375</v>
      </c>
      <c r="X37" s="242">
        <f t="shared" si="13"/>
        <v>0.35416666666666674</v>
      </c>
      <c r="Y37" s="244" t="s">
        <v>178</v>
      </c>
      <c r="Z37" s="241" t="s">
        <v>178</v>
      </c>
      <c r="AA37" s="241" t="s">
        <v>178</v>
      </c>
      <c r="AB37" s="244" t="s">
        <v>178</v>
      </c>
      <c r="AC37" s="242" t="str">
        <f t="shared" si="11"/>
        <v/>
      </c>
      <c r="AD37" s="240">
        <v>0.29166666666666669</v>
      </c>
      <c r="AE37" s="241">
        <v>0.54166666666666663</v>
      </c>
      <c r="AF37" s="241">
        <v>0.625</v>
      </c>
      <c r="AG37" s="240">
        <v>0.70833333333333337</v>
      </c>
      <c r="AH37" s="242">
        <f t="shared" si="14"/>
        <v>0.33333333333333331</v>
      </c>
      <c r="AI37" s="244" t="s">
        <v>178</v>
      </c>
      <c r="AJ37" s="241" t="s">
        <v>178</v>
      </c>
      <c r="AK37" s="241" t="s">
        <v>178</v>
      </c>
      <c r="AL37" s="244" t="s">
        <v>178</v>
      </c>
      <c r="AM37" s="242" t="str">
        <f t="shared" si="8"/>
        <v/>
      </c>
    </row>
    <row r="38" spans="1:39" ht="15" x14ac:dyDescent="0.25">
      <c r="A38" s="245" t="s">
        <v>263</v>
      </c>
      <c r="B38" s="262" t="s">
        <v>354</v>
      </c>
      <c r="C38" s="264" t="s">
        <v>341</v>
      </c>
      <c r="D38" s="253" t="s">
        <v>354</v>
      </c>
      <c r="E38" s="240"/>
      <c r="F38" s="241"/>
      <c r="G38" s="241"/>
      <c r="H38" s="240"/>
      <c r="I38" s="242">
        <f t="shared" si="12"/>
        <v>0</v>
      </c>
      <c r="J38" s="240"/>
      <c r="K38" s="241"/>
      <c r="L38" s="241"/>
      <c r="M38" s="240"/>
      <c r="N38" s="242">
        <f t="shared" si="9"/>
        <v>0</v>
      </c>
      <c r="O38" s="240"/>
      <c r="P38" s="241"/>
      <c r="Q38" s="241"/>
      <c r="R38" s="240"/>
      <c r="S38" s="242">
        <f t="shared" si="10"/>
        <v>0</v>
      </c>
      <c r="T38" s="240"/>
      <c r="U38" s="241"/>
      <c r="V38" s="241"/>
      <c r="W38" s="240"/>
      <c r="X38" s="242">
        <f t="shared" si="13"/>
        <v>0</v>
      </c>
      <c r="Y38" s="240"/>
      <c r="Z38" s="241"/>
      <c r="AA38" s="241"/>
      <c r="AB38" s="240"/>
      <c r="AC38" s="242">
        <f t="shared" si="11"/>
        <v>0</v>
      </c>
      <c r="AD38" s="240"/>
      <c r="AE38" s="241"/>
      <c r="AF38" s="241"/>
      <c r="AG38" s="240"/>
      <c r="AH38" s="242">
        <f t="shared" si="14"/>
        <v>0</v>
      </c>
      <c r="AI38" s="240"/>
      <c r="AJ38" s="241"/>
      <c r="AK38" s="241"/>
      <c r="AL38" s="240"/>
      <c r="AM38" s="242">
        <f t="shared" ref="AM38:AM69" si="15">IFERROR(MOD(AL38-AI38,1)-MOD(AK38-AJ38,1),"")</f>
        <v>0</v>
      </c>
    </row>
    <row r="39" spans="1:39" ht="15" x14ac:dyDescent="0.25">
      <c r="A39" s="245" t="s">
        <v>264</v>
      </c>
      <c r="B39" s="262" t="s">
        <v>347</v>
      </c>
      <c r="C39" s="264" t="s">
        <v>341</v>
      </c>
      <c r="D39" s="253" t="s">
        <v>336</v>
      </c>
      <c r="E39" s="240">
        <v>0.375</v>
      </c>
      <c r="F39" s="241">
        <v>0.58333333333333337</v>
      </c>
      <c r="G39" s="241">
        <v>0.66666666666666663</v>
      </c>
      <c r="H39" s="240">
        <v>0.70833333333333337</v>
      </c>
      <c r="I39" s="242">
        <f t="shared" si="12"/>
        <v>0.25000000000000011</v>
      </c>
      <c r="J39" s="240">
        <v>0.35416666666666669</v>
      </c>
      <c r="K39" s="241">
        <v>0.54166666666666663</v>
      </c>
      <c r="L39" s="241">
        <v>0.58333333333333337</v>
      </c>
      <c r="M39" s="240">
        <v>0.6875</v>
      </c>
      <c r="N39" s="242">
        <f t="shared" si="9"/>
        <v>0.29166666666666657</v>
      </c>
      <c r="O39" s="240">
        <v>0.35416666666666669</v>
      </c>
      <c r="P39" s="241">
        <v>0.58333333333333337</v>
      </c>
      <c r="Q39" s="241">
        <v>0.625</v>
      </c>
      <c r="R39" s="240">
        <v>0.6875</v>
      </c>
      <c r="S39" s="242">
        <f t="shared" si="10"/>
        <v>0.29166666666666669</v>
      </c>
      <c r="T39" s="244" t="s">
        <v>178</v>
      </c>
      <c r="U39" s="241" t="s">
        <v>178</v>
      </c>
      <c r="V39" s="241" t="s">
        <v>178</v>
      </c>
      <c r="W39" s="244" t="s">
        <v>178</v>
      </c>
      <c r="X39" s="242" t="str">
        <f t="shared" si="13"/>
        <v/>
      </c>
      <c r="Y39" s="244" t="s">
        <v>178</v>
      </c>
      <c r="Z39" s="241" t="s">
        <v>178</v>
      </c>
      <c r="AA39" s="241" t="s">
        <v>178</v>
      </c>
      <c r="AB39" s="244" t="s">
        <v>178</v>
      </c>
      <c r="AC39" s="242" t="str">
        <f t="shared" si="11"/>
        <v/>
      </c>
      <c r="AD39" s="240">
        <v>0.35416666666666669</v>
      </c>
      <c r="AE39" s="241">
        <v>0.58333333333333337</v>
      </c>
      <c r="AF39" s="241">
        <v>0.625</v>
      </c>
      <c r="AG39" s="240">
        <v>0.6875</v>
      </c>
      <c r="AH39" s="242">
        <f t="shared" si="14"/>
        <v>0.29166666666666669</v>
      </c>
      <c r="AI39" s="240">
        <v>0.35416666666666669</v>
      </c>
      <c r="AJ39" s="241">
        <v>0.54166666666666663</v>
      </c>
      <c r="AK39" s="241">
        <v>0.58333333333333337</v>
      </c>
      <c r="AL39" s="240">
        <v>0.6875</v>
      </c>
      <c r="AM39" s="242">
        <f t="shared" si="15"/>
        <v>0.29166666666666657</v>
      </c>
    </row>
    <row r="40" spans="1:39" ht="15" x14ac:dyDescent="0.25">
      <c r="A40" s="245" t="s">
        <v>265</v>
      </c>
      <c r="B40" s="262" t="s">
        <v>347</v>
      </c>
      <c r="C40" s="264" t="s">
        <v>341</v>
      </c>
      <c r="D40" s="253" t="s">
        <v>336</v>
      </c>
      <c r="E40" s="240">
        <v>0.35416666666666669</v>
      </c>
      <c r="F40" s="241">
        <v>0.58333333333333337</v>
      </c>
      <c r="G40" s="241">
        <v>0.625</v>
      </c>
      <c r="H40" s="240">
        <v>0.6875</v>
      </c>
      <c r="I40" s="242">
        <f t="shared" si="12"/>
        <v>0.29166666666666669</v>
      </c>
      <c r="J40" s="244" t="s">
        <v>178</v>
      </c>
      <c r="K40" s="241" t="s">
        <v>178</v>
      </c>
      <c r="L40" s="241" t="s">
        <v>178</v>
      </c>
      <c r="M40" s="244" t="s">
        <v>178</v>
      </c>
      <c r="N40" s="242" t="str">
        <f t="shared" si="9"/>
        <v/>
      </c>
      <c r="O40" s="244" t="s">
        <v>178</v>
      </c>
      <c r="P40" s="241" t="s">
        <v>178</v>
      </c>
      <c r="Q40" s="241" t="s">
        <v>178</v>
      </c>
      <c r="R40" s="244" t="s">
        <v>178</v>
      </c>
      <c r="S40" s="242" t="str">
        <f t="shared" si="10"/>
        <v/>
      </c>
      <c r="T40" s="240">
        <v>0.35416666666666669</v>
      </c>
      <c r="U40" s="241">
        <v>0.58333333333333337</v>
      </c>
      <c r="V40" s="241">
        <v>0.625</v>
      </c>
      <c r="W40" s="240">
        <v>0.6875</v>
      </c>
      <c r="X40" s="242">
        <f t="shared" si="13"/>
        <v>0.29166666666666669</v>
      </c>
      <c r="Y40" s="240">
        <v>0.35416666666666669</v>
      </c>
      <c r="Z40" s="241">
        <v>0.54166666666666663</v>
      </c>
      <c r="AA40" s="241">
        <v>0.58333333333333337</v>
      </c>
      <c r="AB40" s="240">
        <v>0.6875</v>
      </c>
      <c r="AC40" s="242">
        <f t="shared" si="11"/>
        <v>0.29166666666666657</v>
      </c>
      <c r="AD40" s="240">
        <v>0.35416666666666669</v>
      </c>
      <c r="AE40" s="241">
        <v>0.54166666666666663</v>
      </c>
      <c r="AF40" s="241">
        <v>0.58333333333333337</v>
      </c>
      <c r="AG40" s="240">
        <v>0.6875</v>
      </c>
      <c r="AH40" s="242">
        <f t="shared" si="14"/>
        <v>0.29166666666666657</v>
      </c>
      <c r="AI40" s="240">
        <v>0.35416666666666669</v>
      </c>
      <c r="AJ40" s="241">
        <v>0.54166666666666663</v>
      </c>
      <c r="AK40" s="241">
        <v>0.58333333333333337</v>
      </c>
      <c r="AL40" s="240">
        <v>0.6875</v>
      </c>
      <c r="AM40" s="242">
        <f t="shared" si="15"/>
        <v>0.29166666666666657</v>
      </c>
    </row>
    <row r="41" spans="1:39" x14ac:dyDescent="0.2">
      <c r="A41" s="250" t="s">
        <v>196</v>
      </c>
      <c r="B41" s="262"/>
      <c r="C41" s="264" t="s">
        <v>341</v>
      </c>
      <c r="D41" s="251" t="s">
        <v>199</v>
      </c>
      <c r="E41" s="240">
        <v>0.54166666666666663</v>
      </c>
      <c r="F41" s="241">
        <v>0.66666666666666663</v>
      </c>
      <c r="G41" s="241">
        <v>0.70833333333333337</v>
      </c>
      <c r="H41" s="240">
        <v>0.91666666666666663</v>
      </c>
      <c r="I41" s="242">
        <f t="shared" si="12"/>
        <v>0.33333333333333326</v>
      </c>
      <c r="J41" s="240">
        <v>0.54166666666666663</v>
      </c>
      <c r="K41" s="241">
        <v>0.625</v>
      </c>
      <c r="L41" s="241">
        <v>0.66666666666666663</v>
      </c>
      <c r="M41" s="240">
        <v>0.91666666666666663</v>
      </c>
      <c r="N41" s="242">
        <f t="shared" si="9"/>
        <v>0.33333333333333337</v>
      </c>
      <c r="O41" s="244" t="s">
        <v>178</v>
      </c>
      <c r="P41" s="241" t="s">
        <v>178</v>
      </c>
      <c r="Q41" s="241" t="s">
        <v>178</v>
      </c>
      <c r="R41" s="244" t="s">
        <v>178</v>
      </c>
      <c r="S41" s="242" t="str">
        <f t="shared" si="10"/>
        <v/>
      </c>
      <c r="T41" s="244" t="s">
        <v>178</v>
      </c>
      <c r="U41" s="241" t="s">
        <v>178</v>
      </c>
      <c r="V41" s="241" t="s">
        <v>178</v>
      </c>
      <c r="W41" s="244" t="s">
        <v>178</v>
      </c>
      <c r="X41" s="242" t="str">
        <f t="shared" si="13"/>
        <v/>
      </c>
      <c r="Y41" s="240">
        <v>0.29166666666666669</v>
      </c>
      <c r="Z41" s="241">
        <v>0.54166666666666663</v>
      </c>
      <c r="AA41" s="241">
        <v>0.625</v>
      </c>
      <c r="AB41" s="240">
        <v>0.70833333333333337</v>
      </c>
      <c r="AC41" s="242">
        <f t="shared" si="11"/>
        <v>0.33333333333333331</v>
      </c>
      <c r="AD41" s="240">
        <v>0.33333333333333331</v>
      </c>
      <c r="AE41" s="241">
        <v>0.58333333333333337</v>
      </c>
      <c r="AF41" s="241">
        <v>0.66666666666666663</v>
      </c>
      <c r="AG41" s="240">
        <v>0.75</v>
      </c>
      <c r="AH41" s="242">
        <f t="shared" si="14"/>
        <v>0.33333333333333343</v>
      </c>
      <c r="AI41" s="240">
        <v>0.54166666666666663</v>
      </c>
      <c r="AJ41" s="241">
        <v>0.66666666666666663</v>
      </c>
      <c r="AK41" s="241">
        <v>0.70833333333333337</v>
      </c>
      <c r="AL41" s="240">
        <v>0.91666666666666663</v>
      </c>
      <c r="AM41" s="242">
        <f t="shared" si="15"/>
        <v>0.33333333333333326</v>
      </c>
    </row>
    <row r="42" spans="1:39" x14ac:dyDescent="0.2">
      <c r="A42" s="250" t="s">
        <v>190</v>
      </c>
      <c r="B42" s="262"/>
      <c r="C42" s="264" t="s">
        <v>341</v>
      </c>
      <c r="D42" s="251" t="s">
        <v>199</v>
      </c>
      <c r="E42" s="240">
        <v>0.5625</v>
      </c>
      <c r="F42" s="241">
        <v>0.66666666666666663</v>
      </c>
      <c r="G42" s="241">
        <v>0.70833333333333337</v>
      </c>
      <c r="H42" s="240">
        <v>0.9375</v>
      </c>
      <c r="I42" s="242">
        <f t="shared" si="12"/>
        <v>0.33333333333333326</v>
      </c>
      <c r="J42" s="240">
        <v>0.52083333333333337</v>
      </c>
      <c r="K42" s="241">
        <v>0.66666666666666663</v>
      </c>
      <c r="L42" s="241">
        <v>0.75</v>
      </c>
      <c r="M42" s="240">
        <v>0.9375</v>
      </c>
      <c r="N42" s="242">
        <f t="shared" si="9"/>
        <v>0.33333333333333326</v>
      </c>
      <c r="O42" s="240">
        <v>0.5625</v>
      </c>
      <c r="P42" s="241">
        <v>0.66666666666666663</v>
      </c>
      <c r="Q42" s="241">
        <v>0.70833333333333337</v>
      </c>
      <c r="R42" s="240">
        <v>0.9375</v>
      </c>
      <c r="S42" s="242">
        <f t="shared" si="10"/>
        <v>0.33333333333333326</v>
      </c>
      <c r="T42" s="244" t="s">
        <v>178</v>
      </c>
      <c r="U42" s="241" t="s">
        <v>178</v>
      </c>
      <c r="V42" s="241" t="s">
        <v>178</v>
      </c>
      <c r="W42" s="244" t="s">
        <v>178</v>
      </c>
      <c r="X42" s="242" t="str">
        <f t="shared" si="13"/>
        <v/>
      </c>
      <c r="Y42" s="244" t="s">
        <v>178</v>
      </c>
      <c r="Z42" s="241" t="s">
        <v>178</v>
      </c>
      <c r="AA42" s="241" t="s">
        <v>178</v>
      </c>
      <c r="AB42" s="244" t="s">
        <v>178</v>
      </c>
      <c r="AC42" s="242" t="str">
        <f t="shared" si="11"/>
        <v/>
      </c>
      <c r="AD42" s="240">
        <v>0.29166666666666669</v>
      </c>
      <c r="AE42" s="241">
        <v>0.54166666666666663</v>
      </c>
      <c r="AF42" s="241">
        <v>0.625</v>
      </c>
      <c r="AG42" s="240">
        <v>0.70833333333333337</v>
      </c>
      <c r="AH42" s="242">
        <f t="shared" si="14"/>
        <v>0.33333333333333331</v>
      </c>
      <c r="AI42" s="240">
        <v>0.29166666666666669</v>
      </c>
      <c r="AJ42" s="241">
        <v>0.54166666666666663</v>
      </c>
      <c r="AK42" s="241">
        <v>0.625</v>
      </c>
      <c r="AL42" s="240">
        <v>0.70833333333333337</v>
      </c>
      <c r="AM42" s="242">
        <f t="shared" si="15"/>
        <v>0.33333333333333331</v>
      </c>
    </row>
    <row r="43" spans="1:39" x14ac:dyDescent="0.2">
      <c r="A43" s="250" t="s">
        <v>213</v>
      </c>
      <c r="B43" s="262"/>
      <c r="C43" s="271" t="s">
        <v>349</v>
      </c>
      <c r="D43" s="252" t="s">
        <v>242</v>
      </c>
      <c r="E43" s="240">
        <v>0.6875</v>
      </c>
      <c r="F43" s="241"/>
      <c r="G43" s="241"/>
      <c r="H43" s="240">
        <v>0.9375</v>
      </c>
      <c r="I43" s="242">
        <f t="shared" si="12"/>
        <v>0.25</v>
      </c>
      <c r="J43" s="246">
        <v>0.83333333333333337</v>
      </c>
      <c r="K43" s="241"/>
      <c r="L43" s="241"/>
      <c r="M43" s="246">
        <v>1</v>
      </c>
      <c r="N43" s="242">
        <f t="shared" si="9"/>
        <v>0.16666666666666663</v>
      </c>
      <c r="O43" s="246">
        <v>0</v>
      </c>
      <c r="P43" s="241">
        <v>0.125</v>
      </c>
      <c r="Q43" s="241">
        <v>0.20833333333333334</v>
      </c>
      <c r="R43" s="246">
        <v>0.29166666666666669</v>
      </c>
      <c r="S43" s="242">
        <f t="shared" si="10"/>
        <v>0.20833333333333334</v>
      </c>
      <c r="T43" s="244" t="s">
        <v>178</v>
      </c>
      <c r="U43" s="241" t="s">
        <v>178</v>
      </c>
      <c r="V43" s="241" t="s">
        <v>178</v>
      </c>
      <c r="W43" s="244" t="s">
        <v>178</v>
      </c>
      <c r="X43" s="242" t="str">
        <f t="shared" si="13"/>
        <v/>
      </c>
      <c r="Y43" s="240">
        <v>0.29166666666666669</v>
      </c>
      <c r="Z43" s="241">
        <v>0.54166666666666663</v>
      </c>
      <c r="AA43" s="241">
        <v>0.625</v>
      </c>
      <c r="AB43" s="240">
        <v>0.70833333333333337</v>
      </c>
      <c r="AC43" s="242">
        <f t="shared" si="11"/>
        <v>0.33333333333333331</v>
      </c>
      <c r="AD43" s="240">
        <v>0.45833333333333331</v>
      </c>
      <c r="AE43" s="241">
        <v>0.625</v>
      </c>
      <c r="AF43" s="241">
        <v>0.66666666666666663</v>
      </c>
      <c r="AG43" s="240">
        <v>0.875</v>
      </c>
      <c r="AH43" s="242">
        <f t="shared" si="14"/>
        <v>0.37500000000000006</v>
      </c>
      <c r="AI43" s="240">
        <v>0.54166666666666663</v>
      </c>
      <c r="AJ43" s="241">
        <v>0.75</v>
      </c>
      <c r="AK43" s="241">
        <v>0.79166666666666663</v>
      </c>
      <c r="AL43" s="240">
        <v>0.9375</v>
      </c>
      <c r="AM43" s="242">
        <f t="shared" si="15"/>
        <v>0.35416666666666674</v>
      </c>
    </row>
    <row r="44" spans="1:39" x14ac:dyDescent="0.2">
      <c r="A44" s="250" t="s">
        <v>214</v>
      </c>
      <c r="B44" s="262"/>
      <c r="C44" s="271" t="s">
        <v>349</v>
      </c>
      <c r="D44" s="252" t="s">
        <v>242</v>
      </c>
      <c r="E44" s="240">
        <v>0.52083333333333337</v>
      </c>
      <c r="F44" s="241">
        <v>0.77083333333333337</v>
      </c>
      <c r="G44" s="241">
        <v>0.8125</v>
      </c>
      <c r="H44" s="240">
        <v>0.9375</v>
      </c>
      <c r="I44" s="242">
        <f t="shared" si="12"/>
        <v>0.375</v>
      </c>
      <c r="J44" s="240">
        <v>0.54166666666666663</v>
      </c>
      <c r="K44" s="241">
        <v>0.75</v>
      </c>
      <c r="L44" s="241">
        <v>0.79166666666666663</v>
      </c>
      <c r="M44" s="240">
        <v>0.9375</v>
      </c>
      <c r="N44" s="242">
        <f t="shared" si="9"/>
        <v>0.35416666666666674</v>
      </c>
      <c r="O44" s="240">
        <v>0.54166666666666663</v>
      </c>
      <c r="P44" s="241">
        <v>0.66666666666666663</v>
      </c>
      <c r="Q44" s="241">
        <v>0.70833333333333337</v>
      </c>
      <c r="R44" s="240">
        <v>0.9375</v>
      </c>
      <c r="S44" s="242">
        <f t="shared" si="10"/>
        <v>0.35416666666666663</v>
      </c>
      <c r="T44" s="244" t="s">
        <v>178</v>
      </c>
      <c r="U44" s="241" t="s">
        <v>178</v>
      </c>
      <c r="V44" s="241" t="s">
        <v>178</v>
      </c>
      <c r="W44" s="244" t="s">
        <v>178</v>
      </c>
      <c r="X44" s="242" t="str">
        <f t="shared" si="13"/>
        <v/>
      </c>
      <c r="Y44" s="244" t="s">
        <v>178</v>
      </c>
      <c r="Z44" s="241" t="s">
        <v>178</v>
      </c>
      <c r="AA44" s="241" t="s">
        <v>178</v>
      </c>
      <c r="AB44" s="244" t="s">
        <v>178</v>
      </c>
      <c r="AC44" s="242" t="str">
        <f t="shared" si="11"/>
        <v/>
      </c>
      <c r="AD44" s="240">
        <v>0.41666666666666669</v>
      </c>
      <c r="AE44" s="241">
        <v>0.70833333333333337</v>
      </c>
      <c r="AF44" s="241">
        <v>0.75</v>
      </c>
      <c r="AG44" s="240">
        <v>0.83333333333333337</v>
      </c>
      <c r="AH44" s="242">
        <f t="shared" si="14"/>
        <v>0.37500000000000006</v>
      </c>
      <c r="AI44" s="240">
        <v>0.35416666666666669</v>
      </c>
      <c r="AJ44" s="241">
        <v>0.58333333333333337</v>
      </c>
      <c r="AK44" s="241">
        <v>0.66666666666666663</v>
      </c>
      <c r="AL44" s="240">
        <v>0.77083333333333337</v>
      </c>
      <c r="AM44" s="242">
        <f t="shared" si="15"/>
        <v>0.33333333333333343</v>
      </c>
    </row>
    <row r="45" spans="1:39" x14ac:dyDescent="0.2">
      <c r="A45" s="250" t="s">
        <v>215</v>
      </c>
      <c r="B45" s="262"/>
      <c r="C45" s="271" t="s">
        <v>349</v>
      </c>
      <c r="D45" s="252" t="s">
        <v>242</v>
      </c>
      <c r="E45" s="240">
        <v>0.27083333333333331</v>
      </c>
      <c r="F45" s="241">
        <v>0.5</v>
      </c>
      <c r="G45" s="241">
        <v>0.54166666666666663</v>
      </c>
      <c r="H45" s="240">
        <v>0.6875</v>
      </c>
      <c r="I45" s="242">
        <f t="shared" si="12"/>
        <v>0.37500000000000006</v>
      </c>
      <c r="J45" s="240">
        <v>0.29166666666666669</v>
      </c>
      <c r="K45" s="241">
        <v>0.5</v>
      </c>
      <c r="L45" s="241">
        <v>0.54166666666666663</v>
      </c>
      <c r="M45" s="240">
        <v>0.66666666666666663</v>
      </c>
      <c r="N45" s="242">
        <f t="shared" si="9"/>
        <v>0.33333333333333331</v>
      </c>
      <c r="O45" s="240">
        <v>0.54166666666666663</v>
      </c>
      <c r="P45" s="241">
        <v>0.66666666666666663</v>
      </c>
      <c r="Q45" s="241">
        <v>0.70833333333333337</v>
      </c>
      <c r="R45" s="240">
        <v>0.9375</v>
      </c>
      <c r="S45" s="242">
        <f t="shared" si="10"/>
        <v>0.35416666666666663</v>
      </c>
      <c r="T45" s="240">
        <v>0.52083333333333337</v>
      </c>
      <c r="U45" s="241">
        <v>0.72916666666666663</v>
      </c>
      <c r="V45" s="241">
        <v>0.77083333333333337</v>
      </c>
      <c r="W45" s="240">
        <v>0.9375</v>
      </c>
      <c r="X45" s="242">
        <f t="shared" si="13"/>
        <v>0.37499999999999989</v>
      </c>
      <c r="Y45" s="244" t="s">
        <v>178</v>
      </c>
      <c r="Z45" s="241" t="s">
        <v>178</v>
      </c>
      <c r="AA45" s="241" t="s">
        <v>178</v>
      </c>
      <c r="AB45" s="244" t="s">
        <v>178</v>
      </c>
      <c r="AC45" s="242" t="str">
        <f t="shared" si="11"/>
        <v/>
      </c>
      <c r="AD45" s="244" t="s">
        <v>178</v>
      </c>
      <c r="AE45" s="241" t="s">
        <v>178</v>
      </c>
      <c r="AF45" s="241" t="s">
        <v>178</v>
      </c>
      <c r="AG45" s="244" t="s">
        <v>178</v>
      </c>
      <c r="AH45" s="242" t="str">
        <f t="shared" si="14"/>
        <v/>
      </c>
      <c r="AI45" s="240">
        <v>0.29166666666666669</v>
      </c>
      <c r="AJ45" s="241">
        <v>0.54166666666666663</v>
      </c>
      <c r="AK45" s="241">
        <v>0.58333333333333337</v>
      </c>
      <c r="AL45" s="240">
        <v>0.70833333333333337</v>
      </c>
      <c r="AM45" s="242">
        <f t="shared" si="15"/>
        <v>0.37499999999999994</v>
      </c>
    </row>
    <row r="46" spans="1:39" x14ac:dyDescent="0.2">
      <c r="A46" s="250" t="s">
        <v>216</v>
      </c>
      <c r="B46" s="262"/>
      <c r="C46" s="271" t="s">
        <v>349</v>
      </c>
      <c r="D46" s="252" t="s">
        <v>242</v>
      </c>
      <c r="E46" s="240">
        <v>0.5</v>
      </c>
      <c r="F46" s="241">
        <v>0.72916666666666663</v>
      </c>
      <c r="G46" s="241">
        <v>0.77083333333333337</v>
      </c>
      <c r="H46" s="240">
        <v>0.89583333333333337</v>
      </c>
      <c r="I46" s="242">
        <f t="shared" si="12"/>
        <v>0.35416666666666663</v>
      </c>
      <c r="J46" s="240">
        <v>0.27083333333333331</v>
      </c>
      <c r="K46" s="241">
        <v>0.54166666666666663</v>
      </c>
      <c r="L46" s="241">
        <v>0.625</v>
      </c>
      <c r="M46" s="240">
        <v>0.6875</v>
      </c>
      <c r="N46" s="242">
        <f t="shared" si="9"/>
        <v>0.33333333333333331</v>
      </c>
      <c r="O46" s="240">
        <v>0.41666666666666669</v>
      </c>
      <c r="P46" s="241">
        <v>0.625</v>
      </c>
      <c r="Q46" s="241">
        <v>0.70833333333333337</v>
      </c>
      <c r="R46" s="240">
        <v>0.83333333333333337</v>
      </c>
      <c r="S46" s="242">
        <f t="shared" si="10"/>
        <v>0.33333333333333331</v>
      </c>
      <c r="T46" s="246">
        <v>0.83333333333333337</v>
      </c>
      <c r="U46" s="241"/>
      <c r="V46" s="241"/>
      <c r="W46" s="246">
        <v>1</v>
      </c>
      <c r="X46" s="242">
        <f t="shared" si="13"/>
        <v>0.16666666666666663</v>
      </c>
      <c r="Y46" s="246">
        <v>0</v>
      </c>
      <c r="Z46" s="241">
        <v>0.125</v>
      </c>
      <c r="AA46" s="241">
        <v>0.20833333333333334</v>
      </c>
      <c r="AB46" s="246">
        <v>0.29166666666666669</v>
      </c>
      <c r="AC46" s="242">
        <f t="shared" si="11"/>
        <v>0.20833333333333334</v>
      </c>
      <c r="AD46" s="240">
        <v>0.375</v>
      </c>
      <c r="AE46" s="241">
        <v>0.58333333333333337</v>
      </c>
      <c r="AF46" s="241">
        <v>0.66666666666666663</v>
      </c>
      <c r="AG46" s="240">
        <v>0.79166666666666663</v>
      </c>
      <c r="AH46" s="242">
        <f t="shared" si="14"/>
        <v>0.33333333333333337</v>
      </c>
      <c r="AI46" s="244" t="s">
        <v>178</v>
      </c>
      <c r="AJ46" s="241" t="s">
        <v>178</v>
      </c>
      <c r="AK46" s="241" t="s">
        <v>178</v>
      </c>
      <c r="AL46" s="244" t="s">
        <v>178</v>
      </c>
      <c r="AM46" s="242" t="str">
        <f t="shared" si="15"/>
        <v/>
      </c>
    </row>
    <row r="47" spans="1:39" x14ac:dyDescent="0.2">
      <c r="A47" s="250" t="s">
        <v>217</v>
      </c>
      <c r="B47" s="262"/>
      <c r="C47" s="271" t="s">
        <v>349</v>
      </c>
      <c r="D47" s="252" t="s">
        <v>242</v>
      </c>
      <c r="E47" s="244" t="s">
        <v>178</v>
      </c>
      <c r="F47" s="241" t="s">
        <v>178</v>
      </c>
      <c r="G47" s="241" t="s">
        <v>178</v>
      </c>
      <c r="H47" s="244" t="s">
        <v>178</v>
      </c>
      <c r="I47" s="242" t="str">
        <f t="shared" si="12"/>
        <v/>
      </c>
      <c r="J47" s="244" t="s">
        <v>178</v>
      </c>
      <c r="K47" s="241" t="s">
        <v>178</v>
      </c>
      <c r="L47" s="241" t="s">
        <v>178</v>
      </c>
      <c r="M47" s="244" t="s">
        <v>178</v>
      </c>
      <c r="N47" s="242" t="str">
        <f t="shared" si="9"/>
        <v/>
      </c>
      <c r="O47" s="240">
        <v>0.27083333333333331</v>
      </c>
      <c r="P47" s="241">
        <v>0.41666666666666669</v>
      </c>
      <c r="Q47" s="241">
        <v>0.5</v>
      </c>
      <c r="R47" s="240">
        <v>0.6875</v>
      </c>
      <c r="S47" s="242">
        <f t="shared" si="10"/>
        <v>0.33333333333333337</v>
      </c>
      <c r="T47" s="240">
        <v>0.52083333333333337</v>
      </c>
      <c r="U47" s="241">
        <v>0.75</v>
      </c>
      <c r="V47" s="241">
        <v>0.79166666666666663</v>
      </c>
      <c r="W47" s="240">
        <v>0.9375</v>
      </c>
      <c r="X47" s="242">
        <f t="shared" si="13"/>
        <v>0.375</v>
      </c>
      <c r="Y47" s="240">
        <v>0.39583333333333331</v>
      </c>
      <c r="Z47" s="241">
        <v>0.625</v>
      </c>
      <c r="AA47" s="241">
        <v>0.70833333333333337</v>
      </c>
      <c r="AB47" s="240">
        <v>0.8125</v>
      </c>
      <c r="AC47" s="242">
        <f t="shared" si="11"/>
        <v>0.33333333333333331</v>
      </c>
      <c r="AD47" s="240">
        <v>0.54166666666666663</v>
      </c>
      <c r="AE47" s="241">
        <v>0.70833333333333337</v>
      </c>
      <c r="AF47" s="241">
        <v>0.75</v>
      </c>
      <c r="AG47" s="240">
        <v>0.9375</v>
      </c>
      <c r="AH47" s="242">
        <f t="shared" si="14"/>
        <v>0.35416666666666674</v>
      </c>
      <c r="AI47" s="240">
        <v>0.54166666666666663</v>
      </c>
      <c r="AJ47" s="241">
        <v>0.75</v>
      </c>
      <c r="AK47" s="241">
        <v>0.79166666666666663</v>
      </c>
      <c r="AL47" s="240">
        <v>0.9375</v>
      </c>
      <c r="AM47" s="242">
        <f t="shared" si="15"/>
        <v>0.35416666666666674</v>
      </c>
    </row>
    <row r="48" spans="1:39" x14ac:dyDescent="0.2">
      <c r="A48" s="250" t="s">
        <v>218</v>
      </c>
      <c r="B48" s="262"/>
      <c r="C48" s="271" t="s">
        <v>349</v>
      </c>
      <c r="D48" s="252" t="s">
        <v>242</v>
      </c>
      <c r="E48" s="240">
        <v>0.45833333333333331</v>
      </c>
      <c r="F48" s="241">
        <v>0.6875</v>
      </c>
      <c r="G48" s="241">
        <v>0.77083333333333337</v>
      </c>
      <c r="H48" s="240">
        <v>0.875</v>
      </c>
      <c r="I48" s="242">
        <f t="shared" si="12"/>
        <v>0.33333333333333331</v>
      </c>
      <c r="J48" s="240">
        <v>0.45833333333333331</v>
      </c>
      <c r="K48" s="241">
        <v>0.72916666666666663</v>
      </c>
      <c r="L48" s="241">
        <v>0.77083333333333337</v>
      </c>
      <c r="M48" s="240">
        <v>0.875</v>
      </c>
      <c r="N48" s="242">
        <f t="shared" si="9"/>
        <v>0.37499999999999994</v>
      </c>
      <c r="O48" s="240">
        <v>0.45833333333333331</v>
      </c>
      <c r="P48" s="241">
        <v>0.66666666666666663</v>
      </c>
      <c r="Q48" s="241">
        <v>0.70833333333333337</v>
      </c>
      <c r="R48" s="240">
        <v>0.875</v>
      </c>
      <c r="S48" s="242">
        <f t="shared" si="10"/>
        <v>0.37499999999999994</v>
      </c>
      <c r="T48" s="244" t="s">
        <v>178</v>
      </c>
      <c r="U48" s="241" t="s">
        <v>178</v>
      </c>
      <c r="V48" s="241" t="s">
        <v>178</v>
      </c>
      <c r="W48" s="244" t="s">
        <v>178</v>
      </c>
      <c r="X48" s="242" t="str">
        <f t="shared" si="13"/>
        <v/>
      </c>
      <c r="Y48" s="244" t="s">
        <v>178</v>
      </c>
      <c r="Z48" s="241" t="s">
        <v>178</v>
      </c>
      <c r="AA48" s="241" t="s">
        <v>178</v>
      </c>
      <c r="AB48" s="244" t="s">
        <v>178</v>
      </c>
      <c r="AC48" s="242" t="str">
        <f t="shared" si="11"/>
        <v/>
      </c>
      <c r="AD48" s="240">
        <v>0.45833333333333331</v>
      </c>
      <c r="AE48" s="241">
        <v>0.66666666666666663</v>
      </c>
      <c r="AF48" s="241">
        <v>0.70833333333333337</v>
      </c>
      <c r="AG48" s="240">
        <v>0.875</v>
      </c>
      <c r="AH48" s="242">
        <f t="shared" si="14"/>
        <v>0.37499999999999994</v>
      </c>
      <c r="AI48" s="240">
        <v>0.45833333333333331</v>
      </c>
      <c r="AJ48" s="241">
        <v>0.64583333333333337</v>
      </c>
      <c r="AK48" s="241">
        <v>0.72916666666666663</v>
      </c>
      <c r="AL48" s="240">
        <v>0.875</v>
      </c>
      <c r="AM48" s="242">
        <f t="shared" si="15"/>
        <v>0.33333333333333343</v>
      </c>
    </row>
    <row r="49" spans="1:39" x14ac:dyDescent="0.2">
      <c r="A49" s="250" t="s">
        <v>219</v>
      </c>
      <c r="B49" s="262"/>
      <c r="C49" s="271" t="s">
        <v>349</v>
      </c>
      <c r="D49" s="252" t="s">
        <v>242</v>
      </c>
      <c r="E49" s="244" t="s">
        <v>178</v>
      </c>
      <c r="F49" s="241" t="s">
        <v>178</v>
      </c>
      <c r="G49" s="241" t="s">
        <v>178</v>
      </c>
      <c r="H49" s="244" t="s">
        <v>178</v>
      </c>
      <c r="I49" s="242" t="str">
        <f t="shared" si="12"/>
        <v/>
      </c>
      <c r="J49" s="244" t="s">
        <v>178</v>
      </c>
      <c r="K49" s="241" t="s">
        <v>178</v>
      </c>
      <c r="L49" s="241" t="s">
        <v>178</v>
      </c>
      <c r="M49" s="244" t="s">
        <v>178</v>
      </c>
      <c r="N49" s="242" t="str">
        <f t="shared" si="9"/>
        <v/>
      </c>
      <c r="O49" s="240">
        <v>0.41666666666666669</v>
      </c>
      <c r="P49" s="241">
        <v>0.58333333333333337</v>
      </c>
      <c r="Q49" s="241">
        <v>0.66666666666666663</v>
      </c>
      <c r="R49" s="240">
        <v>0.83333333333333337</v>
      </c>
      <c r="S49" s="242">
        <f t="shared" si="10"/>
        <v>0.33333333333333343</v>
      </c>
      <c r="T49" s="240">
        <v>0.47916666666666669</v>
      </c>
      <c r="U49" s="241">
        <v>0.625</v>
      </c>
      <c r="V49" s="241">
        <v>0.66666666666666663</v>
      </c>
      <c r="W49" s="240">
        <v>0.89583333333333337</v>
      </c>
      <c r="X49" s="242">
        <f t="shared" si="13"/>
        <v>0.37500000000000006</v>
      </c>
      <c r="Y49" s="240">
        <v>0.52083333333333337</v>
      </c>
      <c r="Z49" s="241">
        <v>0.77083333333333337</v>
      </c>
      <c r="AA49" s="241">
        <v>0.8125</v>
      </c>
      <c r="AB49" s="240">
        <v>0.9375</v>
      </c>
      <c r="AC49" s="242">
        <f t="shared" si="11"/>
        <v>0.375</v>
      </c>
      <c r="AD49" s="240">
        <v>0.54166666666666663</v>
      </c>
      <c r="AE49" s="241">
        <v>0.70833333333333337</v>
      </c>
      <c r="AF49" s="241">
        <v>0.75</v>
      </c>
      <c r="AG49" s="240">
        <v>0.9375</v>
      </c>
      <c r="AH49" s="242">
        <f t="shared" si="14"/>
        <v>0.35416666666666674</v>
      </c>
      <c r="AI49" s="240">
        <v>0.6875</v>
      </c>
      <c r="AJ49" s="241"/>
      <c r="AK49" s="241"/>
      <c r="AL49" s="240">
        <v>0.9375</v>
      </c>
      <c r="AM49" s="242">
        <f t="shared" si="15"/>
        <v>0.25</v>
      </c>
    </row>
    <row r="50" spans="1:39" x14ac:dyDescent="0.2">
      <c r="A50" s="250" t="s">
        <v>220</v>
      </c>
      <c r="B50" s="262"/>
      <c r="C50" s="271" t="s">
        <v>349</v>
      </c>
      <c r="D50" s="252" t="s">
        <v>242</v>
      </c>
      <c r="E50" s="240" t="s">
        <v>338</v>
      </c>
      <c r="F50" s="241" t="s">
        <v>338</v>
      </c>
      <c r="G50" s="241" t="s">
        <v>338</v>
      </c>
      <c r="H50" s="240" t="s">
        <v>338</v>
      </c>
      <c r="I50" s="242" t="str">
        <f t="shared" si="12"/>
        <v/>
      </c>
      <c r="J50" s="240" t="s">
        <v>338</v>
      </c>
      <c r="K50" s="241" t="s">
        <v>338</v>
      </c>
      <c r="L50" s="241" t="s">
        <v>338</v>
      </c>
      <c r="M50" s="240" t="s">
        <v>338</v>
      </c>
      <c r="N50" s="242" t="str">
        <f t="shared" ref="N50:N81" si="16">IFERROR(MOD(M50-J50,1)-MOD(L50-K50,1),"")</f>
        <v/>
      </c>
      <c r="O50" s="240" t="s">
        <v>338</v>
      </c>
      <c r="P50" s="241" t="s">
        <v>338</v>
      </c>
      <c r="Q50" s="241" t="s">
        <v>338</v>
      </c>
      <c r="R50" s="240" t="s">
        <v>338</v>
      </c>
      <c r="S50" s="242" t="str">
        <f t="shared" si="10"/>
        <v/>
      </c>
      <c r="T50" s="240" t="s">
        <v>338</v>
      </c>
      <c r="U50" s="241" t="s">
        <v>338</v>
      </c>
      <c r="V50" s="241" t="s">
        <v>338</v>
      </c>
      <c r="W50" s="240" t="s">
        <v>338</v>
      </c>
      <c r="X50" s="242" t="str">
        <f t="shared" si="13"/>
        <v/>
      </c>
      <c r="Y50" s="240" t="s">
        <v>338</v>
      </c>
      <c r="Z50" s="241" t="s">
        <v>338</v>
      </c>
      <c r="AA50" s="241" t="s">
        <v>338</v>
      </c>
      <c r="AB50" s="240" t="s">
        <v>338</v>
      </c>
      <c r="AC50" s="242" t="str">
        <f t="shared" si="11"/>
        <v/>
      </c>
      <c r="AD50" s="240" t="s">
        <v>338</v>
      </c>
      <c r="AE50" s="241" t="s">
        <v>338</v>
      </c>
      <c r="AF50" s="241" t="s">
        <v>338</v>
      </c>
      <c r="AG50" s="240" t="s">
        <v>338</v>
      </c>
      <c r="AH50" s="242" t="str">
        <f t="shared" si="14"/>
        <v/>
      </c>
      <c r="AI50" s="240" t="s">
        <v>338</v>
      </c>
      <c r="AJ50" s="241" t="s">
        <v>338</v>
      </c>
      <c r="AK50" s="241" t="s">
        <v>338</v>
      </c>
      <c r="AL50" s="240" t="s">
        <v>338</v>
      </c>
      <c r="AM50" s="242" t="str">
        <f t="shared" si="15"/>
        <v/>
      </c>
    </row>
    <row r="51" spans="1:39" x14ac:dyDescent="0.2">
      <c r="A51" s="250" t="s">
        <v>221</v>
      </c>
      <c r="B51" s="262"/>
      <c r="C51" s="271" t="s">
        <v>349</v>
      </c>
      <c r="D51" s="252" t="s">
        <v>242</v>
      </c>
      <c r="E51" s="240">
        <v>0.66666666666666663</v>
      </c>
      <c r="F51" s="241"/>
      <c r="G51" s="241"/>
      <c r="H51" s="240">
        <v>0.9375</v>
      </c>
      <c r="I51" s="242">
        <f t="shared" si="12"/>
        <v>0.27083333333333337</v>
      </c>
      <c r="J51" s="240">
        <v>0.66666666666666663</v>
      </c>
      <c r="K51" s="241"/>
      <c r="L51" s="241"/>
      <c r="M51" s="240">
        <v>0.9375</v>
      </c>
      <c r="N51" s="242">
        <f t="shared" si="16"/>
        <v>0.27083333333333337</v>
      </c>
      <c r="O51" s="244" t="s">
        <v>178</v>
      </c>
      <c r="P51" s="241" t="s">
        <v>178</v>
      </c>
      <c r="Q51" s="241" t="s">
        <v>178</v>
      </c>
      <c r="R51" s="244" t="s">
        <v>178</v>
      </c>
      <c r="S51" s="242" t="str">
        <f t="shared" si="10"/>
        <v/>
      </c>
      <c r="T51" s="244" t="s">
        <v>178</v>
      </c>
      <c r="U51" s="241" t="s">
        <v>178</v>
      </c>
      <c r="V51" s="241" t="s">
        <v>178</v>
      </c>
      <c r="W51" s="244" t="s">
        <v>178</v>
      </c>
      <c r="X51" s="242" t="str">
        <f t="shared" si="13"/>
        <v/>
      </c>
      <c r="Y51" s="240">
        <v>0.3125</v>
      </c>
      <c r="Z51" s="241">
        <v>0.5</v>
      </c>
      <c r="AA51" s="241">
        <v>0.58333333333333337</v>
      </c>
      <c r="AB51" s="240">
        <v>0.6875</v>
      </c>
      <c r="AC51" s="242">
        <f t="shared" si="11"/>
        <v>0.29166666666666663</v>
      </c>
      <c r="AD51" s="240">
        <v>0.45833333333333331</v>
      </c>
      <c r="AE51" s="241">
        <v>0.625</v>
      </c>
      <c r="AF51" s="241">
        <v>0.66666666666666663</v>
      </c>
      <c r="AG51" s="240">
        <v>0.875</v>
      </c>
      <c r="AH51" s="242">
        <f t="shared" si="14"/>
        <v>0.37500000000000006</v>
      </c>
      <c r="AI51" s="240">
        <v>0.66666666666666663</v>
      </c>
      <c r="AJ51" s="241"/>
      <c r="AK51" s="241"/>
      <c r="AL51" s="240">
        <v>0.9375</v>
      </c>
      <c r="AM51" s="242">
        <f t="shared" si="15"/>
        <v>0.27083333333333337</v>
      </c>
    </row>
    <row r="52" spans="1:39" x14ac:dyDescent="0.2">
      <c r="A52" s="250" t="s">
        <v>222</v>
      </c>
      <c r="B52" s="262"/>
      <c r="C52" s="271" t="s">
        <v>349</v>
      </c>
      <c r="D52" s="252" t="s">
        <v>242</v>
      </c>
      <c r="E52" s="240">
        <v>0.27083333333333331</v>
      </c>
      <c r="F52" s="241">
        <v>0.5</v>
      </c>
      <c r="G52" s="241">
        <v>0.54166666666666663</v>
      </c>
      <c r="H52" s="240">
        <v>0.6875</v>
      </c>
      <c r="I52" s="242">
        <f t="shared" si="12"/>
        <v>0.37500000000000006</v>
      </c>
      <c r="J52" s="240">
        <v>0.4375</v>
      </c>
      <c r="K52" s="241">
        <v>0.70833333333333337</v>
      </c>
      <c r="L52" s="241">
        <v>0.75</v>
      </c>
      <c r="M52" s="240">
        <v>0.85416666666666663</v>
      </c>
      <c r="N52" s="242">
        <f t="shared" si="16"/>
        <v>0.375</v>
      </c>
      <c r="O52" s="244" t="s">
        <v>178</v>
      </c>
      <c r="P52" s="241" t="s">
        <v>178</v>
      </c>
      <c r="Q52" s="241" t="s">
        <v>178</v>
      </c>
      <c r="R52" s="244" t="s">
        <v>178</v>
      </c>
      <c r="S52" s="242" t="str">
        <f t="shared" si="10"/>
        <v/>
      </c>
      <c r="T52" s="244" t="s">
        <v>178</v>
      </c>
      <c r="U52" s="241" t="s">
        <v>178</v>
      </c>
      <c r="V52" s="241" t="s">
        <v>178</v>
      </c>
      <c r="W52" s="244" t="s">
        <v>178</v>
      </c>
      <c r="X52" s="242" t="str">
        <f t="shared" si="13"/>
        <v/>
      </c>
      <c r="Y52" s="240">
        <v>0.52083333333333337</v>
      </c>
      <c r="Z52" s="241">
        <v>0.75</v>
      </c>
      <c r="AA52" s="241">
        <v>0.79166666666666663</v>
      </c>
      <c r="AB52" s="240">
        <v>0.9375</v>
      </c>
      <c r="AC52" s="242">
        <f t="shared" si="11"/>
        <v>0.375</v>
      </c>
      <c r="AD52" s="240">
        <v>0.54166666666666663</v>
      </c>
      <c r="AE52" s="241">
        <v>0.72916666666666663</v>
      </c>
      <c r="AF52" s="241">
        <v>0.77083333333333337</v>
      </c>
      <c r="AG52" s="240">
        <v>0.9375</v>
      </c>
      <c r="AH52" s="242">
        <f t="shared" si="14"/>
        <v>0.35416666666666663</v>
      </c>
      <c r="AI52" s="240">
        <v>0.625</v>
      </c>
      <c r="AJ52" s="241"/>
      <c r="AK52" s="241"/>
      <c r="AL52" s="240">
        <v>0.91666666666666663</v>
      </c>
      <c r="AM52" s="242">
        <f t="shared" si="15"/>
        <v>0.29166666666666663</v>
      </c>
    </row>
    <row r="53" spans="1:39" x14ac:dyDescent="0.2">
      <c r="A53" s="250" t="s">
        <v>223</v>
      </c>
      <c r="B53" s="262"/>
      <c r="C53" s="271" t="s">
        <v>349</v>
      </c>
      <c r="D53" s="252" t="s">
        <v>242</v>
      </c>
      <c r="E53" s="240">
        <v>0.45833333333333331</v>
      </c>
      <c r="F53" s="241">
        <v>0.6875</v>
      </c>
      <c r="G53" s="241">
        <v>0.77083333333333337</v>
      </c>
      <c r="H53" s="240">
        <v>0.875</v>
      </c>
      <c r="I53" s="242">
        <f t="shared" si="12"/>
        <v>0.33333333333333331</v>
      </c>
      <c r="J53" s="240">
        <v>0.41666666666666669</v>
      </c>
      <c r="K53" s="241">
        <v>0.70833333333333337</v>
      </c>
      <c r="L53" s="241">
        <v>0.75</v>
      </c>
      <c r="M53" s="240">
        <v>0.83333333333333337</v>
      </c>
      <c r="N53" s="242">
        <f t="shared" si="16"/>
        <v>0.37500000000000006</v>
      </c>
      <c r="O53" s="244" t="s">
        <v>178</v>
      </c>
      <c r="P53" s="241" t="s">
        <v>178</v>
      </c>
      <c r="Q53" s="241" t="s">
        <v>178</v>
      </c>
      <c r="R53" s="244" t="s">
        <v>178</v>
      </c>
      <c r="S53" s="242" t="str">
        <f t="shared" si="10"/>
        <v/>
      </c>
      <c r="T53" s="240">
        <v>0.45833333333333331</v>
      </c>
      <c r="U53" s="241">
        <v>0.72916666666666663</v>
      </c>
      <c r="V53" s="241">
        <v>0.77083333333333337</v>
      </c>
      <c r="W53" s="240">
        <v>0.875</v>
      </c>
      <c r="X53" s="242">
        <f t="shared" si="13"/>
        <v>0.37499999999999994</v>
      </c>
      <c r="Y53" s="244" t="s">
        <v>178</v>
      </c>
      <c r="Z53" s="241" t="s">
        <v>178</v>
      </c>
      <c r="AA53" s="241" t="s">
        <v>178</v>
      </c>
      <c r="AB53" s="244" t="s">
        <v>178</v>
      </c>
      <c r="AC53" s="242" t="str">
        <f t="shared" si="11"/>
        <v/>
      </c>
      <c r="AD53" s="240">
        <v>0.29166666666666669</v>
      </c>
      <c r="AE53" s="241">
        <v>0.58333333333333337</v>
      </c>
      <c r="AF53" s="241">
        <v>0.625</v>
      </c>
      <c r="AG53" s="240">
        <v>0.70833333333333337</v>
      </c>
      <c r="AH53" s="242">
        <f t="shared" si="14"/>
        <v>0.37500000000000006</v>
      </c>
      <c r="AI53" s="240">
        <v>0.54166666666666663</v>
      </c>
      <c r="AJ53" s="241">
        <v>0.72916666666666663</v>
      </c>
      <c r="AK53" s="241">
        <v>0.77083333333333337</v>
      </c>
      <c r="AL53" s="240">
        <v>0.9375</v>
      </c>
      <c r="AM53" s="242">
        <f t="shared" si="15"/>
        <v>0.35416666666666663</v>
      </c>
    </row>
    <row r="54" spans="1:39" x14ac:dyDescent="0.2">
      <c r="A54" s="250" t="s">
        <v>224</v>
      </c>
      <c r="B54" s="262"/>
      <c r="C54" s="271" t="s">
        <v>349</v>
      </c>
      <c r="D54" s="252" t="s">
        <v>242</v>
      </c>
      <c r="E54" s="240">
        <v>0.52083333333333337</v>
      </c>
      <c r="F54" s="241">
        <v>0.75</v>
      </c>
      <c r="G54" s="241">
        <v>0.79166666666666663</v>
      </c>
      <c r="H54" s="240">
        <v>0.9375</v>
      </c>
      <c r="I54" s="242">
        <f t="shared" si="12"/>
        <v>0.375</v>
      </c>
      <c r="J54" s="240">
        <v>0.33333333333333331</v>
      </c>
      <c r="K54" s="241">
        <v>0.54166666666666663</v>
      </c>
      <c r="L54" s="241">
        <v>0.58333333333333337</v>
      </c>
      <c r="M54" s="240">
        <v>0.66666666666666663</v>
      </c>
      <c r="N54" s="242">
        <f t="shared" si="16"/>
        <v>0.29166666666666657</v>
      </c>
      <c r="O54" s="240">
        <v>0.54166666666666663</v>
      </c>
      <c r="P54" s="241">
        <v>0.66666666666666663</v>
      </c>
      <c r="Q54" s="241">
        <v>0.70833333333333337</v>
      </c>
      <c r="R54" s="240">
        <v>0.9375</v>
      </c>
      <c r="S54" s="242">
        <f t="shared" si="10"/>
        <v>0.35416666666666663</v>
      </c>
      <c r="T54" s="244" t="s">
        <v>178</v>
      </c>
      <c r="U54" s="241" t="s">
        <v>178</v>
      </c>
      <c r="V54" s="241" t="s">
        <v>178</v>
      </c>
      <c r="W54" s="244" t="s">
        <v>178</v>
      </c>
      <c r="X54" s="242" t="str">
        <f t="shared" si="13"/>
        <v/>
      </c>
      <c r="Y54" s="244" t="s">
        <v>178</v>
      </c>
      <c r="Z54" s="241" t="s">
        <v>178</v>
      </c>
      <c r="AA54" s="241" t="s">
        <v>178</v>
      </c>
      <c r="AB54" s="244" t="s">
        <v>178</v>
      </c>
      <c r="AC54" s="242" t="str">
        <f t="shared" si="11"/>
        <v/>
      </c>
      <c r="AD54" s="240">
        <v>0.5</v>
      </c>
      <c r="AE54" s="241">
        <v>0.66666666666666663</v>
      </c>
      <c r="AF54" s="241">
        <v>0.70833333333333337</v>
      </c>
      <c r="AG54" s="240">
        <v>0.91666666666666663</v>
      </c>
      <c r="AH54" s="242">
        <f t="shared" si="14"/>
        <v>0.37499999999999989</v>
      </c>
      <c r="AI54" s="240">
        <v>0.54166666666666663</v>
      </c>
      <c r="AJ54" s="241">
        <v>0.72916666666666663</v>
      </c>
      <c r="AK54" s="241">
        <v>0.77083333333333337</v>
      </c>
      <c r="AL54" s="240">
        <v>0.9375</v>
      </c>
      <c r="AM54" s="242">
        <f t="shared" si="15"/>
        <v>0.35416666666666663</v>
      </c>
    </row>
    <row r="55" spans="1:39" x14ac:dyDescent="0.2">
      <c r="A55" s="250" t="s">
        <v>225</v>
      </c>
      <c r="B55" s="262" t="s">
        <v>350</v>
      </c>
      <c r="C55" s="271" t="s">
        <v>349</v>
      </c>
      <c r="D55" s="252" t="s">
        <v>242</v>
      </c>
      <c r="E55" s="240">
        <v>0.35416666666666669</v>
      </c>
      <c r="F55" s="241">
        <v>0.5625</v>
      </c>
      <c r="G55" s="241">
        <v>0.83333333333333337</v>
      </c>
      <c r="H55" s="240">
        <v>1</v>
      </c>
      <c r="I55" s="242">
        <f t="shared" si="12"/>
        <v>0.37499999999999989</v>
      </c>
      <c r="J55" s="240">
        <v>0.39583333333333331</v>
      </c>
      <c r="K55" s="241">
        <v>0.625</v>
      </c>
      <c r="L55" s="241">
        <v>0.85416666666666663</v>
      </c>
      <c r="M55" s="240">
        <v>1</v>
      </c>
      <c r="N55" s="242">
        <f t="shared" si="16"/>
        <v>0.37500000000000011</v>
      </c>
      <c r="O55" s="246">
        <v>0.83333333333333337</v>
      </c>
      <c r="P55" s="241"/>
      <c r="Q55" s="241"/>
      <c r="R55" s="246">
        <v>1</v>
      </c>
      <c r="S55" s="242">
        <f t="shared" si="10"/>
        <v>0.16666666666666663</v>
      </c>
      <c r="T55" s="246">
        <v>0</v>
      </c>
      <c r="U55" s="241">
        <v>8.3333333333333329E-2</v>
      </c>
      <c r="V55" s="241">
        <v>0.16666666666666666</v>
      </c>
      <c r="W55" s="246">
        <v>0.29166666666666669</v>
      </c>
      <c r="X55" s="242">
        <f t="shared" si="13"/>
        <v>0.20833333333333337</v>
      </c>
      <c r="Y55" s="246">
        <v>0</v>
      </c>
      <c r="Z55" s="241">
        <v>8.3333333333333329E-2</v>
      </c>
      <c r="AA55" s="241">
        <v>0.16666666666666666</v>
      </c>
      <c r="AB55" s="246">
        <v>0.29166666666666669</v>
      </c>
      <c r="AC55" s="242">
        <f t="shared" si="11"/>
        <v>0.20833333333333337</v>
      </c>
      <c r="AD55" s="244" t="s">
        <v>178</v>
      </c>
      <c r="AE55" s="241" t="s">
        <v>178</v>
      </c>
      <c r="AF55" s="241" t="s">
        <v>178</v>
      </c>
      <c r="AG55" s="244" t="s">
        <v>178</v>
      </c>
      <c r="AH55" s="242" t="str">
        <f t="shared" si="14"/>
        <v/>
      </c>
      <c r="AI55" s="240">
        <v>0.33333333333333331</v>
      </c>
      <c r="AJ55" s="241">
        <v>0.58333333333333337</v>
      </c>
      <c r="AK55" s="241">
        <v>0.66666666666666663</v>
      </c>
      <c r="AL55" s="240">
        <v>0.75</v>
      </c>
      <c r="AM55" s="242">
        <f t="shared" si="15"/>
        <v>0.33333333333333343</v>
      </c>
    </row>
    <row r="56" spans="1:39" ht="15" x14ac:dyDescent="0.25">
      <c r="A56" s="245" t="s">
        <v>266</v>
      </c>
      <c r="B56" s="262"/>
      <c r="C56" s="265" t="s">
        <v>342</v>
      </c>
      <c r="D56" s="253" t="s">
        <v>336</v>
      </c>
      <c r="E56" s="240">
        <v>0.52083333333333337</v>
      </c>
      <c r="F56" s="241">
        <v>0.66666666666666663</v>
      </c>
      <c r="G56" s="241">
        <v>0.70833333333333337</v>
      </c>
      <c r="H56" s="240">
        <v>0.9375</v>
      </c>
      <c r="I56" s="242">
        <f t="shared" si="12"/>
        <v>0.37499999999999989</v>
      </c>
      <c r="J56" s="240">
        <v>0.54166666666666663</v>
      </c>
      <c r="K56" s="241">
        <v>0.70833333333333337</v>
      </c>
      <c r="L56" s="241">
        <v>0.75</v>
      </c>
      <c r="M56" s="240">
        <v>0.9375</v>
      </c>
      <c r="N56" s="242">
        <f t="shared" si="16"/>
        <v>0.35416666666666674</v>
      </c>
      <c r="O56" s="240">
        <v>0.54166666666666663</v>
      </c>
      <c r="P56" s="241">
        <v>0.79166666666666663</v>
      </c>
      <c r="Q56" s="241">
        <v>0.83333333333333337</v>
      </c>
      <c r="R56" s="240">
        <v>0.9375</v>
      </c>
      <c r="S56" s="242">
        <f t="shared" si="10"/>
        <v>0.35416666666666663</v>
      </c>
      <c r="T56" s="244" t="s">
        <v>178</v>
      </c>
      <c r="U56" s="241" t="s">
        <v>178</v>
      </c>
      <c r="V56" s="241" t="s">
        <v>178</v>
      </c>
      <c r="W56" s="244" t="s">
        <v>178</v>
      </c>
      <c r="X56" s="242" t="str">
        <f t="shared" si="13"/>
        <v/>
      </c>
      <c r="Y56" s="244" t="s">
        <v>178</v>
      </c>
      <c r="Z56" s="241" t="s">
        <v>178</v>
      </c>
      <c r="AA56" s="241" t="s">
        <v>178</v>
      </c>
      <c r="AB56" s="244" t="s">
        <v>178</v>
      </c>
      <c r="AC56" s="242" t="str">
        <f t="shared" si="11"/>
        <v/>
      </c>
      <c r="AD56" s="240">
        <v>0.25</v>
      </c>
      <c r="AE56" s="241">
        <v>0.5</v>
      </c>
      <c r="AF56" s="241">
        <v>0.58333333333333337</v>
      </c>
      <c r="AG56" s="240">
        <v>0.66666666666666663</v>
      </c>
      <c r="AH56" s="242">
        <f t="shared" si="14"/>
        <v>0.33333333333333326</v>
      </c>
      <c r="AI56" s="240">
        <v>0.25</v>
      </c>
      <c r="AJ56" s="241">
        <v>0.5</v>
      </c>
      <c r="AK56" s="241">
        <v>0.58333333333333337</v>
      </c>
      <c r="AL56" s="240">
        <v>0.66666666666666663</v>
      </c>
      <c r="AM56" s="242">
        <f t="shared" si="15"/>
        <v>0.33333333333333326</v>
      </c>
    </row>
    <row r="57" spans="1:39" ht="15" x14ac:dyDescent="0.25">
      <c r="A57" s="245" t="s">
        <v>267</v>
      </c>
      <c r="B57" s="262"/>
      <c r="C57" s="265" t="s">
        <v>342</v>
      </c>
      <c r="D57" s="253" t="s">
        <v>336</v>
      </c>
      <c r="E57" s="240">
        <v>0.29166666666666669</v>
      </c>
      <c r="F57" s="241">
        <v>0.54166666666666663</v>
      </c>
      <c r="G57" s="241">
        <v>0.625</v>
      </c>
      <c r="H57" s="240">
        <v>0.70833333333333337</v>
      </c>
      <c r="I57" s="242">
        <f t="shared" si="12"/>
        <v>0.33333333333333331</v>
      </c>
      <c r="J57" s="240">
        <v>0.39583333333333331</v>
      </c>
      <c r="K57" s="241">
        <v>0.58333333333333337</v>
      </c>
      <c r="L57" s="241">
        <v>0.66666666666666663</v>
      </c>
      <c r="M57" s="240">
        <v>0.8125</v>
      </c>
      <c r="N57" s="242">
        <f t="shared" si="16"/>
        <v>0.33333333333333343</v>
      </c>
      <c r="O57" s="240">
        <v>0.52083333333333337</v>
      </c>
      <c r="P57" s="241">
        <v>0.75</v>
      </c>
      <c r="Q57" s="241">
        <v>0.79166666666666663</v>
      </c>
      <c r="R57" s="240">
        <v>0.89583333333333337</v>
      </c>
      <c r="S57" s="242">
        <f t="shared" si="10"/>
        <v>0.33333333333333337</v>
      </c>
      <c r="T57" s="240">
        <v>0.5625</v>
      </c>
      <c r="U57" s="241">
        <v>0.75</v>
      </c>
      <c r="V57" s="241">
        <v>0.79166666666666663</v>
      </c>
      <c r="W57" s="240">
        <v>0.9375</v>
      </c>
      <c r="X57" s="242">
        <f t="shared" si="13"/>
        <v>0.33333333333333337</v>
      </c>
      <c r="Y57" s="244" t="s">
        <v>178</v>
      </c>
      <c r="Z57" s="241" t="s">
        <v>178</v>
      </c>
      <c r="AA57" s="241" t="s">
        <v>178</v>
      </c>
      <c r="AB57" s="244" t="s">
        <v>178</v>
      </c>
      <c r="AC57" s="242" t="str">
        <f t="shared" si="11"/>
        <v/>
      </c>
      <c r="AD57" s="240">
        <v>0.29166666666666669</v>
      </c>
      <c r="AE57" s="241">
        <v>0.54166666666666663</v>
      </c>
      <c r="AF57" s="241">
        <v>0.625</v>
      </c>
      <c r="AG57" s="240">
        <v>0.70833333333333337</v>
      </c>
      <c r="AH57" s="242">
        <f t="shared" si="14"/>
        <v>0.33333333333333331</v>
      </c>
      <c r="AI57" s="244" t="s">
        <v>178</v>
      </c>
      <c r="AJ57" s="241" t="s">
        <v>178</v>
      </c>
      <c r="AK57" s="241" t="s">
        <v>178</v>
      </c>
      <c r="AL57" s="244" t="s">
        <v>178</v>
      </c>
      <c r="AM57" s="242" t="str">
        <f t="shared" si="15"/>
        <v/>
      </c>
    </row>
    <row r="58" spans="1:39" ht="15" x14ac:dyDescent="0.25">
      <c r="A58" s="245" t="s">
        <v>268</v>
      </c>
      <c r="B58" s="262"/>
      <c r="C58" s="265" t="s">
        <v>342</v>
      </c>
      <c r="D58" s="253" t="s">
        <v>336</v>
      </c>
      <c r="E58" s="240">
        <v>0.54166666666666663</v>
      </c>
      <c r="F58" s="241">
        <v>0.70833333333333337</v>
      </c>
      <c r="G58" s="241">
        <v>0.75</v>
      </c>
      <c r="H58" s="240">
        <v>0.91666666666666663</v>
      </c>
      <c r="I58" s="242">
        <f t="shared" si="12"/>
        <v>0.33333333333333337</v>
      </c>
      <c r="J58" s="244" t="s">
        <v>178</v>
      </c>
      <c r="K58" s="241" t="s">
        <v>178</v>
      </c>
      <c r="L58" s="241" t="s">
        <v>178</v>
      </c>
      <c r="M58" s="244" t="s">
        <v>178</v>
      </c>
      <c r="N58" s="242" t="str">
        <f t="shared" si="16"/>
        <v/>
      </c>
      <c r="O58" s="244" t="s">
        <v>178</v>
      </c>
      <c r="P58" s="241" t="s">
        <v>178</v>
      </c>
      <c r="Q58" s="241" t="s">
        <v>178</v>
      </c>
      <c r="R58" s="244" t="s">
        <v>178</v>
      </c>
      <c r="S58" s="242" t="str">
        <f t="shared" si="10"/>
        <v/>
      </c>
      <c r="T58" s="240">
        <v>0.29166666666666669</v>
      </c>
      <c r="U58" s="241">
        <v>0.54166666666666663</v>
      </c>
      <c r="V58" s="241">
        <v>0.625</v>
      </c>
      <c r="W58" s="240">
        <v>0.70833333333333337</v>
      </c>
      <c r="X58" s="242">
        <f t="shared" si="13"/>
        <v>0.33333333333333331</v>
      </c>
      <c r="Y58" s="240">
        <v>0.33333333333333331</v>
      </c>
      <c r="Z58" s="241">
        <v>0.58333333333333337</v>
      </c>
      <c r="AA58" s="241">
        <v>0.66666666666666663</v>
      </c>
      <c r="AB58" s="240">
        <v>0.75</v>
      </c>
      <c r="AC58" s="242">
        <f t="shared" si="11"/>
        <v>0.33333333333333343</v>
      </c>
      <c r="AD58" s="240">
        <v>0.5</v>
      </c>
      <c r="AE58" s="241">
        <v>0.625</v>
      </c>
      <c r="AF58" s="241">
        <v>0.66666666666666663</v>
      </c>
      <c r="AG58" s="240">
        <v>0.875</v>
      </c>
      <c r="AH58" s="242">
        <f t="shared" si="14"/>
        <v>0.33333333333333337</v>
      </c>
      <c r="AI58" s="240">
        <v>0.39583333333333331</v>
      </c>
      <c r="AJ58" s="241">
        <v>0.625</v>
      </c>
      <c r="AK58" s="241">
        <v>0.70833333333333337</v>
      </c>
      <c r="AL58" s="240">
        <v>0.8125</v>
      </c>
      <c r="AM58" s="242">
        <f t="shared" si="15"/>
        <v>0.33333333333333331</v>
      </c>
    </row>
    <row r="59" spans="1:39" ht="15" x14ac:dyDescent="0.25">
      <c r="A59" s="245" t="s">
        <v>269</v>
      </c>
      <c r="B59" s="262"/>
      <c r="C59" s="265" t="s">
        <v>342</v>
      </c>
      <c r="D59" s="253" t="s">
        <v>336</v>
      </c>
      <c r="E59" s="244" t="s">
        <v>178</v>
      </c>
      <c r="F59" s="241" t="s">
        <v>178</v>
      </c>
      <c r="G59" s="241" t="s">
        <v>178</v>
      </c>
      <c r="H59" s="244" t="s">
        <v>178</v>
      </c>
      <c r="I59" s="242" t="str">
        <f t="shared" si="12"/>
        <v/>
      </c>
      <c r="J59" s="244" t="s">
        <v>178</v>
      </c>
      <c r="K59" s="241" t="s">
        <v>178</v>
      </c>
      <c r="L59" s="241" t="s">
        <v>178</v>
      </c>
      <c r="M59" s="244" t="s">
        <v>178</v>
      </c>
      <c r="N59" s="242" t="str">
        <f t="shared" si="16"/>
        <v/>
      </c>
      <c r="O59" s="240">
        <v>0.29166666666666669</v>
      </c>
      <c r="P59" s="241">
        <v>0.5</v>
      </c>
      <c r="Q59" s="241">
        <v>0.58333333333333337</v>
      </c>
      <c r="R59" s="240">
        <v>0.70833333333333337</v>
      </c>
      <c r="S59" s="242">
        <f t="shared" si="10"/>
        <v>0.33333333333333331</v>
      </c>
      <c r="T59" s="240">
        <v>0.375</v>
      </c>
      <c r="U59" s="241">
        <v>0.625</v>
      </c>
      <c r="V59" s="241">
        <v>0.70833333333333337</v>
      </c>
      <c r="W59" s="240">
        <v>0.79166666666666663</v>
      </c>
      <c r="X59" s="242">
        <f t="shared" si="13"/>
        <v>0.33333333333333326</v>
      </c>
      <c r="Y59" s="240">
        <v>0.41666666666666669</v>
      </c>
      <c r="Z59" s="241">
        <v>0.66666666666666663</v>
      </c>
      <c r="AA59" s="241">
        <v>0.75</v>
      </c>
      <c r="AB59" s="240">
        <v>0.83333333333333337</v>
      </c>
      <c r="AC59" s="242">
        <f t="shared" si="11"/>
        <v>0.33333333333333331</v>
      </c>
      <c r="AD59" s="240">
        <v>0.54166666666666663</v>
      </c>
      <c r="AE59" s="241">
        <v>0.66666666666666663</v>
      </c>
      <c r="AF59" s="241">
        <v>0.70833333333333337</v>
      </c>
      <c r="AG59" s="240">
        <v>0.9375</v>
      </c>
      <c r="AH59" s="242">
        <f t="shared" si="14"/>
        <v>0.35416666666666663</v>
      </c>
      <c r="AI59" s="240">
        <v>0.54166666666666663</v>
      </c>
      <c r="AJ59" s="241">
        <v>0.70833333333333337</v>
      </c>
      <c r="AK59" s="241">
        <v>0.75</v>
      </c>
      <c r="AL59" s="240">
        <v>0.9375</v>
      </c>
      <c r="AM59" s="242">
        <f t="shared" si="15"/>
        <v>0.35416666666666674</v>
      </c>
    </row>
    <row r="60" spans="1:39" ht="15" x14ac:dyDescent="0.25">
      <c r="A60" s="245" t="s">
        <v>270</v>
      </c>
      <c r="B60" s="262"/>
      <c r="C60" s="265" t="s">
        <v>342</v>
      </c>
      <c r="D60" s="253" t="s">
        <v>336</v>
      </c>
      <c r="E60" s="244" t="s">
        <v>178</v>
      </c>
      <c r="F60" s="241" t="s">
        <v>178</v>
      </c>
      <c r="G60" s="241" t="s">
        <v>178</v>
      </c>
      <c r="H60" s="244" t="s">
        <v>178</v>
      </c>
      <c r="I60" s="242" t="str">
        <f t="shared" si="12"/>
        <v/>
      </c>
      <c r="J60" s="244" t="s">
        <v>178</v>
      </c>
      <c r="K60" s="241" t="s">
        <v>178</v>
      </c>
      <c r="L60" s="241" t="s">
        <v>178</v>
      </c>
      <c r="M60" s="244" t="s">
        <v>178</v>
      </c>
      <c r="N60" s="242" t="str">
        <f t="shared" si="16"/>
        <v/>
      </c>
      <c r="O60" s="240">
        <v>0.27083333333333331</v>
      </c>
      <c r="P60" s="241">
        <v>0.41666666666666669</v>
      </c>
      <c r="Q60" s="241">
        <v>0.5</v>
      </c>
      <c r="R60" s="240">
        <v>0.6875</v>
      </c>
      <c r="S60" s="242">
        <f t="shared" si="10"/>
        <v>0.33333333333333337</v>
      </c>
      <c r="T60" s="240">
        <v>0.33333333333333331</v>
      </c>
      <c r="U60" s="241">
        <v>0.58333333333333337</v>
      </c>
      <c r="V60" s="241">
        <v>0.66666666666666663</v>
      </c>
      <c r="W60" s="240">
        <v>0.75</v>
      </c>
      <c r="X60" s="242">
        <f t="shared" si="13"/>
        <v>0.33333333333333343</v>
      </c>
      <c r="Y60" s="240">
        <v>0.54166666666666663</v>
      </c>
      <c r="Z60" s="241">
        <v>0.75</v>
      </c>
      <c r="AA60" s="241">
        <v>0.79166666666666663</v>
      </c>
      <c r="AB60" s="240">
        <v>0.9375</v>
      </c>
      <c r="AC60" s="242">
        <f t="shared" si="11"/>
        <v>0.35416666666666674</v>
      </c>
      <c r="AD60" s="240">
        <v>0.54166666666666663</v>
      </c>
      <c r="AE60" s="241">
        <v>0.66666666666666663</v>
      </c>
      <c r="AF60" s="241">
        <v>0.70833333333333337</v>
      </c>
      <c r="AG60" s="240">
        <v>0.9375</v>
      </c>
      <c r="AH60" s="242">
        <f t="shared" si="14"/>
        <v>0.35416666666666663</v>
      </c>
      <c r="AI60" s="240">
        <v>0.5625</v>
      </c>
      <c r="AJ60" s="241">
        <v>0.75</v>
      </c>
      <c r="AK60" s="241">
        <v>0.79166666666666663</v>
      </c>
      <c r="AL60" s="240">
        <v>0.9375</v>
      </c>
      <c r="AM60" s="242">
        <f t="shared" si="15"/>
        <v>0.33333333333333337</v>
      </c>
    </row>
    <row r="61" spans="1:39" ht="15" x14ac:dyDescent="0.25">
      <c r="A61" s="245" t="s">
        <v>271</v>
      </c>
      <c r="B61" s="262"/>
      <c r="C61" s="265" t="s">
        <v>342</v>
      </c>
      <c r="D61" s="253" t="s">
        <v>336</v>
      </c>
      <c r="E61" s="240">
        <v>0.5</v>
      </c>
      <c r="F61" s="241">
        <v>0.625</v>
      </c>
      <c r="G61" s="241">
        <v>0.66666666666666663</v>
      </c>
      <c r="H61" s="240">
        <v>0.875</v>
      </c>
      <c r="I61" s="242">
        <f t="shared" si="12"/>
        <v>0.33333333333333337</v>
      </c>
      <c r="J61" s="240">
        <v>0.41666666666666669</v>
      </c>
      <c r="K61" s="241">
        <v>0.58333333333333337</v>
      </c>
      <c r="L61" s="241">
        <v>0.66666666666666663</v>
      </c>
      <c r="M61" s="240">
        <v>0.83333333333333337</v>
      </c>
      <c r="N61" s="242">
        <f t="shared" si="16"/>
        <v>0.33333333333333343</v>
      </c>
      <c r="O61" s="240">
        <v>0.54166666666666663</v>
      </c>
      <c r="P61" s="241">
        <v>0.79166666666666663</v>
      </c>
      <c r="Q61" s="241">
        <v>0.83333333333333337</v>
      </c>
      <c r="R61" s="240">
        <v>0.9375</v>
      </c>
      <c r="S61" s="242">
        <f t="shared" si="10"/>
        <v>0.35416666666666663</v>
      </c>
      <c r="T61" s="244" t="s">
        <v>178</v>
      </c>
      <c r="U61" s="241" t="s">
        <v>178</v>
      </c>
      <c r="V61" s="241" t="s">
        <v>178</v>
      </c>
      <c r="W61" s="244" t="s">
        <v>178</v>
      </c>
      <c r="X61" s="242" t="str">
        <f t="shared" si="13"/>
        <v/>
      </c>
      <c r="Y61" s="244" t="s">
        <v>178</v>
      </c>
      <c r="Z61" s="241" t="s">
        <v>178</v>
      </c>
      <c r="AA61" s="241" t="s">
        <v>178</v>
      </c>
      <c r="AB61" s="244" t="s">
        <v>178</v>
      </c>
      <c r="AC61" s="242" t="str">
        <f t="shared" si="11"/>
        <v/>
      </c>
      <c r="AD61" s="240">
        <v>0.29166666666666669</v>
      </c>
      <c r="AE61" s="241">
        <v>0.54166666666666663</v>
      </c>
      <c r="AF61" s="241">
        <v>0.625</v>
      </c>
      <c r="AG61" s="240">
        <v>0.70833333333333337</v>
      </c>
      <c r="AH61" s="242">
        <f t="shared" si="14"/>
        <v>0.33333333333333331</v>
      </c>
      <c r="AI61" s="240">
        <v>0.3125</v>
      </c>
      <c r="AJ61" s="241">
        <v>0.54166666666666663</v>
      </c>
      <c r="AK61" s="241">
        <v>0.625</v>
      </c>
      <c r="AL61" s="240">
        <v>0.72916666666666663</v>
      </c>
      <c r="AM61" s="242">
        <f t="shared" si="15"/>
        <v>0.33333333333333326</v>
      </c>
    </row>
    <row r="62" spans="1:39" ht="15" x14ac:dyDescent="0.25">
      <c r="A62" s="245" t="s">
        <v>272</v>
      </c>
      <c r="B62" s="262"/>
      <c r="C62" s="265" t="s">
        <v>342</v>
      </c>
      <c r="D62" s="253" t="s">
        <v>336</v>
      </c>
      <c r="E62" s="244" t="s">
        <v>178</v>
      </c>
      <c r="F62" s="241" t="s">
        <v>178</v>
      </c>
      <c r="G62" s="241" t="s">
        <v>178</v>
      </c>
      <c r="H62" s="244" t="s">
        <v>178</v>
      </c>
      <c r="I62" s="242" t="str">
        <f t="shared" si="12"/>
        <v/>
      </c>
      <c r="J62" s="244" t="s">
        <v>178</v>
      </c>
      <c r="K62" s="241" t="s">
        <v>178</v>
      </c>
      <c r="L62" s="241" t="s">
        <v>178</v>
      </c>
      <c r="M62" s="244" t="s">
        <v>178</v>
      </c>
      <c r="N62" s="242" t="str">
        <f t="shared" si="16"/>
        <v/>
      </c>
      <c r="O62" s="240">
        <v>0.29166666666666669</v>
      </c>
      <c r="P62" s="241">
        <v>0.5</v>
      </c>
      <c r="Q62" s="241">
        <v>0.58333333333333337</v>
      </c>
      <c r="R62" s="240">
        <v>0.70833333333333337</v>
      </c>
      <c r="S62" s="242">
        <f t="shared" si="10"/>
        <v>0.33333333333333331</v>
      </c>
      <c r="T62" s="240">
        <v>0.375</v>
      </c>
      <c r="U62" s="241">
        <v>0.625</v>
      </c>
      <c r="V62" s="241">
        <v>0.70833333333333337</v>
      </c>
      <c r="W62" s="240">
        <v>0.79166666666666663</v>
      </c>
      <c r="X62" s="242">
        <f t="shared" si="13"/>
        <v>0.33333333333333326</v>
      </c>
      <c r="Y62" s="240">
        <v>0.41666666666666669</v>
      </c>
      <c r="Z62" s="241">
        <v>0.66666666666666663</v>
      </c>
      <c r="AA62" s="241">
        <v>0.75</v>
      </c>
      <c r="AB62" s="240">
        <v>0.83333333333333337</v>
      </c>
      <c r="AC62" s="242">
        <f t="shared" si="11"/>
        <v>0.33333333333333331</v>
      </c>
      <c r="AD62" s="240">
        <v>0.54166666666666663</v>
      </c>
      <c r="AE62" s="241">
        <v>0.66666666666666663</v>
      </c>
      <c r="AF62" s="241">
        <v>0.70833333333333337</v>
      </c>
      <c r="AG62" s="240">
        <v>0.91666666666666663</v>
      </c>
      <c r="AH62" s="242">
        <f t="shared" si="14"/>
        <v>0.33333333333333326</v>
      </c>
      <c r="AI62" s="240">
        <v>0.54166666666666663</v>
      </c>
      <c r="AJ62" s="241">
        <v>0.70833333333333337</v>
      </c>
      <c r="AK62" s="241">
        <v>0.75</v>
      </c>
      <c r="AL62" s="240">
        <v>0.9375</v>
      </c>
      <c r="AM62" s="242">
        <f t="shared" si="15"/>
        <v>0.35416666666666674</v>
      </c>
    </row>
    <row r="63" spans="1:39" ht="15" x14ac:dyDescent="0.25">
      <c r="A63" s="245" t="s">
        <v>273</v>
      </c>
      <c r="B63" s="262"/>
      <c r="C63" s="265" t="s">
        <v>342</v>
      </c>
      <c r="D63" s="253" t="s">
        <v>336</v>
      </c>
      <c r="E63" s="240">
        <v>0.5625</v>
      </c>
      <c r="F63" s="241">
        <v>0.79166666666666663</v>
      </c>
      <c r="G63" s="241">
        <v>0.83333333333333337</v>
      </c>
      <c r="H63" s="240">
        <v>0.9375</v>
      </c>
      <c r="I63" s="242">
        <f t="shared" si="12"/>
        <v>0.33333333333333326</v>
      </c>
      <c r="J63" s="240">
        <v>0.5625</v>
      </c>
      <c r="K63" s="241">
        <v>0.79166666666666663</v>
      </c>
      <c r="L63" s="241">
        <v>0.83333333333333337</v>
      </c>
      <c r="M63" s="240">
        <v>0.9375</v>
      </c>
      <c r="N63" s="242">
        <f t="shared" si="16"/>
        <v>0.33333333333333326</v>
      </c>
      <c r="O63" s="240">
        <v>0.54166666666666663</v>
      </c>
      <c r="P63" s="241">
        <v>0.79166666666666663</v>
      </c>
      <c r="Q63" s="241">
        <v>0.83333333333333337</v>
      </c>
      <c r="R63" s="240">
        <v>0.9375</v>
      </c>
      <c r="S63" s="242">
        <f t="shared" si="10"/>
        <v>0.35416666666666663</v>
      </c>
      <c r="T63" s="244" t="s">
        <v>178</v>
      </c>
      <c r="U63" s="241" t="s">
        <v>178</v>
      </c>
      <c r="V63" s="241" t="s">
        <v>178</v>
      </c>
      <c r="W63" s="244" t="s">
        <v>178</v>
      </c>
      <c r="X63" s="242" t="str">
        <f t="shared" si="13"/>
        <v/>
      </c>
      <c r="Y63" s="244" t="s">
        <v>178</v>
      </c>
      <c r="Z63" s="241" t="s">
        <v>178</v>
      </c>
      <c r="AA63" s="241" t="s">
        <v>178</v>
      </c>
      <c r="AB63" s="244" t="s">
        <v>178</v>
      </c>
      <c r="AC63" s="242" t="str">
        <f t="shared" si="11"/>
        <v/>
      </c>
      <c r="AD63" s="240">
        <v>0.27083333333333331</v>
      </c>
      <c r="AE63" s="241">
        <v>0.5</v>
      </c>
      <c r="AF63" s="241">
        <v>0.58333333333333337</v>
      </c>
      <c r="AG63" s="240">
        <v>0.6875</v>
      </c>
      <c r="AH63" s="242">
        <f t="shared" si="14"/>
        <v>0.33333333333333331</v>
      </c>
      <c r="AI63" s="240">
        <v>0.5625</v>
      </c>
      <c r="AJ63" s="241">
        <v>0.79166666666666663</v>
      </c>
      <c r="AK63" s="241">
        <v>0.83333333333333337</v>
      </c>
      <c r="AL63" s="240">
        <v>0.9375</v>
      </c>
      <c r="AM63" s="242">
        <f t="shared" si="15"/>
        <v>0.33333333333333326</v>
      </c>
    </row>
    <row r="64" spans="1:39" ht="15" x14ac:dyDescent="0.25">
      <c r="A64" s="245" t="s">
        <v>274</v>
      </c>
      <c r="B64" s="262"/>
      <c r="C64" s="265" t="s">
        <v>342</v>
      </c>
      <c r="D64" s="253" t="s">
        <v>336</v>
      </c>
      <c r="E64" s="240">
        <v>0.29166666666666669</v>
      </c>
      <c r="F64" s="241">
        <v>0.54166666666666663</v>
      </c>
      <c r="G64" s="241">
        <v>0.625</v>
      </c>
      <c r="H64" s="240">
        <v>0.70833333333333337</v>
      </c>
      <c r="I64" s="242">
        <f t="shared" si="12"/>
        <v>0.33333333333333331</v>
      </c>
      <c r="J64" s="240">
        <v>0.29166666666666669</v>
      </c>
      <c r="K64" s="241">
        <v>0.54166666666666663</v>
      </c>
      <c r="L64" s="241">
        <v>0.625</v>
      </c>
      <c r="M64" s="240">
        <v>0.70833333333333337</v>
      </c>
      <c r="N64" s="242">
        <f t="shared" si="16"/>
        <v>0.33333333333333331</v>
      </c>
      <c r="O64" s="240">
        <v>0.5</v>
      </c>
      <c r="P64" s="241">
        <v>0.75</v>
      </c>
      <c r="Q64" s="241">
        <v>0.79166666666666663</v>
      </c>
      <c r="R64" s="240">
        <v>0.875</v>
      </c>
      <c r="S64" s="242">
        <f t="shared" si="10"/>
        <v>0.33333333333333337</v>
      </c>
      <c r="T64" s="240">
        <v>0.54166666666666663</v>
      </c>
      <c r="U64" s="241">
        <v>0.70833333333333337</v>
      </c>
      <c r="V64" s="241">
        <v>0.75</v>
      </c>
      <c r="W64" s="240">
        <v>0.9375</v>
      </c>
      <c r="X64" s="242">
        <f t="shared" si="13"/>
        <v>0.35416666666666674</v>
      </c>
      <c r="Y64" s="240">
        <v>0.5</v>
      </c>
      <c r="Z64" s="241">
        <v>0.75</v>
      </c>
      <c r="AA64" s="241">
        <v>0.79166666666666663</v>
      </c>
      <c r="AB64" s="240">
        <v>0.875</v>
      </c>
      <c r="AC64" s="242">
        <f t="shared" si="11"/>
        <v>0.33333333333333337</v>
      </c>
      <c r="AD64" s="244" t="s">
        <v>178</v>
      </c>
      <c r="AE64" s="241" t="s">
        <v>178</v>
      </c>
      <c r="AF64" s="241" t="s">
        <v>178</v>
      </c>
      <c r="AG64" s="244" t="s">
        <v>178</v>
      </c>
      <c r="AH64" s="242" t="str">
        <f t="shared" si="14"/>
        <v/>
      </c>
      <c r="AI64" s="244" t="s">
        <v>178</v>
      </c>
      <c r="AJ64" s="241" t="s">
        <v>178</v>
      </c>
      <c r="AK64" s="241" t="s">
        <v>178</v>
      </c>
      <c r="AL64" s="244" t="s">
        <v>178</v>
      </c>
      <c r="AM64" s="242" t="str">
        <f t="shared" si="15"/>
        <v/>
      </c>
    </row>
    <row r="65" spans="1:39" ht="15" x14ac:dyDescent="0.25">
      <c r="A65" s="245" t="s">
        <v>275</v>
      </c>
      <c r="B65" s="262"/>
      <c r="C65" s="265" t="s">
        <v>342</v>
      </c>
      <c r="D65" s="253" t="s">
        <v>336</v>
      </c>
      <c r="E65" s="240">
        <v>0.27083333333333331</v>
      </c>
      <c r="F65" s="241">
        <v>0.41666666666666669</v>
      </c>
      <c r="G65" s="241">
        <v>0.5</v>
      </c>
      <c r="H65" s="240">
        <v>0.6875</v>
      </c>
      <c r="I65" s="242">
        <f t="shared" si="12"/>
        <v>0.33333333333333337</v>
      </c>
      <c r="J65" s="240">
        <v>0.27083333333333331</v>
      </c>
      <c r="K65" s="241">
        <v>0.41666666666666669</v>
      </c>
      <c r="L65" s="241">
        <v>0.5</v>
      </c>
      <c r="M65" s="240">
        <v>0.6875</v>
      </c>
      <c r="N65" s="242">
        <f t="shared" si="16"/>
        <v>0.33333333333333337</v>
      </c>
      <c r="O65" s="240">
        <v>0.3125</v>
      </c>
      <c r="P65" s="241">
        <v>0.54166666666666663</v>
      </c>
      <c r="Q65" s="241">
        <v>0.625</v>
      </c>
      <c r="R65" s="240">
        <v>0.72916666666666663</v>
      </c>
      <c r="S65" s="242">
        <f t="shared" si="10"/>
        <v>0.33333333333333326</v>
      </c>
      <c r="T65" s="240">
        <v>0.54166666666666663</v>
      </c>
      <c r="U65" s="241">
        <v>0.70833333333333337</v>
      </c>
      <c r="V65" s="241">
        <v>0.75</v>
      </c>
      <c r="W65" s="240">
        <v>0.9375</v>
      </c>
      <c r="X65" s="242">
        <f t="shared" si="13"/>
        <v>0.35416666666666674</v>
      </c>
      <c r="Y65" s="240">
        <v>0.5</v>
      </c>
      <c r="Z65" s="241">
        <v>0.75</v>
      </c>
      <c r="AA65" s="241">
        <v>0.79166666666666663</v>
      </c>
      <c r="AB65" s="240">
        <v>0.875</v>
      </c>
      <c r="AC65" s="242">
        <f t="shared" si="11"/>
        <v>0.33333333333333337</v>
      </c>
      <c r="AD65" s="244" t="s">
        <v>178</v>
      </c>
      <c r="AE65" s="241" t="s">
        <v>178</v>
      </c>
      <c r="AF65" s="241" t="s">
        <v>178</v>
      </c>
      <c r="AG65" s="244" t="s">
        <v>178</v>
      </c>
      <c r="AH65" s="242" t="str">
        <f t="shared" si="14"/>
        <v/>
      </c>
      <c r="AI65" s="244" t="s">
        <v>178</v>
      </c>
      <c r="AJ65" s="241" t="s">
        <v>178</v>
      </c>
      <c r="AK65" s="241" t="s">
        <v>178</v>
      </c>
      <c r="AL65" s="244" t="s">
        <v>178</v>
      </c>
      <c r="AM65" s="242" t="str">
        <f t="shared" si="15"/>
        <v/>
      </c>
    </row>
    <row r="66" spans="1:39" ht="15" x14ac:dyDescent="0.25">
      <c r="A66" s="245" t="s">
        <v>276</v>
      </c>
      <c r="B66" s="262"/>
      <c r="C66" s="265" t="s">
        <v>342</v>
      </c>
      <c r="D66" s="253" t="s">
        <v>336</v>
      </c>
      <c r="E66" s="240">
        <v>0.52083333333333337</v>
      </c>
      <c r="F66" s="241">
        <v>0.625</v>
      </c>
      <c r="G66" s="241">
        <v>0.66666666666666663</v>
      </c>
      <c r="H66" s="240">
        <v>0.89583333333333337</v>
      </c>
      <c r="I66" s="242">
        <f t="shared" si="12"/>
        <v>0.33333333333333337</v>
      </c>
      <c r="J66" s="240">
        <v>0.54166666666666663</v>
      </c>
      <c r="K66" s="241">
        <v>0.77083333333333337</v>
      </c>
      <c r="L66" s="241">
        <v>0.8125</v>
      </c>
      <c r="M66" s="240">
        <v>0.9375</v>
      </c>
      <c r="N66" s="242">
        <f t="shared" si="16"/>
        <v>0.35416666666666674</v>
      </c>
      <c r="O66" s="240">
        <v>0.54166666666666663</v>
      </c>
      <c r="P66" s="241">
        <v>0.79166666666666663</v>
      </c>
      <c r="Q66" s="241">
        <v>0.83333333333333337</v>
      </c>
      <c r="R66" s="240">
        <v>0.9375</v>
      </c>
      <c r="S66" s="242">
        <f t="shared" si="10"/>
        <v>0.35416666666666663</v>
      </c>
      <c r="T66" s="244" t="s">
        <v>178</v>
      </c>
      <c r="U66" s="241" t="s">
        <v>178</v>
      </c>
      <c r="V66" s="241" t="s">
        <v>178</v>
      </c>
      <c r="W66" s="244" t="s">
        <v>178</v>
      </c>
      <c r="X66" s="242" t="str">
        <f t="shared" si="13"/>
        <v/>
      </c>
      <c r="Y66" s="244" t="s">
        <v>178</v>
      </c>
      <c r="Z66" s="241" t="s">
        <v>178</v>
      </c>
      <c r="AA66" s="241" t="s">
        <v>178</v>
      </c>
      <c r="AB66" s="244" t="s">
        <v>178</v>
      </c>
      <c r="AC66" s="242" t="str">
        <f t="shared" si="11"/>
        <v/>
      </c>
      <c r="AD66" s="240">
        <v>0.29166666666666669</v>
      </c>
      <c r="AE66" s="241">
        <v>0.54166666666666663</v>
      </c>
      <c r="AF66" s="241">
        <v>0.625</v>
      </c>
      <c r="AG66" s="240">
        <v>0.70833333333333337</v>
      </c>
      <c r="AH66" s="242">
        <f t="shared" si="14"/>
        <v>0.33333333333333331</v>
      </c>
      <c r="AI66" s="240">
        <v>0.3125</v>
      </c>
      <c r="AJ66" s="241">
        <v>0.54166666666666663</v>
      </c>
      <c r="AK66" s="241">
        <v>0.625</v>
      </c>
      <c r="AL66" s="240">
        <v>0.72916666666666663</v>
      </c>
      <c r="AM66" s="242">
        <f t="shared" si="15"/>
        <v>0.33333333333333326</v>
      </c>
    </row>
    <row r="67" spans="1:39" x14ac:dyDescent="0.2">
      <c r="A67" s="250" t="s">
        <v>191</v>
      </c>
      <c r="B67" s="262"/>
      <c r="C67" s="265" t="s">
        <v>342</v>
      </c>
      <c r="D67" s="251" t="s">
        <v>199</v>
      </c>
      <c r="E67" s="240">
        <v>0.54166666666666663</v>
      </c>
      <c r="F67" s="241">
        <v>0.70833333333333337</v>
      </c>
      <c r="G67" s="241">
        <v>0.75</v>
      </c>
      <c r="H67" s="240">
        <v>0.91666666666666663</v>
      </c>
      <c r="I67" s="242">
        <f t="shared" si="12"/>
        <v>0.33333333333333337</v>
      </c>
      <c r="J67" s="246">
        <v>0.875</v>
      </c>
      <c r="K67" s="241"/>
      <c r="L67" s="241"/>
      <c r="M67" s="246">
        <v>1</v>
      </c>
      <c r="N67" s="242">
        <f t="shared" si="16"/>
        <v>0.125</v>
      </c>
      <c r="O67" s="246">
        <v>0</v>
      </c>
      <c r="P67" s="241">
        <v>0.29166666666666669</v>
      </c>
      <c r="Q67" s="241">
        <v>0.875</v>
      </c>
      <c r="R67" s="246">
        <v>1</v>
      </c>
      <c r="S67" s="242">
        <v>0.375</v>
      </c>
      <c r="T67" s="246">
        <v>0</v>
      </c>
      <c r="U67" s="241">
        <v>8.3333333333333329E-2</v>
      </c>
      <c r="V67" s="241">
        <v>0.16666666666666666</v>
      </c>
      <c r="W67" s="246">
        <v>0.29166666666666669</v>
      </c>
      <c r="X67" s="242">
        <f t="shared" si="13"/>
        <v>0.20833333333333337</v>
      </c>
      <c r="Y67" s="244" t="s">
        <v>178</v>
      </c>
      <c r="Z67" s="241" t="s">
        <v>178</v>
      </c>
      <c r="AA67" s="241" t="s">
        <v>178</v>
      </c>
      <c r="AB67" s="244" t="s">
        <v>178</v>
      </c>
      <c r="AC67" s="242" t="str">
        <f t="shared" si="11"/>
        <v/>
      </c>
      <c r="AD67" s="240">
        <v>0.29166666666666669</v>
      </c>
      <c r="AE67" s="241">
        <v>0.5</v>
      </c>
      <c r="AF67" s="241">
        <v>0.54166666666666663</v>
      </c>
      <c r="AG67" s="240">
        <v>0.66666666666666663</v>
      </c>
      <c r="AH67" s="242">
        <f t="shared" si="14"/>
        <v>0.33333333333333331</v>
      </c>
      <c r="AI67" s="240">
        <v>0.54166666666666663</v>
      </c>
      <c r="AJ67" s="241">
        <v>0.70833333333333337</v>
      </c>
      <c r="AK67" s="241">
        <v>0.75</v>
      </c>
      <c r="AL67" s="240">
        <v>0.91666666666666663</v>
      </c>
      <c r="AM67" s="242">
        <f t="shared" si="15"/>
        <v>0.33333333333333337</v>
      </c>
    </row>
    <row r="68" spans="1:39" x14ac:dyDescent="0.2">
      <c r="A68" s="250" t="s">
        <v>179</v>
      </c>
      <c r="B68" s="262" t="s">
        <v>347</v>
      </c>
      <c r="C68" s="282" t="s">
        <v>393</v>
      </c>
      <c r="D68" s="255">
        <v>8911</v>
      </c>
      <c r="E68" s="244" t="s">
        <v>178</v>
      </c>
      <c r="F68" s="241" t="s">
        <v>178</v>
      </c>
      <c r="G68" s="241" t="s">
        <v>178</v>
      </c>
      <c r="H68" s="244" t="s">
        <v>178</v>
      </c>
      <c r="I68" s="242" t="str">
        <f t="shared" ref="I68:I77" si="17">IFERROR(MOD(H68-E68,1)-(G68-F68),"")</f>
        <v/>
      </c>
      <c r="J68" s="240">
        <v>0.29166666666666669</v>
      </c>
      <c r="K68" s="241">
        <v>0.54166666666666663</v>
      </c>
      <c r="L68" s="241">
        <v>0.58333333333333337</v>
      </c>
      <c r="M68" s="240">
        <v>0.625</v>
      </c>
      <c r="N68" s="242">
        <f t="shared" ref="N68:N77" si="18">IFERROR(MOD(M68-J68,1)-(L68-K68),"")</f>
        <v>0.29166666666666657</v>
      </c>
      <c r="O68" s="240">
        <v>0.29166666666666669</v>
      </c>
      <c r="P68" s="241">
        <v>0.54166666666666663</v>
      </c>
      <c r="Q68" s="241">
        <v>0.58333333333333337</v>
      </c>
      <c r="R68" s="240">
        <v>0.625</v>
      </c>
      <c r="S68" s="242">
        <f t="shared" ref="S68:S77" si="19">IFERROR(MOD(R68-O68,1)-(Q68-P68),"")</f>
        <v>0.29166666666666657</v>
      </c>
      <c r="T68" s="240">
        <v>0.29166666666666669</v>
      </c>
      <c r="U68" s="241">
        <v>0.54166666666666663</v>
      </c>
      <c r="V68" s="241">
        <v>0.58333333333333337</v>
      </c>
      <c r="W68" s="240">
        <v>0.625</v>
      </c>
      <c r="X68" s="242">
        <f t="shared" ref="X68:X77" si="20">IFERROR(MOD(W68-T68,1)-(V68-U68),"")</f>
        <v>0.29166666666666657</v>
      </c>
      <c r="Y68" s="240">
        <v>0.29166666666666669</v>
      </c>
      <c r="Z68" s="241">
        <v>0.54166666666666663</v>
      </c>
      <c r="AA68" s="241">
        <v>0.58333333333333337</v>
      </c>
      <c r="AB68" s="240">
        <v>0.625</v>
      </c>
      <c r="AC68" s="242">
        <f t="shared" ref="AC68:AC77" si="21">IFERROR(MOD(AB68-Y68,1)-(AA68-Z68),"")</f>
        <v>0.29166666666666657</v>
      </c>
      <c r="AD68" s="240">
        <v>0.29166666666666669</v>
      </c>
      <c r="AE68" s="241">
        <v>0.54166666666666663</v>
      </c>
      <c r="AF68" s="241">
        <v>0.58333333333333337</v>
      </c>
      <c r="AG68" s="240">
        <v>0.625</v>
      </c>
      <c r="AH68" s="242">
        <f t="shared" ref="AH68:AH77" si="22">IFERROR(MOD(AG68-AD68,1)-(AF68-AE68),"")</f>
        <v>0.29166666666666657</v>
      </c>
      <c r="AI68" s="244" t="s">
        <v>178</v>
      </c>
      <c r="AJ68" s="241" t="s">
        <v>178</v>
      </c>
      <c r="AK68" s="241" t="s">
        <v>178</v>
      </c>
      <c r="AL68" s="244" t="s">
        <v>178</v>
      </c>
      <c r="AM68" s="242" t="str">
        <f t="shared" ref="AM68:AM77" si="23">IFERROR(MOD(AL68-AI68,1)-(AK68-AJ68),"")</f>
        <v/>
      </c>
    </row>
    <row r="69" spans="1:39" x14ac:dyDescent="0.2">
      <c r="A69" s="250" t="s">
        <v>180</v>
      </c>
      <c r="B69" s="262"/>
      <c r="C69" s="282" t="s">
        <v>393</v>
      </c>
      <c r="D69" s="255">
        <v>8911</v>
      </c>
      <c r="E69" s="244" t="s">
        <v>178</v>
      </c>
      <c r="F69" s="241" t="s">
        <v>178</v>
      </c>
      <c r="G69" s="241" t="s">
        <v>178</v>
      </c>
      <c r="H69" s="244" t="s">
        <v>178</v>
      </c>
      <c r="I69" s="242" t="str">
        <f t="shared" si="17"/>
        <v/>
      </c>
      <c r="J69" s="244" t="s">
        <v>178</v>
      </c>
      <c r="K69" s="241" t="s">
        <v>178</v>
      </c>
      <c r="L69" s="241" t="s">
        <v>178</v>
      </c>
      <c r="M69" s="244" t="s">
        <v>178</v>
      </c>
      <c r="N69" s="242" t="str">
        <f t="shared" si="18"/>
        <v/>
      </c>
      <c r="O69" s="240">
        <v>0.29166666666666669</v>
      </c>
      <c r="P69" s="241">
        <v>0.54166666666666663</v>
      </c>
      <c r="Q69" s="241">
        <v>0.625</v>
      </c>
      <c r="R69" s="240">
        <v>0.70833333333333337</v>
      </c>
      <c r="S69" s="242">
        <f t="shared" si="19"/>
        <v>0.33333333333333331</v>
      </c>
      <c r="T69" s="240">
        <v>0.375</v>
      </c>
      <c r="U69" s="241">
        <v>0.54166666666666663</v>
      </c>
      <c r="V69" s="241">
        <v>0.58333333333333337</v>
      </c>
      <c r="W69" s="240">
        <v>0.75</v>
      </c>
      <c r="X69" s="242">
        <f t="shared" si="20"/>
        <v>0.33333333333333326</v>
      </c>
      <c r="Y69" s="240">
        <v>0.54166666666666663</v>
      </c>
      <c r="Z69" s="241">
        <v>0.66666666666666663</v>
      </c>
      <c r="AA69" s="241">
        <v>0.70833333333333337</v>
      </c>
      <c r="AB69" s="240">
        <v>0.91666666666666663</v>
      </c>
      <c r="AC69" s="242">
        <f t="shared" si="21"/>
        <v>0.33333333333333326</v>
      </c>
      <c r="AD69" s="240">
        <v>0.54166666666666663</v>
      </c>
      <c r="AE69" s="241">
        <v>0.66666666666666663</v>
      </c>
      <c r="AF69" s="241">
        <v>0.70833333333333337</v>
      </c>
      <c r="AG69" s="240">
        <v>0.91666666666666663</v>
      </c>
      <c r="AH69" s="242">
        <f t="shared" si="22"/>
        <v>0.33333333333333326</v>
      </c>
      <c r="AI69" s="240">
        <v>0.54166666666666663</v>
      </c>
      <c r="AJ69" s="241">
        <v>0.66666666666666663</v>
      </c>
      <c r="AK69" s="241">
        <v>0.70833333333333337</v>
      </c>
      <c r="AL69" s="240">
        <v>0.91666666666666663</v>
      </c>
      <c r="AM69" s="242">
        <f t="shared" si="23"/>
        <v>0.33333333333333326</v>
      </c>
    </row>
    <row r="70" spans="1:39" x14ac:dyDescent="0.2">
      <c r="A70" s="250" t="s">
        <v>181</v>
      </c>
      <c r="B70" s="262"/>
      <c r="C70" s="282" t="s">
        <v>393</v>
      </c>
      <c r="D70" s="255">
        <v>8911</v>
      </c>
      <c r="E70" s="240">
        <v>0.54166666666666663</v>
      </c>
      <c r="F70" s="241">
        <v>0.66666666666666663</v>
      </c>
      <c r="G70" s="241">
        <v>0.70833333333333337</v>
      </c>
      <c r="H70" s="240">
        <v>0.91666666666666663</v>
      </c>
      <c r="I70" s="242">
        <f t="shared" si="17"/>
        <v>0.33333333333333326</v>
      </c>
      <c r="J70" s="240">
        <v>0.375</v>
      </c>
      <c r="K70" s="241">
        <v>0.54166666666666663</v>
      </c>
      <c r="L70" s="241">
        <v>0.58333333333333337</v>
      </c>
      <c r="M70" s="240">
        <v>0.75</v>
      </c>
      <c r="N70" s="242">
        <f t="shared" si="18"/>
        <v>0.33333333333333326</v>
      </c>
      <c r="O70" s="244" t="s">
        <v>178</v>
      </c>
      <c r="P70" s="241" t="s">
        <v>178</v>
      </c>
      <c r="Q70" s="241" t="s">
        <v>178</v>
      </c>
      <c r="R70" s="244" t="s">
        <v>178</v>
      </c>
      <c r="S70" s="242" t="str">
        <f t="shared" si="19"/>
        <v/>
      </c>
      <c r="T70" s="244" t="s">
        <v>178</v>
      </c>
      <c r="U70" s="241" t="s">
        <v>178</v>
      </c>
      <c r="V70" s="241" t="s">
        <v>178</v>
      </c>
      <c r="W70" s="244" t="s">
        <v>178</v>
      </c>
      <c r="X70" s="242" t="str">
        <f t="shared" si="20"/>
        <v/>
      </c>
      <c r="Y70" s="240">
        <v>0.33333333333333331</v>
      </c>
      <c r="Z70" s="241">
        <v>0.5</v>
      </c>
      <c r="AA70" s="241">
        <v>0.54166666666666663</v>
      </c>
      <c r="AB70" s="240">
        <v>0.70833333333333337</v>
      </c>
      <c r="AC70" s="242">
        <f t="shared" si="21"/>
        <v>0.33333333333333343</v>
      </c>
      <c r="AD70" s="240">
        <v>0.54166666666666663</v>
      </c>
      <c r="AE70" s="241">
        <v>0.66666666666666663</v>
      </c>
      <c r="AF70" s="241">
        <v>0.70833333333333337</v>
      </c>
      <c r="AG70" s="240">
        <v>0.91666666666666663</v>
      </c>
      <c r="AH70" s="242">
        <f t="shared" si="22"/>
        <v>0.33333333333333326</v>
      </c>
      <c r="AI70" s="240">
        <v>0.54166666666666663</v>
      </c>
      <c r="AJ70" s="241">
        <v>0.66666666666666663</v>
      </c>
      <c r="AK70" s="241">
        <v>0.70833333333333337</v>
      </c>
      <c r="AL70" s="240">
        <v>0.91666666666666663</v>
      </c>
      <c r="AM70" s="242">
        <f t="shared" si="23"/>
        <v>0.33333333333333326</v>
      </c>
    </row>
    <row r="71" spans="1:39" x14ac:dyDescent="0.2">
      <c r="A71" s="250" t="s">
        <v>182</v>
      </c>
      <c r="B71" s="262"/>
      <c r="C71" s="282" t="s">
        <v>393</v>
      </c>
      <c r="D71" s="255">
        <v>8911</v>
      </c>
      <c r="E71" s="240">
        <v>0.3125</v>
      </c>
      <c r="F71" s="241">
        <v>0.54166666666666663</v>
      </c>
      <c r="G71" s="241">
        <v>0.625</v>
      </c>
      <c r="H71" s="240">
        <v>0.72916666666666663</v>
      </c>
      <c r="I71" s="242">
        <f t="shared" si="17"/>
        <v>0.33333333333333326</v>
      </c>
      <c r="J71" s="240">
        <v>0.54166666666666663</v>
      </c>
      <c r="K71" s="241">
        <v>0.625</v>
      </c>
      <c r="L71" s="241">
        <v>0.66666666666666663</v>
      </c>
      <c r="M71" s="240">
        <v>0.91666666666666663</v>
      </c>
      <c r="N71" s="242">
        <f t="shared" si="18"/>
        <v>0.33333333333333337</v>
      </c>
      <c r="O71" s="240">
        <v>0.54166666666666663</v>
      </c>
      <c r="P71" s="241">
        <v>0.625</v>
      </c>
      <c r="Q71" s="241">
        <v>0.66666666666666663</v>
      </c>
      <c r="R71" s="240">
        <v>0.91666666666666663</v>
      </c>
      <c r="S71" s="242">
        <f t="shared" si="19"/>
        <v>0.33333333333333337</v>
      </c>
      <c r="T71" s="240">
        <v>0.54166666666666663</v>
      </c>
      <c r="U71" s="241">
        <v>0.625</v>
      </c>
      <c r="V71" s="241">
        <v>0.66666666666666663</v>
      </c>
      <c r="W71" s="240">
        <v>0.91666666666666663</v>
      </c>
      <c r="X71" s="242">
        <f t="shared" si="20"/>
        <v>0.33333333333333337</v>
      </c>
      <c r="Y71" s="244" t="s">
        <v>178</v>
      </c>
      <c r="Z71" s="241" t="s">
        <v>178</v>
      </c>
      <c r="AA71" s="241" t="s">
        <v>178</v>
      </c>
      <c r="AB71" s="244" t="s">
        <v>178</v>
      </c>
      <c r="AC71" s="242" t="str">
        <f t="shared" si="21"/>
        <v/>
      </c>
      <c r="AD71" s="244" t="s">
        <v>178</v>
      </c>
      <c r="AE71" s="241" t="s">
        <v>178</v>
      </c>
      <c r="AF71" s="241" t="s">
        <v>178</v>
      </c>
      <c r="AG71" s="244" t="s">
        <v>178</v>
      </c>
      <c r="AH71" s="242" t="str">
        <f t="shared" si="22"/>
        <v/>
      </c>
      <c r="AI71" s="240">
        <v>0.29166666666666669</v>
      </c>
      <c r="AJ71" s="241">
        <v>0.5</v>
      </c>
      <c r="AK71" s="241">
        <v>0.58333333333333337</v>
      </c>
      <c r="AL71" s="240">
        <v>0.70833333333333337</v>
      </c>
      <c r="AM71" s="242">
        <f t="shared" si="23"/>
        <v>0.33333333333333331</v>
      </c>
    </row>
    <row r="72" spans="1:39" x14ac:dyDescent="0.2">
      <c r="A72" s="250" t="s">
        <v>183</v>
      </c>
      <c r="B72" s="262"/>
      <c r="C72" s="282" t="s">
        <v>393</v>
      </c>
      <c r="D72" s="255">
        <v>8911</v>
      </c>
      <c r="E72" s="240">
        <v>0.47916666666666669</v>
      </c>
      <c r="F72" s="241">
        <v>0.625</v>
      </c>
      <c r="G72" s="241">
        <v>0.66666666666666663</v>
      </c>
      <c r="H72" s="240">
        <v>0.875</v>
      </c>
      <c r="I72" s="242">
        <f t="shared" si="17"/>
        <v>0.35416666666666669</v>
      </c>
      <c r="J72" s="240">
        <v>0.5</v>
      </c>
      <c r="K72" s="241">
        <v>0.625</v>
      </c>
      <c r="L72" s="241">
        <v>0.66666666666666663</v>
      </c>
      <c r="M72" s="240">
        <v>0.875</v>
      </c>
      <c r="N72" s="242">
        <f t="shared" si="18"/>
        <v>0.33333333333333337</v>
      </c>
      <c r="O72" s="244" t="s">
        <v>178</v>
      </c>
      <c r="P72" s="241" t="s">
        <v>178</v>
      </c>
      <c r="Q72" s="241" t="s">
        <v>178</v>
      </c>
      <c r="R72" s="244" t="s">
        <v>178</v>
      </c>
      <c r="S72" s="242" t="str">
        <f t="shared" si="19"/>
        <v/>
      </c>
      <c r="T72" s="244" t="s">
        <v>178</v>
      </c>
      <c r="U72" s="241" t="s">
        <v>178</v>
      </c>
      <c r="V72" s="241" t="s">
        <v>178</v>
      </c>
      <c r="W72" s="244" t="s">
        <v>178</v>
      </c>
      <c r="X72" s="242" t="str">
        <f t="shared" si="20"/>
        <v/>
      </c>
      <c r="Y72" s="240">
        <v>0.29166666666666669</v>
      </c>
      <c r="Z72" s="241">
        <v>0.54166666666666663</v>
      </c>
      <c r="AA72" s="241">
        <v>0.625</v>
      </c>
      <c r="AB72" s="240">
        <v>0.70833333333333337</v>
      </c>
      <c r="AC72" s="242">
        <f t="shared" si="21"/>
        <v>0.33333333333333331</v>
      </c>
      <c r="AD72" s="240">
        <v>0.29166666666666669</v>
      </c>
      <c r="AE72" s="241">
        <v>0.54166666666666663</v>
      </c>
      <c r="AF72" s="241">
        <v>0.625</v>
      </c>
      <c r="AG72" s="240">
        <v>0.70833333333333337</v>
      </c>
      <c r="AH72" s="242">
        <f t="shared" si="22"/>
        <v>0.33333333333333331</v>
      </c>
      <c r="AI72" s="240">
        <v>0.29166666666666669</v>
      </c>
      <c r="AJ72" s="241">
        <v>0.54166666666666663</v>
      </c>
      <c r="AK72" s="241">
        <v>0.625</v>
      </c>
      <c r="AL72" s="240">
        <v>0.70833333333333337</v>
      </c>
      <c r="AM72" s="242">
        <f t="shared" si="23"/>
        <v>0.33333333333333331</v>
      </c>
    </row>
    <row r="73" spans="1:39" x14ac:dyDescent="0.2">
      <c r="A73" s="250" t="s">
        <v>184</v>
      </c>
      <c r="B73" s="262"/>
      <c r="C73" s="282" t="s">
        <v>393</v>
      </c>
      <c r="D73" s="255">
        <v>8911</v>
      </c>
      <c r="E73" s="244" t="s">
        <v>178</v>
      </c>
      <c r="F73" s="241" t="s">
        <v>178</v>
      </c>
      <c r="G73" s="241" t="s">
        <v>178</v>
      </c>
      <c r="H73" s="244" t="s">
        <v>178</v>
      </c>
      <c r="I73" s="242" t="str">
        <f t="shared" si="17"/>
        <v/>
      </c>
      <c r="J73" s="244" t="s">
        <v>178</v>
      </c>
      <c r="K73" s="241" t="s">
        <v>178</v>
      </c>
      <c r="L73" s="241" t="s">
        <v>178</v>
      </c>
      <c r="M73" s="244" t="s">
        <v>178</v>
      </c>
      <c r="N73" s="242" t="str">
        <f t="shared" si="18"/>
        <v/>
      </c>
      <c r="O73" s="240">
        <v>0.29166666666666669</v>
      </c>
      <c r="P73" s="241">
        <v>0.54166666666666663</v>
      </c>
      <c r="Q73" s="241">
        <v>0.58333333333333337</v>
      </c>
      <c r="R73" s="240">
        <v>0.66666666666666663</v>
      </c>
      <c r="S73" s="242">
        <f t="shared" si="19"/>
        <v>0.3333333333333332</v>
      </c>
      <c r="T73" s="240">
        <v>0.29166666666666669</v>
      </c>
      <c r="U73" s="241">
        <v>0.5</v>
      </c>
      <c r="V73" s="241">
        <v>0.54166666666666663</v>
      </c>
      <c r="W73" s="240">
        <v>0.66666666666666663</v>
      </c>
      <c r="X73" s="242">
        <f t="shared" si="20"/>
        <v>0.33333333333333331</v>
      </c>
      <c r="Y73" s="240">
        <v>0.54166666666666663</v>
      </c>
      <c r="Z73" s="241">
        <v>0.625</v>
      </c>
      <c r="AA73" s="241">
        <v>0.66666666666666663</v>
      </c>
      <c r="AB73" s="240">
        <v>0.91666666666666663</v>
      </c>
      <c r="AC73" s="242">
        <f t="shared" si="21"/>
        <v>0.33333333333333337</v>
      </c>
      <c r="AD73" s="240">
        <v>0.45833333333333331</v>
      </c>
      <c r="AE73" s="241">
        <v>0.58333333333333337</v>
      </c>
      <c r="AF73" s="241">
        <v>0.66666666666666663</v>
      </c>
      <c r="AG73" s="240">
        <v>0.89583333333333337</v>
      </c>
      <c r="AH73" s="242">
        <f t="shared" si="22"/>
        <v>0.3541666666666668</v>
      </c>
      <c r="AI73" s="240">
        <v>0.54166666666666663</v>
      </c>
      <c r="AJ73" s="241">
        <v>0.625</v>
      </c>
      <c r="AK73" s="241">
        <v>0.66666666666666663</v>
      </c>
      <c r="AL73" s="240">
        <v>0.91666666666666663</v>
      </c>
      <c r="AM73" s="242">
        <f t="shared" si="23"/>
        <v>0.33333333333333337</v>
      </c>
    </row>
    <row r="74" spans="1:39" x14ac:dyDescent="0.2">
      <c r="A74" s="250" t="s">
        <v>185</v>
      </c>
      <c r="B74" s="262"/>
      <c r="C74" s="282" t="s">
        <v>393</v>
      </c>
      <c r="D74" s="255">
        <v>8911</v>
      </c>
      <c r="E74" s="240">
        <v>0.33333333333333331</v>
      </c>
      <c r="F74" s="241">
        <v>0.5</v>
      </c>
      <c r="G74" s="241">
        <v>0.54166666666666663</v>
      </c>
      <c r="H74" s="240">
        <v>0.70833333333333337</v>
      </c>
      <c r="I74" s="242">
        <f t="shared" si="17"/>
        <v>0.33333333333333343</v>
      </c>
      <c r="J74" s="240">
        <v>0.29166666666666669</v>
      </c>
      <c r="K74" s="241">
        <v>0.54166666666666663</v>
      </c>
      <c r="L74" s="241">
        <v>0.625</v>
      </c>
      <c r="M74" s="240">
        <v>0.70833333333333337</v>
      </c>
      <c r="N74" s="242">
        <f t="shared" si="18"/>
        <v>0.33333333333333331</v>
      </c>
      <c r="O74" s="240">
        <v>0.5</v>
      </c>
      <c r="P74" s="241">
        <v>0.625</v>
      </c>
      <c r="Q74" s="241">
        <v>0.66666666666666663</v>
      </c>
      <c r="R74" s="240">
        <v>0.89583333333333337</v>
      </c>
      <c r="S74" s="242">
        <f t="shared" si="19"/>
        <v>0.35416666666666674</v>
      </c>
      <c r="T74" s="240">
        <v>0.54166666666666663</v>
      </c>
      <c r="U74" s="241">
        <v>0.66666666666666663</v>
      </c>
      <c r="V74" s="241">
        <v>0.70833333333333337</v>
      </c>
      <c r="W74" s="240">
        <v>0.91666666666666663</v>
      </c>
      <c r="X74" s="242">
        <f t="shared" si="20"/>
        <v>0.33333333333333326</v>
      </c>
      <c r="Y74" s="240">
        <v>0.5</v>
      </c>
      <c r="Z74" s="241">
        <v>0.625</v>
      </c>
      <c r="AA74" s="241">
        <v>0.66666666666666663</v>
      </c>
      <c r="AB74" s="240">
        <v>0.875</v>
      </c>
      <c r="AC74" s="242">
        <f t="shared" si="21"/>
        <v>0.33333333333333337</v>
      </c>
      <c r="AD74" s="244" t="s">
        <v>178</v>
      </c>
      <c r="AE74" s="241" t="s">
        <v>178</v>
      </c>
      <c r="AF74" s="241" t="s">
        <v>178</v>
      </c>
      <c r="AG74" s="244" t="s">
        <v>178</v>
      </c>
      <c r="AH74" s="242" t="str">
        <f t="shared" si="22"/>
        <v/>
      </c>
      <c r="AI74" s="244" t="s">
        <v>178</v>
      </c>
      <c r="AJ74" s="241" t="s">
        <v>178</v>
      </c>
      <c r="AK74" s="241" t="s">
        <v>178</v>
      </c>
      <c r="AL74" s="244" t="s">
        <v>178</v>
      </c>
      <c r="AM74" s="242" t="str">
        <f t="shared" si="23"/>
        <v/>
      </c>
    </row>
    <row r="75" spans="1:39" x14ac:dyDescent="0.2">
      <c r="A75" s="250" t="s">
        <v>186</v>
      </c>
      <c r="B75" s="262"/>
      <c r="C75" s="282" t="s">
        <v>393</v>
      </c>
      <c r="D75" s="255">
        <v>8911</v>
      </c>
      <c r="E75" s="240">
        <v>0.54166666666666663</v>
      </c>
      <c r="F75" s="241">
        <v>0.625</v>
      </c>
      <c r="G75" s="241">
        <v>0.66666666666666663</v>
      </c>
      <c r="H75" s="240">
        <v>0.91666666666666663</v>
      </c>
      <c r="I75" s="242">
        <f t="shared" si="17"/>
        <v>0.33333333333333337</v>
      </c>
      <c r="J75" s="240">
        <v>0.54166666666666663</v>
      </c>
      <c r="K75" s="241">
        <v>0.66666666666666663</v>
      </c>
      <c r="L75" s="241">
        <v>0.70833333333333337</v>
      </c>
      <c r="M75" s="240">
        <v>0.91666666666666663</v>
      </c>
      <c r="N75" s="242">
        <f t="shared" si="18"/>
        <v>0.33333333333333326</v>
      </c>
      <c r="O75" s="240">
        <v>0.54166666666666663</v>
      </c>
      <c r="P75" s="241">
        <v>0.66666666666666663</v>
      </c>
      <c r="Q75" s="241">
        <v>0.70833333333333337</v>
      </c>
      <c r="R75" s="240">
        <v>0.91666666666666663</v>
      </c>
      <c r="S75" s="242">
        <f t="shared" si="19"/>
        <v>0.33333333333333326</v>
      </c>
      <c r="T75" s="244" t="s">
        <v>178</v>
      </c>
      <c r="U75" s="241" t="s">
        <v>178</v>
      </c>
      <c r="V75" s="241" t="s">
        <v>178</v>
      </c>
      <c r="W75" s="244" t="s">
        <v>178</v>
      </c>
      <c r="X75" s="242" t="str">
        <f t="shared" si="20"/>
        <v/>
      </c>
      <c r="Y75" s="244" t="s">
        <v>178</v>
      </c>
      <c r="Z75" s="241" t="s">
        <v>178</v>
      </c>
      <c r="AA75" s="241" t="s">
        <v>178</v>
      </c>
      <c r="AB75" s="244" t="s">
        <v>178</v>
      </c>
      <c r="AC75" s="242" t="str">
        <f t="shared" si="21"/>
        <v/>
      </c>
      <c r="AD75" s="240">
        <v>0.29166666666666669</v>
      </c>
      <c r="AE75" s="241">
        <v>0.54166666666666663</v>
      </c>
      <c r="AF75" s="241">
        <v>0.58333333333333337</v>
      </c>
      <c r="AG75" s="240">
        <v>0.66666666666666663</v>
      </c>
      <c r="AH75" s="242">
        <f t="shared" si="22"/>
        <v>0.3333333333333332</v>
      </c>
      <c r="AI75" s="240">
        <v>0.29166666666666669</v>
      </c>
      <c r="AJ75" s="241">
        <v>0.54166666666666663</v>
      </c>
      <c r="AK75" s="241">
        <v>0.625</v>
      </c>
      <c r="AL75" s="240">
        <v>0.70833333333333337</v>
      </c>
      <c r="AM75" s="242">
        <f t="shared" si="23"/>
        <v>0.33333333333333331</v>
      </c>
    </row>
    <row r="76" spans="1:39" x14ac:dyDescent="0.2">
      <c r="A76" s="250" t="s">
        <v>187</v>
      </c>
      <c r="B76" s="262"/>
      <c r="C76" s="282" t="s">
        <v>393</v>
      </c>
      <c r="D76" s="255">
        <v>8911</v>
      </c>
      <c r="E76" s="240">
        <v>0.5</v>
      </c>
      <c r="F76" s="241">
        <v>0.625</v>
      </c>
      <c r="G76" s="241">
        <v>0.66666666666666663</v>
      </c>
      <c r="H76" s="240">
        <v>0.89583333333333337</v>
      </c>
      <c r="I76" s="242">
        <f t="shared" si="17"/>
        <v>0.35416666666666674</v>
      </c>
      <c r="J76" s="244" t="s">
        <v>178</v>
      </c>
      <c r="K76" s="241" t="s">
        <v>178</v>
      </c>
      <c r="L76" s="241" t="s">
        <v>178</v>
      </c>
      <c r="M76" s="244" t="s">
        <v>178</v>
      </c>
      <c r="N76" s="242" t="str">
        <f t="shared" si="18"/>
        <v/>
      </c>
      <c r="O76" s="244" t="s">
        <v>178</v>
      </c>
      <c r="P76" s="241" t="s">
        <v>178</v>
      </c>
      <c r="Q76" s="241" t="s">
        <v>178</v>
      </c>
      <c r="R76" s="244" t="s">
        <v>178</v>
      </c>
      <c r="S76" s="242" t="str">
        <f t="shared" si="19"/>
        <v/>
      </c>
      <c r="T76" s="240">
        <v>0.29166666666666669</v>
      </c>
      <c r="U76" s="241">
        <v>0.54166666666666663</v>
      </c>
      <c r="V76" s="241">
        <v>0.625</v>
      </c>
      <c r="W76" s="240">
        <v>0.70833333333333337</v>
      </c>
      <c r="X76" s="242">
        <f t="shared" si="20"/>
        <v>0.33333333333333331</v>
      </c>
      <c r="Y76" s="240">
        <v>0.29166666666666669</v>
      </c>
      <c r="Z76" s="241">
        <v>0.54166666666666663</v>
      </c>
      <c r="AA76" s="241">
        <v>0.625</v>
      </c>
      <c r="AB76" s="240">
        <v>0.70833333333333337</v>
      </c>
      <c r="AC76" s="242">
        <f t="shared" si="21"/>
        <v>0.33333333333333331</v>
      </c>
      <c r="AD76" s="240">
        <v>0.29166666666666669</v>
      </c>
      <c r="AE76" s="241">
        <v>0.54166666666666663</v>
      </c>
      <c r="AF76" s="241">
        <v>0.625</v>
      </c>
      <c r="AG76" s="240">
        <v>0.70833333333333337</v>
      </c>
      <c r="AH76" s="242">
        <f t="shared" si="22"/>
        <v>0.33333333333333331</v>
      </c>
      <c r="AI76" s="240">
        <v>0.29166666666666669</v>
      </c>
      <c r="AJ76" s="241">
        <v>0.54166666666666663</v>
      </c>
      <c r="AK76" s="241">
        <v>0.625</v>
      </c>
      <c r="AL76" s="240">
        <v>0.70833333333333337</v>
      </c>
      <c r="AM76" s="242">
        <f t="shared" si="23"/>
        <v>0.33333333333333331</v>
      </c>
    </row>
    <row r="77" spans="1:39" x14ac:dyDescent="0.2">
      <c r="A77" s="250" t="s">
        <v>188</v>
      </c>
      <c r="B77" s="262"/>
      <c r="C77" s="282" t="s">
        <v>393</v>
      </c>
      <c r="D77" s="255">
        <v>8911</v>
      </c>
      <c r="E77" s="240">
        <v>0.29166666666666669</v>
      </c>
      <c r="F77" s="241">
        <v>0.54166666666666663</v>
      </c>
      <c r="G77" s="241">
        <v>0.58333333333333337</v>
      </c>
      <c r="H77" s="240">
        <v>0.66666666666666663</v>
      </c>
      <c r="I77" s="242">
        <f t="shared" si="17"/>
        <v>0.3333333333333332</v>
      </c>
      <c r="J77" s="240">
        <v>0.29166666666666669</v>
      </c>
      <c r="K77" s="241">
        <v>0.54166666666666663</v>
      </c>
      <c r="L77" s="241">
        <v>0.60416666666666663</v>
      </c>
      <c r="M77" s="240">
        <v>0.6875</v>
      </c>
      <c r="N77" s="242">
        <f t="shared" si="18"/>
        <v>0.33333333333333331</v>
      </c>
      <c r="O77" s="240">
        <v>0.33333333333333331</v>
      </c>
      <c r="P77" s="241">
        <v>0.58333333333333337</v>
      </c>
      <c r="Q77" s="241">
        <v>0.625</v>
      </c>
      <c r="R77" s="240">
        <v>0.70833333333333337</v>
      </c>
      <c r="S77" s="242">
        <f t="shared" si="19"/>
        <v>0.33333333333333343</v>
      </c>
      <c r="T77" s="240">
        <v>0.5</v>
      </c>
      <c r="U77" s="241">
        <v>0.625</v>
      </c>
      <c r="V77" s="241">
        <v>0.66666666666666663</v>
      </c>
      <c r="W77" s="240">
        <v>0.89583333333333337</v>
      </c>
      <c r="X77" s="242">
        <f t="shared" si="20"/>
        <v>0.35416666666666674</v>
      </c>
      <c r="Y77" s="240">
        <v>0.5</v>
      </c>
      <c r="Z77" s="241">
        <v>0.625</v>
      </c>
      <c r="AA77" s="241">
        <v>0.66666666666666663</v>
      </c>
      <c r="AB77" s="240">
        <v>0.875</v>
      </c>
      <c r="AC77" s="242">
        <f t="shared" si="21"/>
        <v>0.33333333333333337</v>
      </c>
      <c r="AD77" s="244" t="s">
        <v>178</v>
      </c>
      <c r="AE77" s="241" t="s">
        <v>178</v>
      </c>
      <c r="AF77" s="241" t="s">
        <v>178</v>
      </c>
      <c r="AG77" s="244" t="s">
        <v>178</v>
      </c>
      <c r="AH77" s="242" t="str">
        <f t="shared" si="22"/>
        <v/>
      </c>
      <c r="AI77" s="244" t="s">
        <v>178</v>
      </c>
      <c r="AJ77" s="241" t="s">
        <v>178</v>
      </c>
      <c r="AK77" s="241" t="s">
        <v>178</v>
      </c>
      <c r="AL77" s="244" t="s">
        <v>178</v>
      </c>
      <c r="AM77" s="242" t="str">
        <f t="shared" si="23"/>
        <v/>
      </c>
    </row>
    <row r="78" spans="1:39" x14ac:dyDescent="0.2">
      <c r="A78" s="239" t="s">
        <v>277</v>
      </c>
      <c r="B78" s="262" t="s">
        <v>350</v>
      </c>
      <c r="C78" s="266" t="s">
        <v>343</v>
      </c>
      <c r="D78" s="253" t="s">
        <v>336</v>
      </c>
      <c r="E78" s="240">
        <v>0</v>
      </c>
      <c r="F78" s="241">
        <v>0.16666666666666666</v>
      </c>
      <c r="G78" s="241">
        <v>0.83333333333333337</v>
      </c>
      <c r="H78" s="240">
        <v>1</v>
      </c>
      <c r="I78" s="242">
        <v>0.33333333333333331</v>
      </c>
      <c r="J78" s="244" t="s">
        <v>178</v>
      </c>
      <c r="K78" s="241" t="s">
        <v>178</v>
      </c>
      <c r="L78" s="241" t="s">
        <v>178</v>
      </c>
      <c r="M78" s="244" t="s">
        <v>178</v>
      </c>
      <c r="N78" s="242" t="str">
        <f t="shared" ref="N78:N109" si="24">IFERROR(MOD(M78-J78,1)-MOD(L78-K78,1),"")</f>
        <v/>
      </c>
      <c r="O78" s="240">
        <v>0.54166666666666663</v>
      </c>
      <c r="P78" s="241">
        <v>0.70833333333333337</v>
      </c>
      <c r="Q78" s="241">
        <v>0.83333333333333337</v>
      </c>
      <c r="R78" s="240">
        <v>1</v>
      </c>
      <c r="S78" s="242">
        <f t="shared" ref="S78:S91" si="25">IFERROR(MOD(R78-O78,1)-MOD(Q78-P78,1),"")</f>
        <v>0.33333333333333337</v>
      </c>
      <c r="T78" s="244" t="s">
        <v>178</v>
      </c>
      <c r="U78" s="241" t="s">
        <v>178</v>
      </c>
      <c r="V78" s="241" t="s">
        <v>178</v>
      </c>
      <c r="W78" s="244" t="s">
        <v>178</v>
      </c>
      <c r="X78" s="242" t="str">
        <f>IFERROR(MOD(W78-T78,1)-MOD(V78-U78,1),"")</f>
        <v/>
      </c>
      <c r="Y78" s="240">
        <v>0.41666666666666669</v>
      </c>
      <c r="Z78" s="241">
        <v>0.58333333333333337</v>
      </c>
      <c r="AA78" s="241">
        <v>0.83333333333333337</v>
      </c>
      <c r="AB78" s="240">
        <v>1</v>
      </c>
      <c r="AC78" s="242">
        <f t="shared" ref="AC78:AC97" si="26">IFERROR(MOD(AB78-Y78,1)-MOD(AA78-Z78,1),"")</f>
        <v>0.33333333333333326</v>
      </c>
      <c r="AD78" s="240">
        <v>0.41666666666666669</v>
      </c>
      <c r="AE78" s="241">
        <v>0.58333333333333337</v>
      </c>
      <c r="AF78" s="241">
        <v>0.83333333333333337</v>
      </c>
      <c r="AG78" s="240">
        <v>1</v>
      </c>
      <c r="AH78" s="242">
        <f t="shared" ref="AH78:AH83" si="27">IFERROR(MOD(AG78-AD78,1)-MOD(AF78-AE78,1),"")</f>
        <v>0.33333333333333326</v>
      </c>
      <c r="AI78" s="240">
        <v>0.27083333333333331</v>
      </c>
      <c r="AJ78" s="241">
        <v>0.4375</v>
      </c>
      <c r="AK78" s="241">
        <v>0.83333333333333337</v>
      </c>
      <c r="AL78" s="240">
        <v>1</v>
      </c>
      <c r="AM78" s="242">
        <f>IFERROR(MOD(AL78-AI78,1)-MOD(AK78-AJ78,1),"")</f>
        <v>0.33333333333333337</v>
      </c>
    </row>
    <row r="79" spans="1:39" x14ac:dyDescent="0.2">
      <c r="A79" s="239" t="s">
        <v>278</v>
      </c>
      <c r="B79" s="262"/>
      <c r="C79" s="266" t="s">
        <v>343</v>
      </c>
      <c r="D79" s="253" t="s">
        <v>336</v>
      </c>
      <c r="E79" s="240">
        <v>0.52083333333333337</v>
      </c>
      <c r="F79" s="241">
        <v>0.625</v>
      </c>
      <c r="G79" s="241">
        <v>0.66666666666666663</v>
      </c>
      <c r="H79" s="240">
        <v>0.89583333333333337</v>
      </c>
      <c r="I79" s="242">
        <f>IFERROR(MOD(H79-E79,1)-MOD(G79-F79,1),"")</f>
        <v>0.33333333333333337</v>
      </c>
      <c r="J79" s="240">
        <v>0.41666666666666669</v>
      </c>
      <c r="K79" s="241">
        <v>0.58333333333333337</v>
      </c>
      <c r="L79" s="241">
        <v>0.66666666666666663</v>
      </c>
      <c r="M79" s="240">
        <v>0.83333333333333337</v>
      </c>
      <c r="N79" s="242">
        <f t="shared" si="24"/>
        <v>0.33333333333333343</v>
      </c>
      <c r="O79" s="240">
        <v>0.375</v>
      </c>
      <c r="P79" s="241">
        <v>0.625</v>
      </c>
      <c r="Q79" s="241">
        <v>0.70833333333333337</v>
      </c>
      <c r="R79" s="240">
        <v>0.79166666666666663</v>
      </c>
      <c r="S79" s="242">
        <f t="shared" si="25"/>
        <v>0.33333333333333326</v>
      </c>
      <c r="T79" s="244" t="s">
        <v>178</v>
      </c>
      <c r="U79" s="241" t="s">
        <v>178</v>
      </c>
      <c r="V79" s="241" t="s">
        <v>178</v>
      </c>
      <c r="W79" s="244" t="s">
        <v>178</v>
      </c>
      <c r="X79" s="242" t="str">
        <f>IFERROR(MOD(W79-T79,1)-MOD(V79-U79,1),"")</f>
        <v/>
      </c>
      <c r="Y79" s="244" t="s">
        <v>178</v>
      </c>
      <c r="Z79" s="241" t="s">
        <v>178</v>
      </c>
      <c r="AA79" s="241" t="s">
        <v>178</v>
      </c>
      <c r="AB79" s="244" t="s">
        <v>178</v>
      </c>
      <c r="AC79" s="242" t="str">
        <f t="shared" si="26"/>
        <v/>
      </c>
      <c r="AD79" s="240">
        <v>0.29166666666666669</v>
      </c>
      <c r="AE79" s="241">
        <v>0.54166666666666663</v>
      </c>
      <c r="AF79" s="241">
        <v>0.625</v>
      </c>
      <c r="AG79" s="240">
        <v>0.70833333333333337</v>
      </c>
      <c r="AH79" s="242">
        <f t="shared" si="27"/>
        <v>0.33333333333333331</v>
      </c>
      <c r="AI79" s="240">
        <v>0.3125</v>
      </c>
      <c r="AJ79" s="241">
        <v>0.54166666666666663</v>
      </c>
      <c r="AK79" s="241">
        <v>0.625</v>
      </c>
      <c r="AL79" s="240">
        <v>0.72916666666666663</v>
      </c>
      <c r="AM79" s="242">
        <f>IFERROR(MOD(AL79-AI79,1)-MOD(AK79-AJ79,1),"")</f>
        <v>0.33333333333333326</v>
      </c>
    </row>
    <row r="80" spans="1:39" x14ac:dyDescent="0.2">
      <c r="A80" s="239" t="s">
        <v>279</v>
      </c>
      <c r="B80" s="262"/>
      <c r="C80" s="266" t="s">
        <v>343</v>
      </c>
      <c r="D80" s="253" t="s">
        <v>336</v>
      </c>
      <c r="E80" s="243">
        <v>0.83333333333333337</v>
      </c>
      <c r="F80" s="241"/>
      <c r="G80" s="241"/>
      <c r="H80" s="243">
        <v>1</v>
      </c>
      <c r="I80" s="242">
        <f>IFERROR(MOD(H80-E80,1)-MOD(G80-F80,1),"")</f>
        <v>0.16666666666666663</v>
      </c>
      <c r="J80" s="243">
        <v>0</v>
      </c>
      <c r="K80" s="241">
        <v>4.1666666666666664E-2</v>
      </c>
      <c r="L80" s="241">
        <v>0.125</v>
      </c>
      <c r="M80" s="243">
        <v>0.29166666666666669</v>
      </c>
      <c r="N80" s="242">
        <f t="shared" si="24"/>
        <v>0.20833333333333334</v>
      </c>
      <c r="O80" s="244" t="s">
        <v>178</v>
      </c>
      <c r="P80" s="241" t="s">
        <v>178</v>
      </c>
      <c r="Q80" s="241" t="s">
        <v>178</v>
      </c>
      <c r="R80" s="244" t="s">
        <v>178</v>
      </c>
      <c r="S80" s="242" t="str">
        <f t="shared" si="25"/>
        <v/>
      </c>
      <c r="T80" s="240">
        <v>0.27083333333333331</v>
      </c>
      <c r="U80" s="241">
        <v>0.41666666666666669</v>
      </c>
      <c r="V80" s="241">
        <v>0.5</v>
      </c>
      <c r="W80" s="240">
        <v>0.6875</v>
      </c>
      <c r="X80" s="242">
        <f>IFERROR(MOD(W80-T80,1)-MOD(V80-U80,1),"")</f>
        <v>0.33333333333333337</v>
      </c>
      <c r="Y80" s="240">
        <v>0.27083333333333331</v>
      </c>
      <c r="Z80" s="241">
        <v>0.41666666666666669</v>
      </c>
      <c r="AA80" s="241">
        <v>0.5</v>
      </c>
      <c r="AB80" s="240">
        <v>0.6875</v>
      </c>
      <c r="AC80" s="242">
        <f t="shared" si="26"/>
        <v>0.33333333333333337</v>
      </c>
      <c r="AD80" s="240">
        <v>0.54166666666666663</v>
      </c>
      <c r="AE80" s="241">
        <v>0.66666666666666663</v>
      </c>
      <c r="AF80" s="241">
        <v>0.70833333333333337</v>
      </c>
      <c r="AG80" s="240">
        <v>0.9375</v>
      </c>
      <c r="AH80" s="242">
        <f t="shared" si="27"/>
        <v>0.35416666666666663</v>
      </c>
      <c r="AI80" s="240">
        <v>0.5625</v>
      </c>
      <c r="AJ80" s="241">
        <v>0.79166666666666663</v>
      </c>
      <c r="AK80" s="241">
        <v>0.83333333333333337</v>
      </c>
      <c r="AL80" s="240">
        <v>0.9375</v>
      </c>
      <c r="AM80" s="242">
        <f>IFERROR(MOD(AL80-AI80,1)-MOD(AK80-AJ80,1),"")</f>
        <v>0.33333333333333326</v>
      </c>
    </row>
    <row r="81" spans="1:39" x14ac:dyDescent="0.2">
      <c r="A81" s="239" t="s">
        <v>280</v>
      </c>
      <c r="B81" s="262"/>
      <c r="C81" s="266" t="s">
        <v>343</v>
      </c>
      <c r="D81" s="253" t="s">
        <v>336</v>
      </c>
      <c r="E81" s="244" t="s">
        <v>178</v>
      </c>
      <c r="F81" s="241" t="s">
        <v>178</v>
      </c>
      <c r="G81" s="241" t="s">
        <v>178</v>
      </c>
      <c r="H81" s="244" t="s">
        <v>178</v>
      </c>
      <c r="I81" s="242" t="str">
        <f>IFERROR(MOD(H81-E81,1)-MOD(G81-F81,1),"")</f>
        <v/>
      </c>
      <c r="J81" s="244" t="s">
        <v>178</v>
      </c>
      <c r="K81" s="241" t="s">
        <v>178</v>
      </c>
      <c r="L81" s="241" t="s">
        <v>178</v>
      </c>
      <c r="M81" s="244" t="s">
        <v>178</v>
      </c>
      <c r="N81" s="242" t="str">
        <f t="shared" si="24"/>
        <v/>
      </c>
      <c r="O81" s="240">
        <v>0.33333333333333331</v>
      </c>
      <c r="P81" s="241">
        <v>0.58333333333333337</v>
      </c>
      <c r="Q81" s="241">
        <v>0.66666666666666663</v>
      </c>
      <c r="R81" s="240">
        <v>0.75</v>
      </c>
      <c r="S81" s="242">
        <f t="shared" si="25"/>
        <v>0.33333333333333343</v>
      </c>
      <c r="T81" s="240">
        <v>0.33333333333333331</v>
      </c>
      <c r="U81" s="241">
        <v>0.58333333333333337</v>
      </c>
      <c r="V81" s="241">
        <v>0.66666666666666663</v>
      </c>
      <c r="W81" s="240">
        <v>0.75</v>
      </c>
      <c r="X81" s="242">
        <f>IFERROR(MOD(W81-T81,1)-MOD(V81-U81,1),"")</f>
        <v>0.33333333333333343</v>
      </c>
      <c r="Y81" s="240">
        <v>0.41666666666666669</v>
      </c>
      <c r="Z81" s="241">
        <v>0.66666666666666663</v>
      </c>
      <c r="AA81" s="241">
        <v>0.75</v>
      </c>
      <c r="AB81" s="240">
        <v>0.83333333333333337</v>
      </c>
      <c r="AC81" s="242">
        <f t="shared" si="26"/>
        <v>0.33333333333333331</v>
      </c>
      <c r="AD81" s="240">
        <v>0.54166666666666663</v>
      </c>
      <c r="AE81" s="241">
        <v>0.66666666666666663</v>
      </c>
      <c r="AF81" s="241">
        <v>0.70833333333333337</v>
      </c>
      <c r="AG81" s="240">
        <v>0.91666666666666663</v>
      </c>
      <c r="AH81" s="242">
        <f t="shared" si="27"/>
        <v>0.33333333333333326</v>
      </c>
      <c r="AI81" s="240">
        <v>0.375</v>
      </c>
      <c r="AJ81" s="241">
        <v>0.625</v>
      </c>
      <c r="AK81" s="241">
        <v>0.70833333333333337</v>
      </c>
      <c r="AL81" s="240">
        <v>0.79166666666666663</v>
      </c>
      <c r="AM81" s="242">
        <f>IFERROR(MOD(AL81-AI81,1)-MOD(AK81-AJ81,1),"")</f>
        <v>0.33333333333333326</v>
      </c>
    </row>
    <row r="82" spans="1:39" x14ac:dyDescent="0.2">
      <c r="A82" s="239" t="s">
        <v>281</v>
      </c>
      <c r="B82" s="262"/>
      <c r="C82" s="266" t="s">
        <v>343</v>
      </c>
      <c r="D82" s="253" t="s">
        <v>336</v>
      </c>
      <c r="E82" s="240">
        <v>0.27083333333333331</v>
      </c>
      <c r="F82" s="241">
        <v>0.5</v>
      </c>
      <c r="G82" s="241">
        <v>0.58333333333333337</v>
      </c>
      <c r="H82" s="240">
        <v>0.6875</v>
      </c>
      <c r="I82" s="242">
        <f>IFERROR(MOD(H82-E82,1)-MOD(G82-F82,1),"")</f>
        <v>0.33333333333333331</v>
      </c>
      <c r="J82" s="240">
        <v>0.41666666666666669</v>
      </c>
      <c r="K82" s="241">
        <v>0.66666666666666663</v>
      </c>
      <c r="L82" s="241">
        <v>0.75</v>
      </c>
      <c r="M82" s="240">
        <v>0.83333333333333337</v>
      </c>
      <c r="N82" s="242">
        <f t="shared" si="24"/>
        <v>0.33333333333333331</v>
      </c>
      <c r="O82" s="240">
        <v>0.41666666666666669</v>
      </c>
      <c r="P82" s="241">
        <v>0.625</v>
      </c>
      <c r="Q82" s="241">
        <v>0.70833333333333337</v>
      </c>
      <c r="R82" s="240">
        <v>0.83333333333333337</v>
      </c>
      <c r="S82" s="242">
        <f t="shared" si="25"/>
        <v>0.33333333333333331</v>
      </c>
      <c r="T82" s="240">
        <v>0.5</v>
      </c>
      <c r="U82" s="241">
        <v>0.70833333333333337</v>
      </c>
      <c r="V82" s="241">
        <v>0.75</v>
      </c>
      <c r="W82" s="240">
        <v>0.875</v>
      </c>
      <c r="X82" s="242">
        <f>IFERROR(MOD(W82-T82,1)-MOD(V82-U82,1),"")</f>
        <v>0.33333333333333337</v>
      </c>
      <c r="Y82" s="240">
        <v>0.54166666666666663</v>
      </c>
      <c r="Z82" s="241">
        <v>0.79166666666666663</v>
      </c>
      <c r="AA82" s="241">
        <v>0.83333333333333337</v>
      </c>
      <c r="AB82" s="240">
        <v>0.9375</v>
      </c>
      <c r="AC82" s="242">
        <f t="shared" si="26"/>
        <v>0.35416666666666663</v>
      </c>
      <c r="AD82" s="244" t="s">
        <v>178</v>
      </c>
      <c r="AE82" s="241" t="s">
        <v>178</v>
      </c>
      <c r="AF82" s="241" t="s">
        <v>178</v>
      </c>
      <c r="AG82" s="244" t="s">
        <v>178</v>
      </c>
      <c r="AH82" s="242" t="str">
        <f t="shared" si="27"/>
        <v/>
      </c>
      <c r="AI82" s="244" t="s">
        <v>178</v>
      </c>
      <c r="AJ82" s="241" t="s">
        <v>178</v>
      </c>
      <c r="AK82" s="241" t="s">
        <v>178</v>
      </c>
      <c r="AL82" s="244" t="s">
        <v>178</v>
      </c>
      <c r="AM82" s="242" t="str">
        <f>IFERROR(MOD(AL82-AI82,1)-MOD(AK82-AJ82,1),"")</f>
        <v/>
      </c>
    </row>
    <row r="83" spans="1:39" x14ac:dyDescent="0.2">
      <c r="A83" s="239" t="s">
        <v>282</v>
      </c>
      <c r="B83" s="262"/>
      <c r="C83" s="266" t="s">
        <v>343</v>
      </c>
      <c r="D83" s="253" t="s">
        <v>336</v>
      </c>
      <c r="E83" s="243">
        <v>0</v>
      </c>
      <c r="F83" s="241">
        <v>0.29166666666666669</v>
      </c>
      <c r="G83" s="241">
        <v>0.83333333333333337</v>
      </c>
      <c r="H83" s="243">
        <v>1</v>
      </c>
      <c r="I83" s="242">
        <v>0.33333333333333331</v>
      </c>
      <c r="J83" s="243">
        <v>0</v>
      </c>
      <c r="K83" s="241">
        <v>0.125</v>
      </c>
      <c r="L83" s="241">
        <v>0.20833333333333334</v>
      </c>
      <c r="M83" s="243">
        <v>0.29166666666666669</v>
      </c>
      <c r="N83" s="242">
        <f t="shared" si="24"/>
        <v>0.20833333333333334</v>
      </c>
      <c r="O83" s="243">
        <v>0.83333333333333337</v>
      </c>
      <c r="P83" s="241"/>
      <c r="Q83" s="241"/>
      <c r="R83" s="243">
        <v>1</v>
      </c>
      <c r="S83" s="242">
        <f t="shared" si="25"/>
        <v>0.16666666666666663</v>
      </c>
      <c r="T83" s="243">
        <v>0</v>
      </c>
      <c r="U83" s="241">
        <v>0.29166666666666669</v>
      </c>
      <c r="V83" s="241">
        <v>0.83333333333333337</v>
      </c>
      <c r="W83" s="243">
        <v>1</v>
      </c>
      <c r="X83" s="242">
        <v>0.375</v>
      </c>
      <c r="Y83" s="243">
        <v>0</v>
      </c>
      <c r="Z83" s="241">
        <v>0.125</v>
      </c>
      <c r="AA83" s="241">
        <v>0.20833333333333334</v>
      </c>
      <c r="AB83" s="243">
        <v>0.29166666666666669</v>
      </c>
      <c r="AC83" s="242">
        <f t="shared" si="26"/>
        <v>0.20833333333333334</v>
      </c>
      <c r="AD83" s="243">
        <v>0.83333333333333337</v>
      </c>
      <c r="AE83" s="241"/>
      <c r="AF83" s="241"/>
      <c r="AG83" s="243">
        <v>1</v>
      </c>
      <c r="AH83" s="242">
        <f t="shared" si="27"/>
        <v>0.16666666666666663</v>
      </c>
      <c r="AI83" s="243">
        <v>0</v>
      </c>
      <c r="AJ83" s="241">
        <v>0.29166666666666669</v>
      </c>
      <c r="AK83" s="241">
        <v>0.83333333333333337</v>
      </c>
      <c r="AL83" s="246">
        <v>1</v>
      </c>
      <c r="AM83" s="242">
        <v>0.375</v>
      </c>
    </row>
    <row r="84" spans="1:39" x14ac:dyDescent="0.2">
      <c r="A84" s="239" t="s">
        <v>283</v>
      </c>
      <c r="B84" s="262" t="s">
        <v>353</v>
      </c>
      <c r="C84" s="266" t="s">
        <v>343</v>
      </c>
      <c r="D84" s="253" t="s">
        <v>336</v>
      </c>
      <c r="E84" s="243">
        <v>1</v>
      </c>
      <c r="F84" s="241">
        <v>8.3333333333333329E-2</v>
      </c>
      <c r="G84" s="241">
        <v>0.16666666666666666</v>
      </c>
      <c r="H84" s="243">
        <v>0.29166666666666669</v>
      </c>
      <c r="I84" s="242">
        <f t="shared" ref="I84:I115" si="28">IFERROR(MOD(H84-E84,1)-MOD(G84-F84,1),"")</f>
        <v>0.20833333333333343</v>
      </c>
      <c r="J84" s="244" t="s">
        <v>178</v>
      </c>
      <c r="K84" s="241" t="s">
        <v>178</v>
      </c>
      <c r="L84" s="241" t="s">
        <v>178</v>
      </c>
      <c r="M84" s="244" t="s">
        <v>178</v>
      </c>
      <c r="N84" s="242" t="str">
        <f t="shared" si="24"/>
        <v/>
      </c>
      <c r="O84" s="240">
        <v>0.66666666666666663</v>
      </c>
      <c r="P84" s="241"/>
      <c r="Q84" s="241"/>
      <c r="R84" s="240">
        <v>0.9375</v>
      </c>
      <c r="S84" s="242">
        <f t="shared" si="25"/>
        <v>0.27083333333333337</v>
      </c>
      <c r="T84" s="240">
        <v>0.66666666666666663</v>
      </c>
      <c r="U84" s="241"/>
      <c r="V84" s="241"/>
      <c r="W84" s="240">
        <v>0.9375</v>
      </c>
      <c r="X84" s="242">
        <f t="shared" ref="X84:X100" si="29">IFERROR(MOD(W84-T84,1)-MOD(V84-U84,1),"")</f>
        <v>0.27083333333333337</v>
      </c>
      <c r="Y84" s="243">
        <v>0.83333333333333337</v>
      </c>
      <c r="Z84" s="241"/>
      <c r="AA84" s="241"/>
      <c r="AB84" s="243">
        <v>1</v>
      </c>
      <c r="AC84" s="242">
        <f t="shared" si="26"/>
        <v>0.16666666666666663</v>
      </c>
      <c r="AD84" s="243">
        <v>0</v>
      </c>
      <c r="AE84" s="241">
        <v>0.29166666666666669</v>
      </c>
      <c r="AF84" s="241">
        <v>0.83333333333333337</v>
      </c>
      <c r="AG84" s="243">
        <v>1</v>
      </c>
      <c r="AH84" s="242">
        <v>0.375</v>
      </c>
      <c r="AI84" s="243">
        <v>0</v>
      </c>
      <c r="AJ84" s="241">
        <v>0.125</v>
      </c>
      <c r="AK84" s="241">
        <v>0.20833333333333334</v>
      </c>
      <c r="AL84" s="243">
        <v>0.29166666666666669</v>
      </c>
      <c r="AM84" s="242">
        <f t="shared" ref="AM84:AM115" si="30">IFERROR(MOD(AL84-AI84,1)-MOD(AK84-AJ84,1),"")</f>
        <v>0.20833333333333334</v>
      </c>
    </row>
    <row r="85" spans="1:39" x14ac:dyDescent="0.2">
      <c r="A85" s="239" t="s">
        <v>284</v>
      </c>
      <c r="B85" s="262">
        <v>7</v>
      </c>
      <c r="C85" s="266" t="s">
        <v>343</v>
      </c>
      <c r="D85" s="253" t="s">
        <v>336</v>
      </c>
      <c r="E85" s="244" t="s">
        <v>178</v>
      </c>
      <c r="F85" s="241" t="s">
        <v>178</v>
      </c>
      <c r="G85" s="241" t="s">
        <v>178</v>
      </c>
      <c r="H85" s="244" t="s">
        <v>178</v>
      </c>
      <c r="I85" s="242" t="str">
        <f t="shared" si="28"/>
        <v/>
      </c>
      <c r="J85" s="244" t="s">
        <v>178</v>
      </c>
      <c r="K85" s="241" t="s">
        <v>178</v>
      </c>
      <c r="L85" s="241" t="s">
        <v>178</v>
      </c>
      <c r="M85" s="244" t="s">
        <v>178</v>
      </c>
      <c r="N85" s="242" t="str">
        <f t="shared" si="24"/>
        <v/>
      </c>
      <c r="O85" s="240">
        <v>0.33333333333333331</v>
      </c>
      <c r="P85" s="241">
        <v>0.58333333333333337</v>
      </c>
      <c r="Q85" s="241">
        <v>0.625</v>
      </c>
      <c r="R85" s="240">
        <v>0.66666666666666663</v>
      </c>
      <c r="S85" s="242">
        <f t="shared" si="25"/>
        <v>0.29166666666666669</v>
      </c>
      <c r="T85" s="240">
        <v>0.33333333333333331</v>
      </c>
      <c r="U85" s="241">
        <v>0.58333333333333337</v>
      </c>
      <c r="V85" s="241">
        <v>0.625</v>
      </c>
      <c r="W85" s="240">
        <v>0.66666666666666663</v>
      </c>
      <c r="X85" s="242">
        <f t="shared" si="29"/>
        <v>0.29166666666666669</v>
      </c>
      <c r="Y85" s="240">
        <v>0.33333333333333331</v>
      </c>
      <c r="Z85" s="241">
        <v>0.58333333333333337</v>
      </c>
      <c r="AA85" s="241">
        <v>0.625</v>
      </c>
      <c r="AB85" s="240">
        <v>0.66666666666666663</v>
      </c>
      <c r="AC85" s="242">
        <f t="shared" si="26"/>
        <v>0.29166666666666669</v>
      </c>
      <c r="AD85" s="240">
        <v>0.33333333333333331</v>
      </c>
      <c r="AE85" s="241">
        <v>0.58333333333333337</v>
      </c>
      <c r="AF85" s="241">
        <v>0.625</v>
      </c>
      <c r="AG85" s="240">
        <v>0.66666666666666663</v>
      </c>
      <c r="AH85" s="242">
        <f t="shared" ref="AH85:AH116" si="31">IFERROR(MOD(AG85-AD85,1)-MOD(AF85-AE85,1),"")</f>
        <v>0.29166666666666669</v>
      </c>
      <c r="AI85" s="240">
        <v>0.33333333333333331</v>
      </c>
      <c r="AJ85" s="241">
        <v>0.58333333333333337</v>
      </c>
      <c r="AK85" s="241">
        <v>0.625</v>
      </c>
      <c r="AL85" s="240">
        <v>0.66666666666666663</v>
      </c>
      <c r="AM85" s="242">
        <f t="shared" si="30"/>
        <v>0.29166666666666669</v>
      </c>
    </row>
    <row r="86" spans="1:39" x14ac:dyDescent="0.2">
      <c r="A86" s="239" t="s">
        <v>285</v>
      </c>
      <c r="B86" s="262" t="s">
        <v>347</v>
      </c>
      <c r="C86" s="266" t="s">
        <v>343</v>
      </c>
      <c r="D86" s="253" t="s">
        <v>336</v>
      </c>
      <c r="E86" s="240">
        <v>0.35416666666666669</v>
      </c>
      <c r="F86" s="241">
        <v>0.54166666666666663</v>
      </c>
      <c r="G86" s="241">
        <v>0.58333333333333337</v>
      </c>
      <c r="H86" s="240">
        <v>0.6875</v>
      </c>
      <c r="I86" s="242">
        <f t="shared" si="28"/>
        <v>0.29166666666666657</v>
      </c>
      <c r="J86" s="240">
        <v>0.35416666666666669</v>
      </c>
      <c r="K86" s="241">
        <v>0.54166666666666663</v>
      </c>
      <c r="L86" s="241">
        <v>0.58333333333333337</v>
      </c>
      <c r="M86" s="240">
        <v>0.6875</v>
      </c>
      <c r="N86" s="242">
        <f t="shared" si="24"/>
        <v>0.29166666666666657</v>
      </c>
      <c r="O86" s="240">
        <v>0.35416666666666669</v>
      </c>
      <c r="P86" s="241">
        <v>0.58333333333333337</v>
      </c>
      <c r="Q86" s="241">
        <v>0.625</v>
      </c>
      <c r="R86" s="240">
        <v>0.6875</v>
      </c>
      <c r="S86" s="242">
        <f t="shared" si="25"/>
        <v>0.29166666666666669</v>
      </c>
      <c r="T86" s="240">
        <v>0.35416666666666669</v>
      </c>
      <c r="U86" s="241">
        <v>0.58333333333333337</v>
      </c>
      <c r="V86" s="241">
        <v>0.625</v>
      </c>
      <c r="W86" s="240">
        <v>0.6875</v>
      </c>
      <c r="X86" s="242">
        <f t="shared" si="29"/>
        <v>0.29166666666666669</v>
      </c>
      <c r="Y86" s="240">
        <v>0.35416666666666669</v>
      </c>
      <c r="Z86" s="241">
        <v>0.54166666666666663</v>
      </c>
      <c r="AA86" s="241">
        <v>0.58333333333333337</v>
      </c>
      <c r="AB86" s="240">
        <v>0.6875</v>
      </c>
      <c r="AC86" s="242">
        <f t="shared" si="26"/>
        <v>0.29166666666666657</v>
      </c>
      <c r="AD86" s="244" t="s">
        <v>178</v>
      </c>
      <c r="AE86" s="241" t="s">
        <v>178</v>
      </c>
      <c r="AF86" s="241" t="s">
        <v>178</v>
      </c>
      <c r="AG86" s="244" t="s">
        <v>178</v>
      </c>
      <c r="AH86" s="242" t="str">
        <f t="shared" si="31"/>
        <v/>
      </c>
      <c r="AI86" s="244" t="s">
        <v>178</v>
      </c>
      <c r="AJ86" s="241" t="s">
        <v>178</v>
      </c>
      <c r="AK86" s="241" t="s">
        <v>178</v>
      </c>
      <c r="AL86" s="244" t="s">
        <v>178</v>
      </c>
      <c r="AM86" s="242" t="str">
        <f t="shared" si="30"/>
        <v/>
      </c>
    </row>
    <row r="87" spans="1:39" x14ac:dyDescent="0.2">
      <c r="A87" s="239" t="s">
        <v>286</v>
      </c>
      <c r="B87" s="262" t="s">
        <v>347</v>
      </c>
      <c r="C87" s="266" t="s">
        <v>343</v>
      </c>
      <c r="D87" s="253" t="s">
        <v>336</v>
      </c>
      <c r="E87" s="240">
        <v>0.35416666666666669</v>
      </c>
      <c r="F87" s="241">
        <v>0.54166666666666663</v>
      </c>
      <c r="G87" s="241">
        <v>0.58333333333333337</v>
      </c>
      <c r="H87" s="240">
        <v>0.6875</v>
      </c>
      <c r="I87" s="242">
        <f t="shared" si="28"/>
        <v>0.29166666666666657</v>
      </c>
      <c r="J87" s="240">
        <v>0.35416666666666669</v>
      </c>
      <c r="K87" s="241">
        <v>0.54166666666666663</v>
      </c>
      <c r="L87" s="241">
        <v>0.58333333333333337</v>
      </c>
      <c r="M87" s="240">
        <v>0.6875</v>
      </c>
      <c r="N87" s="242">
        <f t="shared" si="24"/>
        <v>0.29166666666666657</v>
      </c>
      <c r="O87" s="240">
        <v>0.35416666666666669</v>
      </c>
      <c r="P87" s="241">
        <v>0.58333333333333337</v>
      </c>
      <c r="Q87" s="241">
        <v>0.625</v>
      </c>
      <c r="R87" s="240">
        <v>0.6875</v>
      </c>
      <c r="S87" s="242">
        <f t="shared" si="25"/>
        <v>0.29166666666666669</v>
      </c>
      <c r="T87" s="240">
        <v>0.35416666666666669</v>
      </c>
      <c r="U87" s="241">
        <v>0.58333333333333337</v>
      </c>
      <c r="V87" s="241">
        <v>0.625</v>
      </c>
      <c r="W87" s="240">
        <v>0.6875</v>
      </c>
      <c r="X87" s="242">
        <f t="shared" si="29"/>
        <v>0.29166666666666669</v>
      </c>
      <c r="Y87" s="244" t="s">
        <v>178</v>
      </c>
      <c r="Z87" s="241" t="s">
        <v>178</v>
      </c>
      <c r="AA87" s="241" t="s">
        <v>178</v>
      </c>
      <c r="AB87" s="244" t="s">
        <v>178</v>
      </c>
      <c r="AC87" s="242" t="str">
        <f t="shared" si="26"/>
        <v/>
      </c>
      <c r="AD87" s="240">
        <v>0.35416666666666669</v>
      </c>
      <c r="AE87" s="241">
        <v>0.54166666666666663</v>
      </c>
      <c r="AF87" s="241">
        <v>0.58333333333333337</v>
      </c>
      <c r="AG87" s="240">
        <v>0.6875</v>
      </c>
      <c r="AH87" s="242">
        <f t="shared" si="31"/>
        <v>0.29166666666666657</v>
      </c>
      <c r="AI87" s="244" t="s">
        <v>178</v>
      </c>
      <c r="AJ87" s="241" t="s">
        <v>178</v>
      </c>
      <c r="AK87" s="241" t="s">
        <v>178</v>
      </c>
      <c r="AL87" s="244" t="s">
        <v>178</v>
      </c>
      <c r="AM87" s="242" t="str">
        <f t="shared" si="30"/>
        <v/>
      </c>
    </row>
    <row r="88" spans="1:39" x14ac:dyDescent="0.2">
      <c r="A88" s="250" t="s">
        <v>192</v>
      </c>
      <c r="B88" s="262"/>
      <c r="C88" s="266" t="s">
        <v>343</v>
      </c>
      <c r="D88" s="251" t="s">
        <v>199</v>
      </c>
      <c r="E88" s="244" t="s">
        <v>178</v>
      </c>
      <c r="F88" s="241" t="s">
        <v>178</v>
      </c>
      <c r="G88" s="241" t="s">
        <v>178</v>
      </c>
      <c r="H88" s="244" t="s">
        <v>178</v>
      </c>
      <c r="I88" s="242" t="str">
        <f t="shared" si="28"/>
        <v/>
      </c>
      <c r="J88" s="240">
        <v>0.33333333333333331</v>
      </c>
      <c r="K88" s="241">
        <v>0.54166666666666663</v>
      </c>
      <c r="L88" s="241">
        <v>0.625</v>
      </c>
      <c r="M88" s="240">
        <v>0.75</v>
      </c>
      <c r="N88" s="242">
        <f t="shared" si="24"/>
        <v>0.33333333333333331</v>
      </c>
      <c r="O88" s="240">
        <v>0.29166666666666669</v>
      </c>
      <c r="P88" s="241">
        <v>0.54166666666666663</v>
      </c>
      <c r="Q88" s="241">
        <v>0.625</v>
      </c>
      <c r="R88" s="240">
        <v>0.70833333333333337</v>
      </c>
      <c r="S88" s="242">
        <f t="shared" si="25"/>
        <v>0.33333333333333331</v>
      </c>
      <c r="T88" s="240">
        <v>0.54166666666666663</v>
      </c>
      <c r="U88" s="241">
        <v>0.70833333333333337</v>
      </c>
      <c r="V88" s="241">
        <v>0.75</v>
      </c>
      <c r="W88" s="240">
        <v>0.91666666666666663</v>
      </c>
      <c r="X88" s="242">
        <f t="shared" si="29"/>
        <v>0.33333333333333337</v>
      </c>
      <c r="Y88" s="240">
        <v>0.5</v>
      </c>
      <c r="Z88" s="241">
        <v>0.54166666666666663</v>
      </c>
      <c r="AA88" s="241">
        <v>0.625</v>
      </c>
      <c r="AB88" s="240">
        <v>0.91666666666666663</v>
      </c>
      <c r="AC88" s="242">
        <f t="shared" si="26"/>
        <v>0.33333333333333326</v>
      </c>
      <c r="AD88" s="240">
        <v>0.54166666666666663</v>
      </c>
      <c r="AE88" s="241">
        <v>0.625</v>
      </c>
      <c r="AF88" s="241">
        <v>0.66666666666666663</v>
      </c>
      <c r="AG88" s="240">
        <v>0.91666666666666663</v>
      </c>
      <c r="AH88" s="242">
        <f t="shared" si="31"/>
        <v>0.33333333333333337</v>
      </c>
      <c r="AI88" s="244" t="s">
        <v>178</v>
      </c>
      <c r="AJ88" s="241" t="s">
        <v>178</v>
      </c>
      <c r="AK88" s="241" t="s">
        <v>178</v>
      </c>
      <c r="AL88" s="244" t="s">
        <v>178</v>
      </c>
      <c r="AM88" s="242" t="str">
        <f t="shared" si="30"/>
        <v/>
      </c>
    </row>
    <row r="89" spans="1:39" x14ac:dyDescent="0.2">
      <c r="A89" s="250" t="s">
        <v>198</v>
      </c>
      <c r="B89" s="262">
        <v>305</v>
      </c>
      <c r="C89" s="266" t="s">
        <v>343</v>
      </c>
      <c r="D89" s="251" t="s">
        <v>199</v>
      </c>
      <c r="E89" s="240">
        <v>0.29166666666666669</v>
      </c>
      <c r="F89" s="241">
        <v>0.54166666666666663</v>
      </c>
      <c r="G89" s="241">
        <v>0.625</v>
      </c>
      <c r="H89" s="240">
        <v>0.70833333333333337</v>
      </c>
      <c r="I89" s="242">
        <f t="shared" si="28"/>
        <v>0.33333333333333331</v>
      </c>
      <c r="J89" s="244" t="s">
        <v>178</v>
      </c>
      <c r="K89" s="241" t="s">
        <v>178</v>
      </c>
      <c r="L89" s="241" t="s">
        <v>178</v>
      </c>
      <c r="M89" s="244" t="s">
        <v>178</v>
      </c>
      <c r="N89" s="242" t="str">
        <f t="shared" si="24"/>
        <v/>
      </c>
      <c r="O89" s="244" t="s">
        <v>178</v>
      </c>
      <c r="P89" s="241" t="s">
        <v>178</v>
      </c>
      <c r="Q89" s="241" t="s">
        <v>178</v>
      </c>
      <c r="R89" s="244" t="s">
        <v>178</v>
      </c>
      <c r="S89" s="242" t="str">
        <f t="shared" si="25"/>
        <v/>
      </c>
      <c r="T89" s="240">
        <v>0.29166666666666669</v>
      </c>
      <c r="U89" s="241">
        <v>0.54166666666666663</v>
      </c>
      <c r="V89" s="241">
        <v>0.625</v>
      </c>
      <c r="W89" s="240">
        <v>0.70833333333333337</v>
      </c>
      <c r="X89" s="242">
        <f t="shared" si="29"/>
        <v>0.33333333333333331</v>
      </c>
      <c r="Y89" s="240">
        <v>0.29166666666666669</v>
      </c>
      <c r="Z89" s="241">
        <v>0.54166666666666663</v>
      </c>
      <c r="AA89" s="241">
        <v>0.625</v>
      </c>
      <c r="AB89" s="240">
        <v>0.70833333333333337</v>
      </c>
      <c r="AC89" s="242">
        <f t="shared" si="26"/>
        <v>0.33333333333333331</v>
      </c>
      <c r="AD89" s="240">
        <v>0.54166666666666663</v>
      </c>
      <c r="AE89" s="241">
        <v>0.70833333333333337</v>
      </c>
      <c r="AF89" s="241">
        <v>0.75</v>
      </c>
      <c r="AG89" s="240">
        <v>0.91666666666666663</v>
      </c>
      <c r="AH89" s="242">
        <f t="shared" si="31"/>
        <v>0.33333333333333337</v>
      </c>
      <c r="AI89" s="240">
        <v>0.54166666666666663</v>
      </c>
      <c r="AJ89" s="241">
        <v>0.66666666666666663</v>
      </c>
      <c r="AK89" s="241">
        <v>0.70833333333333337</v>
      </c>
      <c r="AL89" s="240">
        <v>0.91666666666666663</v>
      </c>
      <c r="AM89" s="242">
        <f t="shared" si="30"/>
        <v>0.33333333333333326</v>
      </c>
    </row>
    <row r="90" spans="1:39" x14ac:dyDescent="0.2">
      <c r="A90" s="239" t="s">
        <v>287</v>
      </c>
      <c r="B90" s="262"/>
      <c r="C90" s="266" t="s">
        <v>355</v>
      </c>
      <c r="D90" s="253" t="s">
        <v>336</v>
      </c>
      <c r="E90" s="240" t="s">
        <v>339</v>
      </c>
      <c r="F90" s="241" t="s">
        <v>339</v>
      </c>
      <c r="G90" s="241" t="s">
        <v>339</v>
      </c>
      <c r="H90" s="240" t="s">
        <v>339</v>
      </c>
      <c r="I90" s="242" t="str">
        <f t="shared" si="28"/>
        <v/>
      </c>
      <c r="J90" s="240" t="s">
        <v>339</v>
      </c>
      <c r="K90" s="241" t="s">
        <v>339</v>
      </c>
      <c r="L90" s="241" t="s">
        <v>339</v>
      </c>
      <c r="M90" s="240" t="s">
        <v>339</v>
      </c>
      <c r="N90" s="242" t="str">
        <f t="shared" si="24"/>
        <v/>
      </c>
      <c r="O90" s="240" t="s">
        <v>339</v>
      </c>
      <c r="P90" s="241" t="s">
        <v>339</v>
      </c>
      <c r="Q90" s="241" t="s">
        <v>339</v>
      </c>
      <c r="R90" s="240" t="s">
        <v>339</v>
      </c>
      <c r="S90" s="242" t="str">
        <f t="shared" si="25"/>
        <v/>
      </c>
      <c r="T90" s="240" t="s">
        <v>339</v>
      </c>
      <c r="U90" s="241" t="s">
        <v>339</v>
      </c>
      <c r="V90" s="241" t="s">
        <v>339</v>
      </c>
      <c r="W90" s="240" t="s">
        <v>339</v>
      </c>
      <c r="X90" s="242" t="str">
        <f t="shared" si="29"/>
        <v/>
      </c>
      <c r="Y90" s="240" t="s">
        <v>339</v>
      </c>
      <c r="Z90" s="241" t="s">
        <v>339</v>
      </c>
      <c r="AA90" s="241" t="s">
        <v>339</v>
      </c>
      <c r="AB90" s="240" t="s">
        <v>339</v>
      </c>
      <c r="AC90" s="242" t="str">
        <f t="shared" si="26"/>
        <v/>
      </c>
      <c r="AD90" s="240" t="s">
        <v>339</v>
      </c>
      <c r="AE90" s="241" t="s">
        <v>339</v>
      </c>
      <c r="AF90" s="241" t="s">
        <v>339</v>
      </c>
      <c r="AG90" s="240" t="s">
        <v>339</v>
      </c>
      <c r="AH90" s="242" t="str">
        <f t="shared" si="31"/>
        <v/>
      </c>
      <c r="AI90" s="240" t="s">
        <v>339</v>
      </c>
      <c r="AJ90" s="241" t="s">
        <v>339</v>
      </c>
      <c r="AK90" s="241" t="s">
        <v>339</v>
      </c>
      <c r="AL90" s="240" t="s">
        <v>339</v>
      </c>
      <c r="AM90" s="242" t="str">
        <f t="shared" si="30"/>
        <v/>
      </c>
    </row>
    <row r="91" spans="1:39" x14ac:dyDescent="0.2">
      <c r="A91" s="239" t="s">
        <v>288</v>
      </c>
      <c r="B91" s="262" t="s">
        <v>350</v>
      </c>
      <c r="C91" s="267" t="s">
        <v>344</v>
      </c>
      <c r="D91" s="253" t="s">
        <v>336</v>
      </c>
      <c r="E91" s="240">
        <v>0.41666666666666669</v>
      </c>
      <c r="F91" s="241">
        <v>0.58333333333333337</v>
      </c>
      <c r="G91" s="241">
        <v>0.83333333333333337</v>
      </c>
      <c r="H91" s="240">
        <v>1</v>
      </c>
      <c r="I91" s="242">
        <f t="shared" si="28"/>
        <v>0.33333333333333326</v>
      </c>
      <c r="J91" s="240">
        <v>0.5</v>
      </c>
      <c r="K91" s="241">
        <v>0.66666666666666663</v>
      </c>
      <c r="L91" s="241">
        <v>0.83333333333333337</v>
      </c>
      <c r="M91" s="240">
        <v>1</v>
      </c>
      <c r="N91" s="242">
        <f t="shared" si="24"/>
        <v>0.33333333333333326</v>
      </c>
      <c r="O91" s="240">
        <v>0.54166666666666663</v>
      </c>
      <c r="P91" s="241">
        <v>0.70833333333333337</v>
      </c>
      <c r="Q91" s="241">
        <v>0.83333333333333337</v>
      </c>
      <c r="R91" s="240">
        <v>1</v>
      </c>
      <c r="S91" s="242">
        <f t="shared" si="25"/>
        <v>0.33333333333333337</v>
      </c>
      <c r="T91" s="244" t="s">
        <v>178</v>
      </c>
      <c r="U91" s="241" t="s">
        <v>178</v>
      </c>
      <c r="V91" s="241" t="s">
        <v>178</v>
      </c>
      <c r="W91" s="244" t="s">
        <v>178</v>
      </c>
      <c r="X91" s="242" t="str">
        <f t="shared" si="29"/>
        <v/>
      </c>
      <c r="Y91" s="244" t="s">
        <v>178</v>
      </c>
      <c r="Z91" s="241" t="s">
        <v>178</v>
      </c>
      <c r="AA91" s="241" t="s">
        <v>178</v>
      </c>
      <c r="AB91" s="244" t="s">
        <v>178</v>
      </c>
      <c r="AC91" s="242" t="str">
        <f t="shared" si="26"/>
        <v/>
      </c>
      <c r="AD91" s="240">
        <v>0.27083333333333331</v>
      </c>
      <c r="AE91" s="241">
        <v>0.39583333333333331</v>
      </c>
      <c r="AF91" s="241">
        <v>0.79166666666666663</v>
      </c>
      <c r="AG91" s="240">
        <v>1</v>
      </c>
      <c r="AH91" s="242">
        <f t="shared" si="31"/>
        <v>0.33333333333333343</v>
      </c>
      <c r="AI91" s="240">
        <v>0.27083333333333331</v>
      </c>
      <c r="AJ91" s="241">
        <v>0.41666666666666669</v>
      </c>
      <c r="AK91" s="241">
        <v>0.8125</v>
      </c>
      <c r="AL91" s="240">
        <v>1</v>
      </c>
      <c r="AM91" s="242">
        <f t="shared" si="30"/>
        <v>0.33333333333333343</v>
      </c>
    </row>
    <row r="92" spans="1:39" x14ac:dyDescent="0.2">
      <c r="A92" s="239" t="s">
        <v>289</v>
      </c>
      <c r="B92" s="262" t="s">
        <v>350</v>
      </c>
      <c r="C92" s="267" t="s">
        <v>344</v>
      </c>
      <c r="D92" s="253" t="s">
        <v>336</v>
      </c>
      <c r="E92" s="244" t="s">
        <v>178</v>
      </c>
      <c r="F92" s="241" t="s">
        <v>178</v>
      </c>
      <c r="G92" s="241" t="s">
        <v>178</v>
      </c>
      <c r="H92" s="244" t="s">
        <v>178</v>
      </c>
      <c r="I92" s="242" t="str">
        <f t="shared" si="28"/>
        <v/>
      </c>
      <c r="J92" s="244" t="s">
        <v>178</v>
      </c>
      <c r="K92" s="241" t="s">
        <v>178</v>
      </c>
      <c r="L92" s="241" t="s">
        <v>178</v>
      </c>
      <c r="M92" s="244" t="s">
        <v>178</v>
      </c>
      <c r="N92" s="242" t="str">
        <f t="shared" si="24"/>
        <v/>
      </c>
      <c r="O92" s="240">
        <v>0</v>
      </c>
      <c r="P92" s="241">
        <v>0.16666666666666666</v>
      </c>
      <c r="Q92" s="241">
        <v>0.83333333333333337</v>
      </c>
      <c r="R92" s="240">
        <v>1</v>
      </c>
      <c r="S92" s="242">
        <v>0.33333333333333331</v>
      </c>
      <c r="T92" s="240">
        <v>0.5</v>
      </c>
      <c r="U92" s="241">
        <v>0.66666666666666663</v>
      </c>
      <c r="V92" s="241">
        <v>0.79166666666666663</v>
      </c>
      <c r="W92" s="240">
        <v>1</v>
      </c>
      <c r="X92" s="242">
        <f t="shared" si="29"/>
        <v>0.375</v>
      </c>
      <c r="Y92" s="240">
        <v>0.41666666666666669</v>
      </c>
      <c r="Z92" s="241">
        <v>0.66666666666666663</v>
      </c>
      <c r="AA92" s="241">
        <v>0.75</v>
      </c>
      <c r="AB92" s="240">
        <v>1</v>
      </c>
      <c r="AC92" s="242">
        <f t="shared" si="26"/>
        <v>0.49999999999999989</v>
      </c>
      <c r="AD92" s="240">
        <v>0.41666666666666669</v>
      </c>
      <c r="AE92" s="241">
        <v>0.58333333333333337</v>
      </c>
      <c r="AF92" s="241">
        <v>0.83333333333333337</v>
      </c>
      <c r="AG92" s="240">
        <v>1</v>
      </c>
      <c r="AH92" s="242">
        <f t="shared" si="31"/>
        <v>0.33333333333333326</v>
      </c>
      <c r="AI92" s="240">
        <v>0.27083333333333331</v>
      </c>
      <c r="AJ92" s="241">
        <v>0.4375</v>
      </c>
      <c r="AK92" s="241">
        <v>0.83333333333333337</v>
      </c>
      <c r="AL92" s="240">
        <v>1</v>
      </c>
      <c r="AM92" s="242">
        <f t="shared" si="30"/>
        <v>0.33333333333333337</v>
      </c>
    </row>
    <row r="93" spans="1:39" x14ac:dyDescent="0.2">
      <c r="A93" s="239" t="s">
        <v>290</v>
      </c>
      <c r="B93" s="262"/>
      <c r="C93" s="267" t="s">
        <v>344</v>
      </c>
      <c r="D93" s="253" t="s">
        <v>336</v>
      </c>
      <c r="E93" s="240">
        <v>0.25</v>
      </c>
      <c r="F93" s="241">
        <v>0.41666666666666669</v>
      </c>
      <c r="G93" s="241">
        <v>0.5</v>
      </c>
      <c r="H93" s="240">
        <v>0.66666666666666663</v>
      </c>
      <c r="I93" s="242">
        <f t="shared" si="28"/>
        <v>0.33333333333333331</v>
      </c>
      <c r="J93" s="240">
        <v>0.29166666666666669</v>
      </c>
      <c r="K93" s="241">
        <v>0.54166666666666663</v>
      </c>
      <c r="L93" s="241">
        <v>0.625</v>
      </c>
      <c r="M93" s="240">
        <v>0.70833333333333337</v>
      </c>
      <c r="N93" s="242">
        <f t="shared" si="24"/>
        <v>0.33333333333333331</v>
      </c>
      <c r="O93" s="240">
        <v>0.25</v>
      </c>
      <c r="P93" s="241">
        <v>0.41666666666666669</v>
      </c>
      <c r="Q93" s="241">
        <v>0.5</v>
      </c>
      <c r="R93" s="240">
        <v>0.625</v>
      </c>
      <c r="S93" s="242">
        <f t="shared" ref="S93:S109" si="32">IFERROR(MOD(R93-O93,1)-MOD(Q93-P93,1),"")</f>
        <v>0.29166666666666669</v>
      </c>
      <c r="T93" s="240">
        <v>0.54166666666666663</v>
      </c>
      <c r="U93" s="241">
        <v>0.70833333333333337</v>
      </c>
      <c r="V93" s="241">
        <v>0.75</v>
      </c>
      <c r="W93" s="240">
        <v>0.9375</v>
      </c>
      <c r="X93" s="242">
        <f t="shared" si="29"/>
        <v>0.35416666666666674</v>
      </c>
      <c r="Y93" s="240">
        <v>0.54166666666666663</v>
      </c>
      <c r="Z93" s="241">
        <v>0.79166666666666663</v>
      </c>
      <c r="AA93" s="241">
        <v>0.83333333333333337</v>
      </c>
      <c r="AB93" s="240">
        <v>0.9375</v>
      </c>
      <c r="AC93" s="242">
        <f t="shared" si="26"/>
        <v>0.35416666666666663</v>
      </c>
      <c r="AD93" s="244" t="s">
        <v>178</v>
      </c>
      <c r="AE93" s="241" t="s">
        <v>178</v>
      </c>
      <c r="AF93" s="241" t="s">
        <v>178</v>
      </c>
      <c r="AG93" s="244" t="s">
        <v>178</v>
      </c>
      <c r="AH93" s="242" t="str">
        <f t="shared" si="31"/>
        <v/>
      </c>
      <c r="AI93" s="244" t="s">
        <v>178</v>
      </c>
      <c r="AJ93" s="241" t="s">
        <v>178</v>
      </c>
      <c r="AK93" s="241" t="s">
        <v>178</v>
      </c>
      <c r="AL93" s="244" t="s">
        <v>178</v>
      </c>
      <c r="AM93" s="242" t="str">
        <f t="shared" si="30"/>
        <v/>
      </c>
    </row>
    <row r="94" spans="1:39" x14ac:dyDescent="0.2">
      <c r="A94" s="239" t="s">
        <v>291</v>
      </c>
      <c r="B94" s="262"/>
      <c r="C94" s="267" t="s">
        <v>344</v>
      </c>
      <c r="D94" s="253" t="s">
        <v>336</v>
      </c>
      <c r="E94" s="240">
        <v>0.41666666666666669</v>
      </c>
      <c r="F94" s="241">
        <v>0.58333333333333337</v>
      </c>
      <c r="G94" s="241">
        <v>0.66666666666666663</v>
      </c>
      <c r="H94" s="240">
        <v>0.83333333333333337</v>
      </c>
      <c r="I94" s="242">
        <f t="shared" si="28"/>
        <v>0.33333333333333343</v>
      </c>
      <c r="J94" s="240">
        <v>0.54166666666666663</v>
      </c>
      <c r="K94" s="241">
        <v>0.77083333333333337</v>
      </c>
      <c r="L94" s="241">
        <v>0.8125</v>
      </c>
      <c r="M94" s="240">
        <v>0.9375</v>
      </c>
      <c r="N94" s="242">
        <f t="shared" si="24"/>
        <v>0.35416666666666674</v>
      </c>
      <c r="O94" s="244" t="s">
        <v>178</v>
      </c>
      <c r="P94" s="241" t="s">
        <v>178</v>
      </c>
      <c r="Q94" s="241" t="s">
        <v>178</v>
      </c>
      <c r="R94" s="244" t="s">
        <v>178</v>
      </c>
      <c r="S94" s="242" t="str">
        <f t="shared" si="32"/>
        <v/>
      </c>
      <c r="T94" s="244" t="s">
        <v>178</v>
      </c>
      <c r="U94" s="241" t="s">
        <v>178</v>
      </c>
      <c r="V94" s="241" t="s">
        <v>178</v>
      </c>
      <c r="W94" s="244" t="s">
        <v>178</v>
      </c>
      <c r="X94" s="242" t="str">
        <f t="shared" si="29"/>
        <v/>
      </c>
      <c r="Y94" s="240">
        <v>0.4375</v>
      </c>
      <c r="Z94" s="241">
        <v>0.66666666666666663</v>
      </c>
      <c r="AA94" s="241">
        <v>0.75</v>
      </c>
      <c r="AB94" s="240">
        <v>0.85416666666666663</v>
      </c>
      <c r="AC94" s="242">
        <f t="shared" si="26"/>
        <v>0.33333333333333326</v>
      </c>
      <c r="AD94" s="240">
        <v>0.5</v>
      </c>
      <c r="AE94" s="241">
        <v>0.625</v>
      </c>
      <c r="AF94" s="241">
        <v>0.66666666666666663</v>
      </c>
      <c r="AG94" s="240">
        <v>0.875</v>
      </c>
      <c r="AH94" s="242">
        <f t="shared" si="31"/>
        <v>0.33333333333333337</v>
      </c>
      <c r="AI94" s="240">
        <v>0.33333333333333331</v>
      </c>
      <c r="AJ94" s="241">
        <v>0.58333333333333337</v>
      </c>
      <c r="AK94" s="241">
        <v>0.66666666666666663</v>
      </c>
      <c r="AL94" s="240">
        <v>0.75</v>
      </c>
      <c r="AM94" s="242">
        <f t="shared" si="30"/>
        <v>0.33333333333333343</v>
      </c>
    </row>
    <row r="95" spans="1:39" x14ac:dyDescent="0.2">
      <c r="A95" s="239" t="s">
        <v>292</v>
      </c>
      <c r="B95" s="262"/>
      <c r="C95" s="267" t="s">
        <v>344</v>
      </c>
      <c r="D95" s="253" t="s">
        <v>336</v>
      </c>
      <c r="E95" s="240">
        <v>0.54166666666666663</v>
      </c>
      <c r="F95" s="241">
        <v>0.70833333333333337</v>
      </c>
      <c r="G95" s="241">
        <v>0.75</v>
      </c>
      <c r="H95" s="240">
        <v>0.91666666666666663</v>
      </c>
      <c r="I95" s="242">
        <f t="shared" si="28"/>
        <v>0.33333333333333337</v>
      </c>
      <c r="J95" s="243">
        <v>0.83333333333333337</v>
      </c>
      <c r="K95" s="241"/>
      <c r="L95" s="241"/>
      <c r="M95" s="243">
        <v>1</v>
      </c>
      <c r="N95" s="242">
        <f t="shared" si="24"/>
        <v>0.16666666666666663</v>
      </c>
      <c r="O95" s="243">
        <v>0</v>
      </c>
      <c r="P95" s="241">
        <v>8.3333333333333329E-2</v>
      </c>
      <c r="Q95" s="241">
        <v>0.16666666666666666</v>
      </c>
      <c r="R95" s="243">
        <v>0.29166666666666669</v>
      </c>
      <c r="S95" s="242">
        <f t="shared" si="32"/>
        <v>0.20833333333333337</v>
      </c>
      <c r="T95" s="244" t="s">
        <v>178</v>
      </c>
      <c r="U95" s="241" t="s">
        <v>178</v>
      </c>
      <c r="V95" s="241" t="s">
        <v>178</v>
      </c>
      <c r="W95" s="244" t="s">
        <v>178</v>
      </c>
      <c r="X95" s="242" t="str">
        <f t="shared" si="29"/>
        <v/>
      </c>
      <c r="Y95" s="240">
        <v>0.27083333333333331</v>
      </c>
      <c r="Z95" s="241">
        <v>0.41666666666666669</v>
      </c>
      <c r="AA95" s="241">
        <v>0.5</v>
      </c>
      <c r="AB95" s="240">
        <v>0.6875</v>
      </c>
      <c r="AC95" s="242">
        <f t="shared" si="26"/>
        <v>0.33333333333333337</v>
      </c>
      <c r="AD95" s="240">
        <v>0.54166666666666663</v>
      </c>
      <c r="AE95" s="241">
        <v>0.66666666666666663</v>
      </c>
      <c r="AF95" s="241">
        <v>0.70833333333333337</v>
      </c>
      <c r="AG95" s="240">
        <v>0.91666666666666663</v>
      </c>
      <c r="AH95" s="242">
        <f t="shared" si="31"/>
        <v>0.33333333333333326</v>
      </c>
      <c r="AI95" s="240">
        <v>0.54166666666666663</v>
      </c>
      <c r="AJ95" s="241">
        <v>0.70833333333333337</v>
      </c>
      <c r="AK95" s="241">
        <v>0.75</v>
      </c>
      <c r="AL95" s="240">
        <v>0.9375</v>
      </c>
      <c r="AM95" s="242">
        <f t="shared" si="30"/>
        <v>0.35416666666666674</v>
      </c>
    </row>
    <row r="96" spans="1:39" x14ac:dyDescent="0.2">
      <c r="A96" s="239" t="s">
        <v>293</v>
      </c>
      <c r="B96" s="262"/>
      <c r="C96" s="267" t="s">
        <v>344</v>
      </c>
      <c r="D96" s="253" t="s">
        <v>336</v>
      </c>
      <c r="E96" s="240">
        <v>0.54166666666666663</v>
      </c>
      <c r="F96" s="241">
        <v>0.70833333333333337</v>
      </c>
      <c r="G96" s="241">
        <v>0.75</v>
      </c>
      <c r="H96" s="240">
        <v>0.91666666666666663</v>
      </c>
      <c r="I96" s="242">
        <f t="shared" si="28"/>
        <v>0.33333333333333337</v>
      </c>
      <c r="J96" s="240">
        <v>0.54166666666666663</v>
      </c>
      <c r="K96" s="241">
        <v>0.77083333333333337</v>
      </c>
      <c r="L96" s="241">
        <v>0.8125</v>
      </c>
      <c r="M96" s="240">
        <v>0.9375</v>
      </c>
      <c r="N96" s="242">
        <f t="shared" si="24"/>
        <v>0.35416666666666674</v>
      </c>
      <c r="O96" s="244" t="s">
        <v>178</v>
      </c>
      <c r="P96" s="241" t="s">
        <v>178</v>
      </c>
      <c r="Q96" s="241" t="s">
        <v>178</v>
      </c>
      <c r="R96" s="244" t="s">
        <v>178</v>
      </c>
      <c r="S96" s="242" t="str">
        <f t="shared" si="32"/>
        <v/>
      </c>
      <c r="T96" s="244" t="s">
        <v>178</v>
      </c>
      <c r="U96" s="241" t="s">
        <v>178</v>
      </c>
      <c r="V96" s="241" t="s">
        <v>178</v>
      </c>
      <c r="W96" s="244" t="s">
        <v>178</v>
      </c>
      <c r="X96" s="242" t="str">
        <f t="shared" si="29"/>
        <v/>
      </c>
      <c r="Y96" s="240">
        <v>0.29166666666666669</v>
      </c>
      <c r="Z96" s="241">
        <v>0.54166666666666663</v>
      </c>
      <c r="AA96" s="241">
        <v>0.625</v>
      </c>
      <c r="AB96" s="240">
        <v>0.70833333333333337</v>
      </c>
      <c r="AC96" s="242">
        <f t="shared" si="26"/>
        <v>0.33333333333333331</v>
      </c>
      <c r="AD96" s="240">
        <v>0.33333333333333331</v>
      </c>
      <c r="AE96" s="241">
        <v>0.58333333333333337</v>
      </c>
      <c r="AF96" s="241">
        <v>0.66666666666666663</v>
      </c>
      <c r="AG96" s="240">
        <v>0.75</v>
      </c>
      <c r="AH96" s="242">
        <f t="shared" si="31"/>
        <v>0.33333333333333343</v>
      </c>
      <c r="AI96" s="240">
        <v>0.29166666666666669</v>
      </c>
      <c r="AJ96" s="241">
        <v>0.54166666666666663</v>
      </c>
      <c r="AK96" s="241">
        <v>0.625</v>
      </c>
      <c r="AL96" s="240">
        <v>0.70833333333333337</v>
      </c>
      <c r="AM96" s="242">
        <f t="shared" si="30"/>
        <v>0.33333333333333331</v>
      </c>
    </row>
    <row r="97" spans="1:39" x14ac:dyDescent="0.2">
      <c r="A97" s="239" t="s">
        <v>294</v>
      </c>
      <c r="B97" s="262" t="s">
        <v>347</v>
      </c>
      <c r="C97" s="267" t="s">
        <v>344</v>
      </c>
      <c r="D97" s="253" t="s">
        <v>336</v>
      </c>
      <c r="E97" s="240">
        <v>0.35416666666666669</v>
      </c>
      <c r="F97" s="241">
        <v>0.54166666666666663</v>
      </c>
      <c r="G97" s="241">
        <v>0.58333333333333337</v>
      </c>
      <c r="H97" s="279">
        <v>0.6875</v>
      </c>
      <c r="I97" s="242">
        <f t="shared" si="28"/>
        <v>0.29166666666666657</v>
      </c>
      <c r="J97" s="240">
        <v>0.35416666666666669</v>
      </c>
      <c r="K97" s="241">
        <v>0.54166666666666663</v>
      </c>
      <c r="L97" s="241">
        <v>0.58333333333333337</v>
      </c>
      <c r="M97" s="279">
        <v>0.6875</v>
      </c>
      <c r="N97" s="242">
        <f t="shared" si="24"/>
        <v>0.29166666666666657</v>
      </c>
      <c r="O97" s="240">
        <v>0.35416666666666669</v>
      </c>
      <c r="P97" s="241">
        <v>0.58333333333333337</v>
      </c>
      <c r="Q97" s="241">
        <v>0.625</v>
      </c>
      <c r="R97" s="279">
        <v>0.6875</v>
      </c>
      <c r="S97" s="242">
        <f t="shared" si="32"/>
        <v>0.29166666666666669</v>
      </c>
      <c r="T97" s="240">
        <v>0.35416666666666669</v>
      </c>
      <c r="U97" s="241">
        <v>0.58333333333333337</v>
      </c>
      <c r="V97" s="241">
        <v>0.625</v>
      </c>
      <c r="W97" s="279">
        <v>0.6875</v>
      </c>
      <c r="X97" s="242">
        <f t="shared" si="29"/>
        <v>0.29166666666666669</v>
      </c>
      <c r="Y97" s="244" t="s">
        <v>178</v>
      </c>
      <c r="Z97" s="241" t="s">
        <v>178</v>
      </c>
      <c r="AA97" s="241" t="s">
        <v>178</v>
      </c>
      <c r="AB97" s="280" t="s">
        <v>178</v>
      </c>
      <c r="AC97" s="242" t="str">
        <f t="shared" si="26"/>
        <v/>
      </c>
      <c r="AD97" s="240">
        <v>0.33333333333333331</v>
      </c>
      <c r="AE97" s="241">
        <v>0.54166666666666663</v>
      </c>
      <c r="AF97" s="241">
        <v>0.58333333333333337</v>
      </c>
      <c r="AG97" s="240">
        <v>0.66666666666666663</v>
      </c>
      <c r="AH97" s="242">
        <f t="shared" si="31"/>
        <v>0.29166666666666657</v>
      </c>
      <c r="AI97" s="244" t="s">
        <v>178</v>
      </c>
      <c r="AJ97" s="241" t="s">
        <v>178</v>
      </c>
      <c r="AK97" s="241" t="s">
        <v>178</v>
      </c>
      <c r="AL97" s="244" t="s">
        <v>178</v>
      </c>
      <c r="AM97" s="242" t="str">
        <f t="shared" si="30"/>
        <v/>
      </c>
    </row>
    <row r="98" spans="1:39" x14ac:dyDescent="0.2">
      <c r="A98" s="239" t="s">
        <v>295</v>
      </c>
      <c r="B98" s="262"/>
      <c r="C98" s="267" t="s">
        <v>344</v>
      </c>
      <c r="D98" s="253" t="s">
        <v>336</v>
      </c>
      <c r="E98" s="240">
        <v>0.66666666666666663</v>
      </c>
      <c r="F98" s="241"/>
      <c r="G98" s="241"/>
      <c r="H98" s="279">
        <v>0.9375</v>
      </c>
      <c r="I98" s="242">
        <f t="shared" si="28"/>
        <v>0.27083333333333337</v>
      </c>
      <c r="J98" s="240">
        <v>0.66666666666666663</v>
      </c>
      <c r="K98" s="241"/>
      <c r="L98" s="241"/>
      <c r="M98" s="279">
        <v>0.9375</v>
      </c>
      <c r="N98" s="242">
        <f t="shared" si="24"/>
        <v>0.27083333333333337</v>
      </c>
      <c r="O98" s="240">
        <v>0.66666666666666663</v>
      </c>
      <c r="P98" s="241"/>
      <c r="Q98" s="241"/>
      <c r="R98" s="279">
        <v>0.9375</v>
      </c>
      <c r="S98" s="242">
        <f t="shared" si="32"/>
        <v>0.27083333333333337</v>
      </c>
      <c r="T98" s="243">
        <v>0.83333333333333337</v>
      </c>
      <c r="U98" s="241"/>
      <c r="V98" s="241"/>
      <c r="W98" s="283">
        <v>1</v>
      </c>
      <c r="X98" s="242">
        <f t="shared" si="29"/>
        <v>0.16666666666666663</v>
      </c>
      <c r="Y98" s="243">
        <v>0</v>
      </c>
      <c r="Z98" s="241">
        <v>0.29166666666666669</v>
      </c>
      <c r="AA98" s="241">
        <v>0.83333333333333337</v>
      </c>
      <c r="AB98" s="283">
        <v>1</v>
      </c>
      <c r="AC98" s="242">
        <v>0.375</v>
      </c>
      <c r="AD98" s="243">
        <v>0</v>
      </c>
      <c r="AE98" s="241">
        <v>4.1666666666666664E-2</v>
      </c>
      <c r="AF98" s="241">
        <v>0.125</v>
      </c>
      <c r="AG98" s="243">
        <v>0.29166666666666669</v>
      </c>
      <c r="AH98" s="242">
        <f t="shared" si="31"/>
        <v>0.20833333333333334</v>
      </c>
      <c r="AI98" s="244" t="s">
        <v>178</v>
      </c>
      <c r="AJ98" s="241" t="s">
        <v>178</v>
      </c>
      <c r="AK98" s="241" t="s">
        <v>178</v>
      </c>
      <c r="AL98" s="244" t="s">
        <v>178</v>
      </c>
      <c r="AM98" s="242" t="str">
        <f t="shared" si="30"/>
        <v/>
      </c>
    </row>
    <row r="99" spans="1:39" x14ac:dyDescent="0.2">
      <c r="A99" s="239" t="s">
        <v>296</v>
      </c>
      <c r="B99" s="262">
        <v>6</v>
      </c>
      <c r="C99" s="267" t="s">
        <v>344</v>
      </c>
      <c r="D99" s="253" t="s">
        <v>336</v>
      </c>
      <c r="E99" s="240">
        <v>0.3125</v>
      </c>
      <c r="F99" s="241"/>
      <c r="G99" s="241"/>
      <c r="H99" s="279">
        <v>0.5625</v>
      </c>
      <c r="I99" s="242">
        <f t="shared" si="28"/>
        <v>0.25</v>
      </c>
      <c r="J99" s="240">
        <v>0.3125</v>
      </c>
      <c r="K99" s="241"/>
      <c r="L99" s="241"/>
      <c r="M99" s="279">
        <v>0.5625</v>
      </c>
      <c r="N99" s="242">
        <f t="shared" si="24"/>
        <v>0.25</v>
      </c>
      <c r="O99" s="240">
        <v>0.625</v>
      </c>
      <c r="P99" s="241"/>
      <c r="Q99" s="241"/>
      <c r="R99" s="279">
        <v>0.875</v>
      </c>
      <c r="S99" s="242">
        <f t="shared" si="32"/>
        <v>0.25</v>
      </c>
      <c r="T99" s="240">
        <v>0.66666666666666663</v>
      </c>
      <c r="U99" s="241"/>
      <c r="V99" s="241"/>
      <c r="W99" s="279">
        <v>0.9375</v>
      </c>
      <c r="X99" s="242">
        <f t="shared" si="29"/>
        <v>0.27083333333333337</v>
      </c>
      <c r="Y99" s="240">
        <v>0.66666666666666663</v>
      </c>
      <c r="Z99" s="241"/>
      <c r="AA99" s="241"/>
      <c r="AB99" s="279">
        <v>0.9375</v>
      </c>
      <c r="AC99" s="242">
        <f t="shared" ref="AC99:AC130" si="33">IFERROR(MOD(AB99-Y99,1)-MOD(AA99-Z99,1),"")</f>
        <v>0.27083333333333337</v>
      </c>
      <c r="AD99" s="244" t="s">
        <v>178</v>
      </c>
      <c r="AE99" s="241" t="s">
        <v>178</v>
      </c>
      <c r="AF99" s="241" t="s">
        <v>178</v>
      </c>
      <c r="AG99" s="244" t="s">
        <v>178</v>
      </c>
      <c r="AH99" s="242" t="str">
        <f t="shared" si="31"/>
        <v/>
      </c>
      <c r="AI99" s="244" t="s">
        <v>178</v>
      </c>
      <c r="AJ99" s="241" t="s">
        <v>178</v>
      </c>
      <c r="AK99" s="241" t="s">
        <v>178</v>
      </c>
      <c r="AL99" s="244" t="s">
        <v>178</v>
      </c>
      <c r="AM99" s="242" t="str">
        <f t="shared" si="30"/>
        <v/>
      </c>
    </row>
    <row r="100" spans="1:39" x14ac:dyDescent="0.2">
      <c r="A100" s="239" t="s">
        <v>297</v>
      </c>
      <c r="B100" s="262" t="s">
        <v>347</v>
      </c>
      <c r="C100" s="267" t="s">
        <v>344</v>
      </c>
      <c r="D100" s="253" t="s">
        <v>336</v>
      </c>
      <c r="E100" s="240">
        <v>0.35416666666666669</v>
      </c>
      <c r="F100" s="241">
        <v>0.54166666666666663</v>
      </c>
      <c r="G100" s="241">
        <v>0.58333333333333337</v>
      </c>
      <c r="H100" s="279">
        <v>0.6875</v>
      </c>
      <c r="I100" s="242">
        <f t="shared" si="28"/>
        <v>0.29166666666666657</v>
      </c>
      <c r="J100" s="240">
        <v>0.35416666666666669</v>
      </c>
      <c r="K100" s="241">
        <v>0.54166666666666663</v>
      </c>
      <c r="L100" s="241">
        <v>0.58333333333333337</v>
      </c>
      <c r="M100" s="279">
        <v>0.6875</v>
      </c>
      <c r="N100" s="242">
        <f t="shared" si="24"/>
        <v>0.29166666666666657</v>
      </c>
      <c r="O100" s="240">
        <v>0.35416666666666669</v>
      </c>
      <c r="P100" s="241">
        <v>0.58333333333333337</v>
      </c>
      <c r="Q100" s="241">
        <v>0.625</v>
      </c>
      <c r="R100" s="279">
        <v>0.6875</v>
      </c>
      <c r="S100" s="242">
        <f t="shared" si="32"/>
        <v>0.29166666666666669</v>
      </c>
      <c r="T100" s="240">
        <v>0.35416666666666669</v>
      </c>
      <c r="U100" s="241">
        <v>0.58333333333333337</v>
      </c>
      <c r="V100" s="241">
        <v>0.625</v>
      </c>
      <c r="W100" s="279">
        <v>0.6875</v>
      </c>
      <c r="X100" s="242">
        <f t="shared" si="29"/>
        <v>0.29166666666666669</v>
      </c>
      <c r="Y100" s="244" t="s">
        <v>178</v>
      </c>
      <c r="Z100" s="241" t="s">
        <v>178</v>
      </c>
      <c r="AA100" s="241" t="s">
        <v>178</v>
      </c>
      <c r="AB100" s="280" t="s">
        <v>178</v>
      </c>
      <c r="AC100" s="242" t="str">
        <f t="shared" si="33"/>
        <v/>
      </c>
      <c r="AD100" s="240">
        <v>0.33333333333333331</v>
      </c>
      <c r="AE100" s="241">
        <v>0.54166666666666663</v>
      </c>
      <c r="AF100" s="241">
        <v>0.58333333333333337</v>
      </c>
      <c r="AG100" s="240">
        <v>0.66666666666666663</v>
      </c>
      <c r="AH100" s="242">
        <f t="shared" si="31"/>
        <v>0.29166666666666657</v>
      </c>
      <c r="AI100" s="244" t="s">
        <v>178</v>
      </c>
      <c r="AJ100" s="241" t="s">
        <v>178</v>
      </c>
      <c r="AK100" s="241" t="s">
        <v>178</v>
      </c>
      <c r="AL100" s="244" t="s">
        <v>178</v>
      </c>
      <c r="AM100" s="242" t="str">
        <f t="shared" si="30"/>
        <v/>
      </c>
    </row>
    <row r="101" spans="1:39" x14ac:dyDescent="0.2">
      <c r="A101" s="247" t="s">
        <v>298</v>
      </c>
      <c r="B101" s="262"/>
      <c r="C101" s="267" t="s">
        <v>344</v>
      </c>
      <c r="D101" s="253" t="s">
        <v>336</v>
      </c>
      <c r="E101" s="240">
        <v>0.4375</v>
      </c>
      <c r="F101" s="241">
        <v>0.58333333333333337</v>
      </c>
      <c r="G101" s="241">
        <v>0.66666666666666663</v>
      </c>
      <c r="H101" s="279">
        <v>0.85416666666666663</v>
      </c>
      <c r="I101" s="242">
        <f t="shared" si="28"/>
        <v>0.33333333333333337</v>
      </c>
      <c r="J101" s="240">
        <v>0.41666666666666669</v>
      </c>
      <c r="K101" s="241">
        <v>0.66666666666666663</v>
      </c>
      <c r="L101" s="241">
        <v>0.75</v>
      </c>
      <c r="M101" s="279">
        <v>0.83333333333333337</v>
      </c>
      <c r="N101" s="242">
        <f t="shared" si="24"/>
        <v>0.33333333333333331</v>
      </c>
      <c r="O101" s="243">
        <v>0.83333333333333337</v>
      </c>
      <c r="P101" s="241"/>
      <c r="Q101" s="241"/>
      <c r="R101" s="283">
        <v>1</v>
      </c>
      <c r="S101" s="242">
        <f t="shared" si="32"/>
        <v>0.16666666666666663</v>
      </c>
      <c r="T101" s="243">
        <v>0</v>
      </c>
      <c r="U101" s="241">
        <v>0.29166666666666669</v>
      </c>
      <c r="V101" s="241">
        <v>0.83333333333333337</v>
      </c>
      <c r="W101" s="283">
        <v>1</v>
      </c>
      <c r="X101" s="242">
        <v>0.375</v>
      </c>
      <c r="Y101" s="243">
        <v>0</v>
      </c>
      <c r="Z101" s="241">
        <v>0.16666666666666666</v>
      </c>
      <c r="AA101" s="241">
        <v>0.25</v>
      </c>
      <c r="AB101" s="283">
        <v>0.29166666666666669</v>
      </c>
      <c r="AC101" s="242">
        <f t="shared" si="33"/>
        <v>0.20833333333333334</v>
      </c>
      <c r="AD101" s="244" t="s">
        <v>178</v>
      </c>
      <c r="AE101" s="241" t="s">
        <v>178</v>
      </c>
      <c r="AF101" s="241" t="s">
        <v>178</v>
      </c>
      <c r="AG101" s="244" t="s">
        <v>178</v>
      </c>
      <c r="AH101" s="242" t="str">
        <f t="shared" si="31"/>
        <v/>
      </c>
      <c r="AI101" s="244" t="s">
        <v>178</v>
      </c>
      <c r="AJ101" s="241" t="s">
        <v>178</v>
      </c>
      <c r="AK101" s="241" t="s">
        <v>178</v>
      </c>
      <c r="AL101" s="244" t="s">
        <v>178</v>
      </c>
      <c r="AM101" s="242" t="str">
        <f t="shared" si="30"/>
        <v/>
      </c>
    </row>
    <row r="102" spans="1:39" x14ac:dyDescent="0.2">
      <c r="A102" s="250" t="s">
        <v>194</v>
      </c>
      <c r="B102" s="262"/>
      <c r="C102" s="267" t="s">
        <v>344</v>
      </c>
      <c r="D102" s="251" t="s">
        <v>199</v>
      </c>
      <c r="E102" s="244" t="s">
        <v>178</v>
      </c>
      <c r="F102" s="241" t="s">
        <v>178</v>
      </c>
      <c r="G102" s="241" t="s">
        <v>178</v>
      </c>
      <c r="H102" s="280" t="s">
        <v>178</v>
      </c>
      <c r="I102" s="242" t="str">
        <f t="shared" si="28"/>
        <v/>
      </c>
      <c r="J102" s="240">
        <v>0.29166666666666669</v>
      </c>
      <c r="K102" s="241">
        <v>0.54166666666666663</v>
      </c>
      <c r="L102" s="241">
        <v>0.625</v>
      </c>
      <c r="M102" s="279">
        <v>0.70833333333333337</v>
      </c>
      <c r="N102" s="242">
        <f t="shared" si="24"/>
        <v>0.33333333333333331</v>
      </c>
      <c r="O102" s="240">
        <v>0.29166666666666669</v>
      </c>
      <c r="P102" s="241">
        <v>0.54166666666666663</v>
      </c>
      <c r="Q102" s="241">
        <v>0.625</v>
      </c>
      <c r="R102" s="279">
        <v>0.70833333333333337</v>
      </c>
      <c r="S102" s="242">
        <f t="shared" si="32"/>
        <v>0.33333333333333331</v>
      </c>
      <c r="T102" s="240">
        <v>0.33333333333333331</v>
      </c>
      <c r="U102" s="241">
        <v>0.58333333333333337</v>
      </c>
      <c r="V102" s="241">
        <v>0.66666666666666663</v>
      </c>
      <c r="W102" s="279">
        <v>0.75</v>
      </c>
      <c r="X102" s="242">
        <f t="shared" ref="X102:X148" si="34">IFERROR(MOD(W102-T102,1)-MOD(V102-U102,1),"")</f>
        <v>0.33333333333333343</v>
      </c>
      <c r="Y102" s="240">
        <v>0.54166666666666663</v>
      </c>
      <c r="Z102" s="241">
        <v>0.66666666666666663</v>
      </c>
      <c r="AA102" s="241">
        <v>0.70833333333333337</v>
      </c>
      <c r="AB102" s="279">
        <v>0.91666666666666663</v>
      </c>
      <c r="AC102" s="242">
        <f t="shared" si="33"/>
        <v>0.33333333333333326</v>
      </c>
      <c r="AD102" s="240">
        <v>0.54166666666666663</v>
      </c>
      <c r="AE102" s="241">
        <v>0.66666666666666663</v>
      </c>
      <c r="AF102" s="241">
        <v>0.70833333333333337</v>
      </c>
      <c r="AG102" s="240">
        <v>0.91666666666666663</v>
      </c>
      <c r="AH102" s="242">
        <f t="shared" si="31"/>
        <v>0.33333333333333326</v>
      </c>
      <c r="AI102" s="244" t="s">
        <v>178</v>
      </c>
      <c r="AJ102" s="241" t="s">
        <v>178</v>
      </c>
      <c r="AK102" s="241" t="s">
        <v>178</v>
      </c>
      <c r="AL102" s="244" t="s">
        <v>178</v>
      </c>
      <c r="AM102" s="242" t="str">
        <f t="shared" si="30"/>
        <v/>
      </c>
    </row>
    <row r="103" spans="1:39" ht="15" x14ac:dyDescent="0.25">
      <c r="A103" s="245" t="s">
        <v>299</v>
      </c>
      <c r="B103" s="262"/>
      <c r="C103" s="268" t="s">
        <v>345</v>
      </c>
      <c r="D103" s="253" t="s">
        <v>336</v>
      </c>
      <c r="E103" s="240">
        <v>0.54166666666666663</v>
      </c>
      <c r="F103" s="241">
        <v>0.75</v>
      </c>
      <c r="G103" s="241">
        <v>0.79166666666666663</v>
      </c>
      <c r="H103" s="279">
        <v>0.91666666666666663</v>
      </c>
      <c r="I103" s="242">
        <f t="shared" si="28"/>
        <v>0.33333333333333337</v>
      </c>
      <c r="J103" s="240">
        <v>0.41666666666666669</v>
      </c>
      <c r="K103" s="241">
        <v>0.66666666666666663</v>
      </c>
      <c r="L103" s="241">
        <v>0.75</v>
      </c>
      <c r="M103" s="279">
        <v>0.83333333333333337</v>
      </c>
      <c r="N103" s="242">
        <f t="shared" si="24"/>
        <v>0.33333333333333331</v>
      </c>
      <c r="O103" s="240">
        <v>0.375</v>
      </c>
      <c r="P103" s="241">
        <v>0.625</v>
      </c>
      <c r="Q103" s="241">
        <v>0.70833333333333337</v>
      </c>
      <c r="R103" s="279">
        <v>0.79166666666666663</v>
      </c>
      <c r="S103" s="242">
        <f t="shared" si="32"/>
        <v>0.33333333333333326</v>
      </c>
      <c r="T103" s="244" t="s">
        <v>178</v>
      </c>
      <c r="U103" s="241" t="s">
        <v>178</v>
      </c>
      <c r="V103" s="241" t="s">
        <v>178</v>
      </c>
      <c r="W103" s="280" t="s">
        <v>178</v>
      </c>
      <c r="X103" s="242" t="str">
        <f t="shared" si="34"/>
        <v/>
      </c>
      <c r="Y103" s="244" t="s">
        <v>178</v>
      </c>
      <c r="Z103" s="241" t="s">
        <v>178</v>
      </c>
      <c r="AA103" s="241" t="s">
        <v>178</v>
      </c>
      <c r="AB103" s="280" t="s">
        <v>178</v>
      </c>
      <c r="AC103" s="242" t="str">
        <f t="shared" si="33"/>
        <v/>
      </c>
      <c r="AD103" s="240">
        <v>0.29166666666666669</v>
      </c>
      <c r="AE103" s="241">
        <v>0.54166666666666663</v>
      </c>
      <c r="AF103" s="241">
        <v>0.625</v>
      </c>
      <c r="AG103" s="240">
        <v>0.70833333333333337</v>
      </c>
      <c r="AH103" s="242">
        <f t="shared" si="31"/>
        <v>0.33333333333333331</v>
      </c>
      <c r="AI103" s="240">
        <v>0.54166666666666663</v>
      </c>
      <c r="AJ103" s="241">
        <v>0.75</v>
      </c>
      <c r="AK103" s="241">
        <v>0.79166666666666663</v>
      </c>
      <c r="AL103" s="240">
        <v>0.9375</v>
      </c>
      <c r="AM103" s="242">
        <f t="shared" si="30"/>
        <v>0.35416666666666674</v>
      </c>
    </row>
    <row r="104" spans="1:39" ht="15" x14ac:dyDescent="0.25">
      <c r="A104" s="245" t="s">
        <v>300</v>
      </c>
      <c r="B104" s="262"/>
      <c r="C104" s="268" t="s">
        <v>345</v>
      </c>
      <c r="D104" s="253" t="s">
        <v>336</v>
      </c>
      <c r="E104" s="240">
        <v>0.52083333333333337</v>
      </c>
      <c r="F104" s="241">
        <v>0.625</v>
      </c>
      <c r="G104" s="241">
        <v>0.66666666666666663</v>
      </c>
      <c r="H104" s="279">
        <v>0.89583333333333337</v>
      </c>
      <c r="I104" s="242">
        <f t="shared" si="28"/>
        <v>0.33333333333333337</v>
      </c>
      <c r="J104" s="240">
        <v>0.54166666666666663</v>
      </c>
      <c r="K104" s="241">
        <v>0.79166666666666663</v>
      </c>
      <c r="L104" s="241">
        <v>0.83333333333333337</v>
      </c>
      <c r="M104" s="279">
        <v>0.9375</v>
      </c>
      <c r="N104" s="242">
        <f t="shared" si="24"/>
        <v>0.35416666666666663</v>
      </c>
      <c r="O104" s="240">
        <v>0.5</v>
      </c>
      <c r="P104" s="241">
        <v>0.75</v>
      </c>
      <c r="Q104" s="241">
        <v>0.79166666666666663</v>
      </c>
      <c r="R104" s="279">
        <v>0.875</v>
      </c>
      <c r="S104" s="242">
        <f t="shared" si="32"/>
        <v>0.33333333333333337</v>
      </c>
      <c r="T104" s="244" t="s">
        <v>178</v>
      </c>
      <c r="U104" s="241" t="s">
        <v>178</v>
      </c>
      <c r="V104" s="241" t="s">
        <v>178</v>
      </c>
      <c r="W104" s="280" t="s">
        <v>178</v>
      </c>
      <c r="X104" s="242" t="str">
        <f t="shared" si="34"/>
        <v/>
      </c>
      <c r="Y104" s="244" t="s">
        <v>178</v>
      </c>
      <c r="Z104" s="241" t="s">
        <v>178</v>
      </c>
      <c r="AA104" s="241" t="s">
        <v>178</v>
      </c>
      <c r="AB104" s="280" t="s">
        <v>178</v>
      </c>
      <c r="AC104" s="242" t="str">
        <f t="shared" si="33"/>
        <v/>
      </c>
      <c r="AD104" s="240">
        <v>0.29166666666666669</v>
      </c>
      <c r="AE104" s="241">
        <v>0.54166666666666663</v>
      </c>
      <c r="AF104" s="241">
        <v>0.625</v>
      </c>
      <c r="AG104" s="240">
        <v>0.70833333333333337</v>
      </c>
      <c r="AH104" s="242">
        <f t="shared" si="31"/>
        <v>0.33333333333333331</v>
      </c>
      <c r="AI104" s="240">
        <v>0.52083333333333337</v>
      </c>
      <c r="AJ104" s="241">
        <v>0.70833333333333337</v>
      </c>
      <c r="AK104" s="241">
        <v>0.75</v>
      </c>
      <c r="AL104" s="240">
        <v>0.89583333333333337</v>
      </c>
      <c r="AM104" s="242">
        <f t="shared" si="30"/>
        <v>0.33333333333333337</v>
      </c>
    </row>
    <row r="105" spans="1:39" ht="15" x14ac:dyDescent="0.25">
      <c r="A105" s="245" t="s">
        <v>301</v>
      </c>
      <c r="B105" s="262"/>
      <c r="C105" s="268" t="s">
        <v>345</v>
      </c>
      <c r="D105" s="253" t="s">
        <v>336</v>
      </c>
      <c r="E105" s="240">
        <v>0.33333333333333331</v>
      </c>
      <c r="F105" s="241">
        <v>0.54166666666666663</v>
      </c>
      <c r="G105" s="241">
        <v>0.625</v>
      </c>
      <c r="H105" s="279">
        <v>0.75</v>
      </c>
      <c r="I105" s="242">
        <f t="shared" si="28"/>
        <v>0.33333333333333331</v>
      </c>
      <c r="J105" s="240">
        <v>0.29166666666666669</v>
      </c>
      <c r="K105" s="241">
        <v>0.54166666666666663</v>
      </c>
      <c r="L105" s="241">
        <v>0.58333333333333337</v>
      </c>
      <c r="M105" s="279">
        <v>0.66666666666666663</v>
      </c>
      <c r="N105" s="242">
        <f t="shared" si="24"/>
        <v>0.3333333333333332</v>
      </c>
      <c r="O105" s="240">
        <v>0.41666666666666669</v>
      </c>
      <c r="P105" s="241">
        <v>0.66666666666666663</v>
      </c>
      <c r="Q105" s="241">
        <v>0.75</v>
      </c>
      <c r="R105" s="279">
        <v>0.83333333333333337</v>
      </c>
      <c r="S105" s="242">
        <f t="shared" si="32"/>
        <v>0.33333333333333331</v>
      </c>
      <c r="T105" s="240">
        <v>0.54166666666666663</v>
      </c>
      <c r="U105" s="241">
        <v>0.75</v>
      </c>
      <c r="V105" s="241">
        <v>0.79166666666666663</v>
      </c>
      <c r="W105" s="279">
        <v>0.9375</v>
      </c>
      <c r="X105" s="242">
        <f t="shared" si="34"/>
        <v>0.35416666666666674</v>
      </c>
      <c r="Y105" s="240">
        <v>0.54166666666666663</v>
      </c>
      <c r="Z105" s="241">
        <v>0.79166666666666663</v>
      </c>
      <c r="AA105" s="241">
        <v>0.83333333333333337</v>
      </c>
      <c r="AB105" s="279">
        <v>0.9375</v>
      </c>
      <c r="AC105" s="242">
        <f t="shared" si="33"/>
        <v>0.35416666666666663</v>
      </c>
      <c r="AD105" s="244" t="s">
        <v>178</v>
      </c>
      <c r="AE105" s="241" t="s">
        <v>178</v>
      </c>
      <c r="AF105" s="241" t="s">
        <v>178</v>
      </c>
      <c r="AG105" s="244" t="s">
        <v>178</v>
      </c>
      <c r="AH105" s="242" t="str">
        <f t="shared" si="31"/>
        <v/>
      </c>
      <c r="AI105" s="244" t="s">
        <v>178</v>
      </c>
      <c r="AJ105" s="241" t="s">
        <v>178</v>
      </c>
      <c r="AK105" s="241" t="s">
        <v>178</v>
      </c>
      <c r="AL105" s="244" t="s">
        <v>178</v>
      </c>
      <c r="AM105" s="242" t="str">
        <f t="shared" si="30"/>
        <v/>
      </c>
    </row>
    <row r="106" spans="1:39" ht="15" x14ac:dyDescent="0.25">
      <c r="A106" s="245" t="s">
        <v>302</v>
      </c>
      <c r="B106" s="262"/>
      <c r="C106" s="268" t="s">
        <v>345</v>
      </c>
      <c r="D106" s="253" t="s">
        <v>336</v>
      </c>
      <c r="E106" s="240">
        <v>0.52083333333333337</v>
      </c>
      <c r="F106" s="241">
        <v>0.625</v>
      </c>
      <c r="G106" s="241">
        <v>0.66666666666666663</v>
      </c>
      <c r="H106" s="279">
        <v>0.89583333333333337</v>
      </c>
      <c r="I106" s="242">
        <f t="shared" si="28"/>
        <v>0.33333333333333337</v>
      </c>
      <c r="J106" s="240">
        <v>0.41666666666666669</v>
      </c>
      <c r="K106" s="241">
        <v>0.66666666666666663</v>
      </c>
      <c r="L106" s="241">
        <v>0.75</v>
      </c>
      <c r="M106" s="279">
        <v>0.83333333333333337</v>
      </c>
      <c r="N106" s="242">
        <f t="shared" si="24"/>
        <v>0.33333333333333331</v>
      </c>
      <c r="O106" s="240">
        <v>0.41666666666666669</v>
      </c>
      <c r="P106" s="241">
        <v>0.66666666666666663</v>
      </c>
      <c r="Q106" s="241">
        <v>0.75</v>
      </c>
      <c r="R106" s="279">
        <v>0.83333333333333337</v>
      </c>
      <c r="S106" s="242">
        <f t="shared" si="32"/>
        <v>0.33333333333333331</v>
      </c>
      <c r="T106" s="244" t="s">
        <v>178</v>
      </c>
      <c r="U106" s="241" t="s">
        <v>178</v>
      </c>
      <c r="V106" s="241" t="s">
        <v>178</v>
      </c>
      <c r="W106" s="280" t="s">
        <v>178</v>
      </c>
      <c r="X106" s="242" t="str">
        <f t="shared" si="34"/>
        <v/>
      </c>
      <c r="Y106" s="244" t="s">
        <v>178</v>
      </c>
      <c r="Z106" s="241" t="s">
        <v>178</v>
      </c>
      <c r="AA106" s="241" t="s">
        <v>178</v>
      </c>
      <c r="AB106" s="280" t="s">
        <v>178</v>
      </c>
      <c r="AC106" s="242" t="str">
        <f t="shared" si="33"/>
        <v/>
      </c>
      <c r="AD106" s="240">
        <v>0.29166666666666669</v>
      </c>
      <c r="AE106" s="241">
        <v>0.54166666666666663</v>
      </c>
      <c r="AF106" s="241">
        <v>0.625</v>
      </c>
      <c r="AG106" s="240">
        <v>0.70833333333333337</v>
      </c>
      <c r="AH106" s="242">
        <f t="shared" si="31"/>
        <v>0.33333333333333331</v>
      </c>
      <c r="AI106" s="240">
        <v>0.29166666666666669</v>
      </c>
      <c r="AJ106" s="241">
        <v>0.54166666666666663</v>
      </c>
      <c r="AK106" s="241">
        <v>0.625</v>
      </c>
      <c r="AL106" s="240">
        <v>0.70833333333333337</v>
      </c>
      <c r="AM106" s="242">
        <f t="shared" si="30"/>
        <v>0.33333333333333331</v>
      </c>
    </row>
    <row r="107" spans="1:39" ht="15" x14ac:dyDescent="0.25">
      <c r="A107" s="245" t="s">
        <v>303</v>
      </c>
      <c r="B107" s="262"/>
      <c r="C107" s="268" t="s">
        <v>345</v>
      </c>
      <c r="D107" s="253" t="s">
        <v>336</v>
      </c>
      <c r="E107" s="240">
        <v>0.54166666666666663</v>
      </c>
      <c r="F107" s="241">
        <v>0.75</v>
      </c>
      <c r="G107" s="241">
        <v>0.79166666666666663</v>
      </c>
      <c r="H107" s="279">
        <v>0.91666666666666663</v>
      </c>
      <c r="I107" s="242">
        <f t="shared" si="28"/>
        <v>0.33333333333333337</v>
      </c>
      <c r="J107" s="244" t="s">
        <v>178</v>
      </c>
      <c r="K107" s="241" t="s">
        <v>178</v>
      </c>
      <c r="L107" s="241" t="s">
        <v>178</v>
      </c>
      <c r="M107" s="280" t="s">
        <v>178</v>
      </c>
      <c r="N107" s="242" t="str">
        <f t="shared" si="24"/>
        <v/>
      </c>
      <c r="O107" s="244" t="s">
        <v>178</v>
      </c>
      <c r="P107" s="241" t="s">
        <v>178</v>
      </c>
      <c r="Q107" s="241" t="s">
        <v>178</v>
      </c>
      <c r="R107" s="280" t="s">
        <v>178</v>
      </c>
      <c r="S107" s="242" t="str">
        <f t="shared" si="32"/>
        <v/>
      </c>
      <c r="T107" s="240">
        <v>0.29166666666666669</v>
      </c>
      <c r="U107" s="241">
        <v>0.54166666666666663</v>
      </c>
      <c r="V107" s="241">
        <v>0.625</v>
      </c>
      <c r="W107" s="279">
        <v>0.70833333333333337</v>
      </c>
      <c r="X107" s="242">
        <f t="shared" si="34"/>
        <v>0.33333333333333331</v>
      </c>
      <c r="Y107" s="240">
        <v>0.33333333333333331</v>
      </c>
      <c r="Z107" s="241">
        <v>0.58333333333333337</v>
      </c>
      <c r="AA107" s="241">
        <v>0.66666666666666663</v>
      </c>
      <c r="AB107" s="279">
        <v>0.75</v>
      </c>
      <c r="AC107" s="242">
        <f t="shared" si="33"/>
        <v>0.33333333333333343</v>
      </c>
      <c r="AD107" s="240">
        <v>0.5</v>
      </c>
      <c r="AE107" s="241">
        <v>0.625</v>
      </c>
      <c r="AF107" s="241">
        <v>0.66666666666666663</v>
      </c>
      <c r="AG107" s="240">
        <v>0.875</v>
      </c>
      <c r="AH107" s="242">
        <f t="shared" si="31"/>
        <v>0.33333333333333337</v>
      </c>
      <c r="AI107" s="240">
        <v>0.4375</v>
      </c>
      <c r="AJ107" s="241">
        <v>0.625</v>
      </c>
      <c r="AK107" s="241">
        <v>0.70833333333333337</v>
      </c>
      <c r="AL107" s="240">
        <v>0.85416666666666663</v>
      </c>
      <c r="AM107" s="242">
        <f t="shared" si="30"/>
        <v>0.33333333333333326</v>
      </c>
    </row>
    <row r="108" spans="1:39" ht="15" x14ac:dyDescent="0.25">
      <c r="A108" s="245" t="s">
        <v>304</v>
      </c>
      <c r="B108" s="262"/>
      <c r="C108" s="268" t="s">
        <v>345</v>
      </c>
      <c r="D108" s="253" t="s">
        <v>336</v>
      </c>
      <c r="E108" s="240">
        <v>0.52083333333333337</v>
      </c>
      <c r="F108" s="241">
        <v>0.66666666666666663</v>
      </c>
      <c r="G108" s="241">
        <v>0.70833333333333337</v>
      </c>
      <c r="H108" s="279">
        <v>0.89583333333333337</v>
      </c>
      <c r="I108" s="242">
        <f t="shared" si="28"/>
        <v>0.33333333333333326</v>
      </c>
      <c r="J108" s="240">
        <v>0.45833333333333331</v>
      </c>
      <c r="K108" s="241">
        <v>0.70833333333333337</v>
      </c>
      <c r="L108" s="241">
        <v>0.79166666666666663</v>
      </c>
      <c r="M108" s="279">
        <v>0.875</v>
      </c>
      <c r="N108" s="242">
        <f t="shared" si="24"/>
        <v>0.33333333333333343</v>
      </c>
      <c r="O108" s="240">
        <v>0.41666666666666669</v>
      </c>
      <c r="P108" s="241">
        <v>0.66666666666666663</v>
      </c>
      <c r="Q108" s="241">
        <v>0.75</v>
      </c>
      <c r="R108" s="279">
        <v>0.83333333333333337</v>
      </c>
      <c r="S108" s="242">
        <f t="shared" si="32"/>
        <v>0.33333333333333331</v>
      </c>
      <c r="T108" s="244" t="s">
        <v>178</v>
      </c>
      <c r="U108" s="241" t="s">
        <v>178</v>
      </c>
      <c r="V108" s="241" t="s">
        <v>178</v>
      </c>
      <c r="W108" s="280" t="s">
        <v>178</v>
      </c>
      <c r="X108" s="242" t="str">
        <f t="shared" si="34"/>
        <v/>
      </c>
      <c r="Y108" s="244" t="s">
        <v>178</v>
      </c>
      <c r="Z108" s="241" t="s">
        <v>178</v>
      </c>
      <c r="AA108" s="241" t="s">
        <v>178</v>
      </c>
      <c r="AB108" s="280" t="s">
        <v>178</v>
      </c>
      <c r="AC108" s="242" t="str">
        <f t="shared" si="33"/>
        <v/>
      </c>
      <c r="AD108" s="240">
        <v>0.29166666666666669</v>
      </c>
      <c r="AE108" s="241">
        <v>0.54166666666666663</v>
      </c>
      <c r="AF108" s="241">
        <v>0.625</v>
      </c>
      <c r="AG108" s="240">
        <v>0.70833333333333337</v>
      </c>
      <c r="AH108" s="242">
        <f t="shared" si="31"/>
        <v>0.33333333333333331</v>
      </c>
      <c r="AI108" s="240">
        <v>0.29166666666666669</v>
      </c>
      <c r="AJ108" s="241">
        <v>0.54166666666666663</v>
      </c>
      <c r="AK108" s="241">
        <v>0.625</v>
      </c>
      <c r="AL108" s="240">
        <v>0.70833333333333337</v>
      </c>
      <c r="AM108" s="242">
        <f t="shared" si="30"/>
        <v>0.33333333333333331</v>
      </c>
    </row>
    <row r="109" spans="1:39" ht="15" x14ac:dyDescent="0.25">
      <c r="A109" s="245" t="s">
        <v>305</v>
      </c>
      <c r="B109" s="262"/>
      <c r="C109" s="268" t="s">
        <v>345</v>
      </c>
      <c r="D109" s="253" t="s">
        <v>336</v>
      </c>
      <c r="E109" s="240">
        <v>0.41666666666666669</v>
      </c>
      <c r="F109" s="241">
        <v>0.58333333333333337</v>
      </c>
      <c r="G109" s="241">
        <v>0.66666666666666663</v>
      </c>
      <c r="H109" s="279">
        <v>0.83333333333333337</v>
      </c>
      <c r="I109" s="242">
        <f t="shared" si="28"/>
        <v>0.33333333333333343</v>
      </c>
      <c r="J109" s="240">
        <v>0.5</v>
      </c>
      <c r="K109" s="241">
        <v>0.75</v>
      </c>
      <c r="L109" s="241">
        <v>0.79166666666666663</v>
      </c>
      <c r="M109" s="279">
        <v>0.875</v>
      </c>
      <c r="N109" s="242">
        <f t="shared" si="24"/>
        <v>0.33333333333333337</v>
      </c>
      <c r="O109" s="244" t="s">
        <v>178</v>
      </c>
      <c r="P109" s="241" t="s">
        <v>178</v>
      </c>
      <c r="Q109" s="241" t="s">
        <v>178</v>
      </c>
      <c r="R109" s="280" t="s">
        <v>178</v>
      </c>
      <c r="S109" s="242" t="str">
        <f t="shared" si="32"/>
        <v/>
      </c>
      <c r="T109" s="244" t="s">
        <v>178</v>
      </c>
      <c r="U109" s="241" t="s">
        <v>178</v>
      </c>
      <c r="V109" s="241" t="s">
        <v>178</v>
      </c>
      <c r="W109" s="280" t="s">
        <v>178</v>
      </c>
      <c r="X109" s="242" t="str">
        <f t="shared" si="34"/>
        <v/>
      </c>
      <c r="Y109" s="240">
        <v>0.29166666666666669</v>
      </c>
      <c r="Z109" s="241">
        <v>0.54166666666666663</v>
      </c>
      <c r="AA109" s="241">
        <v>0.625</v>
      </c>
      <c r="AB109" s="279">
        <v>0.70833333333333337</v>
      </c>
      <c r="AC109" s="242">
        <f t="shared" si="33"/>
        <v>0.33333333333333331</v>
      </c>
      <c r="AD109" s="240">
        <v>0.29166666666666669</v>
      </c>
      <c r="AE109" s="241">
        <v>0.54166666666666663</v>
      </c>
      <c r="AF109" s="241">
        <v>0.625</v>
      </c>
      <c r="AG109" s="240">
        <v>0.70833333333333337</v>
      </c>
      <c r="AH109" s="242">
        <f t="shared" si="31"/>
        <v>0.33333333333333331</v>
      </c>
      <c r="AI109" s="240">
        <v>0.52083333333333337</v>
      </c>
      <c r="AJ109" s="241">
        <v>0.70833333333333337</v>
      </c>
      <c r="AK109" s="241">
        <v>0.75</v>
      </c>
      <c r="AL109" s="240">
        <v>0.89583333333333337</v>
      </c>
      <c r="AM109" s="242">
        <f t="shared" si="30"/>
        <v>0.33333333333333337</v>
      </c>
    </row>
    <row r="110" spans="1:39" ht="15" x14ac:dyDescent="0.25">
      <c r="A110" s="245" t="s">
        <v>306</v>
      </c>
      <c r="B110" s="262"/>
      <c r="C110" s="268" t="s">
        <v>345</v>
      </c>
      <c r="D110" s="253" t="s">
        <v>336</v>
      </c>
      <c r="E110" s="243">
        <v>0.83333333333333337</v>
      </c>
      <c r="F110" s="241"/>
      <c r="G110" s="241"/>
      <c r="H110" s="283">
        <v>1</v>
      </c>
      <c r="I110" s="242">
        <f t="shared" si="28"/>
        <v>0.16666666666666663</v>
      </c>
      <c r="J110" s="243">
        <v>0</v>
      </c>
      <c r="K110" s="241">
        <v>0.29166666666666669</v>
      </c>
      <c r="L110" s="241">
        <v>0.83333333333333337</v>
      </c>
      <c r="M110" s="283">
        <v>1</v>
      </c>
      <c r="N110" s="242">
        <v>0.375</v>
      </c>
      <c r="O110" s="243">
        <v>0</v>
      </c>
      <c r="P110" s="241">
        <v>0.29166666666666669</v>
      </c>
      <c r="Q110" s="241">
        <v>0.83333333333333337</v>
      </c>
      <c r="R110" s="283">
        <v>1</v>
      </c>
      <c r="S110" s="242">
        <v>0.375</v>
      </c>
      <c r="T110" s="243">
        <v>0</v>
      </c>
      <c r="U110" s="241">
        <v>4.1666666666666664E-2</v>
      </c>
      <c r="V110" s="241">
        <v>0.125</v>
      </c>
      <c r="W110" s="283">
        <v>0.29166666666666669</v>
      </c>
      <c r="X110" s="242">
        <f t="shared" si="34"/>
        <v>0.20833333333333334</v>
      </c>
      <c r="Y110" s="244" t="s">
        <v>178</v>
      </c>
      <c r="Z110" s="241" t="s">
        <v>178</v>
      </c>
      <c r="AA110" s="241" t="s">
        <v>178</v>
      </c>
      <c r="AB110" s="280" t="s">
        <v>178</v>
      </c>
      <c r="AC110" s="242" t="str">
        <f t="shared" si="33"/>
        <v/>
      </c>
      <c r="AD110" s="240">
        <v>0.27083333333333331</v>
      </c>
      <c r="AE110" s="241">
        <v>0.5</v>
      </c>
      <c r="AF110" s="241">
        <v>0.58333333333333337</v>
      </c>
      <c r="AG110" s="240">
        <v>0.6875</v>
      </c>
      <c r="AH110" s="242">
        <f t="shared" si="31"/>
        <v>0.33333333333333331</v>
      </c>
      <c r="AI110" s="240">
        <v>0.27083333333333331</v>
      </c>
      <c r="AJ110" s="241">
        <v>0.5</v>
      </c>
      <c r="AK110" s="241">
        <v>0.58333333333333337</v>
      </c>
      <c r="AL110" s="240">
        <v>0.6875</v>
      </c>
      <c r="AM110" s="242">
        <f t="shared" si="30"/>
        <v>0.33333333333333331</v>
      </c>
    </row>
    <row r="111" spans="1:39" ht="15" x14ac:dyDescent="0.25">
      <c r="A111" s="245" t="s">
        <v>307</v>
      </c>
      <c r="B111" s="262"/>
      <c r="C111" s="268" t="s">
        <v>345</v>
      </c>
      <c r="D111" s="253" t="s">
        <v>336</v>
      </c>
      <c r="E111" s="243">
        <v>1</v>
      </c>
      <c r="F111" s="241">
        <v>4.1666666666666664E-2</v>
      </c>
      <c r="G111" s="241">
        <v>0.125</v>
      </c>
      <c r="H111" s="283">
        <v>0.29166666666666669</v>
      </c>
      <c r="I111" s="242">
        <f t="shared" si="28"/>
        <v>0.2083333333333334</v>
      </c>
      <c r="J111" s="244" t="s">
        <v>178</v>
      </c>
      <c r="K111" s="241" t="s">
        <v>178</v>
      </c>
      <c r="L111" s="241" t="s">
        <v>178</v>
      </c>
      <c r="M111" s="280" t="s">
        <v>178</v>
      </c>
      <c r="N111" s="242" t="str">
        <f t="shared" ref="N111:N142" si="35">IFERROR(MOD(M111-J111,1)-MOD(L111-K111,1),"")</f>
        <v/>
      </c>
      <c r="O111" s="240">
        <v>0.29166666666666669</v>
      </c>
      <c r="P111" s="241">
        <v>0.5</v>
      </c>
      <c r="Q111" s="241">
        <v>0.58333333333333337</v>
      </c>
      <c r="R111" s="279">
        <v>0.70833333333333337</v>
      </c>
      <c r="S111" s="242">
        <f t="shared" ref="S111:S147" si="36">IFERROR(MOD(R111-O111,1)-MOD(Q111-P111,1),"")</f>
        <v>0.33333333333333331</v>
      </c>
      <c r="T111" s="240">
        <v>0.375</v>
      </c>
      <c r="U111" s="241">
        <v>0.625</v>
      </c>
      <c r="V111" s="241">
        <v>0.70833333333333337</v>
      </c>
      <c r="W111" s="279">
        <v>0.79166666666666663</v>
      </c>
      <c r="X111" s="242">
        <f t="shared" si="34"/>
        <v>0.33333333333333326</v>
      </c>
      <c r="Y111" s="240">
        <v>0.54166666666666663</v>
      </c>
      <c r="Z111" s="241">
        <v>0.79166666666666663</v>
      </c>
      <c r="AA111" s="241">
        <v>0.83333333333333337</v>
      </c>
      <c r="AB111" s="279">
        <v>0.9375</v>
      </c>
      <c r="AC111" s="242">
        <f t="shared" si="33"/>
        <v>0.35416666666666663</v>
      </c>
      <c r="AD111" s="240">
        <v>0.54166666666666663</v>
      </c>
      <c r="AE111" s="241">
        <v>0.66666666666666663</v>
      </c>
      <c r="AF111" s="241">
        <v>0.70833333333333337</v>
      </c>
      <c r="AG111" s="240">
        <v>0.9375</v>
      </c>
      <c r="AH111" s="242">
        <f t="shared" si="31"/>
        <v>0.35416666666666663</v>
      </c>
      <c r="AI111" s="240">
        <v>0.4375</v>
      </c>
      <c r="AJ111" s="241">
        <v>0.625</v>
      </c>
      <c r="AK111" s="241">
        <v>0.70833333333333337</v>
      </c>
      <c r="AL111" s="240">
        <v>0.85416666666666663</v>
      </c>
      <c r="AM111" s="242">
        <f t="shared" si="30"/>
        <v>0.33333333333333326</v>
      </c>
    </row>
    <row r="112" spans="1:39" ht="15" x14ac:dyDescent="0.25">
      <c r="A112" s="245" t="s">
        <v>308</v>
      </c>
      <c r="B112" s="262">
        <v>6</v>
      </c>
      <c r="C112" s="268" t="s">
        <v>345</v>
      </c>
      <c r="D112" s="253" t="s">
        <v>336</v>
      </c>
      <c r="E112" s="240" t="s">
        <v>338</v>
      </c>
      <c r="F112" s="241" t="s">
        <v>338</v>
      </c>
      <c r="G112" s="241" t="s">
        <v>338</v>
      </c>
      <c r="H112" s="279" t="s">
        <v>338</v>
      </c>
      <c r="I112" s="242" t="str">
        <f t="shared" si="28"/>
        <v/>
      </c>
      <c r="J112" s="240" t="s">
        <v>338</v>
      </c>
      <c r="K112" s="241" t="s">
        <v>338</v>
      </c>
      <c r="L112" s="241" t="s">
        <v>338</v>
      </c>
      <c r="M112" s="279" t="s">
        <v>338</v>
      </c>
      <c r="N112" s="242" t="str">
        <f t="shared" si="35"/>
        <v/>
      </c>
      <c r="O112" s="240" t="s">
        <v>338</v>
      </c>
      <c r="P112" s="241" t="s">
        <v>338</v>
      </c>
      <c r="Q112" s="241" t="s">
        <v>338</v>
      </c>
      <c r="R112" s="279" t="s">
        <v>338</v>
      </c>
      <c r="S112" s="242" t="str">
        <f t="shared" si="36"/>
        <v/>
      </c>
      <c r="T112" s="240" t="s">
        <v>338</v>
      </c>
      <c r="U112" s="241" t="s">
        <v>338</v>
      </c>
      <c r="V112" s="241" t="s">
        <v>338</v>
      </c>
      <c r="W112" s="279" t="s">
        <v>338</v>
      </c>
      <c r="X112" s="242" t="str">
        <f t="shared" si="34"/>
        <v/>
      </c>
      <c r="Y112" s="240" t="s">
        <v>338</v>
      </c>
      <c r="Z112" s="241" t="s">
        <v>338</v>
      </c>
      <c r="AA112" s="241" t="s">
        <v>338</v>
      </c>
      <c r="AB112" s="279" t="s">
        <v>338</v>
      </c>
      <c r="AC112" s="242" t="str">
        <f t="shared" si="33"/>
        <v/>
      </c>
      <c r="AD112" s="240" t="s">
        <v>338</v>
      </c>
      <c r="AE112" s="241" t="s">
        <v>338</v>
      </c>
      <c r="AF112" s="241" t="s">
        <v>338</v>
      </c>
      <c r="AG112" s="240" t="s">
        <v>338</v>
      </c>
      <c r="AH112" s="242" t="str">
        <f t="shared" si="31"/>
        <v/>
      </c>
      <c r="AI112" s="240" t="s">
        <v>338</v>
      </c>
      <c r="AJ112" s="241" t="s">
        <v>338</v>
      </c>
      <c r="AK112" s="241" t="s">
        <v>338</v>
      </c>
      <c r="AL112" s="240" t="s">
        <v>338</v>
      </c>
      <c r="AM112" s="242" t="str">
        <f t="shared" si="30"/>
        <v/>
      </c>
    </row>
    <row r="113" spans="1:39" ht="15" x14ac:dyDescent="0.25">
      <c r="A113" s="245" t="s">
        <v>309</v>
      </c>
      <c r="B113" s="262"/>
      <c r="C113" s="268" t="s">
        <v>345</v>
      </c>
      <c r="D113" s="253" t="s">
        <v>336</v>
      </c>
      <c r="E113" s="240">
        <v>0.66666666666666663</v>
      </c>
      <c r="F113" s="241"/>
      <c r="G113" s="241"/>
      <c r="H113" s="279">
        <v>0.9375</v>
      </c>
      <c r="I113" s="242">
        <f t="shared" si="28"/>
        <v>0.27083333333333337</v>
      </c>
      <c r="J113" s="240">
        <v>0.66666666666666663</v>
      </c>
      <c r="K113" s="241"/>
      <c r="L113" s="241"/>
      <c r="M113" s="279">
        <v>0.9375</v>
      </c>
      <c r="N113" s="242">
        <f t="shared" si="35"/>
        <v>0.27083333333333337</v>
      </c>
      <c r="O113" s="240">
        <v>0.66666666666666663</v>
      </c>
      <c r="P113" s="241"/>
      <c r="Q113" s="241"/>
      <c r="R113" s="279">
        <v>0.9375</v>
      </c>
      <c r="S113" s="242">
        <f t="shared" si="36"/>
        <v>0.27083333333333337</v>
      </c>
      <c r="T113" s="244" t="s">
        <v>178</v>
      </c>
      <c r="U113" s="241" t="s">
        <v>178</v>
      </c>
      <c r="V113" s="241" t="s">
        <v>178</v>
      </c>
      <c r="W113" s="280" t="s">
        <v>178</v>
      </c>
      <c r="X113" s="242" t="str">
        <f t="shared" si="34"/>
        <v/>
      </c>
      <c r="Y113" s="244" t="s">
        <v>178</v>
      </c>
      <c r="Z113" s="241" t="s">
        <v>178</v>
      </c>
      <c r="AA113" s="241" t="s">
        <v>178</v>
      </c>
      <c r="AB113" s="280" t="s">
        <v>178</v>
      </c>
      <c r="AC113" s="242" t="str">
        <f t="shared" si="33"/>
        <v/>
      </c>
      <c r="AD113" s="240">
        <v>0.66666666666666663</v>
      </c>
      <c r="AE113" s="241"/>
      <c r="AF113" s="241"/>
      <c r="AG113" s="240">
        <v>0.9375</v>
      </c>
      <c r="AH113" s="242">
        <f t="shared" si="31"/>
        <v>0.27083333333333337</v>
      </c>
      <c r="AI113" s="240">
        <v>0.66666666666666663</v>
      </c>
      <c r="AJ113" s="241"/>
      <c r="AK113" s="241"/>
      <c r="AL113" s="240">
        <v>0.9375</v>
      </c>
      <c r="AM113" s="242">
        <f t="shared" si="30"/>
        <v>0.27083333333333337</v>
      </c>
    </row>
    <row r="114" spans="1:39" x14ac:dyDescent="0.2">
      <c r="A114" s="250" t="s">
        <v>193</v>
      </c>
      <c r="B114" s="262"/>
      <c r="C114" s="268" t="s">
        <v>345</v>
      </c>
      <c r="D114" s="251" t="s">
        <v>199</v>
      </c>
      <c r="E114" s="240" t="s">
        <v>337</v>
      </c>
      <c r="F114" s="241" t="s">
        <v>337</v>
      </c>
      <c r="G114" s="241" t="s">
        <v>337</v>
      </c>
      <c r="H114" s="279" t="s">
        <v>337</v>
      </c>
      <c r="I114" s="242" t="str">
        <f t="shared" si="28"/>
        <v/>
      </c>
      <c r="J114" s="240" t="s">
        <v>337</v>
      </c>
      <c r="K114" s="241" t="s">
        <v>337</v>
      </c>
      <c r="L114" s="241" t="s">
        <v>337</v>
      </c>
      <c r="M114" s="279" t="s">
        <v>337</v>
      </c>
      <c r="N114" s="242" t="str">
        <f t="shared" si="35"/>
        <v/>
      </c>
      <c r="O114" s="240" t="s">
        <v>337</v>
      </c>
      <c r="P114" s="241" t="s">
        <v>337</v>
      </c>
      <c r="Q114" s="241" t="s">
        <v>337</v>
      </c>
      <c r="R114" s="279" t="s">
        <v>337</v>
      </c>
      <c r="S114" s="242" t="str">
        <f t="shared" si="36"/>
        <v/>
      </c>
      <c r="T114" s="240" t="s">
        <v>337</v>
      </c>
      <c r="U114" s="241" t="s">
        <v>337</v>
      </c>
      <c r="V114" s="241" t="s">
        <v>337</v>
      </c>
      <c r="W114" s="279" t="s">
        <v>337</v>
      </c>
      <c r="X114" s="242" t="str">
        <f t="shared" si="34"/>
        <v/>
      </c>
      <c r="Y114" s="240" t="s">
        <v>337</v>
      </c>
      <c r="Z114" s="241" t="s">
        <v>337</v>
      </c>
      <c r="AA114" s="241" t="s">
        <v>337</v>
      </c>
      <c r="AB114" s="279" t="s">
        <v>337</v>
      </c>
      <c r="AC114" s="242" t="str">
        <f t="shared" si="33"/>
        <v/>
      </c>
      <c r="AD114" s="240" t="s">
        <v>337</v>
      </c>
      <c r="AE114" s="241" t="s">
        <v>337</v>
      </c>
      <c r="AF114" s="241" t="s">
        <v>337</v>
      </c>
      <c r="AG114" s="240" t="s">
        <v>337</v>
      </c>
      <c r="AH114" s="242" t="str">
        <f t="shared" si="31"/>
        <v/>
      </c>
      <c r="AI114" s="240" t="s">
        <v>337</v>
      </c>
      <c r="AJ114" s="241" t="s">
        <v>337</v>
      </c>
      <c r="AK114" s="241" t="s">
        <v>337</v>
      </c>
      <c r="AL114" s="240" t="s">
        <v>337</v>
      </c>
      <c r="AM114" s="242" t="str">
        <f t="shared" si="30"/>
        <v/>
      </c>
    </row>
    <row r="115" spans="1:39" ht="15" x14ac:dyDescent="0.25">
      <c r="A115" s="284" t="s">
        <v>385</v>
      </c>
      <c r="B115" s="273"/>
      <c r="C115" s="277" t="s">
        <v>358</v>
      </c>
      <c r="D115" s="252" t="s">
        <v>242</v>
      </c>
      <c r="E115" s="248">
        <v>0.70833333333333337</v>
      </c>
      <c r="F115" s="274"/>
      <c r="G115" s="241"/>
      <c r="H115" s="275">
        <v>0.91666666666666663</v>
      </c>
      <c r="I115" s="242">
        <f t="shared" si="28"/>
        <v>0.20833333333333326</v>
      </c>
      <c r="J115" s="248">
        <v>0.70833333333333337</v>
      </c>
      <c r="K115" s="274"/>
      <c r="L115" s="241"/>
      <c r="M115" s="275">
        <v>0.91666666666666663</v>
      </c>
      <c r="N115" s="242">
        <f t="shared" si="35"/>
        <v>0.20833333333333326</v>
      </c>
      <c r="O115" s="248">
        <v>0.70833333333333337</v>
      </c>
      <c r="P115" s="274"/>
      <c r="Q115" s="241"/>
      <c r="R115" s="275">
        <v>0.91666666666666663</v>
      </c>
      <c r="S115" s="242">
        <f t="shared" si="36"/>
        <v>0.20833333333333326</v>
      </c>
      <c r="T115" s="248">
        <v>0.70833333333333337</v>
      </c>
      <c r="U115" s="274"/>
      <c r="V115" s="241"/>
      <c r="W115" s="275">
        <v>0.91666666666666663</v>
      </c>
      <c r="X115" s="242">
        <f t="shared" si="34"/>
        <v>0.20833333333333326</v>
      </c>
      <c r="Y115" s="248">
        <v>0.70833333333333337</v>
      </c>
      <c r="Z115" s="274"/>
      <c r="AA115" s="241"/>
      <c r="AB115" s="275">
        <v>0.91666666666666663</v>
      </c>
      <c r="AC115" s="242">
        <f t="shared" si="33"/>
        <v>0.20833333333333326</v>
      </c>
      <c r="AD115" s="244" t="s">
        <v>178</v>
      </c>
      <c r="AE115" s="241" t="s">
        <v>178</v>
      </c>
      <c r="AF115" s="241" t="s">
        <v>178</v>
      </c>
      <c r="AG115" s="244" t="s">
        <v>178</v>
      </c>
      <c r="AH115" s="242" t="str">
        <f t="shared" si="31"/>
        <v/>
      </c>
      <c r="AI115" s="244" t="s">
        <v>178</v>
      </c>
      <c r="AJ115" s="241" t="s">
        <v>178</v>
      </c>
      <c r="AK115" s="241" t="s">
        <v>178</v>
      </c>
      <c r="AL115" s="244" t="s">
        <v>178</v>
      </c>
      <c r="AM115" s="242" t="str">
        <f t="shared" si="30"/>
        <v/>
      </c>
    </row>
    <row r="116" spans="1:39" ht="15" x14ac:dyDescent="0.25">
      <c r="A116" s="284" t="s">
        <v>379</v>
      </c>
      <c r="B116" s="273"/>
      <c r="C116" s="277" t="s">
        <v>358</v>
      </c>
      <c r="D116" s="252" t="s">
        <v>242</v>
      </c>
      <c r="E116" s="248">
        <v>0.70833333333333337</v>
      </c>
      <c r="F116" s="274"/>
      <c r="G116" s="241"/>
      <c r="H116" s="275">
        <v>0.91666666666666663</v>
      </c>
      <c r="I116" s="242">
        <f t="shared" ref="I116:I147" si="37">IFERROR(MOD(H116-E116,1)-MOD(G116-F116,1),"")</f>
        <v>0.20833333333333326</v>
      </c>
      <c r="J116" s="248">
        <v>0.70833333333333337</v>
      </c>
      <c r="K116" s="274"/>
      <c r="L116" s="241"/>
      <c r="M116" s="275">
        <v>0.91666666666666663</v>
      </c>
      <c r="N116" s="242">
        <f t="shared" si="35"/>
        <v>0.20833333333333326</v>
      </c>
      <c r="O116" s="248">
        <v>0.70833333333333337</v>
      </c>
      <c r="P116" s="274"/>
      <c r="Q116" s="241"/>
      <c r="R116" s="275">
        <v>0.91666666666666663</v>
      </c>
      <c r="S116" s="242">
        <f t="shared" si="36"/>
        <v>0.20833333333333326</v>
      </c>
      <c r="T116" s="248">
        <v>0.70833333333333337</v>
      </c>
      <c r="U116" s="274"/>
      <c r="V116" s="241"/>
      <c r="W116" s="275">
        <v>0.91666666666666663</v>
      </c>
      <c r="X116" s="242">
        <f t="shared" si="34"/>
        <v>0.20833333333333326</v>
      </c>
      <c r="Y116" s="248">
        <v>0.70833333333333337</v>
      </c>
      <c r="Z116" s="274"/>
      <c r="AA116" s="241"/>
      <c r="AB116" s="275">
        <v>0.91666666666666663</v>
      </c>
      <c r="AC116" s="242">
        <f t="shared" si="33"/>
        <v>0.20833333333333326</v>
      </c>
      <c r="AD116" s="244" t="s">
        <v>178</v>
      </c>
      <c r="AE116" s="241" t="s">
        <v>178</v>
      </c>
      <c r="AF116" s="241" t="s">
        <v>178</v>
      </c>
      <c r="AG116" s="244" t="s">
        <v>178</v>
      </c>
      <c r="AH116" s="242" t="str">
        <f t="shared" si="31"/>
        <v/>
      </c>
      <c r="AI116" s="244" t="s">
        <v>178</v>
      </c>
      <c r="AJ116" s="241" t="s">
        <v>178</v>
      </c>
      <c r="AK116" s="241" t="s">
        <v>178</v>
      </c>
      <c r="AL116" s="244" t="s">
        <v>178</v>
      </c>
      <c r="AM116" s="242" t="str">
        <f t="shared" ref="AM116:AM147" si="38">IFERROR(MOD(AL116-AI116,1)-MOD(AK116-AJ116,1),"")</f>
        <v/>
      </c>
    </row>
    <row r="117" spans="1:39" ht="15" x14ac:dyDescent="0.25">
      <c r="A117" s="284" t="s">
        <v>383</v>
      </c>
      <c r="B117" s="273"/>
      <c r="C117" s="277" t="s">
        <v>358</v>
      </c>
      <c r="D117" s="252" t="s">
        <v>242</v>
      </c>
      <c r="E117" s="248">
        <v>0.70833333333333337</v>
      </c>
      <c r="F117" s="274"/>
      <c r="G117" s="241"/>
      <c r="H117" s="275">
        <v>0.91666666666666663</v>
      </c>
      <c r="I117" s="242">
        <f t="shared" si="37"/>
        <v>0.20833333333333326</v>
      </c>
      <c r="J117" s="248">
        <v>0.70833333333333337</v>
      </c>
      <c r="K117" s="274"/>
      <c r="L117" s="241"/>
      <c r="M117" s="275">
        <v>0.91666666666666663</v>
      </c>
      <c r="N117" s="242">
        <f t="shared" si="35"/>
        <v>0.20833333333333326</v>
      </c>
      <c r="O117" s="248">
        <v>0.70833333333333337</v>
      </c>
      <c r="P117" s="274"/>
      <c r="Q117" s="241"/>
      <c r="R117" s="275">
        <v>0.91666666666666663</v>
      </c>
      <c r="S117" s="242">
        <f t="shared" si="36"/>
        <v>0.20833333333333326</v>
      </c>
      <c r="T117" s="248">
        <v>0.70833333333333337</v>
      </c>
      <c r="U117" s="274"/>
      <c r="V117" s="241"/>
      <c r="W117" s="275">
        <v>0.91666666666666663</v>
      </c>
      <c r="X117" s="242">
        <f t="shared" si="34"/>
        <v>0.20833333333333326</v>
      </c>
      <c r="Y117" s="248">
        <v>0.70833333333333337</v>
      </c>
      <c r="Z117" s="274"/>
      <c r="AA117" s="241"/>
      <c r="AB117" s="275">
        <v>0.91666666666666663</v>
      </c>
      <c r="AC117" s="242">
        <f t="shared" si="33"/>
        <v>0.20833333333333326</v>
      </c>
      <c r="AD117" s="244" t="s">
        <v>178</v>
      </c>
      <c r="AE117" s="241" t="s">
        <v>178</v>
      </c>
      <c r="AF117" s="241" t="s">
        <v>178</v>
      </c>
      <c r="AG117" s="244" t="s">
        <v>178</v>
      </c>
      <c r="AH117" s="242" t="str">
        <f t="shared" ref="AH117:AH148" si="39">IFERROR(MOD(AG117-AD117,1)-MOD(AF117-AE117,1),"")</f>
        <v/>
      </c>
      <c r="AI117" s="244" t="s">
        <v>178</v>
      </c>
      <c r="AJ117" s="241" t="s">
        <v>178</v>
      </c>
      <c r="AK117" s="241" t="s">
        <v>178</v>
      </c>
      <c r="AL117" s="244" t="s">
        <v>178</v>
      </c>
      <c r="AM117" s="242" t="str">
        <f t="shared" si="38"/>
        <v/>
      </c>
    </row>
    <row r="118" spans="1:39" ht="15" x14ac:dyDescent="0.25">
      <c r="A118" s="284" t="s">
        <v>388</v>
      </c>
      <c r="B118" s="273"/>
      <c r="C118" s="277" t="s">
        <v>358</v>
      </c>
      <c r="D118" s="252" t="s">
        <v>242</v>
      </c>
      <c r="E118" s="248">
        <v>0.70833333333333337</v>
      </c>
      <c r="F118" s="274"/>
      <c r="G118" s="241"/>
      <c r="H118" s="248">
        <v>0.91666666666666663</v>
      </c>
      <c r="I118" s="242">
        <f t="shared" si="37"/>
        <v>0.20833333333333326</v>
      </c>
      <c r="J118" s="248">
        <v>0.70833333333333337</v>
      </c>
      <c r="K118" s="274"/>
      <c r="L118" s="241"/>
      <c r="M118" s="248">
        <v>0.91666666666666663</v>
      </c>
      <c r="N118" s="242">
        <f t="shared" si="35"/>
        <v>0.20833333333333326</v>
      </c>
      <c r="O118" s="248">
        <v>0.70833333333333337</v>
      </c>
      <c r="P118" s="274"/>
      <c r="Q118" s="241"/>
      <c r="R118" s="248">
        <v>0.91666666666666663</v>
      </c>
      <c r="S118" s="242">
        <f t="shared" si="36"/>
        <v>0.20833333333333326</v>
      </c>
      <c r="T118" s="248">
        <v>0.70833333333333337</v>
      </c>
      <c r="U118" s="274"/>
      <c r="V118" s="241"/>
      <c r="W118" s="248">
        <v>0.91666666666666663</v>
      </c>
      <c r="X118" s="242">
        <f t="shared" si="34"/>
        <v>0.20833333333333326</v>
      </c>
      <c r="Y118" s="248">
        <v>0.70833333333333337</v>
      </c>
      <c r="Z118" s="274"/>
      <c r="AA118" s="241"/>
      <c r="AB118" s="248">
        <v>0.91666666666666663</v>
      </c>
      <c r="AC118" s="242">
        <f t="shared" si="33"/>
        <v>0.20833333333333326</v>
      </c>
      <c r="AD118" s="244" t="s">
        <v>178</v>
      </c>
      <c r="AE118" s="241" t="s">
        <v>178</v>
      </c>
      <c r="AF118" s="241" t="s">
        <v>178</v>
      </c>
      <c r="AG118" s="244" t="s">
        <v>178</v>
      </c>
      <c r="AH118" s="242" t="str">
        <f t="shared" si="39"/>
        <v/>
      </c>
      <c r="AI118" s="244" t="s">
        <v>178</v>
      </c>
      <c r="AJ118" s="241" t="s">
        <v>178</v>
      </c>
      <c r="AK118" s="241" t="s">
        <v>178</v>
      </c>
      <c r="AL118" s="244" t="s">
        <v>178</v>
      </c>
      <c r="AM118" s="242" t="str">
        <f t="shared" si="38"/>
        <v/>
      </c>
    </row>
    <row r="119" spans="1:39" ht="15" x14ac:dyDescent="0.25">
      <c r="A119" s="284" t="s">
        <v>389</v>
      </c>
      <c r="B119" s="273"/>
      <c r="C119" s="277" t="s">
        <v>358</v>
      </c>
      <c r="D119" s="252" t="s">
        <v>242</v>
      </c>
      <c r="E119" s="248">
        <v>0.70833333333333337</v>
      </c>
      <c r="F119" s="274"/>
      <c r="G119" s="241"/>
      <c r="H119" s="248">
        <v>0.91666666666666663</v>
      </c>
      <c r="I119" s="242">
        <f t="shared" si="37"/>
        <v>0.20833333333333326</v>
      </c>
      <c r="J119" s="248">
        <v>0.70833333333333337</v>
      </c>
      <c r="K119" s="274"/>
      <c r="L119" s="241"/>
      <c r="M119" s="248">
        <v>0.91666666666666663</v>
      </c>
      <c r="N119" s="242">
        <f t="shared" si="35"/>
        <v>0.20833333333333326</v>
      </c>
      <c r="O119" s="248">
        <v>0.70833333333333337</v>
      </c>
      <c r="P119" s="274"/>
      <c r="Q119" s="241"/>
      <c r="R119" s="248">
        <v>0.91666666666666663</v>
      </c>
      <c r="S119" s="242">
        <f t="shared" si="36"/>
        <v>0.20833333333333326</v>
      </c>
      <c r="T119" s="248">
        <v>0.70833333333333337</v>
      </c>
      <c r="U119" s="274"/>
      <c r="V119" s="241"/>
      <c r="W119" s="248">
        <v>0.91666666666666663</v>
      </c>
      <c r="X119" s="242">
        <f t="shared" si="34"/>
        <v>0.20833333333333326</v>
      </c>
      <c r="Y119" s="248">
        <v>0.70833333333333337</v>
      </c>
      <c r="Z119" s="274"/>
      <c r="AA119" s="241"/>
      <c r="AB119" s="248">
        <v>0.91666666666666663</v>
      </c>
      <c r="AC119" s="242">
        <f t="shared" si="33"/>
        <v>0.20833333333333326</v>
      </c>
      <c r="AD119" s="244" t="s">
        <v>178</v>
      </c>
      <c r="AE119" s="241" t="s">
        <v>178</v>
      </c>
      <c r="AF119" s="241" t="s">
        <v>178</v>
      </c>
      <c r="AG119" s="244" t="s">
        <v>178</v>
      </c>
      <c r="AH119" s="242" t="str">
        <f t="shared" si="39"/>
        <v/>
      </c>
      <c r="AI119" s="244" t="s">
        <v>178</v>
      </c>
      <c r="AJ119" s="241" t="s">
        <v>178</v>
      </c>
      <c r="AK119" s="241" t="s">
        <v>178</v>
      </c>
      <c r="AL119" s="244" t="s">
        <v>178</v>
      </c>
      <c r="AM119" s="242" t="str">
        <f t="shared" si="38"/>
        <v/>
      </c>
    </row>
    <row r="120" spans="1:39" ht="15" x14ac:dyDescent="0.25">
      <c r="A120" s="284" t="s">
        <v>382</v>
      </c>
      <c r="B120" s="273"/>
      <c r="C120" s="277" t="s">
        <v>358</v>
      </c>
      <c r="D120" s="252" t="s">
        <v>242</v>
      </c>
      <c r="E120" s="248">
        <v>0.70833333333333337</v>
      </c>
      <c r="F120" s="274"/>
      <c r="G120" s="241"/>
      <c r="H120" s="248">
        <v>0.91666666666666663</v>
      </c>
      <c r="I120" s="242">
        <f t="shared" si="37"/>
        <v>0.20833333333333326</v>
      </c>
      <c r="J120" s="248">
        <v>0.70833333333333337</v>
      </c>
      <c r="K120" s="274"/>
      <c r="L120" s="241"/>
      <c r="M120" s="248">
        <v>0.91666666666666663</v>
      </c>
      <c r="N120" s="242">
        <f t="shared" si="35"/>
        <v>0.20833333333333326</v>
      </c>
      <c r="O120" s="248">
        <v>0.70833333333333337</v>
      </c>
      <c r="P120" s="274"/>
      <c r="Q120" s="241"/>
      <c r="R120" s="248">
        <v>0.91666666666666663</v>
      </c>
      <c r="S120" s="242">
        <f t="shared" si="36"/>
        <v>0.20833333333333326</v>
      </c>
      <c r="T120" s="248">
        <v>0.70833333333333337</v>
      </c>
      <c r="U120" s="274"/>
      <c r="V120" s="241"/>
      <c r="W120" s="248">
        <v>0.91666666666666663</v>
      </c>
      <c r="X120" s="242">
        <f t="shared" si="34"/>
        <v>0.20833333333333326</v>
      </c>
      <c r="Y120" s="248">
        <v>0.70833333333333337</v>
      </c>
      <c r="Z120" s="274"/>
      <c r="AA120" s="241"/>
      <c r="AB120" s="248">
        <v>0.91666666666666663</v>
      </c>
      <c r="AC120" s="242">
        <f t="shared" si="33"/>
        <v>0.20833333333333326</v>
      </c>
      <c r="AD120" s="244" t="s">
        <v>178</v>
      </c>
      <c r="AE120" s="241" t="s">
        <v>178</v>
      </c>
      <c r="AF120" s="241" t="s">
        <v>178</v>
      </c>
      <c r="AG120" s="244" t="s">
        <v>178</v>
      </c>
      <c r="AH120" s="242" t="str">
        <f t="shared" si="39"/>
        <v/>
      </c>
      <c r="AI120" s="244" t="s">
        <v>178</v>
      </c>
      <c r="AJ120" s="241" t="s">
        <v>178</v>
      </c>
      <c r="AK120" s="241" t="s">
        <v>178</v>
      </c>
      <c r="AL120" s="244" t="s">
        <v>178</v>
      </c>
      <c r="AM120" s="242" t="str">
        <f t="shared" si="38"/>
        <v/>
      </c>
    </row>
    <row r="121" spans="1:39" ht="15" x14ac:dyDescent="0.25">
      <c r="A121" s="284" t="s">
        <v>381</v>
      </c>
      <c r="B121" s="273"/>
      <c r="C121" s="277" t="s">
        <v>358</v>
      </c>
      <c r="D121" s="252" t="s">
        <v>242</v>
      </c>
      <c r="E121" s="248">
        <v>0.29166666666666669</v>
      </c>
      <c r="F121" s="274"/>
      <c r="G121" s="241"/>
      <c r="H121" s="248">
        <v>0.5</v>
      </c>
      <c r="I121" s="242">
        <f t="shared" si="37"/>
        <v>0.20833333333333331</v>
      </c>
      <c r="J121" s="248">
        <v>0.29166666666666669</v>
      </c>
      <c r="K121" s="274"/>
      <c r="L121" s="241"/>
      <c r="M121" s="248">
        <v>0.5</v>
      </c>
      <c r="N121" s="242">
        <f t="shared" si="35"/>
        <v>0.20833333333333331</v>
      </c>
      <c r="O121" s="248">
        <v>0.29166666666666669</v>
      </c>
      <c r="P121" s="274"/>
      <c r="Q121" s="241"/>
      <c r="R121" s="248">
        <v>0.5</v>
      </c>
      <c r="S121" s="242">
        <f t="shared" si="36"/>
        <v>0.20833333333333331</v>
      </c>
      <c r="T121" s="248">
        <v>0.29166666666666669</v>
      </c>
      <c r="U121" s="274"/>
      <c r="V121" s="241"/>
      <c r="W121" s="248">
        <v>0.5</v>
      </c>
      <c r="X121" s="242">
        <f t="shared" si="34"/>
        <v>0.20833333333333331</v>
      </c>
      <c r="Y121" s="248">
        <v>0.29166666666666669</v>
      </c>
      <c r="Z121" s="274"/>
      <c r="AA121" s="241"/>
      <c r="AB121" s="248">
        <v>0.5</v>
      </c>
      <c r="AC121" s="242">
        <f t="shared" si="33"/>
        <v>0.20833333333333331</v>
      </c>
      <c r="AD121" s="244" t="s">
        <v>178</v>
      </c>
      <c r="AE121" s="241" t="s">
        <v>178</v>
      </c>
      <c r="AF121" s="241" t="s">
        <v>178</v>
      </c>
      <c r="AG121" s="244" t="s">
        <v>178</v>
      </c>
      <c r="AH121" s="242" t="str">
        <f t="shared" si="39"/>
        <v/>
      </c>
      <c r="AI121" s="244" t="s">
        <v>178</v>
      </c>
      <c r="AJ121" s="241" t="s">
        <v>178</v>
      </c>
      <c r="AK121" s="241" t="s">
        <v>178</v>
      </c>
      <c r="AL121" s="244" t="s">
        <v>178</v>
      </c>
      <c r="AM121" s="242" t="str">
        <f t="shared" si="38"/>
        <v/>
      </c>
    </row>
    <row r="122" spans="1:39" ht="15" x14ac:dyDescent="0.25">
      <c r="A122" s="284" t="s">
        <v>384</v>
      </c>
      <c r="B122" s="273"/>
      <c r="C122" s="277" t="s">
        <v>358</v>
      </c>
      <c r="D122" s="252" t="s">
        <v>242</v>
      </c>
      <c r="E122" s="248">
        <v>0.29166666666666669</v>
      </c>
      <c r="F122" s="274"/>
      <c r="G122" s="241"/>
      <c r="H122" s="248">
        <v>0.5</v>
      </c>
      <c r="I122" s="242">
        <f t="shared" si="37"/>
        <v>0.20833333333333331</v>
      </c>
      <c r="J122" s="248">
        <v>0.29166666666666669</v>
      </c>
      <c r="K122" s="274"/>
      <c r="L122" s="241"/>
      <c r="M122" s="248">
        <v>0.5</v>
      </c>
      <c r="N122" s="242">
        <f t="shared" si="35"/>
        <v>0.20833333333333331</v>
      </c>
      <c r="O122" s="248">
        <v>0.29166666666666669</v>
      </c>
      <c r="P122" s="274"/>
      <c r="Q122" s="241"/>
      <c r="R122" s="248">
        <v>0.5</v>
      </c>
      <c r="S122" s="242">
        <f t="shared" si="36"/>
        <v>0.20833333333333331</v>
      </c>
      <c r="T122" s="248">
        <v>0.29166666666666669</v>
      </c>
      <c r="U122" s="274"/>
      <c r="V122" s="241"/>
      <c r="W122" s="248">
        <v>0.5</v>
      </c>
      <c r="X122" s="242">
        <f t="shared" si="34"/>
        <v>0.20833333333333331</v>
      </c>
      <c r="Y122" s="248">
        <v>0.29166666666666669</v>
      </c>
      <c r="Z122" s="274"/>
      <c r="AA122" s="241"/>
      <c r="AB122" s="248">
        <v>0.5</v>
      </c>
      <c r="AC122" s="242">
        <f t="shared" si="33"/>
        <v>0.20833333333333331</v>
      </c>
      <c r="AD122" s="244" t="s">
        <v>178</v>
      </c>
      <c r="AE122" s="241" t="s">
        <v>178</v>
      </c>
      <c r="AF122" s="241" t="s">
        <v>178</v>
      </c>
      <c r="AG122" s="244" t="s">
        <v>178</v>
      </c>
      <c r="AH122" s="242" t="str">
        <f t="shared" si="39"/>
        <v/>
      </c>
      <c r="AI122" s="244" t="s">
        <v>178</v>
      </c>
      <c r="AJ122" s="241" t="s">
        <v>178</v>
      </c>
      <c r="AK122" s="241" t="s">
        <v>178</v>
      </c>
      <c r="AL122" s="244" t="s">
        <v>178</v>
      </c>
      <c r="AM122" s="242" t="str">
        <f t="shared" si="38"/>
        <v/>
      </c>
    </row>
    <row r="123" spans="1:39" ht="15" x14ac:dyDescent="0.25">
      <c r="A123" s="284" t="s">
        <v>378</v>
      </c>
      <c r="B123" s="273"/>
      <c r="C123" s="277" t="s">
        <v>358</v>
      </c>
      <c r="D123" s="252" t="s">
        <v>242</v>
      </c>
      <c r="E123" s="248">
        <v>0.29166666666666669</v>
      </c>
      <c r="F123" s="274"/>
      <c r="G123" s="241"/>
      <c r="H123" s="248">
        <v>0.5</v>
      </c>
      <c r="I123" s="242">
        <f t="shared" si="37"/>
        <v>0.20833333333333331</v>
      </c>
      <c r="J123" s="248">
        <v>0.29166666666666669</v>
      </c>
      <c r="K123" s="274"/>
      <c r="L123" s="241"/>
      <c r="M123" s="248">
        <v>0.5</v>
      </c>
      <c r="N123" s="242">
        <f t="shared" si="35"/>
        <v>0.20833333333333331</v>
      </c>
      <c r="O123" s="248">
        <v>0.29166666666666669</v>
      </c>
      <c r="P123" s="274"/>
      <c r="Q123" s="241"/>
      <c r="R123" s="248">
        <v>0.5</v>
      </c>
      <c r="S123" s="242">
        <f t="shared" si="36"/>
        <v>0.20833333333333331</v>
      </c>
      <c r="T123" s="248">
        <v>0.29166666666666669</v>
      </c>
      <c r="U123" s="274"/>
      <c r="V123" s="241"/>
      <c r="W123" s="248">
        <v>0.5</v>
      </c>
      <c r="X123" s="242">
        <f t="shared" si="34"/>
        <v>0.20833333333333331</v>
      </c>
      <c r="Y123" s="248">
        <v>0.29166666666666669</v>
      </c>
      <c r="Z123" s="274"/>
      <c r="AA123" s="241"/>
      <c r="AB123" s="248">
        <v>0.5</v>
      </c>
      <c r="AC123" s="242">
        <f t="shared" si="33"/>
        <v>0.20833333333333331</v>
      </c>
      <c r="AD123" s="244" t="s">
        <v>178</v>
      </c>
      <c r="AE123" s="241" t="s">
        <v>178</v>
      </c>
      <c r="AF123" s="241" t="s">
        <v>178</v>
      </c>
      <c r="AG123" s="244" t="s">
        <v>178</v>
      </c>
      <c r="AH123" s="242" t="str">
        <f t="shared" si="39"/>
        <v/>
      </c>
      <c r="AI123" s="244" t="s">
        <v>178</v>
      </c>
      <c r="AJ123" s="241" t="s">
        <v>178</v>
      </c>
      <c r="AK123" s="241" t="s">
        <v>178</v>
      </c>
      <c r="AL123" s="244" t="s">
        <v>178</v>
      </c>
      <c r="AM123" s="242" t="str">
        <f t="shared" si="38"/>
        <v/>
      </c>
    </row>
    <row r="124" spans="1:39" ht="15" x14ac:dyDescent="0.25">
      <c r="A124" s="284" t="s">
        <v>376</v>
      </c>
      <c r="B124" s="273"/>
      <c r="C124" s="277" t="s">
        <v>358</v>
      </c>
      <c r="D124" s="252" t="s">
        <v>242</v>
      </c>
      <c r="E124" s="248">
        <v>0.29166666666666669</v>
      </c>
      <c r="F124" s="274"/>
      <c r="G124" s="241"/>
      <c r="H124" s="248">
        <v>0.5</v>
      </c>
      <c r="I124" s="242">
        <f t="shared" si="37"/>
        <v>0.20833333333333331</v>
      </c>
      <c r="J124" s="248">
        <v>0.29166666666666669</v>
      </c>
      <c r="K124" s="274"/>
      <c r="L124" s="241"/>
      <c r="M124" s="248">
        <v>0.5</v>
      </c>
      <c r="N124" s="242">
        <f t="shared" si="35"/>
        <v>0.20833333333333331</v>
      </c>
      <c r="O124" s="248">
        <v>0.29166666666666669</v>
      </c>
      <c r="P124" s="274"/>
      <c r="Q124" s="241"/>
      <c r="R124" s="248">
        <v>0.5</v>
      </c>
      <c r="S124" s="242">
        <f t="shared" si="36"/>
        <v>0.20833333333333331</v>
      </c>
      <c r="T124" s="248">
        <v>0.29166666666666669</v>
      </c>
      <c r="U124" s="274"/>
      <c r="V124" s="241"/>
      <c r="W124" s="248">
        <v>0.5</v>
      </c>
      <c r="X124" s="242">
        <f t="shared" si="34"/>
        <v>0.20833333333333331</v>
      </c>
      <c r="Y124" s="248">
        <v>0.29166666666666669</v>
      </c>
      <c r="Z124" s="274"/>
      <c r="AA124" s="241"/>
      <c r="AB124" s="248">
        <v>0.5</v>
      </c>
      <c r="AC124" s="242">
        <f t="shared" si="33"/>
        <v>0.20833333333333331</v>
      </c>
      <c r="AD124" s="244" t="s">
        <v>178</v>
      </c>
      <c r="AE124" s="241" t="s">
        <v>178</v>
      </c>
      <c r="AF124" s="241" t="s">
        <v>178</v>
      </c>
      <c r="AG124" s="244" t="s">
        <v>178</v>
      </c>
      <c r="AH124" s="242" t="str">
        <f t="shared" si="39"/>
        <v/>
      </c>
      <c r="AI124" s="244" t="s">
        <v>178</v>
      </c>
      <c r="AJ124" s="241" t="s">
        <v>178</v>
      </c>
      <c r="AK124" s="241" t="s">
        <v>178</v>
      </c>
      <c r="AL124" s="244" t="s">
        <v>178</v>
      </c>
      <c r="AM124" s="242" t="str">
        <f t="shared" si="38"/>
        <v/>
      </c>
    </row>
    <row r="125" spans="1:39" ht="15" x14ac:dyDescent="0.25">
      <c r="A125" s="284" t="s">
        <v>390</v>
      </c>
      <c r="B125" s="273"/>
      <c r="C125" s="277" t="s">
        <v>358</v>
      </c>
      <c r="D125" s="252" t="s">
        <v>242</v>
      </c>
      <c r="E125" s="248">
        <v>0.29166666666666669</v>
      </c>
      <c r="F125" s="274"/>
      <c r="G125" s="241"/>
      <c r="H125" s="248">
        <v>0.5</v>
      </c>
      <c r="I125" s="242">
        <f t="shared" si="37"/>
        <v>0.20833333333333331</v>
      </c>
      <c r="J125" s="248">
        <v>0.29166666666666669</v>
      </c>
      <c r="K125" s="274"/>
      <c r="L125" s="241"/>
      <c r="M125" s="248">
        <v>0.5</v>
      </c>
      <c r="N125" s="242">
        <f t="shared" si="35"/>
        <v>0.20833333333333331</v>
      </c>
      <c r="O125" s="248">
        <v>0.29166666666666669</v>
      </c>
      <c r="P125" s="274"/>
      <c r="Q125" s="241"/>
      <c r="R125" s="248">
        <v>0.5</v>
      </c>
      <c r="S125" s="242">
        <f t="shared" si="36"/>
        <v>0.20833333333333331</v>
      </c>
      <c r="T125" s="248">
        <v>0.29166666666666669</v>
      </c>
      <c r="U125" s="274"/>
      <c r="V125" s="241"/>
      <c r="W125" s="248">
        <v>0.5</v>
      </c>
      <c r="X125" s="242">
        <f t="shared" si="34"/>
        <v>0.20833333333333331</v>
      </c>
      <c r="Y125" s="248">
        <v>0.29166666666666669</v>
      </c>
      <c r="Z125" s="274"/>
      <c r="AA125" s="241"/>
      <c r="AB125" s="248">
        <v>0.5</v>
      </c>
      <c r="AC125" s="242">
        <f t="shared" si="33"/>
        <v>0.20833333333333331</v>
      </c>
      <c r="AD125" s="244" t="s">
        <v>178</v>
      </c>
      <c r="AE125" s="241" t="s">
        <v>178</v>
      </c>
      <c r="AF125" s="241" t="s">
        <v>178</v>
      </c>
      <c r="AG125" s="244" t="s">
        <v>178</v>
      </c>
      <c r="AH125" s="242" t="str">
        <f t="shared" si="39"/>
        <v/>
      </c>
      <c r="AI125" s="244" t="s">
        <v>178</v>
      </c>
      <c r="AJ125" s="241" t="s">
        <v>178</v>
      </c>
      <c r="AK125" s="241" t="s">
        <v>178</v>
      </c>
      <c r="AL125" s="244" t="s">
        <v>178</v>
      </c>
      <c r="AM125" s="242" t="str">
        <f t="shared" si="38"/>
        <v/>
      </c>
    </row>
    <row r="126" spans="1:39" ht="15" x14ac:dyDescent="0.25">
      <c r="A126" s="284" t="s">
        <v>386</v>
      </c>
      <c r="B126" s="273"/>
      <c r="C126" s="277" t="s">
        <v>358</v>
      </c>
      <c r="D126" s="253" t="s">
        <v>336</v>
      </c>
      <c r="E126" s="248">
        <v>0.70833333333333337</v>
      </c>
      <c r="F126" s="274"/>
      <c r="G126" s="241"/>
      <c r="H126" s="248">
        <v>0.91666666666666663</v>
      </c>
      <c r="I126" s="242">
        <f t="shared" si="37"/>
        <v>0.20833333333333326</v>
      </c>
      <c r="J126" s="248">
        <v>0.70833333333333337</v>
      </c>
      <c r="K126" s="274"/>
      <c r="L126" s="241"/>
      <c r="M126" s="248">
        <v>0.91666666666666663</v>
      </c>
      <c r="N126" s="242">
        <f t="shared" si="35"/>
        <v>0.20833333333333326</v>
      </c>
      <c r="O126" s="248">
        <v>0.70833333333333337</v>
      </c>
      <c r="P126" s="274"/>
      <c r="Q126" s="241"/>
      <c r="R126" s="248">
        <v>0.91666666666666663</v>
      </c>
      <c r="S126" s="242">
        <f t="shared" si="36"/>
        <v>0.20833333333333326</v>
      </c>
      <c r="T126" s="248">
        <v>0.70833333333333337</v>
      </c>
      <c r="U126" s="274"/>
      <c r="V126" s="241"/>
      <c r="W126" s="248">
        <v>0.91666666666666663</v>
      </c>
      <c r="X126" s="242">
        <f t="shared" si="34"/>
        <v>0.20833333333333326</v>
      </c>
      <c r="Y126" s="248">
        <v>0.70833333333333337</v>
      </c>
      <c r="Z126" s="274"/>
      <c r="AA126" s="241"/>
      <c r="AB126" s="248">
        <v>0.91666666666666663</v>
      </c>
      <c r="AC126" s="242">
        <f t="shared" si="33"/>
        <v>0.20833333333333326</v>
      </c>
      <c r="AD126" s="244" t="s">
        <v>178</v>
      </c>
      <c r="AE126" s="241" t="s">
        <v>178</v>
      </c>
      <c r="AF126" s="241" t="s">
        <v>178</v>
      </c>
      <c r="AG126" s="244" t="s">
        <v>178</v>
      </c>
      <c r="AH126" s="242" t="str">
        <f t="shared" si="39"/>
        <v/>
      </c>
      <c r="AI126" s="244" t="s">
        <v>178</v>
      </c>
      <c r="AJ126" s="241" t="s">
        <v>178</v>
      </c>
      <c r="AK126" s="241" t="s">
        <v>178</v>
      </c>
      <c r="AL126" s="244" t="s">
        <v>178</v>
      </c>
      <c r="AM126" s="242" t="str">
        <f t="shared" si="38"/>
        <v/>
      </c>
    </row>
    <row r="127" spans="1:39" ht="15" x14ac:dyDescent="0.25">
      <c r="A127" s="284" t="s">
        <v>377</v>
      </c>
      <c r="B127" s="273"/>
      <c r="C127" s="277" t="s">
        <v>358</v>
      </c>
      <c r="D127" s="253" t="s">
        <v>336</v>
      </c>
      <c r="E127" s="248">
        <v>0.70833333333333337</v>
      </c>
      <c r="F127" s="274"/>
      <c r="G127" s="241"/>
      <c r="H127" s="248">
        <v>0.91666666666666663</v>
      </c>
      <c r="I127" s="242">
        <f t="shared" si="37"/>
        <v>0.20833333333333326</v>
      </c>
      <c r="J127" s="248">
        <v>0.70833333333333337</v>
      </c>
      <c r="K127" s="274"/>
      <c r="L127" s="241"/>
      <c r="M127" s="248">
        <v>0.91666666666666663</v>
      </c>
      <c r="N127" s="242">
        <f t="shared" si="35"/>
        <v>0.20833333333333326</v>
      </c>
      <c r="O127" s="248">
        <v>0.70833333333333337</v>
      </c>
      <c r="P127" s="274"/>
      <c r="Q127" s="241"/>
      <c r="R127" s="248">
        <v>0.91666666666666663</v>
      </c>
      <c r="S127" s="242">
        <f t="shared" si="36"/>
        <v>0.20833333333333326</v>
      </c>
      <c r="T127" s="248">
        <v>0.70833333333333337</v>
      </c>
      <c r="U127" s="274"/>
      <c r="V127" s="241"/>
      <c r="W127" s="248">
        <v>0.91666666666666663</v>
      </c>
      <c r="X127" s="242">
        <f t="shared" si="34"/>
        <v>0.20833333333333326</v>
      </c>
      <c r="Y127" s="248">
        <v>0.70833333333333337</v>
      </c>
      <c r="Z127" s="274"/>
      <c r="AA127" s="241"/>
      <c r="AB127" s="248">
        <v>0.91666666666666663</v>
      </c>
      <c r="AC127" s="242">
        <f t="shared" si="33"/>
        <v>0.20833333333333326</v>
      </c>
      <c r="AD127" s="244" t="s">
        <v>178</v>
      </c>
      <c r="AE127" s="241" t="s">
        <v>178</v>
      </c>
      <c r="AF127" s="241" t="s">
        <v>178</v>
      </c>
      <c r="AG127" s="244" t="s">
        <v>178</v>
      </c>
      <c r="AH127" s="242" t="str">
        <f t="shared" si="39"/>
        <v/>
      </c>
      <c r="AI127" s="244" t="s">
        <v>178</v>
      </c>
      <c r="AJ127" s="241" t="s">
        <v>178</v>
      </c>
      <c r="AK127" s="241" t="s">
        <v>178</v>
      </c>
      <c r="AL127" s="244" t="s">
        <v>178</v>
      </c>
      <c r="AM127" s="242" t="str">
        <f t="shared" si="38"/>
        <v/>
      </c>
    </row>
    <row r="128" spans="1:39" ht="15" x14ac:dyDescent="0.25">
      <c r="A128" s="284" t="s">
        <v>380</v>
      </c>
      <c r="B128" s="273"/>
      <c r="C128" s="277" t="s">
        <v>358</v>
      </c>
      <c r="D128" s="253" t="s">
        <v>336</v>
      </c>
      <c r="E128" s="248">
        <v>0.70833333333333337</v>
      </c>
      <c r="F128" s="274"/>
      <c r="G128" s="241"/>
      <c r="H128" s="248">
        <v>0.91666666666666663</v>
      </c>
      <c r="I128" s="242">
        <f t="shared" si="37"/>
        <v>0.20833333333333326</v>
      </c>
      <c r="J128" s="248">
        <v>0.70833333333333337</v>
      </c>
      <c r="K128" s="274"/>
      <c r="L128" s="241"/>
      <c r="M128" s="248">
        <v>0.91666666666666663</v>
      </c>
      <c r="N128" s="242">
        <f t="shared" si="35"/>
        <v>0.20833333333333326</v>
      </c>
      <c r="O128" s="248">
        <v>0.70833333333333337</v>
      </c>
      <c r="P128" s="274"/>
      <c r="Q128" s="241"/>
      <c r="R128" s="248">
        <v>0.91666666666666663</v>
      </c>
      <c r="S128" s="242">
        <f t="shared" si="36"/>
        <v>0.20833333333333326</v>
      </c>
      <c r="T128" s="248">
        <v>0.70833333333333337</v>
      </c>
      <c r="U128" s="274"/>
      <c r="V128" s="241"/>
      <c r="W128" s="248">
        <v>0.91666666666666663</v>
      </c>
      <c r="X128" s="242">
        <f t="shared" si="34"/>
        <v>0.20833333333333326</v>
      </c>
      <c r="Y128" s="248">
        <v>0.70833333333333337</v>
      </c>
      <c r="Z128" s="274"/>
      <c r="AA128" s="241"/>
      <c r="AB128" s="248">
        <v>0.91666666666666663</v>
      </c>
      <c r="AC128" s="242">
        <f t="shared" si="33"/>
        <v>0.20833333333333326</v>
      </c>
      <c r="AD128" s="244" t="s">
        <v>178</v>
      </c>
      <c r="AE128" s="241" t="s">
        <v>178</v>
      </c>
      <c r="AF128" s="241" t="s">
        <v>178</v>
      </c>
      <c r="AG128" s="244" t="s">
        <v>178</v>
      </c>
      <c r="AH128" s="242" t="str">
        <f t="shared" si="39"/>
        <v/>
      </c>
      <c r="AI128" s="244" t="s">
        <v>178</v>
      </c>
      <c r="AJ128" s="241" t="s">
        <v>178</v>
      </c>
      <c r="AK128" s="241" t="s">
        <v>178</v>
      </c>
      <c r="AL128" s="244" t="s">
        <v>178</v>
      </c>
      <c r="AM128" s="242" t="str">
        <f t="shared" si="38"/>
        <v/>
      </c>
    </row>
    <row r="129" spans="1:39" ht="15" x14ac:dyDescent="0.25">
      <c r="A129" s="284" t="s">
        <v>387</v>
      </c>
      <c r="B129" s="273"/>
      <c r="C129" s="277" t="s">
        <v>358</v>
      </c>
      <c r="D129" s="253" t="s">
        <v>336</v>
      </c>
      <c r="E129" s="248">
        <v>0.70833333333333337</v>
      </c>
      <c r="F129" s="274"/>
      <c r="G129" s="241"/>
      <c r="H129" s="248">
        <v>0.91666666666666663</v>
      </c>
      <c r="I129" s="242">
        <f t="shared" si="37"/>
        <v>0.20833333333333326</v>
      </c>
      <c r="J129" s="248">
        <v>0.70833333333333337</v>
      </c>
      <c r="K129" s="274"/>
      <c r="L129" s="241"/>
      <c r="M129" s="248">
        <v>0.91666666666666663</v>
      </c>
      <c r="N129" s="242">
        <f t="shared" si="35"/>
        <v>0.20833333333333326</v>
      </c>
      <c r="O129" s="248">
        <v>0.70833333333333337</v>
      </c>
      <c r="P129" s="274"/>
      <c r="Q129" s="241"/>
      <c r="R129" s="248">
        <v>0.91666666666666663</v>
      </c>
      <c r="S129" s="242">
        <f t="shared" si="36"/>
        <v>0.20833333333333326</v>
      </c>
      <c r="T129" s="248">
        <v>0.70833333333333337</v>
      </c>
      <c r="U129" s="274"/>
      <c r="V129" s="241"/>
      <c r="W129" s="248">
        <v>0.91666666666666663</v>
      </c>
      <c r="X129" s="242">
        <f t="shared" si="34"/>
        <v>0.20833333333333326</v>
      </c>
      <c r="Y129" s="248">
        <v>0.70833333333333337</v>
      </c>
      <c r="Z129" s="274"/>
      <c r="AA129" s="241"/>
      <c r="AB129" s="248">
        <v>0.91666666666666663</v>
      </c>
      <c r="AC129" s="242">
        <f t="shared" si="33"/>
        <v>0.20833333333333326</v>
      </c>
      <c r="AD129" s="244" t="s">
        <v>178</v>
      </c>
      <c r="AE129" s="241" t="s">
        <v>178</v>
      </c>
      <c r="AF129" s="241" t="s">
        <v>178</v>
      </c>
      <c r="AG129" s="244" t="s">
        <v>178</v>
      </c>
      <c r="AH129" s="242" t="str">
        <f t="shared" si="39"/>
        <v/>
      </c>
      <c r="AI129" s="244" t="s">
        <v>178</v>
      </c>
      <c r="AJ129" s="241" t="s">
        <v>178</v>
      </c>
      <c r="AK129" s="241" t="s">
        <v>178</v>
      </c>
      <c r="AL129" s="244" t="s">
        <v>178</v>
      </c>
      <c r="AM129" s="242" t="str">
        <f t="shared" si="38"/>
        <v/>
      </c>
    </row>
    <row r="130" spans="1:39" ht="15" x14ac:dyDescent="0.25">
      <c r="A130" s="284" t="s">
        <v>359</v>
      </c>
      <c r="B130" s="273"/>
      <c r="C130" s="277" t="s">
        <v>358</v>
      </c>
      <c r="D130" s="253" t="s">
        <v>336</v>
      </c>
      <c r="E130" s="248">
        <v>0.70833333333333337</v>
      </c>
      <c r="F130" s="274"/>
      <c r="G130" s="241"/>
      <c r="H130" s="248">
        <v>0.91666666666666663</v>
      </c>
      <c r="I130" s="242">
        <f t="shared" si="37"/>
        <v>0.20833333333333326</v>
      </c>
      <c r="J130" s="248">
        <v>0.70833333333333337</v>
      </c>
      <c r="K130" s="274"/>
      <c r="L130" s="241"/>
      <c r="M130" s="248">
        <v>0.91666666666666663</v>
      </c>
      <c r="N130" s="242">
        <f t="shared" si="35"/>
        <v>0.20833333333333326</v>
      </c>
      <c r="O130" s="248">
        <v>0.70833333333333337</v>
      </c>
      <c r="P130" s="274"/>
      <c r="Q130" s="241"/>
      <c r="R130" s="248">
        <v>0.91666666666666663</v>
      </c>
      <c r="S130" s="242">
        <f t="shared" si="36"/>
        <v>0.20833333333333326</v>
      </c>
      <c r="T130" s="248">
        <v>0.70833333333333337</v>
      </c>
      <c r="U130" s="274"/>
      <c r="V130" s="241"/>
      <c r="W130" s="248">
        <v>0.91666666666666663</v>
      </c>
      <c r="X130" s="242">
        <f t="shared" si="34"/>
        <v>0.20833333333333326</v>
      </c>
      <c r="Y130" s="248">
        <v>0.70833333333333337</v>
      </c>
      <c r="Z130" s="274"/>
      <c r="AA130" s="241"/>
      <c r="AB130" s="248">
        <v>0.91666666666666663</v>
      </c>
      <c r="AC130" s="242">
        <f t="shared" si="33"/>
        <v>0.20833333333333326</v>
      </c>
      <c r="AD130" s="244" t="s">
        <v>178</v>
      </c>
      <c r="AE130" s="241" t="s">
        <v>178</v>
      </c>
      <c r="AF130" s="241" t="s">
        <v>178</v>
      </c>
      <c r="AG130" s="244" t="s">
        <v>178</v>
      </c>
      <c r="AH130" s="242" t="str">
        <f t="shared" si="39"/>
        <v/>
      </c>
      <c r="AI130" s="244" t="s">
        <v>178</v>
      </c>
      <c r="AJ130" s="241" t="s">
        <v>178</v>
      </c>
      <c r="AK130" s="241" t="s">
        <v>178</v>
      </c>
      <c r="AL130" s="244" t="s">
        <v>178</v>
      </c>
      <c r="AM130" s="242" t="str">
        <f t="shared" si="38"/>
        <v/>
      </c>
    </row>
    <row r="131" spans="1:39" ht="15" x14ac:dyDescent="0.25">
      <c r="A131" s="284" t="s">
        <v>360</v>
      </c>
      <c r="B131" s="273"/>
      <c r="C131" s="277" t="s">
        <v>358</v>
      </c>
      <c r="D131" s="253" t="s">
        <v>336</v>
      </c>
      <c r="E131" s="248">
        <v>0.70833333333333337</v>
      </c>
      <c r="F131" s="274"/>
      <c r="G131" s="241"/>
      <c r="H131" s="248">
        <v>0.91666666666666663</v>
      </c>
      <c r="I131" s="242">
        <f t="shared" si="37"/>
        <v>0.20833333333333326</v>
      </c>
      <c r="J131" s="248">
        <v>0.70833333333333337</v>
      </c>
      <c r="K131" s="274"/>
      <c r="L131" s="241"/>
      <c r="M131" s="248">
        <v>0.91666666666666663</v>
      </c>
      <c r="N131" s="242">
        <f t="shared" si="35"/>
        <v>0.20833333333333326</v>
      </c>
      <c r="O131" s="248">
        <v>0.70833333333333337</v>
      </c>
      <c r="P131" s="274"/>
      <c r="Q131" s="241"/>
      <c r="R131" s="248">
        <v>0.91666666666666663</v>
      </c>
      <c r="S131" s="242">
        <f t="shared" si="36"/>
        <v>0.20833333333333326</v>
      </c>
      <c r="T131" s="248">
        <v>0.70833333333333337</v>
      </c>
      <c r="U131" s="274"/>
      <c r="V131" s="241"/>
      <c r="W131" s="248">
        <v>0.91666666666666663</v>
      </c>
      <c r="X131" s="242">
        <f t="shared" si="34"/>
        <v>0.20833333333333326</v>
      </c>
      <c r="Y131" s="248">
        <v>0.70833333333333337</v>
      </c>
      <c r="Z131" s="274"/>
      <c r="AA131" s="241"/>
      <c r="AB131" s="248">
        <v>0.91666666666666663</v>
      </c>
      <c r="AC131" s="242">
        <f t="shared" ref="AC131:AC162" si="40">IFERROR(MOD(AB131-Y131,1)-MOD(AA131-Z131,1),"")</f>
        <v>0.20833333333333326</v>
      </c>
      <c r="AD131" s="244" t="s">
        <v>178</v>
      </c>
      <c r="AE131" s="241" t="s">
        <v>178</v>
      </c>
      <c r="AF131" s="241" t="s">
        <v>178</v>
      </c>
      <c r="AG131" s="244" t="s">
        <v>178</v>
      </c>
      <c r="AH131" s="242" t="str">
        <f t="shared" si="39"/>
        <v/>
      </c>
      <c r="AI131" s="244" t="s">
        <v>178</v>
      </c>
      <c r="AJ131" s="241" t="s">
        <v>178</v>
      </c>
      <c r="AK131" s="241" t="s">
        <v>178</v>
      </c>
      <c r="AL131" s="244" t="s">
        <v>178</v>
      </c>
      <c r="AM131" s="242" t="str">
        <f t="shared" si="38"/>
        <v/>
      </c>
    </row>
    <row r="132" spans="1:39" ht="15" x14ac:dyDescent="0.25">
      <c r="A132" s="284" t="s">
        <v>361</v>
      </c>
      <c r="B132" s="273"/>
      <c r="C132" s="277" t="s">
        <v>358</v>
      </c>
      <c r="D132" s="253" t="s">
        <v>336</v>
      </c>
      <c r="E132" s="248">
        <v>0.70833333333333337</v>
      </c>
      <c r="F132" s="274"/>
      <c r="G132" s="241"/>
      <c r="H132" s="248">
        <v>0.91666666666666663</v>
      </c>
      <c r="I132" s="242">
        <f t="shared" si="37"/>
        <v>0.20833333333333326</v>
      </c>
      <c r="J132" s="248">
        <v>0.70833333333333337</v>
      </c>
      <c r="K132" s="274"/>
      <c r="L132" s="241"/>
      <c r="M132" s="248">
        <v>0.91666666666666663</v>
      </c>
      <c r="N132" s="242">
        <f t="shared" si="35"/>
        <v>0.20833333333333326</v>
      </c>
      <c r="O132" s="248">
        <v>0.70833333333333337</v>
      </c>
      <c r="P132" s="274"/>
      <c r="Q132" s="241"/>
      <c r="R132" s="248">
        <v>0.91666666666666663</v>
      </c>
      <c r="S132" s="242">
        <f t="shared" si="36"/>
        <v>0.20833333333333326</v>
      </c>
      <c r="T132" s="248">
        <v>0.70833333333333337</v>
      </c>
      <c r="U132" s="274"/>
      <c r="V132" s="241"/>
      <c r="W132" s="248">
        <v>0.91666666666666663</v>
      </c>
      <c r="X132" s="242">
        <f t="shared" si="34"/>
        <v>0.20833333333333326</v>
      </c>
      <c r="Y132" s="248">
        <v>0.70833333333333337</v>
      </c>
      <c r="Z132" s="274"/>
      <c r="AA132" s="241"/>
      <c r="AB132" s="248">
        <v>0.91666666666666663</v>
      </c>
      <c r="AC132" s="242">
        <f t="shared" si="40"/>
        <v>0.20833333333333326</v>
      </c>
      <c r="AD132" s="244" t="s">
        <v>178</v>
      </c>
      <c r="AE132" s="241" t="s">
        <v>178</v>
      </c>
      <c r="AF132" s="241" t="s">
        <v>178</v>
      </c>
      <c r="AG132" s="244" t="s">
        <v>178</v>
      </c>
      <c r="AH132" s="242" t="str">
        <f t="shared" si="39"/>
        <v/>
      </c>
      <c r="AI132" s="244" t="s">
        <v>178</v>
      </c>
      <c r="AJ132" s="241" t="s">
        <v>178</v>
      </c>
      <c r="AK132" s="241" t="s">
        <v>178</v>
      </c>
      <c r="AL132" s="244" t="s">
        <v>178</v>
      </c>
      <c r="AM132" s="242" t="str">
        <f t="shared" si="38"/>
        <v/>
      </c>
    </row>
    <row r="133" spans="1:39" ht="15" x14ac:dyDescent="0.25">
      <c r="A133" s="284" t="s">
        <v>362</v>
      </c>
      <c r="B133" s="273"/>
      <c r="C133" s="277" t="s">
        <v>358</v>
      </c>
      <c r="D133" s="253" t="s">
        <v>336</v>
      </c>
      <c r="E133" s="248">
        <v>0.70833333333333337</v>
      </c>
      <c r="F133" s="274"/>
      <c r="G133" s="241"/>
      <c r="H133" s="248">
        <v>0.91666666666666663</v>
      </c>
      <c r="I133" s="242">
        <f t="shared" si="37"/>
        <v>0.20833333333333326</v>
      </c>
      <c r="J133" s="248">
        <v>0.70833333333333337</v>
      </c>
      <c r="K133" s="274"/>
      <c r="L133" s="241"/>
      <c r="M133" s="248">
        <v>0.91666666666666663</v>
      </c>
      <c r="N133" s="242">
        <f t="shared" si="35"/>
        <v>0.20833333333333326</v>
      </c>
      <c r="O133" s="248">
        <v>0.70833333333333337</v>
      </c>
      <c r="P133" s="274"/>
      <c r="Q133" s="241"/>
      <c r="R133" s="248">
        <v>0.91666666666666663</v>
      </c>
      <c r="S133" s="242">
        <f t="shared" si="36"/>
        <v>0.20833333333333326</v>
      </c>
      <c r="T133" s="248">
        <v>0.70833333333333337</v>
      </c>
      <c r="U133" s="274"/>
      <c r="V133" s="241"/>
      <c r="W133" s="248">
        <v>0.91666666666666663</v>
      </c>
      <c r="X133" s="242">
        <f t="shared" si="34"/>
        <v>0.20833333333333326</v>
      </c>
      <c r="Y133" s="248">
        <v>0.70833333333333337</v>
      </c>
      <c r="Z133" s="274"/>
      <c r="AA133" s="241"/>
      <c r="AB133" s="248">
        <v>0.91666666666666663</v>
      </c>
      <c r="AC133" s="242">
        <f t="shared" si="40"/>
        <v>0.20833333333333326</v>
      </c>
      <c r="AD133" s="244" t="s">
        <v>178</v>
      </c>
      <c r="AE133" s="241" t="s">
        <v>178</v>
      </c>
      <c r="AF133" s="241" t="s">
        <v>178</v>
      </c>
      <c r="AG133" s="244" t="s">
        <v>178</v>
      </c>
      <c r="AH133" s="242" t="str">
        <f t="shared" si="39"/>
        <v/>
      </c>
      <c r="AI133" s="244" t="s">
        <v>178</v>
      </c>
      <c r="AJ133" s="241" t="s">
        <v>178</v>
      </c>
      <c r="AK133" s="241" t="s">
        <v>178</v>
      </c>
      <c r="AL133" s="244" t="s">
        <v>178</v>
      </c>
      <c r="AM133" s="242" t="str">
        <f t="shared" si="38"/>
        <v/>
      </c>
    </row>
    <row r="134" spans="1:39" ht="15" x14ac:dyDescent="0.25">
      <c r="A134" s="284" t="s">
        <v>363</v>
      </c>
      <c r="B134" s="278"/>
      <c r="C134" s="277" t="s">
        <v>358</v>
      </c>
      <c r="D134" s="253" t="s">
        <v>336</v>
      </c>
      <c r="E134" s="248">
        <v>0.70833333333333337</v>
      </c>
      <c r="F134" s="274"/>
      <c r="G134" s="241"/>
      <c r="H134" s="248">
        <v>0.91666666666666663</v>
      </c>
      <c r="I134" s="242">
        <f t="shared" si="37"/>
        <v>0.20833333333333326</v>
      </c>
      <c r="J134" s="248">
        <v>0.70833333333333337</v>
      </c>
      <c r="K134" s="274"/>
      <c r="L134" s="241"/>
      <c r="M134" s="248">
        <v>0.91666666666666663</v>
      </c>
      <c r="N134" s="242">
        <f t="shared" si="35"/>
        <v>0.20833333333333326</v>
      </c>
      <c r="O134" s="248">
        <v>0.70833333333333337</v>
      </c>
      <c r="P134" s="274"/>
      <c r="Q134" s="241"/>
      <c r="R134" s="248">
        <v>0.91666666666666663</v>
      </c>
      <c r="S134" s="242">
        <f t="shared" si="36"/>
        <v>0.20833333333333326</v>
      </c>
      <c r="T134" s="248">
        <v>0.70833333333333337</v>
      </c>
      <c r="U134" s="274"/>
      <c r="V134" s="241"/>
      <c r="W134" s="248">
        <v>0.91666666666666663</v>
      </c>
      <c r="X134" s="242">
        <f t="shared" si="34"/>
        <v>0.20833333333333326</v>
      </c>
      <c r="Y134" s="248">
        <v>0.70833333333333337</v>
      </c>
      <c r="Z134" s="274"/>
      <c r="AA134" s="241"/>
      <c r="AB134" s="248">
        <v>0.91666666666666663</v>
      </c>
      <c r="AC134" s="242">
        <f t="shared" si="40"/>
        <v>0.20833333333333326</v>
      </c>
      <c r="AD134" s="244" t="s">
        <v>178</v>
      </c>
      <c r="AE134" s="241" t="s">
        <v>178</v>
      </c>
      <c r="AF134" s="241" t="s">
        <v>178</v>
      </c>
      <c r="AG134" s="244" t="s">
        <v>178</v>
      </c>
      <c r="AH134" s="242" t="str">
        <f t="shared" si="39"/>
        <v/>
      </c>
      <c r="AI134" s="244" t="s">
        <v>178</v>
      </c>
      <c r="AJ134" s="241" t="s">
        <v>178</v>
      </c>
      <c r="AK134" s="241" t="s">
        <v>178</v>
      </c>
      <c r="AL134" s="244" t="s">
        <v>178</v>
      </c>
      <c r="AM134" s="242" t="str">
        <f t="shared" si="38"/>
        <v/>
      </c>
    </row>
    <row r="135" spans="1:39" ht="15" x14ac:dyDescent="0.25">
      <c r="A135" s="284" t="s">
        <v>364</v>
      </c>
      <c r="B135" s="278"/>
      <c r="C135" s="277" t="s">
        <v>358</v>
      </c>
      <c r="D135" s="253" t="s">
        <v>336</v>
      </c>
      <c r="E135" s="248">
        <v>0.70833333333333337</v>
      </c>
      <c r="F135" s="274"/>
      <c r="G135" s="241"/>
      <c r="H135" s="248">
        <v>0.91666666666666663</v>
      </c>
      <c r="I135" s="242">
        <f t="shared" si="37"/>
        <v>0.20833333333333326</v>
      </c>
      <c r="J135" s="248">
        <v>0.70833333333333337</v>
      </c>
      <c r="K135" s="274"/>
      <c r="L135" s="241"/>
      <c r="M135" s="248">
        <v>0.91666666666666663</v>
      </c>
      <c r="N135" s="242">
        <f t="shared" si="35"/>
        <v>0.20833333333333326</v>
      </c>
      <c r="O135" s="248">
        <v>0.70833333333333337</v>
      </c>
      <c r="P135" s="274"/>
      <c r="Q135" s="241"/>
      <c r="R135" s="248">
        <v>0.91666666666666663</v>
      </c>
      <c r="S135" s="242">
        <f t="shared" si="36"/>
        <v>0.20833333333333326</v>
      </c>
      <c r="T135" s="248">
        <v>0.70833333333333337</v>
      </c>
      <c r="U135" s="274"/>
      <c r="V135" s="241"/>
      <c r="W135" s="248">
        <v>0.91666666666666663</v>
      </c>
      <c r="X135" s="242">
        <f t="shared" si="34"/>
        <v>0.20833333333333326</v>
      </c>
      <c r="Y135" s="248">
        <v>0.70833333333333337</v>
      </c>
      <c r="Z135" s="274"/>
      <c r="AA135" s="241"/>
      <c r="AB135" s="248">
        <v>0.91666666666666663</v>
      </c>
      <c r="AC135" s="242">
        <f t="shared" si="40"/>
        <v>0.20833333333333326</v>
      </c>
      <c r="AD135" s="244" t="s">
        <v>178</v>
      </c>
      <c r="AE135" s="241" t="s">
        <v>178</v>
      </c>
      <c r="AF135" s="241" t="s">
        <v>178</v>
      </c>
      <c r="AG135" s="244" t="s">
        <v>178</v>
      </c>
      <c r="AH135" s="242" t="str">
        <f t="shared" si="39"/>
        <v/>
      </c>
      <c r="AI135" s="244" t="s">
        <v>178</v>
      </c>
      <c r="AJ135" s="241" t="s">
        <v>178</v>
      </c>
      <c r="AK135" s="241" t="s">
        <v>178</v>
      </c>
      <c r="AL135" s="244" t="s">
        <v>178</v>
      </c>
      <c r="AM135" s="242" t="str">
        <f t="shared" si="38"/>
        <v/>
      </c>
    </row>
    <row r="136" spans="1:39" ht="15" x14ac:dyDescent="0.25">
      <c r="A136" s="284" t="s">
        <v>365</v>
      </c>
      <c r="B136" s="278"/>
      <c r="C136" s="277" t="s">
        <v>358</v>
      </c>
      <c r="D136" s="253" t="s">
        <v>336</v>
      </c>
      <c r="E136" s="248">
        <v>0.70833333333333337</v>
      </c>
      <c r="F136" s="274"/>
      <c r="G136" s="241"/>
      <c r="H136" s="248">
        <v>0.91666666666666663</v>
      </c>
      <c r="I136" s="242">
        <f t="shared" si="37"/>
        <v>0.20833333333333326</v>
      </c>
      <c r="J136" s="248">
        <v>0.70833333333333337</v>
      </c>
      <c r="K136" s="274"/>
      <c r="L136" s="241"/>
      <c r="M136" s="248">
        <v>0.91666666666666663</v>
      </c>
      <c r="N136" s="242">
        <f t="shared" si="35"/>
        <v>0.20833333333333326</v>
      </c>
      <c r="O136" s="248">
        <v>0.70833333333333337</v>
      </c>
      <c r="P136" s="274"/>
      <c r="Q136" s="241"/>
      <c r="R136" s="248">
        <v>0.91666666666666663</v>
      </c>
      <c r="S136" s="242">
        <f t="shared" si="36"/>
        <v>0.20833333333333326</v>
      </c>
      <c r="T136" s="248">
        <v>0.70833333333333337</v>
      </c>
      <c r="U136" s="274"/>
      <c r="V136" s="241"/>
      <c r="W136" s="248">
        <v>0.91666666666666663</v>
      </c>
      <c r="X136" s="242">
        <f t="shared" si="34"/>
        <v>0.20833333333333326</v>
      </c>
      <c r="Y136" s="248">
        <v>0.70833333333333337</v>
      </c>
      <c r="Z136" s="274"/>
      <c r="AA136" s="241"/>
      <c r="AB136" s="248">
        <v>0.91666666666666663</v>
      </c>
      <c r="AC136" s="242">
        <f t="shared" si="40"/>
        <v>0.20833333333333326</v>
      </c>
      <c r="AD136" s="244" t="s">
        <v>178</v>
      </c>
      <c r="AE136" s="241" t="s">
        <v>178</v>
      </c>
      <c r="AF136" s="241" t="s">
        <v>178</v>
      </c>
      <c r="AG136" s="244" t="s">
        <v>178</v>
      </c>
      <c r="AH136" s="242" t="str">
        <f t="shared" si="39"/>
        <v/>
      </c>
      <c r="AI136" s="244" t="s">
        <v>178</v>
      </c>
      <c r="AJ136" s="241" t="s">
        <v>178</v>
      </c>
      <c r="AK136" s="241" t="s">
        <v>178</v>
      </c>
      <c r="AL136" s="244" t="s">
        <v>178</v>
      </c>
      <c r="AM136" s="242" t="str">
        <f t="shared" si="38"/>
        <v/>
      </c>
    </row>
    <row r="137" spans="1:39" ht="15" x14ac:dyDescent="0.25">
      <c r="A137" s="284" t="s">
        <v>373</v>
      </c>
      <c r="B137" s="278"/>
      <c r="C137" s="277" t="s">
        <v>358</v>
      </c>
      <c r="D137" s="253" t="s">
        <v>336</v>
      </c>
      <c r="E137" s="248">
        <v>0.29166666666666669</v>
      </c>
      <c r="F137" s="274"/>
      <c r="G137" s="241"/>
      <c r="H137" s="248">
        <v>0.5</v>
      </c>
      <c r="I137" s="242">
        <f t="shared" si="37"/>
        <v>0.20833333333333331</v>
      </c>
      <c r="J137" s="248">
        <v>0.29166666666666669</v>
      </c>
      <c r="K137" s="274"/>
      <c r="L137" s="241"/>
      <c r="M137" s="248">
        <v>0.5</v>
      </c>
      <c r="N137" s="242">
        <f t="shared" si="35"/>
        <v>0.20833333333333331</v>
      </c>
      <c r="O137" s="248">
        <v>0.29166666666666669</v>
      </c>
      <c r="P137" s="274"/>
      <c r="Q137" s="241"/>
      <c r="R137" s="248">
        <v>0.5</v>
      </c>
      <c r="S137" s="242">
        <f t="shared" si="36"/>
        <v>0.20833333333333331</v>
      </c>
      <c r="T137" s="248">
        <v>0.29166666666666669</v>
      </c>
      <c r="U137" s="274"/>
      <c r="V137" s="241"/>
      <c r="W137" s="248">
        <v>0.5</v>
      </c>
      <c r="X137" s="242">
        <f t="shared" si="34"/>
        <v>0.20833333333333331</v>
      </c>
      <c r="Y137" s="248">
        <v>0.29166666666666669</v>
      </c>
      <c r="Z137" s="274"/>
      <c r="AA137" s="241"/>
      <c r="AB137" s="248">
        <v>0.5</v>
      </c>
      <c r="AC137" s="242">
        <f t="shared" si="40"/>
        <v>0.20833333333333331</v>
      </c>
      <c r="AD137" s="244" t="s">
        <v>178</v>
      </c>
      <c r="AE137" s="241" t="s">
        <v>178</v>
      </c>
      <c r="AF137" s="241" t="s">
        <v>178</v>
      </c>
      <c r="AG137" s="244" t="s">
        <v>178</v>
      </c>
      <c r="AH137" s="242" t="str">
        <f t="shared" si="39"/>
        <v/>
      </c>
      <c r="AI137" s="244" t="s">
        <v>178</v>
      </c>
      <c r="AJ137" s="241" t="s">
        <v>178</v>
      </c>
      <c r="AK137" s="241" t="s">
        <v>178</v>
      </c>
      <c r="AL137" s="244" t="s">
        <v>178</v>
      </c>
      <c r="AM137" s="242" t="str">
        <f t="shared" si="38"/>
        <v/>
      </c>
    </row>
    <row r="138" spans="1:39" ht="15" x14ac:dyDescent="0.25">
      <c r="A138" s="284" t="s">
        <v>366</v>
      </c>
      <c r="B138" s="278"/>
      <c r="C138" s="277" t="s">
        <v>358</v>
      </c>
      <c r="D138" s="253" t="s">
        <v>336</v>
      </c>
      <c r="E138" s="248">
        <v>0.29166666666666669</v>
      </c>
      <c r="F138" s="274"/>
      <c r="G138" s="241"/>
      <c r="H138" s="248">
        <v>0.5</v>
      </c>
      <c r="I138" s="242">
        <f t="shared" si="37"/>
        <v>0.20833333333333331</v>
      </c>
      <c r="J138" s="248">
        <v>0.29166666666666669</v>
      </c>
      <c r="K138" s="274"/>
      <c r="L138" s="241"/>
      <c r="M138" s="248">
        <v>0.5</v>
      </c>
      <c r="N138" s="242">
        <f t="shared" si="35"/>
        <v>0.20833333333333331</v>
      </c>
      <c r="O138" s="248">
        <v>0.29166666666666669</v>
      </c>
      <c r="P138" s="274"/>
      <c r="Q138" s="241"/>
      <c r="R138" s="248">
        <v>0.5</v>
      </c>
      <c r="S138" s="242">
        <f t="shared" si="36"/>
        <v>0.20833333333333331</v>
      </c>
      <c r="T138" s="248">
        <v>0.29166666666666669</v>
      </c>
      <c r="U138" s="274"/>
      <c r="V138" s="241"/>
      <c r="W138" s="248">
        <v>0.5</v>
      </c>
      <c r="X138" s="242">
        <f t="shared" si="34"/>
        <v>0.20833333333333331</v>
      </c>
      <c r="Y138" s="248">
        <v>0.29166666666666669</v>
      </c>
      <c r="Z138" s="274"/>
      <c r="AA138" s="241"/>
      <c r="AB138" s="248">
        <v>0.5</v>
      </c>
      <c r="AC138" s="242">
        <f t="shared" si="40"/>
        <v>0.20833333333333331</v>
      </c>
      <c r="AD138" s="244" t="s">
        <v>178</v>
      </c>
      <c r="AE138" s="241" t="s">
        <v>178</v>
      </c>
      <c r="AF138" s="241" t="s">
        <v>178</v>
      </c>
      <c r="AG138" s="244" t="s">
        <v>178</v>
      </c>
      <c r="AH138" s="242" t="str">
        <f t="shared" si="39"/>
        <v/>
      </c>
      <c r="AI138" s="244" t="s">
        <v>178</v>
      </c>
      <c r="AJ138" s="241" t="s">
        <v>178</v>
      </c>
      <c r="AK138" s="241" t="s">
        <v>178</v>
      </c>
      <c r="AL138" s="244" t="s">
        <v>178</v>
      </c>
      <c r="AM138" s="242" t="str">
        <f t="shared" si="38"/>
        <v/>
      </c>
    </row>
    <row r="139" spans="1:39" ht="15" x14ac:dyDescent="0.25">
      <c r="A139" s="284" t="s">
        <v>367</v>
      </c>
      <c r="B139" s="278"/>
      <c r="C139" s="277" t="s">
        <v>358</v>
      </c>
      <c r="D139" s="253" t="s">
        <v>336</v>
      </c>
      <c r="E139" s="248">
        <v>0.29166666666666669</v>
      </c>
      <c r="F139" s="274"/>
      <c r="G139" s="241"/>
      <c r="H139" s="248">
        <v>0.5</v>
      </c>
      <c r="I139" s="242">
        <f t="shared" si="37"/>
        <v>0.20833333333333331</v>
      </c>
      <c r="J139" s="248">
        <v>0.29166666666666669</v>
      </c>
      <c r="K139" s="274"/>
      <c r="L139" s="241"/>
      <c r="M139" s="248">
        <v>0.5</v>
      </c>
      <c r="N139" s="242">
        <f t="shared" si="35"/>
        <v>0.20833333333333331</v>
      </c>
      <c r="O139" s="248">
        <v>0.29166666666666669</v>
      </c>
      <c r="P139" s="274"/>
      <c r="Q139" s="241"/>
      <c r="R139" s="248">
        <v>0.5</v>
      </c>
      <c r="S139" s="242">
        <f t="shared" si="36"/>
        <v>0.20833333333333331</v>
      </c>
      <c r="T139" s="248">
        <v>0.29166666666666669</v>
      </c>
      <c r="U139" s="274"/>
      <c r="V139" s="241"/>
      <c r="W139" s="248">
        <v>0.5</v>
      </c>
      <c r="X139" s="242">
        <f t="shared" si="34"/>
        <v>0.20833333333333331</v>
      </c>
      <c r="Y139" s="248">
        <v>0.29166666666666669</v>
      </c>
      <c r="Z139" s="274"/>
      <c r="AA139" s="241"/>
      <c r="AB139" s="248">
        <v>0.5</v>
      </c>
      <c r="AC139" s="242">
        <f t="shared" si="40"/>
        <v>0.20833333333333331</v>
      </c>
      <c r="AD139" s="244" t="s">
        <v>178</v>
      </c>
      <c r="AE139" s="241" t="s">
        <v>178</v>
      </c>
      <c r="AF139" s="241" t="s">
        <v>178</v>
      </c>
      <c r="AG139" s="244" t="s">
        <v>178</v>
      </c>
      <c r="AH139" s="242" t="str">
        <f t="shared" si="39"/>
        <v/>
      </c>
      <c r="AI139" s="244" t="s">
        <v>178</v>
      </c>
      <c r="AJ139" s="241" t="s">
        <v>178</v>
      </c>
      <c r="AK139" s="241" t="s">
        <v>178</v>
      </c>
      <c r="AL139" s="244" t="s">
        <v>178</v>
      </c>
      <c r="AM139" s="242" t="str">
        <f t="shared" si="38"/>
        <v/>
      </c>
    </row>
    <row r="140" spans="1:39" ht="15" x14ac:dyDescent="0.25">
      <c r="A140" s="284" t="s">
        <v>368</v>
      </c>
      <c r="B140" s="278"/>
      <c r="C140" s="277" t="s">
        <v>358</v>
      </c>
      <c r="D140" s="253" t="s">
        <v>336</v>
      </c>
      <c r="E140" s="248">
        <v>0.29166666666666669</v>
      </c>
      <c r="F140" s="274"/>
      <c r="G140" s="241"/>
      <c r="H140" s="248">
        <v>0.5</v>
      </c>
      <c r="I140" s="242">
        <f t="shared" si="37"/>
        <v>0.20833333333333331</v>
      </c>
      <c r="J140" s="248">
        <v>0.29166666666666669</v>
      </c>
      <c r="K140" s="274"/>
      <c r="L140" s="241"/>
      <c r="M140" s="248">
        <v>0.5</v>
      </c>
      <c r="N140" s="242">
        <f t="shared" si="35"/>
        <v>0.20833333333333331</v>
      </c>
      <c r="O140" s="248">
        <v>0.29166666666666669</v>
      </c>
      <c r="P140" s="274"/>
      <c r="Q140" s="241"/>
      <c r="R140" s="248">
        <v>0.5</v>
      </c>
      <c r="S140" s="242">
        <f t="shared" si="36"/>
        <v>0.20833333333333331</v>
      </c>
      <c r="T140" s="248">
        <v>0.29166666666666669</v>
      </c>
      <c r="U140" s="274"/>
      <c r="V140" s="241"/>
      <c r="W140" s="248">
        <v>0.5</v>
      </c>
      <c r="X140" s="242">
        <f t="shared" si="34"/>
        <v>0.20833333333333331</v>
      </c>
      <c r="Y140" s="248">
        <v>0.29166666666666669</v>
      </c>
      <c r="Z140" s="274"/>
      <c r="AA140" s="241"/>
      <c r="AB140" s="248">
        <v>0.5</v>
      </c>
      <c r="AC140" s="242">
        <f t="shared" si="40"/>
        <v>0.20833333333333331</v>
      </c>
      <c r="AD140" s="244" t="s">
        <v>178</v>
      </c>
      <c r="AE140" s="241" t="s">
        <v>178</v>
      </c>
      <c r="AF140" s="241" t="s">
        <v>178</v>
      </c>
      <c r="AG140" s="244" t="s">
        <v>178</v>
      </c>
      <c r="AH140" s="242" t="str">
        <f t="shared" si="39"/>
        <v/>
      </c>
      <c r="AI140" s="244" t="s">
        <v>178</v>
      </c>
      <c r="AJ140" s="241" t="s">
        <v>178</v>
      </c>
      <c r="AK140" s="241" t="s">
        <v>178</v>
      </c>
      <c r="AL140" s="244" t="s">
        <v>178</v>
      </c>
      <c r="AM140" s="242" t="str">
        <f t="shared" si="38"/>
        <v/>
      </c>
    </row>
    <row r="141" spans="1:39" ht="15" x14ac:dyDescent="0.25">
      <c r="A141" s="284" t="s">
        <v>369</v>
      </c>
      <c r="B141" s="278"/>
      <c r="C141" s="277" t="s">
        <v>358</v>
      </c>
      <c r="D141" s="253" t="s">
        <v>336</v>
      </c>
      <c r="E141" s="248">
        <v>0.29166666666666669</v>
      </c>
      <c r="F141" s="274"/>
      <c r="G141" s="241"/>
      <c r="H141" s="248">
        <v>0.5</v>
      </c>
      <c r="I141" s="242">
        <f t="shared" si="37"/>
        <v>0.20833333333333331</v>
      </c>
      <c r="J141" s="248">
        <v>0.29166666666666669</v>
      </c>
      <c r="K141" s="274"/>
      <c r="L141" s="241"/>
      <c r="M141" s="248">
        <v>0.5</v>
      </c>
      <c r="N141" s="242">
        <f t="shared" si="35"/>
        <v>0.20833333333333331</v>
      </c>
      <c r="O141" s="248">
        <v>0.29166666666666669</v>
      </c>
      <c r="P141" s="274"/>
      <c r="Q141" s="241"/>
      <c r="R141" s="248">
        <v>0.5</v>
      </c>
      <c r="S141" s="242">
        <f t="shared" si="36"/>
        <v>0.20833333333333331</v>
      </c>
      <c r="T141" s="248">
        <v>0.29166666666666669</v>
      </c>
      <c r="U141" s="274"/>
      <c r="V141" s="241"/>
      <c r="W141" s="248">
        <v>0.5</v>
      </c>
      <c r="X141" s="242">
        <f t="shared" si="34"/>
        <v>0.20833333333333331</v>
      </c>
      <c r="Y141" s="248">
        <v>0.29166666666666669</v>
      </c>
      <c r="Z141" s="274"/>
      <c r="AA141" s="241"/>
      <c r="AB141" s="248">
        <v>0.5</v>
      </c>
      <c r="AC141" s="242">
        <f t="shared" si="40"/>
        <v>0.20833333333333331</v>
      </c>
      <c r="AD141" s="244" t="s">
        <v>178</v>
      </c>
      <c r="AE141" s="241" t="s">
        <v>178</v>
      </c>
      <c r="AF141" s="241" t="s">
        <v>178</v>
      </c>
      <c r="AG141" s="244" t="s">
        <v>178</v>
      </c>
      <c r="AH141" s="242" t="str">
        <f t="shared" si="39"/>
        <v/>
      </c>
      <c r="AI141" s="244" t="s">
        <v>178</v>
      </c>
      <c r="AJ141" s="241" t="s">
        <v>178</v>
      </c>
      <c r="AK141" s="241" t="s">
        <v>178</v>
      </c>
      <c r="AL141" s="244" t="s">
        <v>178</v>
      </c>
      <c r="AM141" s="242" t="str">
        <f t="shared" si="38"/>
        <v/>
      </c>
    </row>
    <row r="142" spans="1:39" ht="15" x14ac:dyDescent="0.25">
      <c r="A142" s="284" t="s">
        <v>370</v>
      </c>
      <c r="B142" s="278"/>
      <c r="C142" s="277" t="s">
        <v>358</v>
      </c>
      <c r="D142" s="253" t="s">
        <v>336</v>
      </c>
      <c r="E142" s="248">
        <v>0.29166666666666669</v>
      </c>
      <c r="F142" s="274"/>
      <c r="G142" s="241"/>
      <c r="H142" s="248">
        <v>0.5</v>
      </c>
      <c r="I142" s="242">
        <f t="shared" si="37"/>
        <v>0.20833333333333331</v>
      </c>
      <c r="J142" s="248">
        <v>0.29166666666666669</v>
      </c>
      <c r="K142" s="274"/>
      <c r="L142" s="241"/>
      <c r="M142" s="248">
        <v>0.5</v>
      </c>
      <c r="N142" s="242">
        <f t="shared" si="35"/>
        <v>0.20833333333333331</v>
      </c>
      <c r="O142" s="248">
        <v>0.29166666666666669</v>
      </c>
      <c r="P142" s="274"/>
      <c r="Q142" s="241"/>
      <c r="R142" s="248">
        <v>0.5</v>
      </c>
      <c r="S142" s="242">
        <f t="shared" si="36"/>
        <v>0.20833333333333331</v>
      </c>
      <c r="T142" s="248">
        <v>0.29166666666666669</v>
      </c>
      <c r="U142" s="274"/>
      <c r="V142" s="241"/>
      <c r="W142" s="248">
        <v>0.5</v>
      </c>
      <c r="X142" s="242">
        <f t="shared" si="34"/>
        <v>0.20833333333333331</v>
      </c>
      <c r="Y142" s="248">
        <v>0.29166666666666669</v>
      </c>
      <c r="Z142" s="274"/>
      <c r="AA142" s="241"/>
      <c r="AB142" s="248">
        <v>0.5</v>
      </c>
      <c r="AC142" s="242">
        <f t="shared" si="40"/>
        <v>0.20833333333333331</v>
      </c>
      <c r="AD142" s="244" t="s">
        <v>178</v>
      </c>
      <c r="AE142" s="241" t="s">
        <v>178</v>
      </c>
      <c r="AF142" s="241" t="s">
        <v>178</v>
      </c>
      <c r="AG142" s="244" t="s">
        <v>178</v>
      </c>
      <c r="AH142" s="242" t="str">
        <f t="shared" si="39"/>
        <v/>
      </c>
      <c r="AI142" s="244" t="s">
        <v>178</v>
      </c>
      <c r="AJ142" s="241" t="s">
        <v>178</v>
      </c>
      <c r="AK142" s="241" t="s">
        <v>178</v>
      </c>
      <c r="AL142" s="244" t="s">
        <v>178</v>
      </c>
      <c r="AM142" s="242" t="str">
        <f t="shared" si="38"/>
        <v/>
      </c>
    </row>
    <row r="143" spans="1:39" ht="15" x14ac:dyDescent="0.25">
      <c r="A143" s="284" t="s">
        <v>374</v>
      </c>
      <c r="B143" s="278"/>
      <c r="C143" s="277" t="s">
        <v>358</v>
      </c>
      <c r="D143" s="253" t="s">
        <v>336</v>
      </c>
      <c r="E143" s="248">
        <v>0.29166666666666669</v>
      </c>
      <c r="F143" s="274"/>
      <c r="G143" s="241"/>
      <c r="H143" s="248">
        <v>0.5</v>
      </c>
      <c r="I143" s="242">
        <f t="shared" si="37"/>
        <v>0.20833333333333331</v>
      </c>
      <c r="J143" s="248">
        <v>0.29166666666666669</v>
      </c>
      <c r="K143" s="274"/>
      <c r="L143" s="241"/>
      <c r="M143" s="248">
        <v>0.5</v>
      </c>
      <c r="N143" s="242">
        <f t="shared" ref="N143:N174" si="41">IFERROR(MOD(M143-J143,1)-MOD(L143-K143,1),"")</f>
        <v>0.20833333333333331</v>
      </c>
      <c r="O143" s="248">
        <v>0.29166666666666669</v>
      </c>
      <c r="P143" s="274"/>
      <c r="Q143" s="241"/>
      <c r="R143" s="248">
        <v>0.5</v>
      </c>
      <c r="S143" s="242">
        <f t="shared" si="36"/>
        <v>0.20833333333333331</v>
      </c>
      <c r="T143" s="248">
        <v>0.29166666666666669</v>
      </c>
      <c r="U143" s="274"/>
      <c r="V143" s="241"/>
      <c r="W143" s="248">
        <v>0.5</v>
      </c>
      <c r="X143" s="242">
        <f t="shared" si="34"/>
        <v>0.20833333333333331</v>
      </c>
      <c r="Y143" s="248">
        <v>0.29166666666666669</v>
      </c>
      <c r="Z143" s="274"/>
      <c r="AA143" s="241"/>
      <c r="AB143" s="248">
        <v>0.5</v>
      </c>
      <c r="AC143" s="242">
        <f t="shared" si="40"/>
        <v>0.20833333333333331</v>
      </c>
      <c r="AD143" s="244" t="s">
        <v>178</v>
      </c>
      <c r="AE143" s="241" t="s">
        <v>178</v>
      </c>
      <c r="AF143" s="241" t="s">
        <v>178</v>
      </c>
      <c r="AG143" s="244" t="s">
        <v>178</v>
      </c>
      <c r="AH143" s="242" t="str">
        <f t="shared" si="39"/>
        <v/>
      </c>
      <c r="AI143" s="244" t="s">
        <v>178</v>
      </c>
      <c r="AJ143" s="241" t="s">
        <v>178</v>
      </c>
      <c r="AK143" s="241" t="s">
        <v>178</v>
      </c>
      <c r="AL143" s="244" t="s">
        <v>178</v>
      </c>
      <c r="AM143" s="242" t="str">
        <f t="shared" si="38"/>
        <v/>
      </c>
    </row>
    <row r="144" spans="1:39" ht="15" x14ac:dyDescent="0.25">
      <c r="A144" s="284" t="s">
        <v>375</v>
      </c>
      <c r="B144" s="278"/>
      <c r="C144" s="277" t="s">
        <v>358</v>
      </c>
      <c r="D144" s="253" t="s">
        <v>336</v>
      </c>
      <c r="E144" s="248">
        <v>0.29166666666666669</v>
      </c>
      <c r="F144" s="274"/>
      <c r="G144" s="241"/>
      <c r="H144" s="248">
        <v>0.5</v>
      </c>
      <c r="I144" s="242">
        <f t="shared" si="37"/>
        <v>0.20833333333333331</v>
      </c>
      <c r="J144" s="248">
        <v>0.29166666666666669</v>
      </c>
      <c r="K144" s="274"/>
      <c r="L144" s="241"/>
      <c r="M144" s="248">
        <v>0.5</v>
      </c>
      <c r="N144" s="242">
        <f t="shared" si="41"/>
        <v>0.20833333333333331</v>
      </c>
      <c r="O144" s="248">
        <v>0.29166666666666669</v>
      </c>
      <c r="P144" s="274"/>
      <c r="Q144" s="241"/>
      <c r="R144" s="248">
        <v>0.5</v>
      </c>
      <c r="S144" s="242">
        <f t="shared" si="36"/>
        <v>0.20833333333333331</v>
      </c>
      <c r="T144" s="248">
        <v>0.29166666666666669</v>
      </c>
      <c r="U144" s="274"/>
      <c r="V144" s="241"/>
      <c r="W144" s="248">
        <v>0.5</v>
      </c>
      <c r="X144" s="242">
        <f t="shared" si="34"/>
        <v>0.20833333333333331</v>
      </c>
      <c r="Y144" s="248">
        <v>0.29166666666666669</v>
      </c>
      <c r="Z144" s="274"/>
      <c r="AA144" s="241"/>
      <c r="AB144" s="248">
        <v>0.5</v>
      </c>
      <c r="AC144" s="242">
        <f t="shared" si="40"/>
        <v>0.20833333333333331</v>
      </c>
      <c r="AD144" s="244" t="s">
        <v>178</v>
      </c>
      <c r="AE144" s="241" t="s">
        <v>178</v>
      </c>
      <c r="AF144" s="241" t="s">
        <v>178</v>
      </c>
      <c r="AG144" s="244" t="s">
        <v>178</v>
      </c>
      <c r="AH144" s="242" t="str">
        <f t="shared" si="39"/>
        <v/>
      </c>
      <c r="AI144" s="244" t="s">
        <v>178</v>
      </c>
      <c r="AJ144" s="241" t="s">
        <v>178</v>
      </c>
      <c r="AK144" s="241" t="s">
        <v>178</v>
      </c>
      <c r="AL144" s="244" t="s">
        <v>178</v>
      </c>
      <c r="AM144" s="242" t="str">
        <f t="shared" si="38"/>
        <v/>
      </c>
    </row>
    <row r="145" spans="1:39" ht="15" x14ac:dyDescent="0.25">
      <c r="A145" s="284" t="s">
        <v>371</v>
      </c>
      <c r="B145" s="278"/>
      <c r="C145" s="277" t="s">
        <v>358</v>
      </c>
      <c r="D145" s="253" t="s">
        <v>336</v>
      </c>
      <c r="E145" s="248">
        <v>0.29166666666666669</v>
      </c>
      <c r="F145" s="274"/>
      <c r="G145" s="241"/>
      <c r="H145" s="248">
        <v>0.5</v>
      </c>
      <c r="I145" s="242">
        <f t="shared" si="37"/>
        <v>0.20833333333333331</v>
      </c>
      <c r="J145" s="248">
        <v>0.29166666666666669</v>
      </c>
      <c r="K145" s="274"/>
      <c r="L145" s="241"/>
      <c r="M145" s="248">
        <v>0.5</v>
      </c>
      <c r="N145" s="242">
        <f t="shared" si="41"/>
        <v>0.20833333333333331</v>
      </c>
      <c r="O145" s="248">
        <v>0.29166666666666669</v>
      </c>
      <c r="P145" s="274"/>
      <c r="Q145" s="241"/>
      <c r="R145" s="248">
        <v>0.5</v>
      </c>
      <c r="S145" s="242">
        <f t="shared" si="36"/>
        <v>0.20833333333333331</v>
      </c>
      <c r="T145" s="248">
        <v>0.29166666666666669</v>
      </c>
      <c r="U145" s="274"/>
      <c r="V145" s="241"/>
      <c r="W145" s="248">
        <v>0.5</v>
      </c>
      <c r="X145" s="242">
        <f t="shared" si="34"/>
        <v>0.20833333333333331</v>
      </c>
      <c r="Y145" s="248">
        <v>0.29166666666666669</v>
      </c>
      <c r="Z145" s="274"/>
      <c r="AA145" s="241"/>
      <c r="AB145" s="248">
        <v>0.5</v>
      </c>
      <c r="AC145" s="242">
        <f t="shared" si="40"/>
        <v>0.20833333333333331</v>
      </c>
      <c r="AD145" s="244" t="s">
        <v>178</v>
      </c>
      <c r="AE145" s="241" t="s">
        <v>178</v>
      </c>
      <c r="AF145" s="241" t="s">
        <v>178</v>
      </c>
      <c r="AG145" s="244" t="s">
        <v>178</v>
      </c>
      <c r="AH145" s="242" t="str">
        <f t="shared" si="39"/>
        <v/>
      </c>
      <c r="AI145" s="244" t="s">
        <v>178</v>
      </c>
      <c r="AJ145" s="241" t="s">
        <v>178</v>
      </c>
      <c r="AK145" s="241" t="s">
        <v>178</v>
      </c>
      <c r="AL145" s="244" t="s">
        <v>178</v>
      </c>
      <c r="AM145" s="242" t="str">
        <f t="shared" si="38"/>
        <v/>
      </c>
    </row>
    <row r="146" spans="1:39" ht="15" x14ac:dyDescent="0.25">
      <c r="A146" s="284" t="s">
        <v>372</v>
      </c>
      <c r="B146" s="278"/>
      <c r="C146" s="277" t="s">
        <v>358</v>
      </c>
      <c r="D146" s="253" t="s">
        <v>336</v>
      </c>
      <c r="E146" s="248">
        <v>0.29166666666666669</v>
      </c>
      <c r="F146" s="274"/>
      <c r="G146" s="241"/>
      <c r="H146" s="248">
        <v>0.5</v>
      </c>
      <c r="I146" s="242">
        <f t="shared" si="37"/>
        <v>0.20833333333333331</v>
      </c>
      <c r="J146" s="248">
        <v>0.29166666666666669</v>
      </c>
      <c r="K146" s="274"/>
      <c r="L146" s="241"/>
      <c r="M146" s="248">
        <v>0.5</v>
      </c>
      <c r="N146" s="242">
        <f t="shared" si="41"/>
        <v>0.20833333333333331</v>
      </c>
      <c r="O146" s="248">
        <v>0.29166666666666669</v>
      </c>
      <c r="P146" s="274"/>
      <c r="Q146" s="241"/>
      <c r="R146" s="248">
        <v>0.5</v>
      </c>
      <c r="S146" s="242">
        <f t="shared" si="36"/>
        <v>0.20833333333333331</v>
      </c>
      <c r="T146" s="248">
        <v>0.29166666666666669</v>
      </c>
      <c r="U146" s="274"/>
      <c r="V146" s="241"/>
      <c r="W146" s="248">
        <v>0.5</v>
      </c>
      <c r="X146" s="242">
        <f t="shared" si="34"/>
        <v>0.20833333333333331</v>
      </c>
      <c r="Y146" s="248">
        <v>0.29166666666666669</v>
      </c>
      <c r="Z146" s="274"/>
      <c r="AA146" s="241"/>
      <c r="AB146" s="248">
        <v>0.5</v>
      </c>
      <c r="AC146" s="242">
        <f t="shared" si="40"/>
        <v>0.20833333333333331</v>
      </c>
      <c r="AD146" s="244" t="s">
        <v>178</v>
      </c>
      <c r="AE146" s="241" t="s">
        <v>178</v>
      </c>
      <c r="AF146" s="241" t="s">
        <v>178</v>
      </c>
      <c r="AG146" s="244" t="s">
        <v>178</v>
      </c>
      <c r="AH146" s="242" t="str">
        <f t="shared" si="39"/>
        <v/>
      </c>
      <c r="AI146" s="244" t="s">
        <v>178</v>
      </c>
      <c r="AJ146" s="241" t="s">
        <v>178</v>
      </c>
      <c r="AK146" s="241" t="s">
        <v>178</v>
      </c>
      <c r="AL146" s="244" t="s">
        <v>178</v>
      </c>
      <c r="AM146" s="242" t="str">
        <f t="shared" si="38"/>
        <v/>
      </c>
    </row>
    <row r="147" spans="1:39" x14ac:dyDescent="0.2">
      <c r="A147" s="239" t="s">
        <v>310</v>
      </c>
      <c r="B147" s="262"/>
      <c r="C147" s="267" t="s">
        <v>351</v>
      </c>
      <c r="D147" s="253" t="s">
        <v>336</v>
      </c>
      <c r="E147" s="243">
        <v>0.83333333333333337</v>
      </c>
      <c r="F147" s="241"/>
      <c r="G147" s="241"/>
      <c r="H147" s="243">
        <v>1</v>
      </c>
      <c r="I147" s="242">
        <f t="shared" si="37"/>
        <v>0.16666666666666663</v>
      </c>
      <c r="J147" s="243">
        <v>0</v>
      </c>
      <c r="K147" s="241">
        <v>0.16666666666666666</v>
      </c>
      <c r="L147" s="241">
        <v>0.25</v>
      </c>
      <c r="M147" s="243">
        <v>0.29166666666666669</v>
      </c>
      <c r="N147" s="242">
        <f t="shared" si="41"/>
        <v>0.20833333333333334</v>
      </c>
      <c r="O147" s="244" t="s">
        <v>178</v>
      </c>
      <c r="P147" s="241" t="s">
        <v>178</v>
      </c>
      <c r="Q147" s="241" t="s">
        <v>178</v>
      </c>
      <c r="R147" s="244" t="s">
        <v>178</v>
      </c>
      <c r="S147" s="242" t="str">
        <f t="shared" si="36"/>
        <v/>
      </c>
      <c r="T147" s="240">
        <v>0.29166666666666669</v>
      </c>
      <c r="U147" s="241">
        <v>0.54166666666666663</v>
      </c>
      <c r="V147" s="241">
        <v>0.625</v>
      </c>
      <c r="W147" s="240">
        <v>0.70833333333333337</v>
      </c>
      <c r="X147" s="242">
        <f t="shared" si="34"/>
        <v>0.33333333333333331</v>
      </c>
      <c r="Y147" s="240">
        <v>0.33333333333333331</v>
      </c>
      <c r="Z147" s="241">
        <v>0.58333333333333337</v>
      </c>
      <c r="AA147" s="241">
        <v>0.66666666666666663</v>
      </c>
      <c r="AB147" s="240">
        <v>0.75</v>
      </c>
      <c r="AC147" s="242">
        <f t="shared" si="40"/>
        <v>0.33333333333333343</v>
      </c>
      <c r="AD147" s="240">
        <v>0.54166666666666663</v>
      </c>
      <c r="AE147" s="241">
        <v>0.625</v>
      </c>
      <c r="AF147" s="241">
        <v>0.66666666666666663</v>
      </c>
      <c r="AG147" s="240">
        <v>0.9375</v>
      </c>
      <c r="AH147" s="242">
        <f t="shared" si="39"/>
        <v>0.35416666666666674</v>
      </c>
      <c r="AI147" s="240">
        <v>0.5</v>
      </c>
      <c r="AJ147" s="241">
        <v>0.70833333333333337</v>
      </c>
      <c r="AK147" s="241">
        <v>0.75</v>
      </c>
      <c r="AL147" s="240">
        <v>0.875</v>
      </c>
      <c r="AM147" s="242">
        <f t="shared" si="38"/>
        <v>0.33333333333333337</v>
      </c>
    </row>
    <row r="148" spans="1:39" x14ac:dyDescent="0.2">
      <c r="A148" s="239" t="s">
        <v>311</v>
      </c>
      <c r="B148" s="262"/>
      <c r="C148" s="267" t="s">
        <v>351</v>
      </c>
      <c r="D148" s="253" t="s">
        <v>336</v>
      </c>
      <c r="E148" s="243">
        <v>1</v>
      </c>
      <c r="F148" s="241">
        <v>0.16666666666666666</v>
      </c>
      <c r="G148" s="241">
        <v>0.25</v>
      </c>
      <c r="H148" s="243">
        <v>0.29166666666666669</v>
      </c>
      <c r="I148" s="242">
        <f t="shared" ref="I148:I179" si="42">IFERROR(MOD(H148-E148,1)-MOD(G148-F148,1),"")</f>
        <v>0.2083333333333334</v>
      </c>
      <c r="J148" s="243">
        <v>0.83333333333333337</v>
      </c>
      <c r="K148" s="241">
        <v>8.3333333333333329E-2</v>
      </c>
      <c r="L148" s="241">
        <v>0.16666666666666666</v>
      </c>
      <c r="M148" s="243">
        <v>1</v>
      </c>
      <c r="N148" s="242">
        <f t="shared" si="41"/>
        <v>8.3333333333333301E-2</v>
      </c>
      <c r="O148" s="243">
        <v>1</v>
      </c>
      <c r="P148" s="241">
        <v>0.29166666666666669</v>
      </c>
      <c r="Q148" s="241">
        <v>0.83333333333333337</v>
      </c>
      <c r="R148" s="243">
        <v>1</v>
      </c>
      <c r="S148" s="242">
        <v>0.375</v>
      </c>
      <c r="T148" s="243">
        <v>1</v>
      </c>
      <c r="U148" s="241"/>
      <c r="V148" s="241"/>
      <c r="W148" s="243">
        <v>0.29166666666666669</v>
      </c>
      <c r="X148" s="242">
        <f t="shared" si="34"/>
        <v>0.29166666666666674</v>
      </c>
      <c r="Y148" s="243">
        <v>0.83333333333333337</v>
      </c>
      <c r="Z148" s="241"/>
      <c r="AA148" s="241"/>
      <c r="AB148" s="243">
        <v>1</v>
      </c>
      <c r="AC148" s="242">
        <f t="shared" si="40"/>
        <v>0.16666666666666663</v>
      </c>
      <c r="AD148" s="243">
        <v>1</v>
      </c>
      <c r="AE148" s="241">
        <v>0.29166666666666669</v>
      </c>
      <c r="AF148" s="241">
        <v>0.83333333333333337</v>
      </c>
      <c r="AG148" s="243">
        <v>1</v>
      </c>
      <c r="AH148" s="242">
        <v>0.375</v>
      </c>
      <c r="AI148" s="243">
        <v>0</v>
      </c>
      <c r="AJ148" s="241">
        <v>0.29166666666666669</v>
      </c>
      <c r="AK148" s="241">
        <v>0.83333333333333337</v>
      </c>
      <c r="AL148" s="243">
        <v>1</v>
      </c>
      <c r="AM148" s="242">
        <v>0.375</v>
      </c>
    </row>
    <row r="149" spans="1:39" x14ac:dyDescent="0.2">
      <c r="A149" s="239" t="s">
        <v>312</v>
      </c>
      <c r="B149" s="262"/>
      <c r="C149" s="267" t="s">
        <v>351</v>
      </c>
      <c r="D149" s="253" t="s">
        <v>336</v>
      </c>
      <c r="E149" s="243">
        <v>0</v>
      </c>
      <c r="F149" s="241">
        <v>0.29166666666666669</v>
      </c>
      <c r="G149" s="241">
        <v>0.83333333333333337</v>
      </c>
      <c r="H149" s="243">
        <v>1</v>
      </c>
      <c r="I149" s="242">
        <v>0.33333333333333331</v>
      </c>
      <c r="J149" s="243">
        <v>0</v>
      </c>
      <c r="K149" s="241">
        <v>0.125</v>
      </c>
      <c r="L149" s="241">
        <v>0.20833333333333334</v>
      </c>
      <c r="M149" s="243">
        <v>0.29166666666666669</v>
      </c>
      <c r="N149" s="242">
        <f t="shared" si="41"/>
        <v>0.20833333333333334</v>
      </c>
      <c r="O149" s="243">
        <v>0.83333333333333337</v>
      </c>
      <c r="P149" s="241"/>
      <c r="Q149" s="241"/>
      <c r="R149" s="243">
        <v>1</v>
      </c>
      <c r="S149" s="242">
        <f>IFERROR(MOD(R149-O149,1)-MOD(Q149-P149,1),"")</f>
        <v>0.16666666666666663</v>
      </c>
      <c r="T149" s="243">
        <v>0</v>
      </c>
      <c r="U149" s="241">
        <v>0.29166666666666669</v>
      </c>
      <c r="V149" s="241">
        <v>0.83333333333333337</v>
      </c>
      <c r="W149" s="243">
        <v>1</v>
      </c>
      <c r="X149" s="242">
        <v>0.375</v>
      </c>
      <c r="Y149" s="243">
        <v>0</v>
      </c>
      <c r="Z149" s="241">
        <v>8.3333333333333329E-2</v>
      </c>
      <c r="AA149" s="241">
        <v>0.16666666666666666</v>
      </c>
      <c r="AB149" s="243">
        <v>0.29166666666666669</v>
      </c>
      <c r="AC149" s="242">
        <f t="shared" si="40"/>
        <v>0.20833333333333337</v>
      </c>
      <c r="AD149" s="243">
        <v>0.83333333333333337</v>
      </c>
      <c r="AE149" s="241"/>
      <c r="AF149" s="241"/>
      <c r="AG149" s="243">
        <v>1</v>
      </c>
      <c r="AH149" s="242">
        <f>IFERROR(MOD(AG149-AD149,1)-MOD(AF149-AE149,1),"")</f>
        <v>0.16666666666666663</v>
      </c>
      <c r="AI149" s="246">
        <v>0.83333333333333337</v>
      </c>
      <c r="AJ149" s="241"/>
      <c r="AK149" s="241"/>
      <c r="AL149" s="246">
        <v>1</v>
      </c>
      <c r="AM149" s="242">
        <f>IFERROR(MOD(AL149-AI149,1)-MOD(AK149-AJ149,1),"")</f>
        <v>0.16666666666666663</v>
      </c>
    </row>
    <row r="150" spans="1:39" x14ac:dyDescent="0.2">
      <c r="A150" s="239" t="s">
        <v>313</v>
      </c>
      <c r="B150" s="262"/>
      <c r="C150" s="267" t="s">
        <v>351</v>
      </c>
      <c r="D150" s="253" t="s">
        <v>336</v>
      </c>
      <c r="E150" s="240" t="s">
        <v>337</v>
      </c>
      <c r="F150" s="241" t="s">
        <v>337</v>
      </c>
      <c r="G150" s="241" t="s">
        <v>337</v>
      </c>
      <c r="H150" s="240" t="s">
        <v>337</v>
      </c>
      <c r="I150" s="242" t="str">
        <f>IFERROR(MOD(H150-E150,1)-MOD(G150-F150,1),"")</f>
        <v/>
      </c>
      <c r="J150" s="240" t="s">
        <v>337</v>
      </c>
      <c r="K150" s="241" t="s">
        <v>337</v>
      </c>
      <c r="L150" s="241" t="s">
        <v>337</v>
      </c>
      <c r="M150" s="240" t="s">
        <v>337</v>
      </c>
      <c r="N150" s="242" t="str">
        <f t="shared" si="41"/>
        <v/>
      </c>
      <c r="O150" s="240" t="s">
        <v>337</v>
      </c>
      <c r="P150" s="241" t="s">
        <v>337</v>
      </c>
      <c r="Q150" s="241" t="s">
        <v>337</v>
      </c>
      <c r="R150" s="240" t="s">
        <v>337</v>
      </c>
      <c r="S150" s="242" t="str">
        <f>IFERROR(MOD(R150-O150,1)-MOD(Q150-P150,1),"")</f>
        <v/>
      </c>
      <c r="T150" s="240" t="s">
        <v>337</v>
      </c>
      <c r="U150" s="241" t="s">
        <v>337</v>
      </c>
      <c r="V150" s="241" t="s">
        <v>337</v>
      </c>
      <c r="W150" s="240" t="s">
        <v>337</v>
      </c>
      <c r="X150" s="242" t="str">
        <f>IFERROR(MOD(W150-T150,1)-MOD(V150-U150,1),"")</f>
        <v/>
      </c>
      <c r="Y150" s="240" t="s">
        <v>337</v>
      </c>
      <c r="Z150" s="241" t="s">
        <v>337</v>
      </c>
      <c r="AA150" s="241" t="s">
        <v>337</v>
      </c>
      <c r="AB150" s="240" t="s">
        <v>337</v>
      </c>
      <c r="AC150" s="242" t="str">
        <f t="shared" si="40"/>
        <v/>
      </c>
      <c r="AD150" s="240" t="s">
        <v>337</v>
      </c>
      <c r="AE150" s="241" t="s">
        <v>337</v>
      </c>
      <c r="AF150" s="241" t="s">
        <v>337</v>
      </c>
      <c r="AG150" s="240" t="s">
        <v>337</v>
      </c>
      <c r="AH150" s="242" t="str">
        <f>IFERROR(MOD(AG150-AD150,1)-MOD(AF150-AE150,1),"")</f>
        <v/>
      </c>
      <c r="AI150" s="240" t="s">
        <v>337</v>
      </c>
      <c r="AJ150" s="241" t="s">
        <v>337</v>
      </c>
      <c r="AK150" s="241" t="s">
        <v>337</v>
      </c>
      <c r="AL150" s="240" t="s">
        <v>337</v>
      </c>
      <c r="AM150" s="242" t="str">
        <f>IFERROR(MOD(AL150-AI150,1)-MOD(AK150-AJ150,1),"")</f>
        <v/>
      </c>
    </row>
    <row r="151" spans="1:39" x14ac:dyDescent="0.2">
      <c r="A151" s="250" t="s">
        <v>226</v>
      </c>
      <c r="B151" s="262"/>
      <c r="C151" s="267" t="s">
        <v>351</v>
      </c>
      <c r="D151" s="252" t="s">
        <v>242</v>
      </c>
      <c r="E151" s="246">
        <v>0</v>
      </c>
      <c r="F151" s="241">
        <v>0.125</v>
      </c>
      <c r="G151" s="241">
        <v>0.20833333333333334</v>
      </c>
      <c r="H151" s="246">
        <v>0.29166666666666669</v>
      </c>
      <c r="I151" s="242">
        <f>IFERROR(MOD(H151-E151,1)-MOD(G151-F151,1),"")</f>
        <v>0.20833333333333334</v>
      </c>
      <c r="J151" s="246">
        <v>0.83333333333333337</v>
      </c>
      <c r="K151" s="241"/>
      <c r="L151" s="241"/>
      <c r="M151" s="246">
        <v>1</v>
      </c>
      <c r="N151" s="242">
        <f t="shared" si="41"/>
        <v>0.16666666666666663</v>
      </c>
      <c r="O151" s="246">
        <v>0</v>
      </c>
      <c r="P151" s="241">
        <v>0.29166666666666669</v>
      </c>
      <c r="Q151" s="241">
        <v>0.875</v>
      </c>
      <c r="R151" s="246">
        <v>1</v>
      </c>
      <c r="S151" s="242">
        <v>0.33333333333333331</v>
      </c>
      <c r="T151" s="246">
        <v>0</v>
      </c>
      <c r="U151" s="241">
        <v>8.3333333333333329E-2</v>
      </c>
      <c r="V151" s="241">
        <v>0.16666666666666666</v>
      </c>
      <c r="W151" s="246">
        <v>0.29166666666666669</v>
      </c>
      <c r="X151" s="242">
        <f>IFERROR(MOD(W151-T151,1)-MOD(V151-U151,1),"")</f>
        <v>0.20833333333333337</v>
      </c>
      <c r="Y151" s="246">
        <v>0.83333333333333337</v>
      </c>
      <c r="Z151" s="241"/>
      <c r="AA151" s="241"/>
      <c r="AB151" s="246">
        <v>1</v>
      </c>
      <c r="AC151" s="242">
        <f t="shared" si="40"/>
        <v>0.16666666666666663</v>
      </c>
      <c r="AD151" s="246">
        <v>0</v>
      </c>
      <c r="AE151" s="241">
        <v>0.29166666666666669</v>
      </c>
      <c r="AF151" s="241">
        <v>0.875</v>
      </c>
      <c r="AG151" s="246">
        <v>1</v>
      </c>
      <c r="AH151" s="242">
        <v>0.33333333333333331</v>
      </c>
      <c r="AI151" s="246">
        <v>0</v>
      </c>
      <c r="AJ151" s="241">
        <v>0.29166666666666669</v>
      </c>
      <c r="AK151" s="241">
        <v>0.875</v>
      </c>
      <c r="AL151" s="246">
        <v>1</v>
      </c>
      <c r="AM151" s="242">
        <v>0.33333333333333331</v>
      </c>
    </row>
    <row r="152" spans="1:39" x14ac:dyDescent="0.2">
      <c r="A152" s="250" t="s">
        <v>227</v>
      </c>
      <c r="B152" s="262"/>
      <c r="C152" s="267" t="s">
        <v>351</v>
      </c>
      <c r="D152" s="252" t="s">
        <v>242</v>
      </c>
      <c r="E152" s="246">
        <v>0</v>
      </c>
      <c r="F152" s="241">
        <v>0.29166666666666669</v>
      </c>
      <c r="G152" s="241">
        <v>0.875</v>
      </c>
      <c r="H152" s="246">
        <v>1</v>
      </c>
      <c r="I152" s="242">
        <v>0.33333333333333331</v>
      </c>
      <c r="J152" s="246">
        <v>0</v>
      </c>
      <c r="K152" s="241">
        <v>4.1666666666666664E-2</v>
      </c>
      <c r="L152" s="241">
        <v>0.125</v>
      </c>
      <c r="M152" s="246">
        <v>0.29166666666666669</v>
      </c>
      <c r="N152" s="242">
        <f t="shared" si="41"/>
        <v>0.20833333333333334</v>
      </c>
      <c r="O152" s="246">
        <v>0.83333333333333337</v>
      </c>
      <c r="P152" s="241"/>
      <c r="Q152" s="241"/>
      <c r="R152" s="246">
        <v>1</v>
      </c>
      <c r="S152" s="242">
        <f t="shared" ref="S152:S184" si="43">IFERROR(MOD(R152-O152,1)-MOD(Q152-P152,1),"")</f>
        <v>0.16666666666666663</v>
      </c>
      <c r="T152" s="246">
        <v>0</v>
      </c>
      <c r="U152" s="241">
        <v>0.29166666666666669</v>
      </c>
      <c r="V152" s="241">
        <v>0.875</v>
      </c>
      <c r="W152" s="246">
        <v>1</v>
      </c>
      <c r="X152" s="242">
        <v>0.33333333333333331</v>
      </c>
      <c r="Y152" s="246">
        <v>0</v>
      </c>
      <c r="Z152" s="241">
        <v>0.29166666666666669</v>
      </c>
      <c r="AA152" s="241">
        <v>0.875</v>
      </c>
      <c r="AB152" s="246">
        <v>1</v>
      </c>
      <c r="AC152" s="242">
        <v>0.33333333333333331</v>
      </c>
      <c r="AD152" s="246">
        <v>0</v>
      </c>
      <c r="AE152" s="241">
        <v>0.125</v>
      </c>
      <c r="AF152" s="241">
        <v>0.20833333333333334</v>
      </c>
      <c r="AG152" s="246">
        <v>0.29166666666666669</v>
      </c>
      <c r="AH152" s="242">
        <f t="shared" ref="AH152:AH190" si="44">IFERROR(MOD(AG152-AD152,1)-MOD(AF152-AE152,1),"")</f>
        <v>0.20833333333333334</v>
      </c>
      <c r="AI152" s="246">
        <v>0</v>
      </c>
      <c r="AJ152" s="241">
        <v>0.29166666666666669</v>
      </c>
      <c r="AK152" s="241">
        <v>0.875</v>
      </c>
      <c r="AL152" s="246">
        <v>1</v>
      </c>
      <c r="AM152" s="242">
        <v>0.33333333333333331</v>
      </c>
    </row>
    <row r="153" spans="1:39" x14ac:dyDescent="0.2">
      <c r="A153" s="254" t="s">
        <v>314</v>
      </c>
      <c r="B153" s="262"/>
      <c r="C153" s="276" t="s">
        <v>356</v>
      </c>
      <c r="D153" s="253" t="s">
        <v>336</v>
      </c>
      <c r="E153" s="243">
        <v>0</v>
      </c>
      <c r="F153" s="241">
        <v>0.125</v>
      </c>
      <c r="G153" s="241">
        <v>0.20833333333333334</v>
      </c>
      <c r="H153" s="243">
        <v>0.29166666666666669</v>
      </c>
      <c r="I153" s="242">
        <f t="shared" ref="I153:I190" si="45">IFERROR(MOD(H153-E153,1)-MOD(G153-F153,1),"")</f>
        <v>0.20833333333333334</v>
      </c>
      <c r="J153" s="244" t="s">
        <v>178</v>
      </c>
      <c r="K153" s="241" t="s">
        <v>178</v>
      </c>
      <c r="L153" s="241" t="s">
        <v>178</v>
      </c>
      <c r="M153" s="244" t="s">
        <v>178</v>
      </c>
      <c r="N153" s="242" t="str">
        <f t="shared" si="41"/>
        <v/>
      </c>
      <c r="O153" s="240">
        <v>0.27083333333333331</v>
      </c>
      <c r="P153" s="241">
        <v>0.41666666666666669</v>
      </c>
      <c r="Q153" s="241">
        <v>0.5</v>
      </c>
      <c r="R153" s="240">
        <v>0.6875</v>
      </c>
      <c r="S153" s="242">
        <f t="shared" si="43"/>
        <v>0.33333333333333337</v>
      </c>
      <c r="T153" s="240">
        <v>0.375</v>
      </c>
      <c r="U153" s="241">
        <v>0.625</v>
      </c>
      <c r="V153" s="241">
        <v>0.70833333333333337</v>
      </c>
      <c r="W153" s="240">
        <v>0.79166666666666663</v>
      </c>
      <c r="X153" s="242">
        <f t="shared" ref="X153:X190" si="46">IFERROR(MOD(W153-T153,1)-MOD(V153-U153,1),"")</f>
        <v>0.33333333333333326</v>
      </c>
      <c r="Y153" s="240">
        <v>0.41666666666666669</v>
      </c>
      <c r="Z153" s="241">
        <v>0.66666666666666663</v>
      </c>
      <c r="AA153" s="241">
        <v>0.75</v>
      </c>
      <c r="AB153" s="240">
        <v>0.83333333333333337</v>
      </c>
      <c r="AC153" s="242">
        <f t="shared" ref="AC153:AC190" si="47">IFERROR(MOD(AB153-Y153,1)-MOD(AA153-Z153,1),"")</f>
        <v>0.33333333333333331</v>
      </c>
      <c r="AD153" s="240">
        <v>0.54166666666666663</v>
      </c>
      <c r="AE153" s="241">
        <v>0.66666666666666663</v>
      </c>
      <c r="AF153" s="241">
        <v>0.70833333333333337</v>
      </c>
      <c r="AG153" s="240">
        <v>0.9375</v>
      </c>
      <c r="AH153" s="242">
        <f t="shared" si="44"/>
        <v>0.35416666666666663</v>
      </c>
      <c r="AI153" s="240">
        <v>0.52083333333333337</v>
      </c>
      <c r="AJ153" s="241">
        <v>0.70833333333333337</v>
      </c>
      <c r="AK153" s="241">
        <v>0.75</v>
      </c>
      <c r="AL153" s="240">
        <v>0.89583333333333337</v>
      </c>
      <c r="AM153" s="242">
        <f t="shared" ref="AM153:AM183" si="48">IFERROR(MOD(AL153-AI153,1)-MOD(AK153-AJ153,1),"")</f>
        <v>0.33333333333333337</v>
      </c>
    </row>
    <row r="154" spans="1:39" x14ac:dyDescent="0.2">
      <c r="A154" s="254" t="s">
        <v>315</v>
      </c>
      <c r="B154" s="262"/>
      <c r="C154" s="276" t="s">
        <v>356</v>
      </c>
      <c r="D154" s="253" t="s">
        <v>336</v>
      </c>
      <c r="E154" s="240">
        <v>0.375</v>
      </c>
      <c r="F154" s="241">
        <v>0.54166666666666663</v>
      </c>
      <c r="G154" s="241">
        <v>0.625</v>
      </c>
      <c r="H154" s="240">
        <v>0.79166666666666663</v>
      </c>
      <c r="I154" s="242">
        <f t="shared" si="45"/>
        <v>0.33333333333333326</v>
      </c>
      <c r="J154" s="240">
        <v>0.29166666666666669</v>
      </c>
      <c r="K154" s="241">
        <v>0.41666666666666669</v>
      </c>
      <c r="L154" s="241">
        <v>0.5</v>
      </c>
      <c r="M154" s="240">
        <v>0.70833333333333337</v>
      </c>
      <c r="N154" s="242">
        <f t="shared" si="41"/>
        <v>0.33333333333333337</v>
      </c>
      <c r="O154" s="240">
        <v>0.27083333333333331</v>
      </c>
      <c r="P154" s="241">
        <v>0.41666666666666669</v>
      </c>
      <c r="Q154" s="241">
        <v>0.5</v>
      </c>
      <c r="R154" s="240">
        <v>0.6875</v>
      </c>
      <c r="S154" s="242">
        <f t="shared" si="43"/>
        <v>0.33333333333333337</v>
      </c>
      <c r="T154" s="240">
        <v>0.41666666666666669</v>
      </c>
      <c r="U154" s="241">
        <v>0.66666666666666663</v>
      </c>
      <c r="V154" s="241">
        <v>0.75</v>
      </c>
      <c r="W154" s="240">
        <v>0.83333333333333337</v>
      </c>
      <c r="X154" s="242">
        <f t="shared" si="46"/>
        <v>0.33333333333333331</v>
      </c>
      <c r="Y154" s="240">
        <v>0.5</v>
      </c>
      <c r="Z154" s="241">
        <v>0.75</v>
      </c>
      <c r="AA154" s="241">
        <v>0.79166666666666663</v>
      </c>
      <c r="AB154" s="240">
        <v>0.875</v>
      </c>
      <c r="AC154" s="242">
        <f t="shared" si="47"/>
        <v>0.33333333333333337</v>
      </c>
      <c r="AD154" s="244" t="s">
        <v>178</v>
      </c>
      <c r="AE154" s="241" t="s">
        <v>178</v>
      </c>
      <c r="AF154" s="241" t="s">
        <v>178</v>
      </c>
      <c r="AG154" s="244" t="s">
        <v>178</v>
      </c>
      <c r="AH154" s="242" t="str">
        <f t="shared" si="44"/>
        <v/>
      </c>
      <c r="AI154" s="244" t="s">
        <v>178</v>
      </c>
      <c r="AJ154" s="241" t="s">
        <v>178</v>
      </c>
      <c r="AK154" s="241" t="s">
        <v>178</v>
      </c>
      <c r="AL154" s="244" t="s">
        <v>178</v>
      </c>
      <c r="AM154" s="242" t="str">
        <f t="shared" si="48"/>
        <v/>
      </c>
    </row>
    <row r="155" spans="1:39" x14ac:dyDescent="0.2">
      <c r="A155" s="254" t="s">
        <v>316</v>
      </c>
      <c r="B155" s="262"/>
      <c r="C155" s="276" t="s">
        <v>356</v>
      </c>
      <c r="D155" s="253" t="s">
        <v>336</v>
      </c>
      <c r="E155" s="240">
        <v>0.27083333333333331</v>
      </c>
      <c r="F155" s="241">
        <v>0.41666666666666669</v>
      </c>
      <c r="G155" s="241">
        <v>0.5</v>
      </c>
      <c r="H155" s="240">
        <v>0.6875</v>
      </c>
      <c r="I155" s="242">
        <f t="shared" si="45"/>
        <v>0.33333333333333337</v>
      </c>
      <c r="J155" s="240">
        <v>0.27083333333333331</v>
      </c>
      <c r="K155" s="241">
        <v>0.41666666666666669</v>
      </c>
      <c r="L155" s="241">
        <v>0.5</v>
      </c>
      <c r="M155" s="240">
        <v>0.6875</v>
      </c>
      <c r="N155" s="242">
        <f t="shared" si="41"/>
        <v>0.33333333333333337</v>
      </c>
      <c r="O155" s="240">
        <v>0.5</v>
      </c>
      <c r="P155" s="241">
        <v>0.75</v>
      </c>
      <c r="Q155" s="241">
        <v>0.79166666666666663</v>
      </c>
      <c r="R155" s="240">
        <v>0.875</v>
      </c>
      <c r="S155" s="242">
        <f t="shared" si="43"/>
        <v>0.33333333333333337</v>
      </c>
      <c r="T155" s="240">
        <v>0.54166666666666663</v>
      </c>
      <c r="U155" s="241">
        <v>0.75</v>
      </c>
      <c r="V155" s="241">
        <v>0.79166666666666663</v>
      </c>
      <c r="W155" s="240">
        <v>0.9375</v>
      </c>
      <c r="X155" s="242">
        <f t="shared" si="46"/>
        <v>0.35416666666666674</v>
      </c>
      <c r="Y155" s="244" t="s">
        <v>178</v>
      </c>
      <c r="Z155" s="241" t="s">
        <v>178</v>
      </c>
      <c r="AA155" s="241" t="s">
        <v>178</v>
      </c>
      <c r="AB155" s="244" t="s">
        <v>178</v>
      </c>
      <c r="AC155" s="242" t="str">
        <f t="shared" si="47"/>
        <v/>
      </c>
      <c r="AD155" s="240">
        <v>0.3125</v>
      </c>
      <c r="AE155" s="241">
        <v>0.54166666666666663</v>
      </c>
      <c r="AF155" s="241">
        <v>0.625</v>
      </c>
      <c r="AG155" s="240">
        <v>0.72916666666666663</v>
      </c>
      <c r="AH155" s="242">
        <f t="shared" si="44"/>
        <v>0.33333333333333326</v>
      </c>
      <c r="AI155" s="244" t="s">
        <v>178</v>
      </c>
      <c r="AJ155" s="241" t="s">
        <v>178</v>
      </c>
      <c r="AK155" s="241" t="s">
        <v>178</v>
      </c>
      <c r="AL155" s="244" t="s">
        <v>178</v>
      </c>
      <c r="AM155" s="242" t="str">
        <f t="shared" si="48"/>
        <v/>
      </c>
    </row>
    <row r="156" spans="1:39" x14ac:dyDescent="0.2">
      <c r="A156" s="254" t="s">
        <v>317</v>
      </c>
      <c r="B156" s="262"/>
      <c r="C156" s="276" t="s">
        <v>356</v>
      </c>
      <c r="D156" s="253" t="s">
        <v>336</v>
      </c>
      <c r="E156" s="240">
        <v>0.29166666666666669</v>
      </c>
      <c r="F156" s="241">
        <v>0.5</v>
      </c>
      <c r="G156" s="241">
        <v>0.58333333333333337</v>
      </c>
      <c r="H156" s="240">
        <v>0.70833333333333337</v>
      </c>
      <c r="I156" s="242">
        <f t="shared" si="45"/>
        <v>0.33333333333333331</v>
      </c>
      <c r="J156" s="240">
        <v>0.41666666666666669</v>
      </c>
      <c r="K156" s="241">
        <v>0.66666666666666663</v>
      </c>
      <c r="L156" s="241">
        <v>0.75</v>
      </c>
      <c r="M156" s="240">
        <v>0.83333333333333337</v>
      </c>
      <c r="N156" s="242">
        <f t="shared" si="41"/>
        <v>0.33333333333333331</v>
      </c>
      <c r="O156" s="240">
        <v>0.52083333333333337</v>
      </c>
      <c r="P156" s="241">
        <v>0.75</v>
      </c>
      <c r="Q156" s="241">
        <v>0.79166666666666663</v>
      </c>
      <c r="R156" s="240">
        <v>0.89583333333333337</v>
      </c>
      <c r="S156" s="242">
        <f t="shared" si="43"/>
        <v>0.33333333333333337</v>
      </c>
      <c r="T156" s="240">
        <v>0.54166666666666663</v>
      </c>
      <c r="U156" s="241">
        <v>0.75</v>
      </c>
      <c r="V156" s="241">
        <v>0.79166666666666663</v>
      </c>
      <c r="W156" s="240">
        <v>0.9375</v>
      </c>
      <c r="X156" s="242">
        <f t="shared" si="46"/>
        <v>0.35416666666666674</v>
      </c>
      <c r="Y156" s="244" t="s">
        <v>178</v>
      </c>
      <c r="Z156" s="241" t="s">
        <v>178</v>
      </c>
      <c r="AA156" s="241" t="s">
        <v>178</v>
      </c>
      <c r="AB156" s="244" t="s">
        <v>178</v>
      </c>
      <c r="AC156" s="242" t="str">
        <f t="shared" si="47"/>
        <v/>
      </c>
      <c r="AD156" s="240">
        <v>0.41666666666666669</v>
      </c>
      <c r="AE156" s="241">
        <v>0.58333333333333337</v>
      </c>
      <c r="AF156" s="241">
        <v>0.66666666666666663</v>
      </c>
      <c r="AG156" s="240">
        <v>0.83333333333333337</v>
      </c>
      <c r="AH156" s="242">
        <f t="shared" si="44"/>
        <v>0.33333333333333343</v>
      </c>
      <c r="AI156" s="244" t="s">
        <v>178</v>
      </c>
      <c r="AJ156" s="241" t="s">
        <v>178</v>
      </c>
      <c r="AK156" s="241" t="s">
        <v>178</v>
      </c>
      <c r="AL156" s="244" t="s">
        <v>178</v>
      </c>
      <c r="AM156" s="242" t="str">
        <f t="shared" si="48"/>
        <v/>
      </c>
    </row>
    <row r="157" spans="1:39" x14ac:dyDescent="0.2">
      <c r="A157" s="254" t="s">
        <v>318</v>
      </c>
      <c r="B157" s="262"/>
      <c r="C157" s="276" t="s">
        <v>356</v>
      </c>
      <c r="D157" s="253" t="s">
        <v>336</v>
      </c>
      <c r="E157" s="244" t="s">
        <v>178</v>
      </c>
      <c r="F157" s="241" t="s">
        <v>178</v>
      </c>
      <c r="G157" s="241" t="s">
        <v>178</v>
      </c>
      <c r="H157" s="244" t="s">
        <v>178</v>
      </c>
      <c r="I157" s="242" t="str">
        <f t="shared" si="45"/>
        <v/>
      </c>
      <c r="J157" s="244" t="s">
        <v>178</v>
      </c>
      <c r="K157" s="241" t="s">
        <v>178</v>
      </c>
      <c r="L157" s="241" t="s">
        <v>178</v>
      </c>
      <c r="M157" s="244" t="s">
        <v>178</v>
      </c>
      <c r="N157" s="242" t="str">
        <f t="shared" si="41"/>
        <v/>
      </c>
      <c r="O157" s="240">
        <v>0.29166666666666669</v>
      </c>
      <c r="P157" s="241">
        <v>0.45833333333333331</v>
      </c>
      <c r="Q157" s="241">
        <v>0.54166666666666663</v>
      </c>
      <c r="R157" s="240">
        <v>0.70833333333333337</v>
      </c>
      <c r="S157" s="242">
        <f t="shared" si="43"/>
        <v>0.33333333333333337</v>
      </c>
      <c r="T157" s="240">
        <v>0.375</v>
      </c>
      <c r="U157" s="241">
        <v>0.625</v>
      </c>
      <c r="V157" s="241">
        <v>0.70833333333333337</v>
      </c>
      <c r="W157" s="240">
        <v>0.79166666666666663</v>
      </c>
      <c r="X157" s="242">
        <f t="shared" si="46"/>
        <v>0.33333333333333326</v>
      </c>
      <c r="Y157" s="240">
        <v>0.54166666666666663</v>
      </c>
      <c r="Z157" s="241">
        <v>0.66666666666666663</v>
      </c>
      <c r="AA157" s="241">
        <v>0.70833333333333337</v>
      </c>
      <c r="AB157" s="240">
        <v>0.91666666666666663</v>
      </c>
      <c r="AC157" s="242">
        <f t="shared" si="47"/>
        <v>0.33333333333333326</v>
      </c>
      <c r="AD157" s="240">
        <v>0.41666666666666669</v>
      </c>
      <c r="AE157" s="241">
        <v>0.58333333333333337</v>
      </c>
      <c r="AF157" s="241">
        <v>0.66666666666666663</v>
      </c>
      <c r="AG157" s="240">
        <v>0.83333333333333337</v>
      </c>
      <c r="AH157" s="242">
        <f t="shared" si="44"/>
        <v>0.33333333333333343</v>
      </c>
      <c r="AI157" s="240">
        <v>0.33333333333333331</v>
      </c>
      <c r="AJ157" s="241">
        <v>0.58333333333333337</v>
      </c>
      <c r="AK157" s="241">
        <v>0.66666666666666663</v>
      </c>
      <c r="AL157" s="240">
        <v>0.75</v>
      </c>
      <c r="AM157" s="242">
        <f t="shared" si="48"/>
        <v>0.33333333333333343</v>
      </c>
    </row>
    <row r="158" spans="1:39" x14ac:dyDescent="0.2">
      <c r="A158" s="254" t="s">
        <v>319</v>
      </c>
      <c r="B158" s="262"/>
      <c r="C158" s="276" t="s">
        <v>356</v>
      </c>
      <c r="D158" s="253" t="s">
        <v>336</v>
      </c>
      <c r="E158" s="240">
        <v>0.3125</v>
      </c>
      <c r="F158" s="241">
        <v>0.54166666666666663</v>
      </c>
      <c r="G158" s="241">
        <v>0.625</v>
      </c>
      <c r="H158" s="240">
        <v>0.72916666666666663</v>
      </c>
      <c r="I158" s="242">
        <f t="shared" si="45"/>
        <v>0.33333333333333326</v>
      </c>
      <c r="J158" s="240">
        <v>0.29166666666666669</v>
      </c>
      <c r="K158" s="241">
        <v>0.41666666666666669</v>
      </c>
      <c r="L158" s="241">
        <v>0.5</v>
      </c>
      <c r="M158" s="240">
        <v>0.70833333333333337</v>
      </c>
      <c r="N158" s="242">
        <f t="shared" si="41"/>
        <v>0.33333333333333337</v>
      </c>
      <c r="O158" s="240">
        <v>0.41666666666666669</v>
      </c>
      <c r="P158" s="241">
        <v>0.66666666666666663</v>
      </c>
      <c r="Q158" s="241">
        <v>0.75</v>
      </c>
      <c r="R158" s="240">
        <v>0.83333333333333337</v>
      </c>
      <c r="S158" s="242">
        <f t="shared" si="43"/>
        <v>0.33333333333333331</v>
      </c>
      <c r="T158" s="240">
        <v>0.54166666666666663</v>
      </c>
      <c r="U158" s="241">
        <v>0.75</v>
      </c>
      <c r="V158" s="241">
        <v>0.79166666666666663</v>
      </c>
      <c r="W158" s="240">
        <v>0.9375</v>
      </c>
      <c r="X158" s="242">
        <f t="shared" si="46"/>
        <v>0.35416666666666674</v>
      </c>
      <c r="Y158" s="240">
        <v>0.52083333333333337</v>
      </c>
      <c r="Z158" s="241">
        <v>0.75</v>
      </c>
      <c r="AA158" s="241">
        <v>0.79166666666666663</v>
      </c>
      <c r="AB158" s="240">
        <v>0.89583333333333337</v>
      </c>
      <c r="AC158" s="242">
        <f t="shared" si="47"/>
        <v>0.33333333333333337</v>
      </c>
      <c r="AD158" s="244" t="s">
        <v>178</v>
      </c>
      <c r="AE158" s="241" t="s">
        <v>178</v>
      </c>
      <c r="AF158" s="241" t="s">
        <v>178</v>
      </c>
      <c r="AG158" s="244" t="s">
        <v>178</v>
      </c>
      <c r="AH158" s="242" t="str">
        <f t="shared" si="44"/>
        <v/>
      </c>
      <c r="AI158" s="244" t="s">
        <v>178</v>
      </c>
      <c r="AJ158" s="241" t="s">
        <v>178</v>
      </c>
      <c r="AK158" s="241" t="s">
        <v>178</v>
      </c>
      <c r="AL158" s="244" t="s">
        <v>178</v>
      </c>
      <c r="AM158" s="242" t="str">
        <f t="shared" si="48"/>
        <v/>
      </c>
    </row>
    <row r="159" spans="1:39" x14ac:dyDescent="0.2">
      <c r="A159" s="254" t="s">
        <v>320</v>
      </c>
      <c r="B159" s="262" t="s">
        <v>357</v>
      </c>
      <c r="C159" s="276" t="s">
        <v>356</v>
      </c>
      <c r="D159" s="253" t="s">
        <v>336</v>
      </c>
      <c r="E159" s="240">
        <v>0.45833333333333331</v>
      </c>
      <c r="F159" s="241"/>
      <c r="G159" s="241"/>
      <c r="H159" s="240">
        <v>0.70833333333333337</v>
      </c>
      <c r="I159" s="242">
        <f t="shared" si="45"/>
        <v>0.25000000000000006</v>
      </c>
      <c r="J159" s="244" t="s">
        <v>178</v>
      </c>
      <c r="K159" s="241" t="s">
        <v>178</v>
      </c>
      <c r="L159" s="241" t="s">
        <v>178</v>
      </c>
      <c r="M159" s="244" t="s">
        <v>178</v>
      </c>
      <c r="N159" s="242" t="str">
        <f t="shared" si="41"/>
        <v/>
      </c>
      <c r="O159" s="240">
        <v>0.45833333333333331</v>
      </c>
      <c r="P159" s="241"/>
      <c r="Q159" s="241"/>
      <c r="R159" s="240">
        <v>0.70833333333333337</v>
      </c>
      <c r="S159" s="242">
        <f t="shared" si="43"/>
        <v>0.25000000000000006</v>
      </c>
      <c r="T159" s="240">
        <v>0.45833333333333331</v>
      </c>
      <c r="U159" s="241"/>
      <c r="V159" s="241"/>
      <c r="W159" s="240">
        <v>0.70833333333333337</v>
      </c>
      <c r="X159" s="242">
        <f t="shared" si="46"/>
        <v>0.25000000000000006</v>
      </c>
      <c r="Y159" s="244" t="s">
        <v>178</v>
      </c>
      <c r="Z159" s="241" t="s">
        <v>178</v>
      </c>
      <c r="AA159" s="241" t="s">
        <v>178</v>
      </c>
      <c r="AB159" s="244" t="s">
        <v>178</v>
      </c>
      <c r="AC159" s="242" t="str">
        <f t="shared" si="47"/>
        <v/>
      </c>
      <c r="AD159" s="240">
        <v>0.375</v>
      </c>
      <c r="AE159" s="241"/>
      <c r="AF159" s="241"/>
      <c r="AG159" s="240">
        <v>0.625</v>
      </c>
      <c r="AH159" s="242">
        <f t="shared" si="44"/>
        <v>0.25</v>
      </c>
      <c r="AI159" s="240">
        <v>0.45833333333333331</v>
      </c>
      <c r="AJ159" s="241"/>
      <c r="AK159" s="241"/>
      <c r="AL159" s="240">
        <v>0.70833333333333337</v>
      </c>
      <c r="AM159" s="242">
        <f t="shared" si="48"/>
        <v>0.25000000000000006</v>
      </c>
    </row>
    <row r="160" spans="1:39" x14ac:dyDescent="0.2">
      <c r="A160" s="254" t="s">
        <v>321</v>
      </c>
      <c r="B160" s="262"/>
      <c r="C160" s="276" t="s">
        <v>356</v>
      </c>
      <c r="D160" s="253" t="s">
        <v>336</v>
      </c>
      <c r="E160" s="240">
        <v>0.66666666666666663</v>
      </c>
      <c r="F160" s="241"/>
      <c r="G160" s="241"/>
      <c r="H160" s="279">
        <v>0.9375</v>
      </c>
      <c r="I160" s="242">
        <f t="shared" si="45"/>
        <v>0.27083333333333337</v>
      </c>
      <c r="J160" s="240">
        <v>0.66666666666666663</v>
      </c>
      <c r="K160" s="241"/>
      <c r="L160" s="241"/>
      <c r="M160" s="279">
        <v>0.9375</v>
      </c>
      <c r="N160" s="242">
        <f t="shared" si="41"/>
        <v>0.27083333333333337</v>
      </c>
      <c r="O160" s="240">
        <v>0.66666666666666663</v>
      </c>
      <c r="P160" s="241"/>
      <c r="Q160" s="241"/>
      <c r="R160" s="279">
        <v>0.9375</v>
      </c>
      <c r="S160" s="242">
        <f t="shared" si="43"/>
        <v>0.27083333333333337</v>
      </c>
      <c r="T160" s="244" t="s">
        <v>178</v>
      </c>
      <c r="U160" s="241" t="s">
        <v>178</v>
      </c>
      <c r="V160" s="241" t="s">
        <v>178</v>
      </c>
      <c r="W160" s="280" t="s">
        <v>178</v>
      </c>
      <c r="X160" s="242" t="str">
        <f t="shared" si="46"/>
        <v/>
      </c>
      <c r="Y160" s="244" t="s">
        <v>178</v>
      </c>
      <c r="Z160" s="241" t="s">
        <v>178</v>
      </c>
      <c r="AA160" s="241" t="s">
        <v>178</v>
      </c>
      <c r="AB160" s="280" t="s">
        <v>178</v>
      </c>
      <c r="AC160" s="242" t="str">
        <f t="shared" si="47"/>
        <v/>
      </c>
      <c r="AD160" s="240">
        <v>0.66666666666666663</v>
      </c>
      <c r="AE160" s="241"/>
      <c r="AF160" s="241"/>
      <c r="AG160" s="240">
        <v>0.9375</v>
      </c>
      <c r="AH160" s="242">
        <f t="shared" si="44"/>
        <v>0.27083333333333337</v>
      </c>
      <c r="AI160" s="240">
        <v>0.66666666666666663</v>
      </c>
      <c r="AJ160" s="241"/>
      <c r="AK160" s="241"/>
      <c r="AL160" s="240">
        <v>0.9375</v>
      </c>
      <c r="AM160" s="242">
        <f t="shared" si="48"/>
        <v>0.27083333333333337</v>
      </c>
    </row>
    <row r="161" spans="1:39" x14ac:dyDescent="0.2">
      <c r="A161" s="254" t="s">
        <v>322</v>
      </c>
      <c r="B161" s="262">
        <v>6</v>
      </c>
      <c r="C161" s="276" t="s">
        <v>356</v>
      </c>
      <c r="D161" s="253" t="s">
        <v>336</v>
      </c>
      <c r="E161" s="240">
        <v>0.3125</v>
      </c>
      <c r="F161" s="241"/>
      <c r="G161" s="241"/>
      <c r="H161" s="279">
        <v>0.5625</v>
      </c>
      <c r="I161" s="242">
        <f t="shared" si="45"/>
        <v>0.25</v>
      </c>
      <c r="J161" s="244" t="s">
        <v>178</v>
      </c>
      <c r="K161" s="241" t="s">
        <v>178</v>
      </c>
      <c r="L161" s="241" t="s">
        <v>178</v>
      </c>
      <c r="M161" s="280" t="s">
        <v>178</v>
      </c>
      <c r="N161" s="242" t="str">
        <f t="shared" si="41"/>
        <v/>
      </c>
      <c r="O161" s="240">
        <v>0.625</v>
      </c>
      <c r="P161" s="241"/>
      <c r="Q161" s="241"/>
      <c r="R161" s="279">
        <v>0.875</v>
      </c>
      <c r="S161" s="242">
        <f t="shared" si="43"/>
        <v>0.25</v>
      </c>
      <c r="T161" s="240">
        <v>0.64583333333333337</v>
      </c>
      <c r="U161" s="241"/>
      <c r="V161" s="241"/>
      <c r="W161" s="279">
        <v>0.89583333333333337</v>
      </c>
      <c r="X161" s="242">
        <f t="shared" si="46"/>
        <v>0.25</v>
      </c>
      <c r="Y161" s="244" t="s">
        <v>178</v>
      </c>
      <c r="Z161" s="241" t="s">
        <v>178</v>
      </c>
      <c r="AA161" s="241" t="s">
        <v>178</v>
      </c>
      <c r="AB161" s="280" t="s">
        <v>178</v>
      </c>
      <c r="AC161" s="242" t="str">
        <f t="shared" si="47"/>
        <v/>
      </c>
      <c r="AD161" s="240">
        <v>0.375</v>
      </c>
      <c r="AE161" s="241"/>
      <c r="AF161" s="241"/>
      <c r="AG161" s="240">
        <v>0.625</v>
      </c>
      <c r="AH161" s="242">
        <f t="shared" si="44"/>
        <v>0.25</v>
      </c>
      <c r="AI161" s="240">
        <v>0.29166666666666669</v>
      </c>
      <c r="AJ161" s="241"/>
      <c r="AK161" s="241"/>
      <c r="AL161" s="240">
        <v>0.54166666666666663</v>
      </c>
      <c r="AM161" s="242">
        <f t="shared" si="48"/>
        <v>0.24999999999999994</v>
      </c>
    </row>
    <row r="162" spans="1:39" x14ac:dyDescent="0.2">
      <c r="A162" s="254" t="s">
        <v>323</v>
      </c>
      <c r="B162" s="262"/>
      <c r="C162" s="276" t="s">
        <v>356</v>
      </c>
      <c r="D162" s="253" t="s">
        <v>336</v>
      </c>
      <c r="E162" s="244" t="s">
        <v>178</v>
      </c>
      <c r="F162" s="241" t="s">
        <v>178</v>
      </c>
      <c r="G162" s="241" t="s">
        <v>178</v>
      </c>
      <c r="H162" s="280" t="s">
        <v>178</v>
      </c>
      <c r="I162" s="242" t="str">
        <f t="shared" si="45"/>
        <v/>
      </c>
      <c r="J162" s="240">
        <v>0.66666666666666663</v>
      </c>
      <c r="K162" s="241"/>
      <c r="L162" s="241"/>
      <c r="M162" s="279">
        <v>0.9375</v>
      </c>
      <c r="N162" s="242">
        <f t="shared" si="41"/>
        <v>0.27083333333333337</v>
      </c>
      <c r="O162" s="240">
        <v>0.66666666666666663</v>
      </c>
      <c r="P162" s="241"/>
      <c r="Q162" s="241"/>
      <c r="R162" s="279">
        <v>0.9375</v>
      </c>
      <c r="S162" s="242">
        <f t="shared" si="43"/>
        <v>0.27083333333333337</v>
      </c>
      <c r="T162" s="240">
        <v>0.66666666666666663</v>
      </c>
      <c r="U162" s="241"/>
      <c r="V162" s="241"/>
      <c r="W162" s="279">
        <v>0.9375</v>
      </c>
      <c r="X162" s="242">
        <f t="shared" si="46"/>
        <v>0.27083333333333337</v>
      </c>
      <c r="Y162" s="244" t="s">
        <v>178</v>
      </c>
      <c r="Z162" s="241" t="s">
        <v>178</v>
      </c>
      <c r="AA162" s="241" t="s">
        <v>178</v>
      </c>
      <c r="AB162" s="280" t="s">
        <v>178</v>
      </c>
      <c r="AC162" s="242" t="str">
        <f t="shared" si="47"/>
        <v/>
      </c>
      <c r="AD162" s="240">
        <v>0.66666666666666663</v>
      </c>
      <c r="AE162" s="241"/>
      <c r="AF162" s="241"/>
      <c r="AG162" s="240">
        <v>0.9375</v>
      </c>
      <c r="AH162" s="242">
        <f t="shared" si="44"/>
        <v>0.27083333333333337</v>
      </c>
      <c r="AI162" s="240">
        <v>0.66666666666666663</v>
      </c>
      <c r="AJ162" s="241"/>
      <c r="AK162" s="241"/>
      <c r="AL162" s="240">
        <v>0.9375</v>
      </c>
      <c r="AM162" s="242">
        <f t="shared" si="48"/>
        <v>0.27083333333333337</v>
      </c>
    </row>
    <row r="163" spans="1:39" x14ac:dyDescent="0.2">
      <c r="A163" s="254" t="s">
        <v>324</v>
      </c>
      <c r="B163" s="262"/>
      <c r="C163" s="276" t="s">
        <v>356</v>
      </c>
      <c r="D163" s="253" t="s">
        <v>336</v>
      </c>
      <c r="E163" s="244" t="s">
        <v>178</v>
      </c>
      <c r="F163" s="241" t="s">
        <v>178</v>
      </c>
      <c r="G163" s="241" t="s">
        <v>178</v>
      </c>
      <c r="H163" s="280" t="s">
        <v>178</v>
      </c>
      <c r="I163" s="242" t="str">
        <f t="shared" si="45"/>
        <v/>
      </c>
      <c r="J163" s="240">
        <v>0.66666666666666663</v>
      </c>
      <c r="K163" s="241"/>
      <c r="L163" s="241"/>
      <c r="M163" s="279">
        <v>0.9375</v>
      </c>
      <c r="N163" s="242">
        <f t="shared" si="41"/>
        <v>0.27083333333333337</v>
      </c>
      <c r="O163" s="240">
        <v>0.66666666666666663</v>
      </c>
      <c r="P163" s="241"/>
      <c r="Q163" s="241"/>
      <c r="R163" s="279">
        <v>0.9375</v>
      </c>
      <c r="S163" s="242">
        <f t="shared" si="43"/>
        <v>0.27083333333333337</v>
      </c>
      <c r="T163" s="244" t="s">
        <v>178</v>
      </c>
      <c r="U163" s="241" t="s">
        <v>178</v>
      </c>
      <c r="V163" s="241" t="s">
        <v>178</v>
      </c>
      <c r="W163" s="280" t="s">
        <v>178</v>
      </c>
      <c r="X163" s="242" t="str">
        <f t="shared" si="46"/>
        <v/>
      </c>
      <c r="Y163" s="240">
        <v>0.66666666666666663</v>
      </c>
      <c r="Z163" s="241"/>
      <c r="AA163" s="241"/>
      <c r="AB163" s="279">
        <v>0.9375</v>
      </c>
      <c r="AC163" s="242">
        <f t="shared" si="47"/>
        <v>0.27083333333333337</v>
      </c>
      <c r="AD163" s="240">
        <v>0.66666666666666663</v>
      </c>
      <c r="AE163" s="241"/>
      <c r="AF163" s="241"/>
      <c r="AG163" s="240">
        <v>0.9375</v>
      </c>
      <c r="AH163" s="242">
        <f t="shared" si="44"/>
        <v>0.27083333333333337</v>
      </c>
      <c r="AI163" s="240">
        <v>0.66666666666666663</v>
      </c>
      <c r="AJ163" s="241"/>
      <c r="AK163" s="241"/>
      <c r="AL163" s="240">
        <v>0.9375</v>
      </c>
      <c r="AM163" s="242">
        <f t="shared" si="48"/>
        <v>0.27083333333333337</v>
      </c>
    </row>
    <row r="164" spans="1:39" x14ac:dyDescent="0.2">
      <c r="A164" s="239" t="s">
        <v>325</v>
      </c>
      <c r="B164" s="262"/>
      <c r="C164" s="276" t="s">
        <v>356</v>
      </c>
      <c r="D164" s="253" t="s">
        <v>336</v>
      </c>
      <c r="E164" s="244" t="s">
        <v>178</v>
      </c>
      <c r="F164" s="241" t="s">
        <v>178</v>
      </c>
      <c r="G164" s="241" t="s">
        <v>178</v>
      </c>
      <c r="H164" s="280" t="s">
        <v>178</v>
      </c>
      <c r="I164" s="242" t="str">
        <f t="shared" si="45"/>
        <v/>
      </c>
      <c r="J164" s="244" t="s">
        <v>178</v>
      </c>
      <c r="K164" s="241" t="s">
        <v>178</v>
      </c>
      <c r="L164" s="241" t="s">
        <v>178</v>
      </c>
      <c r="M164" s="280" t="s">
        <v>178</v>
      </c>
      <c r="N164" s="242" t="str">
        <f t="shared" si="41"/>
        <v/>
      </c>
      <c r="O164" s="240">
        <v>0.29166666666666669</v>
      </c>
      <c r="P164" s="241">
        <v>0.41666666666666669</v>
      </c>
      <c r="Q164" s="241">
        <v>0.5</v>
      </c>
      <c r="R164" s="279">
        <v>0.66666666666666663</v>
      </c>
      <c r="S164" s="242">
        <f t="shared" si="43"/>
        <v>0.29166666666666663</v>
      </c>
      <c r="T164" s="240">
        <v>0.33333333333333331</v>
      </c>
      <c r="U164" s="241">
        <v>0.58333333333333337</v>
      </c>
      <c r="V164" s="241">
        <v>0.66666666666666663</v>
      </c>
      <c r="W164" s="279">
        <v>0.75</v>
      </c>
      <c r="X164" s="242">
        <f t="shared" si="46"/>
        <v>0.33333333333333343</v>
      </c>
      <c r="Y164" s="240">
        <v>0.375</v>
      </c>
      <c r="Z164" s="241">
        <v>0.58333333333333337</v>
      </c>
      <c r="AA164" s="241">
        <v>0.66666666666666663</v>
      </c>
      <c r="AB164" s="279">
        <v>0.79166666666666663</v>
      </c>
      <c r="AC164" s="242">
        <f t="shared" si="47"/>
        <v>0.33333333333333337</v>
      </c>
      <c r="AD164" s="240">
        <v>0.33333333333333331</v>
      </c>
      <c r="AE164" s="241">
        <v>0.54166666666666663</v>
      </c>
      <c r="AF164" s="241">
        <v>0.625</v>
      </c>
      <c r="AG164" s="240">
        <v>0.75</v>
      </c>
      <c r="AH164" s="242">
        <f t="shared" si="44"/>
        <v>0.33333333333333331</v>
      </c>
      <c r="AI164" s="240">
        <v>0.33333333333333331</v>
      </c>
      <c r="AJ164" s="241">
        <v>0.58333333333333337</v>
      </c>
      <c r="AK164" s="241">
        <v>0.66666666666666663</v>
      </c>
      <c r="AL164" s="240">
        <v>0.75</v>
      </c>
      <c r="AM164" s="242">
        <f t="shared" si="48"/>
        <v>0.33333333333333343</v>
      </c>
    </row>
    <row r="165" spans="1:39" x14ac:dyDescent="0.2">
      <c r="A165" s="239" t="s">
        <v>326</v>
      </c>
      <c r="B165" s="262"/>
      <c r="C165" s="269" t="s">
        <v>346</v>
      </c>
      <c r="D165" s="253" t="s">
        <v>336</v>
      </c>
      <c r="E165" s="240">
        <v>0.54166666666666663</v>
      </c>
      <c r="F165" s="241">
        <v>0.75</v>
      </c>
      <c r="G165" s="241">
        <v>0.79166666666666663</v>
      </c>
      <c r="H165" s="279">
        <v>0.9375</v>
      </c>
      <c r="I165" s="242">
        <f t="shared" si="45"/>
        <v>0.35416666666666674</v>
      </c>
      <c r="J165" s="244" t="s">
        <v>178</v>
      </c>
      <c r="K165" s="241" t="s">
        <v>178</v>
      </c>
      <c r="L165" s="241" t="s">
        <v>178</v>
      </c>
      <c r="M165" s="280" t="s">
        <v>178</v>
      </c>
      <c r="N165" s="242" t="str">
        <f t="shared" si="41"/>
        <v/>
      </c>
      <c r="O165" s="244" t="s">
        <v>178</v>
      </c>
      <c r="P165" s="241" t="s">
        <v>178</v>
      </c>
      <c r="Q165" s="241" t="s">
        <v>178</v>
      </c>
      <c r="R165" s="280" t="s">
        <v>178</v>
      </c>
      <c r="S165" s="242" t="str">
        <f t="shared" si="43"/>
        <v/>
      </c>
      <c r="T165" s="240">
        <v>0.29166666666666669</v>
      </c>
      <c r="U165" s="241">
        <v>0.54166666666666663</v>
      </c>
      <c r="V165" s="241">
        <v>0.625</v>
      </c>
      <c r="W165" s="279">
        <v>0.70833333333333337</v>
      </c>
      <c r="X165" s="242">
        <f t="shared" si="46"/>
        <v>0.33333333333333331</v>
      </c>
      <c r="Y165" s="240">
        <v>0.29166666666666669</v>
      </c>
      <c r="Z165" s="241">
        <v>0.54166666666666663</v>
      </c>
      <c r="AA165" s="241">
        <v>0.625</v>
      </c>
      <c r="AB165" s="279">
        <v>0.70833333333333337</v>
      </c>
      <c r="AC165" s="242">
        <f t="shared" si="47"/>
        <v>0.33333333333333331</v>
      </c>
      <c r="AD165" s="240">
        <v>0.41666666666666669</v>
      </c>
      <c r="AE165" s="241">
        <v>0.58333333333333337</v>
      </c>
      <c r="AF165" s="241">
        <v>0.66666666666666663</v>
      </c>
      <c r="AG165" s="240">
        <v>0.83333333333333337</v>
      </c>
      <c r="AH165" s="242">
        <f t="shared" si="44"/>
        <v>0.33333333333333343</v>
      </c>
      <c r="AI165" s="240">
        <v>0.45833333333333331</v>
      </c>
      <c r="AJ165" s="241">
        <v>0.625</v>
      </c>
      <c r="AK165" s="241">
        <v>0.70833333333333337</v>
      </c>
      <c r="AL165" s="240">
        <v>0.875</v>
      </c>
      <c r="AM165" s="242">
        <f t="shared" si="48"/>
        <v>0.33333333333333331</v>
      </c>
    </row>
    <row r="166" spans="1:39" x14ac:dyDescent="0.2">
      <c r="A166" s="239" t="s">
        <v>327</v>
      </c>
      <c r="B166" s="262"/>
      <c r="C166" s="269" t="s">
        <v>346</v>
      </c>
      <c r="D166" s="253" t="s">
        <v>336</v>
      </c>
      <c r="E166" s="240">
        <v>0.54166666666666663</v>
      </c>
      <c r="F166" s="241">
        <v>0.75</v>
      </c>
      <c r="G166" s="241">
        <v>0.79166666666666663</v>
      </c>
      <c r="H166" s="279">
        <v>0.9375</v>
      </c>
      <c r="I166" s="242">
        <f t="shared" si="45"/>
        <v>0.35416666666666674</v>
      </c>
      <c r="J166" s="240">
        <v>0.54166666666666663</v>
      </c>
      <c r="K166" s="241">
        <v>0.79166666666666663</v>
      </c>
      <c r="L166" s="241">
        <v>0.83333333333333337</v>
      </c>
      <c r="M166" s="279">
        <v>0.9375</v>
      </c>
      <c r="N166" s="242">
        <f t="shared" si="41"/>
        <v>0.35416666666666663</v>
      </c>
      <c r="O166" s="244" t="s">
        <v>178</v>
      </c>
      <c r="P166" s="241" t="s">
        <v>178</v>
      </c>
      <c r="Q166" s="241" t="s">
        <v>178</v>
      </c>
      <c r="R166" s="280" t="s">
        <v>178</v>
      </c>
      <c r="S166" s="242" t="str">
        <f t="shared" si="43"/>
        <v/>
      </c>
      <c r="T166" s="244" t="s">
        <v>178</v>
      </c>
      <c r="U166" s="241" t="s">
        <v>178</v>
      </c>
      <c r="V166" s="241" t="s">
        <v>178</v>
      </c>
      <c r="W166" s="280" t="s">
        <v>178</v>
      </c>
      <c r="X166" s="242" t="str">
        <f t="shared" si="46"/>
        <v/>
      </c>
      <c r="Y166" s="240">
        <v>0.29166666666666669</v>
      </c>
      <c r="Z166" s="241">
        <v>0.54166666666666663</v>
      </c>
      <c r="AA166" s="241">
        <v>0.625</v>
      </c>
      <c r="AB166" s="279">
        <v>0.70833333333333337</v>
      </c>
      <c r="AC166" s="242">
        <f t="shared" si="47"/>
        <v>0.33333333333333331</v>
      </c>
      <c r="AD166" s="240">
        <v>0.3125</v>
      </c>
      <c r="AE166" s="241">
        <v>0.54166666666666663</v>
      </c>
      <c r="AF166" s="241">
        <v>0.625</v>
      </c>
      <c r="AG166" s="240">
        <v>0.72916666666666663</v>
      </c>
      <c r="AH166" s="242">
        <f t="shared" si="44"/>
        <v>0.33333333333333326</v>
      </c>
      <c r="AI166" s="240">
        <v>0.3125</v>
      </c>
      <c r="AJ166" s="241">
        <v>0.54166666666666663</v>
      </c>
      <c r="AK166" s="241">
        <v>0.625</v>
      </c>
      <c r="AL166" s="240">
        <v>0.72916666666666663</v>
      </c>
      <c r="AM166" s="242">
        <f t="shared" si="48"/>
        <v>0.33333333333333326</v>
      </c>
    </row>
    <row r="167" spans="1:39" x14ac:dyDescent="0.2">
      <c r="A167" s="239" t="s">
        <v>328</v>
      </c>
      <c r="B167" s="262">
        <v>6</v>
      </c>
      <c r="C167" s="269" t="s">
        <v>346</v>
      </c>
      <c r="D167" s="253" t="s">
        <v>336</v>
      </c>
      <c r="E167" s="240">
        <v>0.375</v>
      </c>
      <c r="F167" s="241"/>
      <c r="G167" s="241"/>
      <c r="H167" s="279">
        <v>0.625</v>
      </c>
      <c r="I167" s="242">
        <f t="shared" si="45"/>
        <v>0.25</v>
      </c>
      <c r="J167" s="244" t="s">
        <v>178</v>
      </c>
      <c r="K167" s="241" t="s">
        <v>178</v>
      </c>
      <c r="L167" s="241" t="s">
        <v>178</v>
      </c>
      <c r="M167" s="280" t="s">
        <v>178</v>
      </c>
      <c r="N167" s="242" t="str">
        <f t="shared" si="41"/>
        <v/>
      </c>
      <c r="O167" s="240">
        <v>0.375</v>
      </c>
      <c r="P167" s="241"/>
      <c r="Q167" s="241"/>
      <c r="R167" s="279">
        <v>0.625</v>
      </c>
      <c r="S167" s="242">
        <f t="shared" si="43"/>
        <v>0.25</v>
      </c>
      <c r="T167" s="240">
        <v>0.375</v>
      </c>
      <c r="U167" s="241"/>
      <c r="V167" s="241"/>
      <c r="W167" s="279">
        <v>0.625</v>
      </c>
      <c r="X167" s="242">
        <f t="shared" si="46"/>
        <v>0.25</v>
      </c>
      <c r="Y167" s="244" t="s">
        <v>178</v>
      </c>
      <c r="Z167" s="241" t="s">
        <v>178</v>
      </c>
      <c r="AA167" s="241" t="s">
        <v>178</v>
      </c>
      <c r="AB167" s="280" t="s">
        <v>178</v>
      </c>
      <c r="AC167" s="242" t="str">
        <f t="shared" si="47"/>
        <v/>
      </c>
      <c r="AD167" s="240">
        <v>0.375</v>
      </c>
      <c r="AE167" s="241"/>
      <c r="AF167" s="241"/>
      <c r="AG167" s="240">
        <v>0.625</v>
      </c>
      <c r="AH167" s="242">
        <f t="shared" si="44"/>
        <v>0.25</v>
      </c>
      <c r="AI167" s="240">
        <v>0.375</v>
      </c>
      <c r="AJ167" s="241"/>
      <c r="AK167" s="241"/>
      <c r="AL167" s="240">
        <v>0.625</v>
      </c>
      <c r="AM167" s="242">
        <f t="shared" si="48"/>
        <v>0.25</v>
      </c>
    </row>
    <row r="168" spans="1:39" x14ac:dyDescent="0.2">
      <c r="A168" s="239" t="s">
        <v>329</v>
      </c>
      <c r="B168" s="262"/>
      <c r="C168" s="269" t="s">
        <v>346</v>
      </c>
      <c r="D168" s="253" t="s">
        <v>336</v>
      </c>
      <c r="E168" s="240">
        <v>0.33333333333333331</v>
      </c>
      <c r="F168" s="241">
        <v>0.58333333333333337</v>
      </c>
      <c r="G168" s="241">
        <v>0.625</v>
      </c>
      <c r="H168" s="279">
        <v>0.70833333333333337</v>
      </c>
      <c r="I168" s="242">
        <f t="shared" si="45"/>
        <v>0.33333333333333343</v>
      </c>
      <c r="J168" s="244" t="s">
        <v>178</v>
      </c>
      <c r="K168" s="241" t="s">
        <v>178</v>
      </c>
      <c r="L168" s="241" t="s">
        <v>178</v>
      </c>
      <c r="M168" s="280" t="s">
        <v>178</v>
      </c>
      <c r="N168" s="242" t="str">
        <f t="shared" si="41"/>
        <v/>
      </c>
      <c r="O168" s="244" t="s">
        <v>178</v>
      </c>
      <c r="P168" s="241" t="s">
        <v>178</v>
      </c>
      <c r="Q168" s="241" t="s">
        <v>178</v>
      </c>
      <c r="R168" s="280" t="s">
        <v>178</v>
      </c>
      <c r="S168" s="242" t="str">
        <f t="shared" si="43"/>
        <v/>
      </c>
      <c r="T168" s="240">
        <v>0.3125</v>
      </c>
      <c r="U168" s="241">
        <v>0.54166666666666663</v>
      </c>
      <c r="V168" s="241">
        <v>0.625</v>
      </c>
      <c r="W168" s="279">
        <v>0.72916666666666663</v>
      </c>
      <c r="X168" s="242">
        <f t="shared" si="46"/>
        <v>0.33333333333333326</v>
      </c>
      <c r="Y168" s="240">
        <v>0.33333333333333331</v>
      </c>
      <c r="Z168" s="241">
        <v>0.58333333333333337</v>
      </c>
      <c r="AA168" s="241">
        <v>0.66666666666666663</v>
      </c>
      <c r="AB168" s="279">
        <v>0.75</v>
      </c>
      <c r="AC168" s="242">
        <f t="shared" si="47"/>
        <v>0.33333333333333343</v>
      </c>
      <c r="AD168" s="240">
        <v>0.52083333333333337</v>
      </c>
      <c r="AE168" s="241">
        <v>0.625</v>
      </c>
      <c r="AF168" s="241">
        <v>0.66666666666666663</v>
      </c>
      <c r="AG168" s="240">
        <v>0.89583333333333337</v>
      </c>
      <c r="AH168" s="242">
        <f t="shared" si="44"/>
        <v>0.33333333333333337</v>
      </c>
      <c r="AI168" s="240">
        <v>0.5</v>
      </c>
      <c r="AJ168" s="241">
        <v>0.70833333333333337</v>
      </c>
      <c r="AK168" s="241">
        <v>0.75</v>
      </c>
      <c r="AL168" s="240">
        <v>0.875</v>
      </c>
      <c r="AM168" s="242">
        <f t="shared" si="48"/>
        <v>0.33333333333333337</v>
      </c>
    </row>
    <row r="169" spans="1:39" x14ac:dyDescent="0.2">
      <c r="A169" s="239" t="s">
        <v>330</v>
      </c>
      <c r="B169" s="262"/>
      <c r="C169" s="269" t="s">
        <v>346</v>
      </c>
      <c r="D169" s="253" t="s">
        <v>336</v>
      </c>
      <c r="E169" s="243">
        <v>0</v>
      </c>
      <c r="F169" s="241">
        <v>4.1666666666666664E-2</v>
      </c>
      <c r="G169" s="241">
        <v>0.125</v>
      </c>
      <c r="H169" s="283">
        <v>0.29166666666666669</v>
      </c>
      <c r="I169" s="242">
        <f t="shared" si="45"/>
        <v>0.20833333333333334</v>
      </c>
      <c r="J169" s="244" t="s">
        <v>178</v>
      </c>
      <c r="K169" s="241" t="s">
        <v>178</v>
      </c>
      <c r="L169" s="241" t="s">
        <v>178</v>
      </c>
      <c r="M169" s="280" t="s">
        <v>178</v>
      </c>
      <c r="N169" s="242" t="str">
        <f t="shared" si="41"/>
        <v/>
      </c>
      <c r="O169" s="240">
        <v>0.66666666666666663</v>
      </c>
      <c r="P169" s="241"/>
      <c r="Q169" s="241"/>
      <c r="R169" s="279">
        <v>0.9375</v>
      </c>
      <c r="S169" s="242">
        <f t="shared" si="43"/>
        <v>0.27083333333333337</v>
      </c>
      <c r="T169" s="240">
        <v>0.66666666666666663</v>
      </c>
      <c r="U169" s="241"/>
      <c r="V169" s="241"/>
      <c r="W169" s="279">
        <v>0.9375</v>
      </c>
      <c r="X169" s="242">
        <f t="shared" si="46"/>
        <v>0.27083333333333337</v>
      </c>
      <c r="Y169" s="240">
        <v>0.66666666666666663</v>
      </c>
      <c r="Z169" s="241"/>
      <c r="AA169" s="241"/>
      <c r="AB169" s="279">
        <v>0.9375</v>
      </c>
      <c r="AC169" s="242">
        <f t="shared" si="47"/>
        <v>0.27083333333333337</v>
      </c>
      <c r="AD169" s="240">
        <v>0.66666666666666663</v>
      </c>
      <c r="AE169" s="241"/>
      <c r="AF169" s="241"/>
      <c r="AG169" s="240">
        <v>0.9375</v>
      </c>
      <c r="AH169" s="242">
        <f t="shared" si="44"/>
        <v>0.27083333333333337</v>
      </c>
      <c r="AI169" s="240">
        <v>0.66666666666666663</v>
      </c>
      <c r="AJ169" s="241"/>
      <c r="AK169" s="241"/>
      <c r="AL169" s="240">
        <v>0.9375</v>
      </c>
      <c r="AM169" s="242">
        <f t="shared" si="48"/>
        <v>0.27083333333333337</v>
      </c>
    </row>
    <row r="170" spans="1:39" x14ac:dyDescent="0.2">
      <c r="A170" s="239" t="s">
        <v>331</v>
      </c>
      <c r="B170" s="262" t="s">
        <v>347</v>
      </c>
      <c r="C170" s="269" t="s">
        <v>346</v>
      </c>
      <c r="D170" s="253" t="s">
        <v>336</v>
      </c>
      <c r="E170" s="240"/>
      <c r="F170" s="241"/>
      <c r="G170" s="241"/>
      <c r="H170" s="279"/>
      <c r="I170" s="242">
        <f t="shared" si="45"/>
        <v>0</v>
      </c>
      <c r="J170" s="240"/>
      <c r="K170" s="241"/>
      <c r="L170" s="241"/>
      <c r="M170" s="279"/>
      <c r="N170" s="242">
        <f t="shared" si="41"/>
        <v>0</v>
      </c>
      <c r="O170" s="240"/>
      <c r="P170" s="241"/>
      <c r="Q170" s="241"/>
      <c r="R170" s="279"/>
      <c r="S170" s="242">
        <f t="shared" si="43"/>
        <v>0</v>
      </c>
      <c r="T170" s="240"/>
      <c r="U170" s="241"/>
      <c r="V170" s="241"/>
      <c r="W170" s="279"/>
      <c r="X170" s="242">
        <f t="shared" si="46"/>
        <v>0</v>
      </c>
      <c r="Y170" s="240"/>
      <c r="Z170" s="241"/>
      <c r="AA170" s="241"/>
      <c r="AB170" s="279"/>
      <c r="AC170" s="242">
        <f t="shared" si="47"/>
        <v>0</v>
      </c>
      <c r="AD170" s="240"/>
      <c r="AE170" s="241"/>
      <c r="AF170" s="241"/>
      <c r="AG170" s="240"/>
      <c r="AH170" s="242">
        <f t="shared" si="44"/>
        <v>0</v>
      </c>
      <c r="AI170" s="240"/>
      <c r="AJ170" s="241"/>
      <c r="AK170" s="241"/>
      <c r="AL170" s="240"/>
      <c r="AM170" s="242">
        <f t="shared" si="48"/>
        <v>0</v>
      </c>
    </row>
    <row r="171" spans="1:39" x14ac:dyDescent="0.2">
      <c r="A171" s="239" t="s">
        <v>332</v>
      </c>
      <c r="B171" s="262" t="s">
        <v>347</v>
      </c>
      <c r="C171" s="269" t="s">
        <v>346</v>
      </c>
      <c r="D171" s="253" t="s">
        <v>336</v>
      </c>
      <c r="E171" s="240">
        <v>0.35416666666666669</v>
      </c>
      <c r="F171" s="241">
        <v>0.54166666666666663</v>
      </c>
      <c r="G171" s="241">
        <v>0.58333333333333337</v>
      </c>
      <c r="H171" s="240">
        <v>0.6875</v>
      </c>
      <c r="I171" s="242">
        <f t="shared" si="45"/>
        <v>0.29166666666666657</v>
      </c>
      <c r="J171" s="240">
        <v>0.35416666666666669</v>
      </c>
      <c r="K171" s="241">
        <v>0.58333333333333337</v>
      </c>
      <c r="L171" s="241">
        <v>0.625</v>
      </c>
      <c r="M171" s="240">
        <v>0.6875</v>
      </c>
      <c r="N171" s="242">
        <f t="shared" si="41"/>
        <v>0.29166666666666669</v>
      </c>
      <c r="O171" s="240">
        <v>0.35416666666666669</v>
      </c>
      <c r="P171" s="241">
        <v>0.58333333333333337</v>
      </c>
      <c r="Q171" s="241">
        <v>0.625</v>
      </c>
      <c r="R171" s="240">
        <v>0.6875</v>
      </c>
      <c r="S171" s="242">
        <f t="shared" si="43"/>
        <v>0.29166666666666669</v>
      </c>
      <c r="T171" s="244" t="s">
        <v>178</v>
      </c>
      <c r="U171" s="241" t="s">
        <v>178</v>
      </c>
      <c r="V171" s="241" t="s">
        <v>178</v>
      </c>
      <c r="W171" s="244" t="s">
        <v>178</v>
      </c>
      <c r="X171" s="242" t="str">
        <f t="shared" si="46"/>
        <v/>
      </c>
      <c r="Y171" s="244" t="s">
        <v>178</v>
      </c>
      <c r="Z171" s="241" t="s">
        <v>178</v>
      </c>
      <c r="AA171" s="241" t="s">
        <v>178</v>
      </c>
      <c r="AB171" s="244" t="s">
        <v>178</v>
      </c>
      <c r="AC171" s="242" t="str">
        <f t="shared" si="47"/>
        <v/>
      </c>
      <c r="AD171" s="240">
        <v>0.33333333333333331</v>
      </c>
      <c r="AE171" s="241">
        <v>0.54166666666666663</v>
      </c>
      <c r="AF171" s="241">
        <v>0.58333333333333337</v>
      </c>
      <c r="AG171" s="240">
        <v>0.66666666666666663</v>
      </c>
      <c r="AH171" s="242">
        <f t="shared" si="44"/>
        <v>0.29166666666666657</v>
      </c>
      <c r="AI171" s="240">
        <v>0.35416666666666669</v>
      </c>
      <c r="AJ171" s="241">
        <v>0.54166666666666663</v>
      </c>
      <c r="AK171" s="241">
        <v>0.58333333333333337</v>
      </c>
      <c r="AL171" s="240">
        <v>0.6875</v>
      </c>
      <c r="AM171" s="242">
        <f t="shared" si="48"/>
        <v>0.29166666666666657</v>
      </c>
    </row>
    <row r="172" spans="1:39" x14ac:dyDescent="0.2">
      <c r="A172" s="239" t="s">
        <v>333</v>
      </c>
      <c r="B172" s="262"/>
      <c r="C172" s="269" t="s">
        <v>346</v>
      </c>
      <c r="D172" s="253" t="s">
        <v>336</v>
      </c>
      <c r="E172" s="240">
        <v>0.66666666666666663</v>
      </c>
      <c r="F172" s="241"/>
      <c r="G172" s="241"/>
      <c r="H172" s="240">
        <v>0.9375</v>
      </c>
      <c r="I172" s="242">
        <f t="shared" si="45"/>
        <v>0.27083333333333337</v>
      </c>
      <c r="J172" s="240">
        <v>0.66666666666666663</v>
      </c>
      <c r="K172" s="241"/>
      <c r="L172" s="241"/>
      <c r="M172" s="240">
        <v>0.9375</v>
      </c>
      <c r="N172" s="242">
        <f t="shared" si="41"/>
        <v>0.27083333333333337</v>
      </c>
      <c r="O172" s="244" t="s">
        <v>178</v>
      </c>
      <c r="P172" s="241" t="s">
        <v>178</v>
      </c>
      <c r="Q172" s="241" t="s">
        <v>178</v>
      </c>
      <c r="R172" s="244" t="s">
        <v>178</v>
      </c>
      <c r="S172" s="242" t="str">
        <f t="shared" si="43"/>
        <v/>
      </c>
      <c r="T172" s="244" t="s">
        <v>178</v>
      </c>
      <c r="U172" s="241" t="s">
        <v>178</v>
      </c>
      <c r="V172" s="241" t="s">
        <v>178</v>
      </c>
      <c r="W172" s="244" t="s">
        <v>178</v>
      </c>
      <c r="X172" s="242" t="str">
        <f t="shared" si="46"/>
        <v/>
      </c>
      <c r="Y172" s="240">
        <v>0.66666666666666663</v>
      </c>
      <c r="Z172" s="241"/>
      <c r="AA172" s="241"/>
      <c r="AB172" s="240">
        <v>0.9375</v>
      </c>
      <c r="AC172" s="242">
        <f t="shared" si="47"/>
        <v>0.27083333333333337</v>
      </c>
      <c r="AD172" s="240">
        <v>0.66666666666666663</v>
      </c>
      <c r="AE172" s="241"/>
      <c r="AF172" s="241"/>
      <c r="AG172" s="240">
        <v>0.9375</v>
      </c>
      <c r="AH172" s="242">
        <f t="shared" si="44"/>
        <v>0.27083333333333337</v>
      </c>
      <c r="AI172" s="240">
        <v>0.66666666666666663</v>
      </c>
      <c r="AJ172" s="241"/>
      <c r="AK172" s="241"/>
      <c r="AL172" s="240">
        <v>0.9375</v>
      </c>
      <c r="AM172" s="242">
        <f t="shared" si="48"/>
        <v>0.27083333333333337</v>
      </c>
    </row>
    <row r="173" spans="1:39" x14ac:dyDescent="0.2">
      <c r="A173" s="239" t="s">
        <v>334</v>
      </c>
      <c r="B173" s="262">
        <v>6</v>
      </c>
      <c r="C173" s="269" t="s">
        <v>346</v>
      </c>
      <c r="D173" s="253" t="s">
        <v>336</v>
      </c>
      <c r="E173" s="244" t="s">
        <v>178</v>
      </c>
      <c r="F173" s="241" t="s">
        <v>178</v>
      </c>
      <c r="G173" s="241" t="s">
        <v>178</v>
      </c>
      <c r="H173" s="244" t="s">
        <v>178</v>
      </c>
      <c r="I173" s="242" t="str">
        <f t="shared" si="45"/>
        <v/>
      </c>
      <c r="J173" s="240">
        <v>0.5</v>
      </c>
      <c r="K173" s="241"/>
      <c r="L173" s="241"/>
      <c r="M173" s="240">
        <v>0.75</v>
      </c>
      <c r="N173" s="242">
        <f t="shared" si="41"/>
        <v>0.25</v>
      </c>
      <c r="O173" s="248">
        <v>0.625</v>
      </c>
      <c r="P173" s="241"/>
      <c r="Q173" s="241"/>
      <c r="R173" s="248">
        <v>0.875</v>
      </c>
      <c r="S173" s="242">
        <f t="shared" si="43"/>
        <v>0.25</v>
      </c>
      <c r="T173" s="248">
        <v>0.66666666666666663</v>
      </c>
      <c r="U173" s="241"/>
      <c r="V173" s="241"/>
      <c r="W173" s="248">
        <v>0.9375</v>
      </c>
      <c r="X173" s="242">
        <f t="shared" si="46"/>
        <v>0.27083333333333337</v>
      </c>
      <c r="Y173" s="244" t="s">
        <v>178</v>
      </c>
      <c r="Z173" s="241" t="s">
        <v>178</v>
      </c>
      <c r="AA173" s="241" t="s">
        <v>178</v>
      </c>
      <c r="AB173" s="244" t="s">
        <v>178</v>
      </c>
      <c r="AC173" s="242" t="str">
        <f t="shared" si="47"/>
        <v/>
      </c>
      <c r="AD173" s="240">
        <v>0.375</v>
      </c>
      <c r="AE173" s="241"/>
      <c r="AF173" s="241"/>
      <c r="AG173" s="240">
        <v>0.625</v>
      </c>
      <c r="AH173" s="242">
        <f t="shared" si="44"/>
        <v>0.25</v>
      </c>
      <c r="AI173" s="240">
        <v>0.29166666666666669</v>
      </c>
      <c r="AJ173" s="241"/>
      <c r="AK173" s="241"/>
      <c r="AL173" s="240">
        <v>0.54166666666666663</v>
      </c>
      <c r="AM173" s="242">
        <f t="shared" si="48"/>
        <v>0.24999999999999994</v>
      </c>
    </row>
    <row r="174" spans="1:39" x14ac:dyDescent="0.2">
      <c r="A174" s="239" t="s">
        <v>335</v>
      </c>
      <c r="B174" s="262"/>
      <c r="C174" s="269" t="s">
        <v>346</v>
      </c>
      <c r="D174" s="253" t="s">
        <v>336</v>
      </c>
      <c r="E174" s="244" t="s">
        <v>178</v>
      </c>
      <c r="F174" s="241" t="s">
        <v>178</v>
      </c>
      <c r="G174" s="241" t="s">
        <v>178</v>
      </c>
      <c r="H174" s="244" t="s">
        <v>178</v>
      </c>
      <c r="I174" s="242" t="str">
        <f t="shared" si="45"/>
        <v/>
      </c>
      <c r="J174" s="240">
        <v>0.4375</v>
      </c>
      <c r="K174" s="241">
        <v>0.66666666666666663</v>
      </c>
      <c r="L174" s="241">
        <v>0.75</v>
      </c>
      <c r="M174" s="240">
        <v>0.85416666666666663</v>
      </c>
      <c r="N174" s="242">
        <f t="shared" si="41"/>
        <v>0.33333333333333326</v>
      </c>
      <c r="O174" s="240">
        <v>0.41666666666666669</v>
      </c>
      <c r="P174" s="241">
        <v>0.625</v>
      </c>
      <c r="Q174" s="241">
        <v>0.70833333333333337</v>
      </c>
      <c r="R174" s="240">
        <v>0.83333333333333337</v>
      </c>
      <c r="S174" s="242">
        <f t="shared" si="43"/>
        <v>0.33333333333333331</v>
      </c>
      <c r="T174" s="240">
        <v>0.41666666666666669</v>
      </c>
      <c r="U174" s="241">
        <v>0.625</v>
      </c>
      <c r="V174" s="241">
        <v>0.70833333333333337</v>
      </c>
      <c r="W174" s="240">
        <v>0.83333333333333337</v>
      </c>
      <c r="X174" s="242">
        <f t="shared" si="46"/>
        <v>0.33333333333333331</v>
      </c>
      <c r="Y174" s="240">
        <v>0.52083333333333337</v>
      </c>
      <c r="Z174" s="241">
        <v>0.75</v>
      </c>
      <c r="AA174" s="241">
        <v>0.79166666666666663</v>
      </c>
      <c r="AB174" s="249">
        <v>0.89583333333333337</v>
      </c>
      <c r="AC174" s="242">
        <f t="shared" si="47"/>
        <v>0.33333333333333337</v>
      </c>
      <c r="AD174" s="240">
        <v>0.41666666666666669</v>
      </c>
      <c r="AE174" s="241">
        <v>0.625</v>
      </c>
      <c r="AF174" s="241">
        <v>0.70833333333333337</v>
      </c>
      <c r="AG174" s="240">
        <v>0.83333333333333337</v>
      </c>
      <c r="AH174" s="242">
        <f t="shared" si="44"/>
        <v>0.33333333333333331</v>
      </c>
      <c r="AI174" s="244" t="s">
        <v>178</v>
      </c>
      <c r="AJ174" s="241" t="s">
        <v>178</v>
      </c>
      <c r="AK174" s="241" t="s">
        <v>178</v>
      </c>
      <c r="AL174" s="244" t="s">
        <v>178</v>
      </c>
      <c r="AM174" s="242" t="str">
        <f t="shared" si="48"/>
        <v/>
      </c>
    </row>
    <row r="175" spans="1:39" x14ac:dyDescent="0.2">
      <c r="A175" s="250" t="s">
        <v>195</v>
      </c>
      <c r="B175" s="262"/>
      <c r="C175" s="269" t="s">
        <v>346</v>
      </c>
      <c r="D175" s="251" t="s">
        <v>199</v>
      </c>
      <c r="E175" s="240">
        <v>0.375</v>
      </c>
      <c r="F175" s="241">
        <v>0.625</v>
      </c>
      <c r="G175" s="241">
        <v>0.66666666666666663</v>
      </c>
      <c r="H175" s="240">
        <v>0.75</v>
      </c>
      <c r="I175" s="242">
        <f t="shared" si="45"/>
        <v>0.33333333333333337</v>
      </c>
      <c r="J175" s="240">
        <v>0.5</v>
      </c>
      <c r="K175" s="241">
        <v>0.625</v>
      </c>
      <c r="L175" s="241">
        <v>0.66666666666666663</v>
      </c>
      <c r="M175" s="240">
        <v>0.875</v>
      </c>
      <c r="N175" s="242">
        <f t="shared" ref="N175:N206" si="49">IFERROR(MOD(M175-J175,1)-MOD(L175-K175,1),"")</f>
        <v>0.33333333333333337</v>
      </c>
      <c r="O175" s="240">
        <v>0.54166666666666663</v>
      </c>
      <c r="P175" s="241">
        <v>0.625</v>
      </c>
      <c r="Q175" s="241">
        <v>0.66666666666666663</v>
      </c>
      <c r="R175" s="240">
        <v>0.91666666666666663</v>
      </c>
      <c r="S175" s="242">
        <f t="shared" si="43"/>
        <v>0.33333333333333337</v>
      </c>
      <c r="T175" s="240">
        <v>0.54166666666666663</v>
      </c>
      <c r="U175" s="241">
        <v>0.66666666666666663</v>
      </c>
      <c r="V175" s="241">
        <v>0.70833333333333337</v>
      </c>
      <c r="W175" s="240">
        <v>0.91666666666666663</v>
      </c>
      <c r="X175" s="242">
        <f t="shared" si="46"/>
        <v>0.33333333333333326</v>
      </c>
      <c r="Y175" s="244" t="s">
        <v>178</v>
      </c>
      <c r="Z175" s="241" t="s">
        <v>178</v>
      </c>
      <c r="AA175" s="241" t="s">
        <v>178</v>
      </c>
      <c r="AB175" s="244" t="s">
        <v>178</v>
      </c>
      <c r="AC175" s="242" t="str">
        <f t="shared" si="47"/>
        <v/>
      </c>
      <c r="AD175" s="244" t="s">
        <v>178</v>
      </c>
      <c r="AE175" s="241" t="s">
        <v>178</v>
      </c>
      <c r="AF175" s="241" t="s">
        <v>178</v>
      </c>
      <c r="AG175" s="244" t="s">
        <v>178</v>
      </c>
      <c r="AH175" s="242" t="str">
        <f t="shared" si="44"/>
        <v/>
      </c>
      <c r="AI175" s="240">
        <v>0.29166666666666669</v>
      </c>
      <c r="AJ175" s="241">
        <v>0.54166666666666663</v>
      </c>
      <c r="AK175" s="241">
        <v>0.625</v>
      </c>
      <c r="AL175" s="240">
        <v>0.70833333333333337</v>
      </c>
      <c r="AM175" s="242">
        <f t="shared" si="48"/>
        <v>0.33333333333333331</v>
      </c>
    </row>
    <row r="176" spans="1:39" x14ac:dyDescent="0.2">
      <c r="A176" s="250" t="s">
        <v>197</v>
      </c>
      <c r="B176" s="262" t="s">
        <v>347</v>
      </c>
      <c r="C176" s="269" t="s">
        <v>346</v>
      </c>
      <c r="D176" s="251" t="s">
        <v>199</v>
      </c>
      <c r="E176" s="244" t="s">
        <v>178</v>
      </c>
      <c r="F176" s="241" t="s">
        <v>178</v>
      </c>
      <c r="G176" s="241" t="s">
        <v>178</v>
      </c>
      <c r="H176" s="244" t="s">
        <v>178</v>
      </c>
      <c r="I176" s="242" t="str">
        <f t="shared" si="45"/>
        <v/>
      </c>
      <c r="J176" s="244" t="s">
        <v>178</v>
      </c>
      <c r="K176" s="241" t="s">
        <v>178</v>
      </c>
      <c r="L176" s="241" t="s">
        <v>178</v>
      </c>
      <c r="M176" s="244" t="s">
        <v>178</v>
      </c>
      <c r="N176" s="242" t="str">
        <f t="shared" si="49"/>
        <v/>
      </c>
      <c r="O176" s="240">
        <v>0.29166666666666669</v>
      </c>
      <c r="P176" s="241">
        <v>0.5</v>
      </c>
      <c r="Q176" s="241">
        <v>0.54166666666666663</v>
      </c>
      <c r="R176" s="240">
        <v>0.625</v>
      </c>
      <c r="S176" s="242">
        <f t="shared" si="43"/>
        <v>0.29166666666666669</v>
      </c>
      <c r="T176" s="240">
        <v>0.29166666666666669</v>
      </c>
      <c r="U176" s="241">
        <v>0.54166666666666663</v>
      </c>
      <c r="V176" s="241">
        <v>0.58333333333333337</v>
      </c>
      <c r="W176" s="240">
        <v>0.625</v>
      </c>
      <c r="X176" s="242">
        <f t="shared" si="46"/>
        <v>0.29166666666666657</v>
      </c>
      <c r="Y176" s="240">
        <v>0.29166666666666669</v>
      </c>
      <c r="Z176" s="241">
        <v>0.5</v>
      </c>
      <c r="AA176" s="241">
        <v>0.54166666666666663</v>
      </c>
      <c r="AB176" s="240">
        <v>0.625</v>
      </c>
      <c r="AC176" s="242">
        <f t="shared" si="47"/>
        <v>0.29166666666666669</v>
      </c>
      <c r="AD176" s="240">
        <v>0.29166666666666669</v>
      </c>
      <c r="AE176" s="241">
        <v>0.54166666666666663</v>
      </c>
      <c r="AF176" s="241">
        <v>0.58333333333333337</v>
      </c>
      <c r="AG176" s="240">
        <v>0.625</v>
      </c>
      <c r="AH176" s="242">
        <f t="shared" si="44"/>
        <v>0.29166666666666657</v>
      </c>
      <c r="AI176" s="240">
        <v>0.33333333333333331</v>
      </c>
      <c r="AJ176" s="241">
        <v>0.54166666666666663</v>
      </c>
      <c r="AK176" s="241">
        <v>0.58333333333333337</v>
      </c>
      <c r="AL176" s="240">
        <v>0.66666666666666663</v>
      </c>
      <c r="AM176" s="242">
        <f t="shared" si="48"/>
        <v>0.29166666666666657</v>
      </c>
    </row>
    <row r="177" spans="1:39" x14ac:dyDescent="0.2">
      <c r="A177" s="250" t="s">
        <v>228</v>
      </c>
      <c r="B177" s="262"/>
      <c r="C177" s="272" t="s">
        <v>352</v>
      </c>
      <c r="D177" s="252" t="s">
        <v>242</v>
      </c>
      <c r="E177" s="246">
        <v>0.83333333333333337</v>
      </c>
      <c r="F177" s="241"/>
      <c r="G177" s="241"/>
      <c r="H177" s="246">
        <v>1</v>
      </c>
      <c r="I177" s="242">
        <f t="shared" si="45"/>
        <v>0.16666666666666663</v>
      </c>
      <c r="J177" s="246">
        <v>0</v>
      </c>
      <c r="K177" s="241">
        <v>8.3333333333333329E-2</v>
      </c>
      <c r="L177" s="241">
        <v>0.16666666666666666</v>
      </c>
      <c r="M177" s="246">
        <v>0.29166666666666669</v>
      </c>
      <c r="N177" s="242">
        <f t="shared" si="49"/>
        <v>0.20833333333333337</v>
      </c>
      <c r="O177" s="244" t="s">
        <v>178</v>
      </c>
      <c r="P177" s="241" t="s">
        <v>178</v>
      </c>
      <c r="Q177" s="241" t="s">
        <v>178</v>
      </c>
      <c r="R177" s="244" t="s">
        <v>178</v>
      </c>
      <c r="S177" s="242" t="str">
        <f t="shared" si="43"/>
        <v/>
      </c>
      <c r="T177" s="240">
        <v>0.29166666666666669</v>
      </c>
      <c r="U177" s="241">
        <v>0.54166666666666663</v>
      </c>
      <c r="V177" s="241">
        <v>0.58333333333333337</v>
      </c>
      <c r="W177" s="240">
        <v>0.70833333333333337</v>
      </c>
      <c r="X177" s="242">
        <f t="shared" si="46"/>
        <v>0.37499999999999994</v>
      </c>
      <c r="Y177" s="240">
        <v>0.3125</v>
      </c>
      <c r="Z177" s="241">
        <v>0.5</v>
      </c>
      <c r="AA177" s="241">
        <v>0.58333333333333337</v>
      </c>
      <c r="AB177" s="240">
        <v>0.6875</v>
      </c>
      <c r="AC177" s="242">
        <f t="shared" si="47"/>
        <v>0.29166666666666663</v>
      </c>
      <c r="AD177" s="240">
        <v>0.45833333333333331</v>
      </c>
      <c r="AE177" s="241">
        <v>0.625</v>
      </c>
      <c r="AF177" s="241">
        <v>0.66666666666666663</v>
      </c>
      <c r="AG177" s="240">
        <v>0.875</v>
      </c>
      <c r="AH177" s="242">
        <f t="shared" si="44"/>
        <v>0.37500000000000006</v>
      </c>
      <c r="AI177" s="240">
        <v>0.5</v>
      </c>
      <c r="AJ177" s="241">
        <v>0.72916666666666663</v>
      </c>
      <c r="AK177" s="241">
        <v>0.77083333333333337</v>
      </c>
      <c r="AL177" s="240">
        <v>0.875</v>
      </c>
      <c r="AM177" s="242">
        <f t="shared" si="48"/>
        <v>0.33333333333333326</v>
      </c>
    </row>
    <row r="178" spans="1:39" x14ac:dyDescent="0.2">
      <c r="A178" s="250" t="s">
        <v>229</v>
      </c>
      <c r="B178" s="262"/>
      <c r="C178" s="272" t="s">
        <v>352</v>
      </c>
      <c r="D178" s="252" t="s">
        <v>242</v>
      </c>
      <c r="E178" s="240">
        <v>0.29166666666666669</v>
      </c>
      <c r="F178" s="241">
        <v>0.54166666666666663</v>
      </c>
      <c r="G178" s="241">
        <v>0.58333333333333337</v>
      </c>
      <c r="H178" s="240">
        <v>0.70833333333333337</v>
      </c>
      <c r="I178" s="242">
        <f t="shared" si="45"/>
        <v>0.37499999999999994</v>
      </c>
      <c r="J178" s="240">
        <v>0.29166666666666669</v>
      </c>
      <c r="K178" s="241">
        <v>0.54166666666666663</v>
      </c>
      <c r="L178" s="241">
        <v>0.58333333333333337</v>
      </c>
      <c r="M178" s="240">
        <v>0.66666666666666663</v>
      </c>
      <c r="N178" s="242">
        <f t="shared" si="49"/>
        <v>0.3333333333333332</v>
      </c>
      <c r="O178" s="240">
        <v>0.54166666666666663</v>
      </c>
      <c r="P178" s="241">
        <v>0.75</v>
      </c>
      <c r="Q178" s="241">
        <v>0.79166666666666663</v>
      </c>
      <c r="R178" s="240">
        <v>0.9375</v>
      </c>
      <c r="S178" s="242">
        <f t="shared" si="43"/>
        <v>0.35416666666666674</v>
      </c>
      <c r="T178" s="246">
        <v>0.83333333333333337</v>
      </c>
      <c r="U178" s="241"/>
      <c r="V178" s="241"/>
      <c r="W178" s="246">
        <v>1</v>
      </c>
      <c r="X178" s="242">
        <f t="shared" si="46"/>
        <v>0.16666666666666663</v>
      </c>
      <c r="Y178" s="246">
        <v>0</v>
      </c>
      <c r="Z178" s="241">
        <v>0.125</v>
      </c>
      <c r="AA178" s="241">
        <v>0.20833333333333334</v>
      </c>
      <c r="AB178" s="246">
        <v>0.29166666666666669</v>
      </c>
      <c r="AC178" s="242">
        <f t="shared" si="47"/>
        <v>0.20833333333333334</v>
      </c>
      <c r="AD178" s="244" t="s">
        <v>178</v>
      </c>
      <c r="AE178" s="241" t="s">
        <v>178</v>
      </c>
      <c r="AF178" s="241" t="s">
        <v>178</v>
      </c>
      <c r="AG178" s="244" t="s">
        <v>178</v>
      </c>
      <c r="AH178" s="242" t="str">
        <f t="shared" si="44"/>
        <v/>
      </c>
      <c r="AI178" s="240">
        <v>0.54166666666666663</v>
      </c>
      <c r="AJ178" s="241">
        <v>0.6875</v>
      </c>
      <c r="AK178" s="241">
        <v>0.72916666666666663</v>
      </c>
      <c r="AL178" s="240">
        <v>0.91666666666666663</v>
      </c>
      <c r="AM178" s="242">
        <f t="shared" si="48"/>
        <v>0.33333333333333337</v>
      </c>
    </row>
    <row r="179" spans="1:39" x14ac:dyDescent="0.2">
      <c r="A179" s="250" t="s">
        <v>230</v>
      </c>
      <c r="B179" s="262"/>
      <c r="C179" s="272" t="s">
        <v>352</v>
      </c>
      <c r="D179" s="252" t="s">
        <v>242</v>
      </c>
      <c r="E179" s="240">
        <v>0.33333333333333331</v>
      </c>
      <c r="F179" s="241">
        <v>0.58333333333333337</v>
      </c>
      <c r="G179" s="241">
        <v>0.625</v>
      </c>
      <c r="H179" s="240">
        <v>0.75</v>
      </c>
      <c r="I179" s="242">
        <f t="shared" si="45"/>
        <v>0.37500000000000006</v>
      </c>
      <c r="J179" s="240">
        <v>0.45833333333333331</v>
      </c>
      <c r="K179" s="241">
        <v>0.72916666666666663</v>
      </c>
      <c r="L179" s="241">
        <v>0.77083333333333337</v>
      </c>
      <c r="M179" s="240">
        <v>0.875</v>
      </c>
      <c r="N179" s="242">
        <f t="shared" si="49"/>
        <v>0.37499999999999994</v>
      </c>
      <c r="O179" s="240">
        <v>0.45833333333333331</v>
      </c>
      <c r="P179" s="241">
        <v>0.70833333333333337</v>
      </c>
      <c r="Q179" s="241">
        <v>0.79166666666666663</v>
      </c>
      <c r="R179" s="240">
        <v>0.875</v>
      </c>
      <c r="S179" s="242">
        <f t="shared" si="43"/>
        <v>0.33333333333333343</v>
      </c>
      <c r="T179" s="244" t="s">
        <v>178</v>
      </c>
      <c r="U179" s="241" t="s">
        <v>178</v>
      </c>
      <c r="V179" s="241" t="s">
        <v>178</v>
      </c>
      <c r="W179" s="244" t="s">
        <v>178</v>
      </c>
      <c r="X179" s="242" t="str">
        <f t="shared" si="46"/>
        <v/>
      </c>
      <c r="Y179" s="244" t="s">
        <v>178</v>
      </c>
      <c r="Z179" s="241" t="s">
        <v>178</v>
      </c>
      <c r="AA179" s="241" t="s">
        <v>178</v>
      </c>
      <c r="AB179" s="244" t="s">
        <v>178</v>
      </c>
      <c r="AC179" s="242" t="str">
        <f t="shared" si="47"/>
        <v/>
      </c>
      <c r="AD179" s="240">
        <v>0.29166666666666669</v>
      </c>
      <c r="AE179" s="241">
        <v>0.54166666666666663</v>
      </c>
      <c r="AF179" s="241">
        <v>0.58333333333333337</v>
      </c>
      <c r="AG179" s="240">
        <v>0.70833333333333337</v>
      </c>
      <c r="AH179" s="242">
        <f t="shared" si="44"/>
        <v>0.37499999999999994</v>
      </c>
      <c r="AI179" s="240">
        <v>0.3125</v>
      </c>
      <c r="AJ179" s="241">
        <v>0.54166666666666663</v>
      </c>
      <c r="AK179" s="241">
        <v>0.58333333333333337</v>
      </c>
      <c r="AL179" s="240">
        <v>0.72916666666666663</v>
      </c>
      <c r="AM179" s="242">
        <f t="shared" si="48"/>
        <v>0.37499999999999989</v>
      </c>
    </row>
    <row r="180" spans="1:39" x14ac:dyDescent="0.2">
      <c r="A180" s="250" t="s">
        <v>231</v>
      </c>
      <c r="B180" s="262"/>
      <c r="C180" s="272" t="s">
        <v>352</v>
      </c>
      <c r="D180" s="252" t="s">
        <v>242</v>
      </c>
      <c r="E180" s="240">
        <v>0.29166666666666669</v>
      </c>
      <c r="F180" s="241">
        <v>0.54166666666666663</v>
      </c>
      <c r="G180" s="241">
        <v>0.58333333333333337</v>
      </c>
      <c r="H180" s="240">
        <v>0.70833333333333337</v>
      </c>
      <c r="I180" s="242">
        <f t="shared" si="45"/>
        <v>0.37499999999999994</v>
      </c>
      <c r="J180" s="244" t="s">
        <v>178</v>
      </c>
      <c r="K180" s="241" t="s">
        <v>178</v>
      </c>
      <c r="L180" s="241" t="s">
        <v>178</v>
      </c>
      <c r="M180" s="244" t="s">
        <v>178</v>
      </c>
      <c r="N180" s="242" t="str">
        <f t="shared" si="49"/>
        <v/>
      </c>
      <c r="O180" s="240">
        <v>0.27083333333333331</v>
      </c>
      <c r="P180" s="241">
        <v>0.54166666666666663</v>
      </c>
      <c r="Q180" s="241">
        <v>0.58333333333333337</v>
      </c>
      <c r="R180" s="240">
        <v>0.6875</v>
      </c>
      <c r="S180" s="242">
        <f t="shared" si="43"/>
        <v>0.37499999999999994</v>
      </c>
      <c r="T180" s="244" t="s">
        <v>178</v>
      </c>
      <c r="U180" s="241" t="s">
        <v>178</v>
      </c>
      <c r="V180" s="241" t="s">
        <v>178</v>
      </c>
      <c r="W180" s="244" t="s">
        <v>178</v>
      </c>
      <c r="X180" s="242" t="str">
        <f t="shared" si="46"/>
        <v/>
      </c>
      <c r="Y180" s="240">
        <v>0.3125</v>
      </c>
      <c r="Z180" s="241">
        <v>0.54166666666666663</v>
      </c>
      <c r="AA180" s="241">
        <v>0.625</v>
      </c>
      <c r="AB180" s="240">
        <v>0.6875</v>
      </c>
      <c r="AC180" s="242">
        <f t="shared" si="47"/>
        <v>0.29166666666666663</v>
      </c>
      <c r="AD180" s="240">
        <v>0.54166666666666663</v>
      </c>
      <c r="AE180" s="241">
        <v>0.75</v>
      </c>
      <c r="AF180" s="241">
        <v>0.79166666666666663</v>
      </c>
      <c r="AG180" s="240">
        <v>0.9375</v>
      </c>
      <c r="AH180" s="242">
        <f t="shared" si="44"/>
        <v>0.35416666666666674</v>
      </c>
      <c r="AI180" s="240">
        <v>0.6875</v>
      </c>
      <c r="AJ180" s="241"/>
      <c r="AK180" s="241"/>
      <c r="AL180" s="240">
        <v>0.9375</v>
      </c>
      <c r="AM180" s="242">
        <f t="shared" si="48"/>
        <v>0.25</v>
      </c>
    </row>
    <row r="181" spans="1:39" x14ac:dyDescent="0.2">
      <c r="A181" s="250" t="s">
        <v>232</v>
      </c>
      <c r="B181" s="262"/>
      <c r="C181" s="272" t="s">
        <v>352</v>
      </c>
      <c r="D181" s="252" t="s">
        <v>242</v>
      </c>
      <c r="E181" s="240">
        <v>0.52083333333333337</v>
      </c>
      <c r="F181" s="241">
        <v>0.77083333333333337</v>
      </c>
      <c r="G181" s="241">
        <v>0.8125</v>
      </c>
      <c r="H181" s="240">
        <v>0.9375</v>
      </c>
      <c r="I181" s="242">
        <f t="shared" si="45"/>
        <v>0.375</v>
      </c>
      <c r="J181" s="240">
        <v>0.52083333333333337</v>
      </c>
      <c r="K181" s="241">
        <v>0.72916666666666663</v>
      </c>
      <c r="L181" s="241">
        <v>0.77083333333333337</v>
      </c>
      <c r="M181" s="240">
        <v>0.9375</v>
      </c>
      <c r="N181" s="242">
        <f t="shared" si="49"/>
        <v>0.37499999999999989</v>
      </c>
      <c r="O181" s="244" t="s">
        <v>178</v>
      </c>
      <c r="P181" s="241" t="s">
        <v>178</v>
      </c>
      <c r="Q181" s="241" t="s">
        <v>178</v>
      </c>
      <c r="R181" s="244" t="s">
        <v>178</v>
      </c>
      <c r="S181" s="242" t="str">
        <f t="shared" si="43"/>
        <v/>
      </c>
      <c r="T181" s="240">
        <v>0.29166666666666669</v>
      </c>
      <c r="U181" s="241">
        <v>0.54166666666666663</v>
      </c>
      <c r="V181" s="241">
        <v>0.58333333333333337</v>
      </c>
      <c r="W181" s="240">
        <v>0.70833333333333337</v>
      </c>
      <c r="X181" s="242">
        <f t="shared" si="46"/>
        <v>0.37499999999999994</v>
      </c>
      <c r="Y181" s="244" t="s">
        <v>178</v>
      </c>
      <c r="Z181" s="241" t="s">
        <v>178</v>
      </c>
      <c r="AA181" s="241" t="s">
        <v>178</v>
      </c>
      <c r="AB181" s="244" t="s">
        <v>178</v>
      </c>
      <c r="AC181" s="242" t="str">
        <f t="shared" si="47"/>
        <v/>
      </c>
      <c r="AD181" s="240">
        <v>0.54166666666666663</v>
      </c>
      <c r="AE181" s="241">
        <v>0.75</v>
      </c>
      <c r="AF181" s="241">
        <v>0.79166666666666663</v>
      </c>
      <c r="AG181" s="240">
        <v>0.9375</v>
      </c>
      <c r="AH181" s="242">
        <f t="shared" si="44"/>
        <v>0.35416666666666674</v>
      </c>
      <c r="AI181" s="240">
        <v>0.5</v>
      </c>
      <c r="AJ181" s="241">
        <v>0.70833333333333337</v>
      </c>
      <c r="AK181" s="241">
        <v>0.75</v>
      </c>
      <c r="AL181" s="240">
        <v>0.875</v>
      </c>
      <c r="AM181" s="242">
        <f t="shared" si="48"/>
        <v>0.33333333333333337</v>
      </c>
    </row>
    <row r="182" spans="1:39" x14ac:dyDescent="0.2">
      <c r="A182" s="250" t="s">
        <v>233</v>
      </c>
      <c r="B182" s="262"/>
      <c r="C182" s="272" t="s">
        <v>352</v>
      </c>
      <c r="D182" s="252" t="s">
        <v>242</v>
      </c>
      <c r="E182" s="240" t="s">
        <v>337</v>
      </c>
      <c r="F182" s="241" t="s">
        <v>337</v>
      </c>
      <c r="G182" s="241" t="s">
        <v>337</v>
      </c>
      <c r="H182" s="240" t="s">
        <v>337</v>
      </c>
      <c r="I182" s="242" t="str">
        <f t="shared" si="45"/>
        <v/>
      </c>
      <c r="J182" s="240" t="s">
        <v>337</v>
      </c>
      <c r="K182" s="241" t="s">
        <v>337</v>
      </c>
      <c r="L182" s="241" t="s">
        <v>337</v>
      </c>
      <c r="M182" s="240" t="s">
        <v>337</v>
      </c>
      <c r="N182" s="242" t="str">
        <f t="shared" si="49"/>
        <v/>
      </c>
      <c r="O182" s="240" t="s">
        <v>337</v>
      </c>
      <c r="P182" s="241" t="s">
        <v>337</v>
      </c>
      <c r="Q182" s="241" t="s">
        <v>337</v>
      </c>
      <c r="R182" s="240" t="s">
        <v>337</v>
      </c>
      <c r="S182" s="242" t="str">
        <f t="shared" si="43"/>
        <v/>
      </c>
      <c r="T182" s="240" t="s">
        <v>337</v>
      </c>
      <c r="U182" s="241" t="s">
        <v>337</v>
      </c>
      <c r="V182" s="241" t="s">
        <v>337</v>
      </c>
      <c r="W182" s="240" t="s">
        <v>337</v>
      </c>
      <c r="X182" s="242" t="str">
        <f t="shared" si="46"/>
        <v/>
      </c>
      <c r="Y182" s="240" t="s">
        <v>337</v>
      </c>
      <c r="Z182" s="241" t="s">
        <v>337</v>
      </c>
      <c r="AA182" s="241" t="s">
        <v>337</v>
      </c>
      <c r="AB182" s="240" t="s">
        <v>337</v>
      </c>
      <c r="AC182" s="242" t="str">
        <f t="shared" si="47"/>
        <v/>
      </c>
      <c r="AD182" s="240" t="s">
        <v>337</v>
      </c>
      <c r="AE182" s="241" t="s">
        <v>337</v>
      </c>
      <c r="AF182" s="241" t="s">
        <v>337</v>
      </c>
      <c r="AG182" s="240" t="s">
        <v>337</v>
      </c>
      <c r="AH182" s="242" t="str">
        <f t="shared" si="44"/>
        <v/>
      </c>
      <c r="AI182" s="240" t="s">
        <v>337</v>
      </c>
      <c r="AJ182" s="241" t="s">
        <v>337</v>
      </c>
      <c r="AK182" s="241" t="s">
        <v>337</v>
      </c>
      <c r="AL182" s="240" t="s">
        <v>337</v>
      </c>
      <c r="AM182" s="242" t="str">
        <f t="shared" si="48"/>
        <v/>
      </c>
    </row>
    <row r="183" spans="1:39" x14ac:dyDescent="0.2">
      <c r="A183" s="250" t="s">
        <v>234</v>
      </c>
      <c r="B183" s="262"/>
      <c r="C183" s="272" t="s">
        <v>352</v>
      </c>
      <c r="D183" s="252" t="s">
        <v>242</v>
      </c>
      <c r="E183" s="240" t="s">
        <v>337</v>
      </c>
      <c r="F183" s="241" t="s">
        <v>337</v>
      </c>
      <c r="G183" s="241" t="s">
        <v>337</v>
      </c>
      <c r="H183" s="240" t="s">
        <v>337</v>
      </c>
      <c r="I183" s="242" t="str">
        <f t="shared" si="45"/>
        <v/>
      </c>
      <c r="J183" s="240" t="s">
        <v>337</v>
      </c>
      <c r="K183" s="241" t="s">
        <v>337</v>
      </c>
      <c r="L183" s="241" t="s">
        <v>337</v>
      </c>
      <c r="M183" s="240" t="s">
        <v>337</v>
      </c>
      <c r="N183" s="242" t="str">
        <f t="shared" si="49"/>
        <v/>
      </c>
      <c r="O183" s="240" t="s">
        <v>337</v>
      </c>
      <c r="P183" s="241" t="s">
        <v>337</v>
      </c>
      <c r="Q183" s="241" t="s">
        <v>337</v>
      </c>
      <c r="R183" s="240" t="s">
        <v>337</v>
      </c>
      <c r="S183" s="242" t="str">
        <f t="shared" si="43"/>
        <v/>
      </c>
      <c r="T183" s="240" t="s">
        <v>337</v>
      </c>
      <c r="U183" s="241" t="s">
        <v>337</v>
      </c>
      <c r="V183" s="241" t="s">
        <v>337</v>
      </c>
      <c r="W183" s="240" t="s">
        <v>337</v>
      </c>
      <c r="X183" s="242" t="str">
        <f t="shared" si="46"/>
        <v/>
      </c>
      <c r="Y183" s="240" t="s">
        <v>337</v>
      </c>
      <c r="Z183" s="241" t="s">
        <v>337</v>
      </c>
      <c r="AA183" s="241" t="s">
        <v>337</v>
      </c>
      <c r="AB183" s="240" t="s">
        <v>337</v>
      </c>
      <c r="AC183" s="242" t="str">
        <f t="shared" si="47"/>
        <v/>
      </c>
      <c r="AD183" s="240" t="s">
        <v>337</v>
      </c>
      <c r="AE183" s="241" t="s">
        <v>337</v>
      </c>
      <c r="AF183" s="241" t="s">
        <v>337</v>
      </c>
      <c r="AG183" s="240" t="s">
        <v>337</v>
      </c>
      <c r="AH183" s="242" t="str">
        <f t="shared" si="44"/>
        <v/>
      </c>
      <c r="AI183" s="240" t="s">
        <v>337</v>
      </c>
      <c r="AJ183" s="241" t="s">
        <v>337</v>
      </c>
      <c r="AK183" s="241" t="s">
        <v>337</v>
      </c>
      <c r="AL183" s="240" t="s">
        <v>337</v>
      </c>
      <c r="AM183" s="242" t="str">
        <f t="shared" si="48"/>
        <v/>
      </c>
    </row>
    <row r="184" spans="1:39" x14ac:dyDescent="0.2">
      <c r="A184" s="250" t="s">
        <v>235</v>
      </c>
      <c r="B184" s="262"/>
      <c r="C184" s="272" t="s">
        <v>352</v>
      </c>
      <c r="D184" s="252" t="s">
        <v>242</v>
      </c>
      <c r="E184" s="246">
        <v>0</v>
      </c>
      <c r="F184" s="241">
        <v>4.1666666666666664E-2</v>
      </c>
      <c r="G184" s="241">
        <v>0.125</v>
      </c>
      <c r="H184" s="246">
        <v>0.29166666666666669</v>
      </c>
      <c r="I184" s="242">
        <f t="shared" si="45"/>
        <v>0.20833333333333334</v>
      </c>
      <c r="J184" s="244" t="s">
        <v>178</v>
      </c>
      <c r="K184" s="241" t="s">
        <v>178</v>
      </c>
      <c r="L184" s="241" t="s">
        <v>178</v>
      </c>
      <c r="M184" s="244" t="s">
        <v>178</v>
      </c>
      <c r="N184" s="242" t="str">
        <f t="shared" si="49"/>
        <v/>
      </c>
      <c r="O184" s="240">
        <v>0.29166666666666669</v>
      </c>
      <c r="P184" s="241">
        <v>0.54166666666666663</v>
      </c>
      <c r="Q184" s="241">
        <v>0.625</v>
      </c>
      <c r="R184" s="240">
        <v>0.70833333333333337</v>
      </c>
      <c r="S184" s="242">
        <f t="shared" si="43"/>
        <v>0.33333333333333331</v>
      </c>
      <c r="T184" s="240">
        <v>0.5</v>
      </c>
      <c r="U184" s="241">
        <v>0.72916666666666663</v>
      </c>
      <c r="V184" s="241">
        <v>0.77083333333333337</v>
      </c>
      <c r="W184" s="240">
        <v>0.91666666666666663</v>
      </c>
      <c r="X184" s="242">
        <f t="shared" si="46"/>
        <v>0.37499999999999989</v>
      </c>
      <c r="Y184" s="240">
        <v>0.52083333333333337</v>
      </c>
      <c r="Z184" s="241">
        <v>0.75</v>
      </c>
      <c r="AA184" s="241">
        <v>0.79166666666666663</v>
      </c>
      <c r="AB184" s="240">
        <v>0.9375</v>
      </c>
      <c r="AC184" s="242">
        <f t="shared" si="47"/>
        <v>0.375</v>
      </c>
      <c r="AD184" s="246">
        <v>0.875</v>
      </c>
      <c r="AE184" s="241"/>
      <c r="AF184" s="241"/>
      <c r="AG184" s="246">
        <v>1</v>
      </c>
      <c r="AH184" s="242">
        <f t="shared" si="44"/>
        <v>0.125</v>
      </c>
      <c r="AI184" s="246">
        <v>0</v>
      </c>
      <c r="AJ184" s="241">
        <v>0.29166666666666669</v>
      </c>
      <c r="AK184" s="241">
        <v>0.83333333333333337</v>
      </c>
      <c r="AL184" s="246">
        <v>1</v>
      </c>
      <c r="AM184" s="242">
        <v>0.375</v>
      </c>
    </row>
    <row r="185" spans="1:39" x14ac:dyDescent="0.2">
      <c r="A185" s="250" t="s">
        <v>236</v>
      </c>
      <c r="B185" s="262"/>
      <c r="C185" s="272" t="s">
        <v>352</v>
      </c>
      <c r="D185" s="252" t="s">
        <v>242</v>
      </c>
      <c r="E185" s="240">
        <v>0.52083333333333337</v>
      </c>
      <c r="F185" s="241">
        <v>0.77083333333333337</v>
      </c>
      <c r="G185" s="241">
        <v>0.8125</v>
      </c>
      <c r="H185" s="240">
        <v>0.9375</v>
      </c>
      <c r="I185" s="242">
        <f t="shared" si="45"/>
        <v>0.375</v>
      </c>
      <c r="J185" s="246">
        <v>0.875</v>
      </c>
      <c r="K185" s="241"/>
      <c r="L185" s="241"/>
      <c r="M185" s="246">
        <v>1</v>
      </c>
      <c r="N185" s="242">
        <f t="shared" si="49"/>
        <v>0.125</v>
      </c>
      <c r="O185" s="246">
        <v>0.83333333333333337</v>
      </c>
      <c r="P185" s="241">
        <v>0.29166666666666669</v>
      </c>
      <c r="Q185" s="241">
        <v>0.83333333333333337</v>
      </c>
      <c r="R185" s="246">
        <v>1</v>
      </c>
      <c r="S185" s="242">
        <v>0.375</v>
      </c>
      <c r="T185" s="246">
        <v>0</v>
      </c>
      <c r="U185" s="241">
        <v>0.125</v>
      </c>
      <c r="V185" s="241">
        <v>0.20833333333333334</v>
      </c>
      <c r="W185" s="246">
        <v>0.29166666666666669</v>
      </c>
      <c r="X185" s="242">
        <f t="shared" si="46"/>
        <v>0.20833333333333334</v>
      </c>
      <c r="Y185" s="244" t="s">
        <v>178</v>
      </c>
      <c r="Z185" s="241" t="s">
        <v>178</v>
      </c>
      <c r="AA185" s="241" t="s">
        <v>178</v>
      </c>
      <c r="AB185" s="244" t="s">
        <v>178</v>
      </c>
      <c r="AC185" s="242" t="str">
        <f t="shared" si="47"/>
        <v/>
      </c>
      <c r="AD185" s="240">
        <v>0.375</v>
      </c>
      <c r="AE185" s="241">
        <v>0.58333333333333337</v>
      </c>
      <c r="AF185" s="241">
        <v>0.66666666666666663</v>
      </c>
      <c r="AG185" s="240">
        <v>0.8125</v>
      </c>
      <c r="AH185" s="242">
        <f t="shared" si="44"/>
        <v>0.35416666666666674</v>
      </c>
      <c r="AI185" s="240">
        <v>0.54166666666666663</v>
      </c>
      <c r="AJ185" s="241">
        <v>0.72916666666666663</v>
      </c>
      <c r="AK185" s="241">
        <v>0.77083333333333337</v>
      </c>
      <c r="AL185" s="240">
        <v>0.9375</v>
      </c>
      <c r="AM185" s="242">
        <f t="shared" ref="AM185:AM190" si="50">IFERROR(MOD(AL185-AI185,1)-MOD(AK185-AJ185,1),"")</f>
        <v>0.35416666666666663</v>
      </c>
    </row>
    <row r="186" spans="1:39" x14ac:dyDescent="0.2">
      <c r="A186" s="250" t="s">
        <v>237</v>
      </c>
      <c r="B186" s="262"/>
      <c r="C186" s="272" t="s">
        <v>352</v>
      </c>
      <c r="D186" s="252" t="s">
        <v>242</v>
      </c>
      <c r="E186" s="244" t="s">
        <v>178</v>
      </c>
      <c r="F186" s="241" t="s">
        <v>178</v>
      </c>
      <c r="G186" s="241" t="s">
        <v>178</v>
      </c>
      <c r="H186" s="244" t="s">
        <v>178</v>
      </c>
      <c r="I186" s="242" t="str">
        <f t="shared" si="45"/>
        <v/>
      </c>
      <c r="J186" s="240">
        <v>0.27083333333333331</v>
      </c>
      <c r="K186" s="241">
        <v>0.54166666666666663</v>
      </c>
      <c r="L186" s="241">
        <v>0.625</v>
      </c>
      <c r="M186" s="240">
        <v>0.6875</v>
      </c>
      <c r="N186" s="242">
        <f t="shared" si="49"/>
        <v>0.33333333333333331</v>
      </c>
      <c r="O186" s="240">
        <v>0.54166666666666663</v>
      </c>
      <c r="P186" s="241">
        <v>0.66666666666666663</v>
      </c>
      <c r="Q186" s="241">
        <v>0.70833333333333337</v>
      </c>
      <c r="R186" s="240">
        <v>0.9375</v>
      </c>
      <c r="S186" s="242">
        <f>IFERROR(MOD(R186-O186,1)-MOD(Q186-P186,1),"")</f>
        <v>0.35416666666666663</v>
      </c>
      <c r="T186" s="240">
        <v>0.52083333333333337</v>
      </c>
      <c r="U186" s="241">
        <v>0.75</v>
      </c>
      <c r="V186" s="241">
        <v>0.79166666666666663</v>
      </c>
      <c r="W186" s="240">
        <v>0.9375</v>
      </c>
      <c r="X186" s="242">
        <f t="shared" si="46"/>
        <v>0.375</v>
      </c>
      <c r="Y186" s="240">
        <v>0.52083333333333337</v>
      </c>
      <c r="Z186" s="241">
        <v>0.75</v>
      </c>
      <c r="AA186" s="241">
        <v>0.79166666666666663</v>
      </c>
      <c r="AB186" s="240">
        <v>0.9375</v>
      </c>
      <c r="AC186" s="242">
        <f t="shared" si="47"/>
        <v>0.375</v>
      </c>
      <c r="AD186" s="244" t="s">
        <v>178</v>
      </c>
      <c r="AE186" s="241" t="s">
        <v>178</v>
      </c>
      <c r="AF186" s="241" t="s">
        <v>178</v>
      </c>
      <c r="AG186" s="244" t="s">
        <v>178</v>
      </c>
      <c r="AH186" s="242" t="str">
        <f t="shared" si="44"/>
        <v/>
      </c>
      <c r="AI186" s="240">
        <v>0.29166666666666669</v>
      </c>
      <c r="AJ186" s="241">
        <v>0.5</v>
      </c>
      <c r="AK186" s="241">
        <v>0.58333333333333337</v>
      </c>
      <c r="AL186" s="240">
        <v>0.70833333333333337</v>
      </c>
      <c r="AM186" s="242">
        <f t="shared" si="50"/>
        <v>0.33333333333333331</v>
      </c>
    </row>
    <row r="187" spans="1:39" x14ac:dyDescent="0.2">
      <c r="A187" s="250" t="s">
        <v>238</v>
      </c>
      <c r="B187" s="262"/>
      <c r="C187" s="272" t="s">
        <v>352</v>
      </c>
      <c r="D187" s="252" t="s">
        <v>242</v>
      </c>
      <c r="E187" s="244" t="s">
        <v>178</v>
      </c>
      <c r="F187" s="241" t="s">
        <v>178</v>
      </c>
      <c r="G187" s="241" t="s">
        <v>178</v>
      </c>
      <c r="H187" s="244" t="s">
        <v>178</v>
      </c>
      <c r="I187" s="242" t="str">
        <f t="shared" si="45"/>
        <v/>
      </c>
      <c r="J187" s="244" t="s">
        <v>178</v>
      </c>
      <c r="K187" s="241" t="s">
        <v>178</v>
      </c>
      <c r="L187" s="241" t="s">
        <v>178</v>
      </c>
      <c r="M187" s="244" t="s">
        <v>178</v>
      </c>
      <c r="N187" s="242" t="str">
        <f t="shared" si="49"/>
        <v/>
      </c>
      <c r="O187" s="240">
        <v>0.29166666666666669</v>
      </c>
      <c r="P187" s="241">
        <v>0.54166666666666663</v>
      </c>
      <c r="Q187" s="241">
        <v>0.625</v>
      </c>
      <c r="R187" s="240">
        <v>0.70833333333333337</v>
      </c>
      <c r="S187" s="242">
        <f>IFERROR(MOD(R187-O187,1)-MOD(Q187-P187,1),"")</f>
        <v>0.33333333333333331</v>
      </c>
      <c r="T187" s="240">
        <v>0.33333333333333331</v>
      </c>
      <c r="U187" s="241">
        <v>0.58333333333333337</v>
      </c>
      <c r="V187" s="241">
        <v>0.625</v>
      </c>
      <c r="W187" s="240">
        <v>0.75</v>
      </c>
      <c r="X187" s="242">
        <f t="shared" si="46"/>
        <v>0.37500000000000006</v>
      </c>
      <c r="Y187" s="240">
        <v>0.41666666666666669</v>
      </c>
      <c r="Z187" s="241">
        <v>0.66666666666666663</v>
      </c>
      <c r="AA187" s="241">
        <v>0.75</v>
      </c>
      <c r="AB187" s="240">
        <v>0.83333333333333337</v>
      </c>
      <c r="AC187" s="242">
        <f t="shared" si="47"/>
        <v>0.33333333333333331</v>
      </c>
      <c r="AD187" s="240">
        <v>0.54166666666666663</v>
      </c>
      <c r="AE187" s="241">
        <v>0.75</v>
      </c>
      <c r="AF187" s="241">
        <v>0.79166666666666663</v>
      </c>
      <c r="AG187" s="240">
        <v>0.9375</v>
      </c>
      <c r="AH187" s="242">
        <f t="shared" si="44"/>
        <v>0.35416666666666674</v>
      </c>
      <c r="AI187" s="240">
        <v>0.5</v>
      </c>
      <c r="AJ187" s="241">
        <v>0.70833333333333337</v>
      </c>
      <c r="AK187" s="241">
        <v>0.75</v>
      </c>
      <c r="AL187" s="240">
        <v>0.89583333333333337</v>
      </c>
      <c r="AM187" s="242">
        <f t="shared" si="50"/>
        <v>0.35416666666666674</v>
      </c>
    </row>
    <row r="188" spans="1:39" x14ac:dyDescent="0.2">
      <c r="A188" s="250" t="s">
        <v>239</v>
      </c>
      <c r="B188" s="262"/>
      <c r="C188" s="272" t="s">
        <v>352</v>
      </c>
      <c r="D188" s="252" t="s">
        <v>242</v>
      </c>
      <c r="E188" s="244" t="s">
        <v>178</v>
      </c>
      <c r="F188" s="241" t="s">
        <v>178</v>
      </c>
      <c r="G188" s="241" t="s">
        <v>178</v>
      </c>
      <c r="H188" s="244" t="s">
        <v>178</v>
      </c>
      <c r="I188" s="242" t="str">
        <f t="shared" si="45"/>
        <v/>
      </c>
      <c r="J188" s="240">
        <v>0.54166666666666663</v>
      </c>
      <c r="K188" s="241">
        <v>0.77083333333333337</v>
      </c>
      <c r="L188" s="241">
        <v>0.8125</v>
      </c>
      <c r="M188" s="240">
        <v>0.9375</v>
      </c>
      <c r="N188" s="242">
        <f t="shared" si="49"/>
        <v>0.35416666666666674</v>
      </c>
      <c r="O188" s="240">
        <v>0.45833333333333331</v>
      </c>
      <c r="P188" s="241">
        <v>0.625</v>
      </c>
      <c r="Q188" s="241">
        <v>0.66666666666666663</v>
      </c>
      <c r="R188" s="240">
        <v>0.875</v>
      </c>
      <c r="S188" s="242">
        <f>IFERROR(MOD(R188-O188,1)-MOD(Q188-P188,1),"")</f>
        <v>0.37500000000000006</v>
      </c>
      <c r="T188" s="240">
        <v>0.52083333333333337</v>
      </c>
      <c r="U188" s="241">
        <v>0.77083333333333337</v>
      </c>
      <c r="V188" s="241">
        <v>0.8125</v>
      </c>
      <c r="W188" s="240">
        <v>0.9375</v>
      </c>
      <c r="X188" s="242">
        <f t="shared" si="46"/>
        <v>0.375</v>
      </c>
      <c r="Y188" s="240">
        <v>0.45833333333333331</v>
      </c>
      <c r="Z188" s="241">
        <v>0.72916666666666663</v>
      </c>
      <c r="AA188" s="241">
        <v>0.77083333333333337</v>
      </c>
      <c r="AB188" s="240">
        <v>0.875</v>
      </c>
      <c r="AC188" s="242">
        <f t="shared" si="47"/>
        <v>0.37499999999999994</v>
      </c>
      <c r="AD188" s="244" t="s">
        <v>178</v>
      </c>
      <c r="AE188" s="241" t="s">
        <v>178</v>
      </c>
      <c r="AF188" s="241" t="s">
        <v>178</v>
      </c>
      <c r="AG188" s="244" t="s">
        <v>178</v>
      </c>
      <c r="AH188" s="242" t="str">
        <f t="shared" si="44"/>
        <v/>
      </c>
      <c r="AI188" s="240">
        <v>0.375</v>
      </c>
      <c r="AJ188" s="241">
        <v>0.64583333333333337</v>
      </c>
      <c r="AK188" s="241">
        <v>0.72916666666666663</v>
      </c>
      <c r="AL188" s="240">
        <v>0.79166666666666663</v>
      </c>
      <c r="AM188" s="242">
        <f t="shared" si="50"/>
        <v>0.33333333333333337</v>
      </c>
    </row>
    <row r="189" spans="1:39" x14ac:dyDescent="0.2">
      <c r="A189" s="250" t="s">
        <v>240</v>
      </c>
      <c r="B189" s="262"/>
      <c r="C189" s="272" t="s">
        <v>352</v>
      </c>
      <c r="D189" s="252" t="s">
        <v>242</v>
      </c>
      <c r="E189" s="244" t="s">
        <v>178</v>
      </c>
      <c r="F189" s="241" t="s">
        <v>178</v>
      </c>
      <c r="G189" s="241" t="s">
        <v>178</v>
      </c>
      <c r="H189" s="244" t="s">
        <v>178</v>
      </c>
      <c r="I189" s="242" t="str">
        <f t="shared" si="45"/>
        <v/>
      </c>
      <c r="J189" s="244" t="s">
        <v>178</v>
      </c>
      <c r="K189" s="241" t="s">
        <v>178</v>
      </c>
      <c r="L189" s="241" t="s">
        <v>178</v>
      </c>
      <c r="M189" s="244" t="s">
        <v>178</v>
      </c>
      <c r="N189" s="242" t="str">
        <f t="shared" si="49"/>
        <v/>
      </c>
      <c r="O189" s="240">
        <v>0.29166666666666669</v>
      </c>
      <c r="P189" s="241">
        <v>0.45833333333333331</v>
      </c>
      <c r="Q189" s="241">
        <v>0.54166666666666663</v>
      </c>
      <c r="R189" s="240">
        <v>0.70833333333333337</v>
      </c>
      <c r="S189" s="242">
        <f>IFERROR(MOD(R189-O189,1)-MOD(Q189-P189,1),"")</f>
        <v>0.33333333333333337</v>
      </c>
      <c r="T189" s="240">
        <v>0.29166666666666669</v>
      </c>
      <c r="U189" s="241">
        <v>0.54166666666666663</v>
      </c>
      <c r="V189" s="241">
        <v>0.58333333333333337</v>
      </c>
      <c r="W189" s="240">
        <v>0.66666666666666663</v>
      </c>
      <c r="X189" s="242">
        <f t="shared" si="46"/>
        <v>0.3333333333333332</v>
      </c>
      <c r="Y189" s="240">
        <v>0.29166666666666669</v>
      </c>
      <c r="Z189" s="241">
        <v>0.54166666666666663</v>
      </c>
      <c r="AA189" s="241">
        <v>0.58333333333333337</v>
      </c>
      <c r="AB189" s="240">
        <v>0.66666666666666663</v>
      </c>
      <c r="AC189" s="242">
        <f t="shared" si="47"/>
        <v>0.3333333333333332</v>
      </c>
      <c r="AD189" s="240">
        <v>0.5</v>
      </c>
      <c r="AE189" s="241">
        <v>0.625</v>
      </c>
      <c r="AF189" s="241">
        <v>0.66666666666666663</v>
      </c>
      <c r="AG189" s="240">
        <v>0.91666666666666663</v>
      </c>
      <c r="AH189" s="242">
        <f t="shared" si="44"/>
        <v>0.375</v>
      </c>
      <c r="AI189" s="240">
        <v>0.54166666666666663</v>
      </c>
      <c r="AJ189" s="241">
        <v>0.70833333333333337</v>
      </c>
      <c r="AK189" s="241">
        <v>0.75</v>
      </c>
      <c r="AL189" s="240">
        <v>0.9375</v>
      </c>
      <c r="AM189" s="242">
        <f t="shared" si="50"/>
        <v>0.35416666666666674</v>
      </c>
    </row>
    <row r="190" spans="1:39" x14ac:dyDescent="0.2">
      <c r="A190" s="250" t="s">
        <v>241</v>
      </c>
      <c r="B190" s="262" t="s">
        <v>350</v>
      </c>
      <c r="C190" s="272" t="s">
        <v>352</v>
      </c>
      <c r="D190" s="252" t="s">
        <v>242</v>
      </c>
      <c r="E190" s="240">
        <v>0.33333333333333331</v>
      </c>
      <c r="F190" s="241">
        <v>0.54166666666666663</v>
      </c>
      <c r="G190" s="241">
        <v>0.58333333333333337</v>
      </c>
      <c r="H190" s="240">
        <v>0.75</v>
      </c>
      <c r="I190" s="242">
        <f t="shared" si="45"/>
        <v>0.37499999999999994</v>
      </c>
      <c r="J190" s="240">
        <v>0.375</v>
      </c>
      <c r="K190" s="241">
        <v>0.58333333333333337</v>
      </c>
      <c r="L190" s="241">
        <v>0.66666666666666663</v>
      </c>
      <c r="M190" s="240">
        <v>0.79166666666666663</v>
      </c>
      <c r="N190" s="242">
        <f t="shared" si="49"/>
        <v>0.33333333333333337</v>
      </c>
      <c r="O190" s="240">
        <v>0.54166666666666663</v>
      </c>
      <c r="P190" s="241">
        <v>0.75</v>
      </c>
      <c r="Q190" s="241">
        <v>0.83333333333333337</v>
      </c>
      <c r="R190" s="240">
        <v>1</v>
      </c>
      <c r="S190" s="242">
        <f>IFERROR(MOD(R190-O190,1)-MOD(Q190-P190,1),"")</f>
        <v>0.375</v>
      </c>
      <c r="T190" s="244" t="s">
        <v>178</v>
      </c>
      <c r="U190" s="241" t="s">
        <v>178</v>
      </c>
      <c r="V190" s="241" t="s">
        <v>178</v>
      </c>
      <c r="W190" s="244" t="s">
        <v>178</v>
      </c>
      <c r="X190" s="242" t="str">
        <f t="shared" si="46"/>
        <v/>
      </c>
      <c r="Y190" s="244" t="s">
        <v>178</v>
      </c>
      <c r="Z190" s="241" t="s">
        <v>178</v>
      </c>
      <c r="AA190" s="241" t="s">
        <v>178</v>
      </c>
      <c r="AB190" s="244" t="s">
        <v>178</v>
      </c>
      <c r="AC190" s="242" t="str">
        <f t="shared" si="47"/>
        <v/>
      </c>
      <c r="AD190" s="240">
        <v>0.33333333333333331</v>
      </c>
      <c r="AE190" s="241">
        <v>0.58333333333333337</v>
      </c>
      <c r="AF190" s="241">
        <v>0.66666666666666663</v>
      </c>
      <c r="AG190" s="240">
        <v>0.75</v>
      </c>
      <c r="AH190" s="242">
        <f t="shared" si="44"/>
        <v>0.33333333333333343</v>
      </c>
      <c r="AI190" s="240">
        <v>0.33333333333333331</v>
      </c>
      <c r="AJ190" s="241">
        <v>0.58333333333333337</v>
      </c>
      <c r="AK190" s="241">
        <v>0.66666666666666663</v>
      </c>
      <c r="AL190" s="240">
        <v>0.75</v>
      </c>
      <c r="AM190" s="242">
        <f t="shared" si="50"/>
        <v>0.33333333333333343</v>
      </c>
    </row>
  </sheetData>
  <autoFilter ref="A3:AM184" xr:uid="{2428D476-2882-4DEA-80EC-703AD4EB77D1}">
    <sortState xmlns:xlrd2="http://schemas.microsoft.com/office/spreadsheetml/2017/richdata2" ref="A4:AM184">
      <sortCondition ref="D3:D152"/>
    </sortState>
  </autoFilter>
  <mergeCells count="7">
    <mergeCell ref="AI1:AM1"/>
    <mergeCell ref="E1:I1"/>
    <mergeCell ref="J1:N1"/>
    <mergeCell ref="O1:S1"/>
    <mergeCell ref="T1:X1"/>
    <mergeCell ref="Y1:AC1"/>
    <mergeCell ref="AD1:AH1"/>
  </mergeCells>
  <conditionalFormatting sqref="I4:I9 I39:I43 I45:I63 I69:I71 I73:I82 I65:I67 I96:I117 I86:I94 I12:I36">
    <cfRule type="cellIs" dxfId="1435" priority="1385" operator="lessThan">
      <formula>0.333333333333333</formula>
    </cfRule>
    <cfRule type="cellIs" dxfId="1434" priority="1386" operator="greaterThan">
      <formula>0.333333333333333</formula>
    </cfRule>
  </conditionalFormatting>
  <conditionalFormatting sqref="N105:N117">
    <cfRule type="cellIs" dxfId="1433" priority="1383" operator="lessThan">
      <formula>0.333333333333333</formula>
    </cfRule>
    <cfRule type="cellIs" dxfId="1432" priority="1384" operator="greaterThan">
      <formula>0.333333333333333</formula>
    </cfRule>
  </conditionalFormatting>
  <conditionalFormatting sqref="S109:S117">
    <cfRule type="cellIs" dxfId="1431" priority="1381" operator="lessThan">
      <formula>0.333333333333333</formula>
    </cfRule>
    <cfRule type="cellIs" dxfId="1430" priority="1382" operator="greaterThan">
      <formula>0.333333333333333</formula>
    </cfRule>
  </conditionalFormatting>
  <conditionalFormatting sqref="B97:B117">
    <cfRule type="cellIs" dxfId="1429" priority="1380" operator="greaterThan">
      <formula>0</formula>
    </cfRule>
  </conditionalFormatting>
  <conditionalFormatting sqref="B4:B96">
    <cfRule type="cellIs" dxfId="1428" priority="1379" operator="greaterThan">
      <formula>0</formula>
    </cfRule>
  </conditionalFormatting>
  <conditionalFormatting sqref="N4:N6 N20:N37 N57:N70 N72:N80 N54:N55 N101:N104 N90:N96 N84:N88 N82 N39:N52 N8:N18">
    <cfRule type="cellIs" dxfId="1427" priority="1377" operator="lessThan">
      <formula>0.333333333333333</formula>
    </cfRule>
    <cfRule type="cellIs" dxfId="1426" priority="1378" operator="greaterThan">
      <formula>0.333333333333333</formula>
    </cfRule>
  </conditionalFormatting>
  <conditionalFormatting sqref="S5:S6 S54:S58 S8:S21 S65 S23:S52 S67:S93 S60:S63 S95:S96">
    <cfRule type="cellIs" dxfId="1425" priority="1375" operator="lessThan">
      <formula>0.333333333333333</formula>
    </cfRule>
    <cfRule type="cellIs" dxfId="1424" priority="1376" operator="greaterThan">
      <formula>0.333333333333333</formula>
    </cfRule>
  </conditionalFormatting>
  <conditionalFormatting sqref="X5:X6 X8 X10:X13 X60:X65 X17:X21 X26:X36 X97:X100 X95 X86:X93 X83:X84 X57:X58 X71:X81 X23:X24 X67:X69 X39:X55">
    <cfRule type="cellIs" dxfId="1423" priority="1373" operator="lessThan">
      <formula>0.333333333333333</formula>
    </cfRule>
    <cfRule type="cellIs" dxfId="1422" priority="1374" operator="greaterThan">
      <formula>0.333333333333333</formula>
    </cfRule>
  </conditionalFormatting>
  <conditionalFormatting sqref="AC4:AC13 AC72:AC81 AC15:AC24 AC26:AC55 AC93:AC104 AC60:AC67 AC69 AC57 AC83:AC91">
    <cfRule type="cellIs" dxfId="1421" priority="1371" operator="lessThan">
      <formula>0.333333333333333</formula>
    </cfRule>
    <cfRule type="cellIs" dxfId="1420" priority="1372" operator="greaterThan">
      <formula>0.333333333333333</formula>
    </cfRule>
  </conditionalFormatting>
  <conditionalFormatting sqref="AH4:AH13 AH86:AH90 AH32:AH37 AH16:AH21 AH57 AH48:AH54 AH79:AH81 AH60:AH65 AH29:AH30 AH93 AH26:AH27 AH69 AH95 AH71:AH76 AH67 AH39:AH46">
    <cfRule type="cellIs" dxfId="1419" priority="1369" operator="lessThan">
      <formula>0.333333333333333</formula>
    </cfRule>
    <cfRule type="cellIs" dxfId="1418" priority="1370" operator="greaterThan">
      <formula>0.333333333333333</formula>
    </cfRule>
  </conditionalFormatting>
  <conditionalFormatting sqref="AM57:AM58 AM4:AM13 AM86:AM88 AM90 AM48:AM49 AM79:AM80 AM60:AM65 AM29:AM37 AM76 AM51:AM54 AM93 AM16:AM21 AM26:AM27 AM69 AM97:AM117 AM39:AM46 AM67 AM71:AM74">
    <cfRule type="cellIs" dxfId="1417" priority="1367" operator="lessThan">
      <formula>0.333333333333333</formula>
    </cfRule>
    <cfRule type="cellIs" dxfId="1416" priority="1368" operator="greaterThan">
      <formula>0.333333333333333</formula>
    </cfRule>
  </conditionalFormatting>
  <conditionalFormatting sqref="I83">
    <cfRule type="cellIs" dxfId="1415" priority="1365" operator="lessThan">
      <formula>0.333333333333333</formula>
    </cfRule>
    <cfRule type="cellIs" dxfId="1414" priority="1366" operator="greaterThan">
      <formula>0.333333333333333</formula>
    </cfRule>
  </conditionalFormatting>
  <conditionalFormatting sqref="X37">
    <cfRule type="cellIs" dxfId="1413" priority="1363" operator="lessThan">
      <formula>0.333333333333333</formula>
    </cfRule>
    <cfRule type="cellIs" dxfId="1412" priority="1364" operator="greaterThan">
      <formula>0.333333333333333</formula>
    </cfRule>
  </conditionalFormatting>
  <conditionalFormatting sqref="I37:I38">
    <cfRule type="cellIs" dxfId="1411" priority="1361" operator="lessThan">
      <formula>0.333333333333333</formula>
    </cfRule>
    <cfRule type="cellIs" dxfId="1410" priority="1362" operator="greaterThan">
      <formula>0.333333333333333</formula>
    </cfRule>
  </conditionalFormatting>
  <conditionalFormatting sqref="N50">
    <cfRule type="cellIs" dxfId="1409" priority="1359" operator="lessThan">
      <formula>0.333333333333333</formula>
    </cfRule>
    <cfRule type="cellIs" dxfId="1408" priority="1360" operator="greaterThan">
      <formula>0.333333333333333</formula>
    </cfRule>
  </conditionalFormatting>
  <conditionalFormatting sqref="S50">
    <cfRule type="cellIs" dxfId="1407" priority="1357" operator="lessThan">
      <formula>0.333333333333333</formula>
    </cfRule>
    <cfRule type="cellIs" dxfId="1406" priority="1358" operator="greaterThan">
      <formula>0.333333333333333</formula>
    </cfRule>
  </conditionalFormatting>
  <conditionalFormatting sqref="X50">
    <cfRule type="cellIs" dxfId="1405" priority="1355" operator="lessThan">
      <formula>0.333333333333333</formula>
    </cfRule>
    <cfRule type="cellIs" dxfId="1404" priority="1356" operator="greaterThan">
      <formula>0.333333333333333</formula>
    </cfRule>
  </conditionalFormatting>
  <conditionalFormatting sqref="AC50">
    <cfRule type="cellIs" dxfId="1403" priority="1353" operator="lessThan">
      <formula>0.333333333333333</formula>
    </cfRule>
    <cfRule type="cellIs" dxfId="1402" priority="1354" operator="greaterThan">
      <formula>0.333333333333333</formula>
    </cfRule>
  </conditionalFormatting>
  <conditionalFormatting sqref="AC92">
    <cfRule type="cellIs" dxfId="1401" priority="1351" operator="lessThan">
      <formula>0.333333333333333</formula>
    </cfRule>
    <cfRule type="cellIs" dxfId="1400" priority="1352" operator="greaterThan">
      <formula>0.333333333333333</formula>
    </cfRule>
  </conditionalFormatting>
  <conditionalFormatting sqref="AC7">
    <cfRule type="cellIs" dxfId="1399" priority="1349" operator="lessThan">
      <formula>0.333333333333333</formula>
    </cfRule>
    <cfRule type="cellIs" dxfId="1398" priority="1350" operator="greaterThan">
      <formula>0.333333333333333</formula>
    </cfRule>
  </conditionalFormatting>
  <conditionalFormatting sqref="AH7">
    <cfRule type="cellIs" dxfId="1397" priority="1347" operator="lessThan">
      <formula>0.333333333333333</formula>
    </cfRule>
    <cfRule type="cellIs" dxfId="1396" priority="1348" operator="greaterThan">
      <formula>0.333333333333333</formula>
    </cfRule>
  </conditionalFormatting>
  <conditionalFormatting sqref="AC8">
    <cfRule type="cellIs" dxfId="1395" priority="1345" operator="lessThan">
      <formula>0.333333333333333</formula>
    </cfRule>
    <cfRule type="cellIs" dxfId="1394" priority="1346" operator="greaterThan">
      <formula>0.333333333333333</formula>
    </cfRule>
  </conditionalFormatting>
  <conditionalFormatting sqref="AH8">
    <cfRule type="cellIs" dxfId="1393" priority="1343" operator="lessThan">
      <formula>0.333333333333333</formula>
    </cfRule>
    <cfRule type="cellIs" dxfId="1392" priority="1344" operator="greaterThan">
      <formula>0.333333333333333</formula>
    </cfRule>
  </conditionalFormatting>
  <conditionalFormatting sqref="X10">
    <cfRule type="cellIs" dxfId="1391" priority="1341" operator="lessThan">
      <formula>0.333333333333333</formula>
    </cfRule>
    <cfRule type="cellIs" dxfId="1390" priority="1342" operator="greaterThan">
      <formula>0.333333333333333</formula>
    </cfRule>
  </conditionalFormatting>
  <conditionalFormatting sqref="AC10">
    <cfRule type="cellIs" dxfId="1389" priority="1339" operator="lessThan">
      <formula>0.333333333333333</formula>
    </cfRule>
    <cfRule type="cellIs" dxfId="1388" priority="1340" operator="greaterThan">
      <formula>0.333333333333333</formula>
    </cfRule>
  </conditionalFormatting>
  <conditionalFormatting sqref="X17">
    <cfRule type="cellIs" dxfId="1387" priority="1337" operator="lessThan">
      <formula>0.333333333333333</formula>
    </cfRule>
    <cfRule type="cellIs" dxfId="1386" priority="1338" operator="greaterThan">
      <formula>0.333333333333333</formula>
    </cfRule>
  </conditionalFormatting>
  <conditionalFormatting sqref="AC17">
    <cfRule type="cellIs" dxfId="1385" priority="1335" operator="lessThan">
      <formula>0.333333333333333</formula>
    </cfRule>
    <cfRule type="cellIs" dxfId="1384" priority="1336" operator="greaterThan">
      <formula>0.333333333333333</formula>
    </cfRule>
  </conditionalFormatting>
  <conditionalFormatting sqref="S18">
    <cfRule type="cellIs" dxfId="1383" priority="1333" operator="lessThan">
      <formula>0.333333333333333</formula>
    </cfRule>
    <cfRule type="cellIs" dxfId="1382" priority="1334" operator="greaterThan">
      <formula>0.333333333333333</formula>
    </cfRule>
  </conditionalFormatting>
  <conditionalFormatting sqref="X18">
    <cfRule type="cellIs" dxfId="1381" priority="1331" operator="lessThan">
      <formula>0.333333333333333</formula>
    </cfRule>
    <cfRule type="cellIs" dxfId="1380" priority="1332" operator="greaterThan">
      <formula>0.333333333333333</formula>
    </cfRule>
  </conditionalFormatting>
  <conditionalFormatting sqref="AC18">
    <cfRule type="cellIs" dxfId="1379" priority="1329" operator="lessThan">
      <formula>0.333333333333333</formula>
    </cfRule>
    <cfRule type="cellIs" dxfId="1378" priority="1330" operator="greaterThan">
      <formula>0.333333333333333</formula>
    </cfRule>
  </conditionalFormatting>
  <conditionalFormatting sqref="AH18">
    <cfRule type="cellIs" dxfId="1377" priority="1327" operator="lessThan">
      <formula>0.333333333333333</formula>
    </cfRule>
    <cfRule type="cellIs" dxfId="1376" priority="1328" operator="greaterThan">
      <formula>0.333333333333333</formula>
    </cfRule>
  </conditionalFormatting>
  <conditionalFormatting sqref="S19">
    <cfRule type="cellIs" dxfId="1375" priority="1325" operator="lessThan">
      <formula>0.333333333333333</formula>
    </cfRule>
    <cfRule type="cellIs" dxfId="1374" priority="1326" operator="greaterThan">
      <formula>0.333333333333333</formula>
    </cfRule>
  </conditionalFormatting>
  <conditionalFormatting sqref="X19">
    <cfRule type="cellIs" dxfId="1373" priority="1323" operator="lessThan">
      <formula>0.333333333333333</formula>
    </cfRule>
    <cfRule type="cellIs" dxfId="1372" priority="1324" operator="greaterThan">
      <formula>0.333333333333333</formula>
    </cfRule>
  </conditionalFormatting>
  <conditionalFormatting sqref="AC19">
    <cfRule type="cellIs" dxfId="1371" priority="1321" operator="lessThan">
      <formula>0.333333333333333</formula>
    </cfRule>
    <cfRule type="cellIs" dxfId="1370" priority="1322" operator="greaterThan">
      <formula>0.333333333333333</formula>
    </cfRule>
  </conditionalFormatting>
  <conditionalFormatting sqref="N19">
    <cfRule type="cellIs" dxfId="1369" priority="1319" operator="lessThan">
      <formula>0.333333333333333</formula>
    </cfRule>
    <cfRule type="cellIs" dxfId="1368" priority="1320" operator="greaterThan">
      <formula>0.333333333333333</formula>
    </cfRule>
  </conditionalFormatting>
  <conditionalFormatting sqref="N31">
    <cfRule type="cellIs" dxfId="1367" priority="1317" operator="lessThan">
      <formula>0.333333333333333</formula>
    </cfRule>
    <cfRule type="cellIs" dxfId="1366" priority="1318" operator="greaterThan">
      <formula>0.333333333333333</formula>
    </cfRule>
  </conditionalFormatting>
  <conditionalFormatting sqref="S31">
    <cfRule type="cellIs" dxfId="1365" priority="1315" operator="lessThan">
      <formula>0.333333333333333</formula>
    </cfRule>
    <cfRule type="cellIs" dxfId="1364" priority="1316" operator="greaterThan">
      <formula>0.333333333333333</formula>
    </cfRule>
  </conditionalFormatting>
  <conditionalFormatting sqref="X31">
    <cfRule type="cellIs" dxfId="1363" priority="1313" operator="lessThan">
      <formula>0.333333333333333</formula>
    </cfRule>
    <cfRule type="cellIs" dxfId="1362" priority="1314" operator="greaterThan">
      <formula>0.333333333333333</formula>
    </cfRule>
  </conditionalFormatting>
  <conditionalFormatting sqref="X31">
    <cfRule type="cellIs" dxfId="1361" priority="1311" operator="lessThan">
      <formula>0.333333333333333</formula>
    </cfRule>
    <cfRule type="cellIs" dxfId="1360" priority="1312" operator="greaterThan">
      <formula>0.333333333333333</formula>
    </cfRule>
  </conditionalFormatting>
  <conditionalFormatting sqref="AC31">
    <cfRule type="cellIs" dxfId="1359" priority="1309" operator="lessThan">
      <formula>0.333333333333333</formula>
    </cfRule>
    <cfRule type="cellIs" dxfId="1358" priority="1310" operator="greaterThan">
      <formula>0.333333333333333</formula>
    </cfRule>
  </conditionalFormatting>
  <conditionalFormatting sqref="X31">
    <cfRule type="cellIs" dxfId="1357" priority="1307" operator="lessThan">
      <formula>0.333333333333333</formula>
    </cfRule>
    <cfRule type="cellIs" dxfId="1356" priority="1308" operator="greaterThan">
      <formula>0.333333333333333</formula>
    </cfRule>
  </conditionalFormatting>
  <conditionalFormatting sqref="AC31">
    <cfRule type="cellIs" dxfId="1355" priority="1305" operator="lessThan">
      <formula>0.333333333333333</formula>
    </cfRule>
    <cfRule type="cellIs" dxfId="1354" priority="1306" operator="greaterThan">
      <formula>0.333333333333333</formula>
    </cfRule>
  </conditionalFormatting>
  <conditionalFormatting sqref="AH31">
    <cfRule type="cellIs" dxfId="1353" priority="1303" operator="lessThan">
      <formula>0.333333333333333</formula>
    </cfRule>
    <cfRule type="cellIs" dxfId="1352" priority="1304" operator="greaterThan">
      <formula>0.333333333333333</formula>
    </cfRule>
  </conditionalFormatting>
  <conditionalFormatting sqref="AH31">
    <cfRule type="cellIs" dxfId="1351" priority="1301" operator="lessThan">
      <formula>0.333333333333333</formula>
    </cfRule>
    <cfRule type="cellIs" dxfId="1350" priority="1302" operator="greaterThan">
      <formula>0.333333333333333</formula>
    </cfRule>
  </conditionalFormatting>
  <conditionalFormatting sqref="AH31">
    <cfRule type="cellIs" dxfId="1349" priority="1299" operator="lessThan">
      <formula>0.333333333333333</formula>
    </cfRule>
    <cfRule type="cellIs" dxfId="1348" priority="1300" operator="greaterThan">
      <formula>0.333333333333333</formula>
    </cfRule>
  </conditionalFormatting>
  <conditionalFormatting sqref="X40">
    <cfRule type="cellIs" dxfId="1347" priority="1297" operator="lessThan">
      <formula>0.333333333333333</formula>
    </cfRule>
    <cfRule type="cellIs" dxfId="1346" priority="1298" operator="greaterThan">
      <formula>0.333333333333333</formula>
    </cfRule>
  </conditionalFormatting>
  <conditionalFormatting sqref="AC40">
    <cfRule type="cellIs" dxfId="1345" priority="1295" operator="lessThan">
      <formula>0.333333333333333</formula>
    </cfRule>
    <cfRule type="cellIs" dxfId="1344" priority="1296" operator="greaterThan">
      <formula>0.333333333333333</formula>
    </cfRule>
  </conditionalFormatting>
  <conditionalFormatting sqref="S52">
    <cfRule type="cellIs" dxfId="1343" priority="1293" operator="lessThan">
      <formula>0.333333333333333</formula>
    </cfRule>
    <cfRule type="cellIs" dxfId="1342" priority="1294" operator="greaterThan">
      <formula>0.333333333333333</formula>
    </cfRule>
  </conditionalFormatting>
  <conditionalFormatting sqref="X52">
    <cfRule type="cellIs" dxfId="1341" priority="1291" operator="lessThan">
      <formula>0.333333333333333</formula>
    </cfRule>
    <cfRule type="cellIs" dxfId="1340" priority="1292" operator="greaterThan">
      <formula>0.333333333333333</formula>
    </cfRule>
  </conditionalFormatting>
  <conditionalFormatting sqref="AC52">
    <cfRule type="cellIs" dxfId="1339" priority="1289" operator="lessThan">
      <formula>0.333333333333333</formula>
    </cfRule>
    <cfRule type="cellIs" dxfId="1338" priority="1290" operator="greaterThan">
      <formula>0.333333333333333</formula>
    </cfRule>
  </conditionalFormatting>
  <conditionalFormatting sqref="AH52">
    <cfRule type="cellIs" dxfId="1337" priority="1287" operator="lessThan">
      <formula>0.333333333333333</formula>
    </cfRule>
    <cfRule type="cellIs" dxfId="1336" priority="1288" operator="greaterThan">
      <formula>0.333333333333333</formula>
    </cfRule>
  </conditionalFormatting>
  <conditionalFormatting sqref="AM56">
    <cfRule type="cellIs" dxfId="1335" priority="1285" operator="lessThan">
      <formula>0.333333333333333</formula>
    </cfRule>
    <cfRule type="cellIs" dxfId="1334" priority="1286" operator="greaterThan">
      <formula>0.333333333333333</formula>
    </cfRule>
  </conditionalFormatting>
  <conditionalFormatting sqref="N56">
    <cfRule type="cellIs" dxfId="1333" priority="1283" operator="lessThan">
      <formula>0.333333333333333</formula>
    </cfRule>
    <cfRule type="cellIs" dxfId="1332" priority="1284" operator="greaterThan">
      <formula>0.333333333333333</formula>
    </cfRule>
  </conditionalFormatting>
  <conditionalFormatting sqref="AC71">
    <cfRule type="cellIs" dxfId="1331" priority="1281" operator="lessThan">
      <formula>0.333333333333333</formula>
    </cfRule>
    <cfRule type="cellIs" dxfId="1330" priority="1282" operator="greaterThan">
      <formula>0.333333333333333</formula>
    </cfRule>
  </conditionalFormatting>
  <conditionalFormatting sqref="N71">
    <cfRule type="cellIs" dxfId="1329" priority="1279" operator="lessThan">
      <formula>0.333333333333333</formula>
    </cfRule>
    <cfRule type="cellIs" dxfId="1328" priority="1280" operator="greaterThan">
      <formula>0.333333333333333</formula>
    </cfRule>
  </conditionalFormatting>
  <conditionalFormatting sqref="N79">
    <cfRule type="cellIs" dxfId="1327" priority="1277" operator="lessThan">
      <formula>0.333333333333333</formula>
    </cfRule>
    <cfRule type="cellIs" dxfId="1326" priority="1278" operator="greaterThan">
      <formula>0.333333333333333</formula>
    </cfRule>
  </conditionalFormatting>
  <conditionalFormatting sqref="S79">
    <cfRule type="cellIs" dxfId="1325" priority="1275" operator="lessThan">
      <formula>0.333333333333333</formula>
    </cfRule>
    <cfRule type="cellIs" dxfId="1324" priority="1276" operator="greaterThan">
      <formula>0.333333333333333</formula>
    </cfRule>
  </conditionalFormatting>
  <conditionalFormatting sqref="X79">
    <cfRule type="cellIs" dxfId="1323" priority="1273" operator="lessThan">
      <formula>0.333333333333333</formula>
    </cfRule>
    <cfRule type="cellIs" dxfId="1322" priority="1274" operator="greaterThan">
      <formula>0.333333333333333</formula>
    </cfRule>
  </conditionalFormatting>
  <conditionalFormatting sqref="AC79">
    <cfRule type="cellIs" dxfId="1321" priority="1271" operator="lessThan">
      <formula>0.333333333333333</formula>
    </cfRule>
    <cfRule type="cellIs" dxfId="1320" priority="1272" operator="greaterThan">
      <formula>0.333333333333333</formula>
    </cfRule>
  </conditionalFormatting>
  <conditionalFormatting sqref="X79">
    <cfRule type="cellIs" dxfId="1319" priority="1269" operator="lessThan">
      <formula>0.333333333333333</formula>
    </cfRule>
    <cfRule type="cellIs" dxfId="1318" priority="1270" operator="greaterThan">
      <formula>0.333333333333333</formula>
    </cfRule>
  </conditionalFormatting>
  <conditionalFormatting sqref="AC79">
    <cfRule type="cellIs" dxfId="1317" priority="1267" operator="lessThan">
      <formula>0.333333333333333</formula>
    </cfRule>
    <cfRule type="cellIs" dxfId="1316" priority="1268" operator="greaterThan">
      <formula>0.333333333333333</formula>
    </cfRule>
  </conditionalFormatting>
  <conditionalFormatting sqref="AH79">
    <cfRule type="cellIs" dxfId="1315" priority="1265" operator="lessThan">
      <formula>0.333333333333333</formula>
    </cfRule>
    <cfRule type="cellIs" dxfId="1314" priority="1266" operator="greaterThan">
      <formula>0.333333333333333</formula>
    </cfRule>
  </conditionalFormatting>
  <conditionalFormatting sqref="X79">
    <cfRule type="cellIs" dxfId="1313" priority="1263" operator="lessThan">
      <formula>0.333333333333333</formula>
    </cfRule>
    <cfRule type="cellIs" dxfId="1312" priority="1264" operator="greaterThan">
      <formula>0.333333333333333</formula>
    </cfRule>
  </conditionalFormatting>
  <conditionalFormatting sqref="AC79">
    <cfRule type="cellIs" dxfId="1311" priority="1261" operator="lessThan">
      <formula>0.333333333333333</formula>
    </cfRule>
    <cfRule type="cellIs" dxfId="1310" priority="1262" operator="greaterThan">
      <formula>0.333333333333333</formula>
    </cfRule>
  </conditionalFormatting>
  <conditionalFormatting sqref="AH79">
    <cfRule type="cellIs" dxfId="1309" priority="1259" operator="lessThan">
      <formula>0.333333333333333</formula>
    </cfRule>
    <cfRule type="cellIs" dxfId="1308" priority="1260" operator="greaterThan">
      <formula>0.333333333333333</formula>
    </cfRule>
  </conditionalFormatting>
  <conditionalFormatting sqref="N86">
    <cfRule type="cellIs" dxfId="1307" priority="1257" operator="lessThan">
      <formula>0.333333333333333</formula>
    </cfRule>
    <cfRule type="cellIs" dxfId="1306" priority="1258" operator="greaterThan">
      <formula>0.333333333333333</formula>
    </cfRule>
  </conditionalFormatting>
  <conditionalFormatting sqref="S86">
    <cfRule type="cellIs" dxfId="1305" priority="1255" operator="lessThan">
      <formula>0.333333333333333</formula>
    </cfRule>
    <cfRule type="cellIs" dxfId="1304" priority="1256" operator="greaterThan">
      <formula>0.333333333333333</formula>
    </cfRule>
  </conditionalFormatting>
  <conditionalFormatting sqref="X86">
    <cfRule type="cellIs" dxfId="1303" priority="1253" operator="lessThan">
      <formula>0.333333333333333</formula>
    </cfRule>
    <cfRule type="cellIs" dxfId="1302" priority="1254" operator="greaterThan">
      <formula>0.333333333333333</formula>
    </cfRule>
  </conditionalFormatting>
  <conditionalFormatting sqref="AC86">
    <cfRule type="cellIs" dxfId="1301" priority="1251" operator="lessThan">
      <formula>0.333333333333333</formula>
    </cfRule>
    <cfRule type="cellIs" dxfId="1300" priority="1252" operator="greaterThan">
      <formula>0.333333333333333</formula>
    </cfRule>
  </conditionalFormatting>
  <conditionalFormatting sqref="S90">
    <cfRule type="cellIs" dxfId="1299" priority="1249" operator="lessThan">
      <formula>0.333333333333333</formula>
    </cfRule>
    <cfRule type="cellIs" dxfId="1298" priority="1250" operator="greaterThan">
      <formula>0.333333333333333</formula>
    </cfRule>
  </conditionalFormatting>
  <conditionalFormatting sqref="X90">
    <cfRule type="cellIs" dxfId="1297" priority="1247" operator="lessThan">
      <formula>0.333333333333333</formula>
    </cfRule>
    <cfRule type="cellIs" dxfId="1296" priority="1248" operator="greaterThan">
      <formula>0.333333333333333</formula>
    </cfRule>
  </conditionalFormatting>
  <conditionalFormatting sqref="AC90">
    <cfRule type="cellIs" dxfId="1295" priority="1245" operator="lessThan">
      <formula>0.333333333333333</formula>
    </cfRule>
    <cfRule type="cellIs" dxfId="1294" priority="1246" operator="greaterThan">
      <formula>0.333333333333333</formula>
    </cfRule>
  </conditionalFormatting>
  <conditionalFormatting sqref="AH90">
    <cfRule type="cellIs" dxfId="1293" priority="1243" operator="lessThan">
      <formula>0.333333333333333</formula>
    </cfRule>
    <cfRule type="cellIs" dxfId="1292" priority="1244" operator="greaterThan">
      <formula>0.333333333333333</formula>
    </cfRule>
  </conditionalFormatting>
  <conditionalFormatting sqref="I44">
    <cfRule type="cellIs" dxfId="1291" priority="1241" operator="lessThan">
      <formula>0.333333333333333</formula>
    </cfRule>
    <cfRule type="cellIs" dxfId="1290" priority="1242" operator="greaterThan">
      <formula>0.333333333333333</formula>
    </cfRule>
  </conditionalFormatting>
  <conditionalFormatting sqref="I68">
    <cfRule type="cellIs" dxfId="1289" priority="1239" operator="lessThan">
      <formula>0.333333333333333</formula>
    </cfRule>
    <cfRule type="cellIs" dxfId="1288" priority="1240" operator="greaterThan">
      <formula>0.333333333333333</formula>
    </cfRule>
  </conditionalFormatting>
  <conditionalFormatting sqref="I72">
    <cfRule type="cellIs" dxfId="1287" priority="1237" operator="lessThan">
      <formula>0.333333333333333</formula>
    </cfRule>
    <cfRule type="cellIs" dxfId="1286" priority="1238" operator="greaterThan">
      <formula>0.333333333333333</formula>
    </cfRule>
  </conditionalFormatting>
  <conditionalFormatting sqref="N5">
    <cfRule type="cellIs" dxfId="1285" priority="1235" operator="lessThan">
      <formula>0.333333333333333</formula>
    </cfRule>
    <cfRule type="cellIs" dxfId="1284" priority="1236" operator="greaterThan">
      <formula>0.333333333333333</formula>
    </cfRule>
  </conditionalFormatting>
  <conditionalFormatting sqref="S5">
    <cfRule type="cellIs" dxfId="1283" priority="1233" operator="lessThan">
      <formula>0.333333333333333</formula>
    </cfRule>
    <cfRule type="cellIs" dxfId="1282" priority="1234" operator="greaterThan">
      <formula>0.333333333333333</formula>
    </cfRule>
  </conditionalFormatting>
  <conditionalFormatting sqref="X5">
    <cfRule type="cellIs" dxfId="1281" priority="1231" operator="lessThan">
      <formula>0.333333333333333</formula>
    </cfRule>
    <cfRule type="cellIs" dxfId="1280" priority="1232" operator="greaterThan">
      <formula>0.333333333333333</formula>
    </cfRule>
  </conditionalFormatting>
  <conditionalFormatting sqref="AC5">
    <cfRule type="cellIs" dxfId="1279" priority="1229" operator="lessThan">
      <formula>0.333333333333333</formula>
    </cfRule>
    <cfRule type="cellIs" dxfId="1278" priority="1230" operator="greaterThan">
      <formula>0.333333333333333</formula>
    </cfRule>
  </conditionalFormatting>
  <conditionalFormatting sqref="AH5">
    <cfRule type="cellIs" dxfId="1277" priority="1227" operator="lessThan">
      <formula>0.333333333333333</formula>
    </cfRule>
    <cfRule type="cellIs" dxfId="1276" priority="1228" operator="greaterThan">
      <formula>0.333333333333333</formula>
    </cfRule>
  </conditionalFormatting>
  <conditionalFormatting sqref="AM5">
    <cfRule type="cellIs" dxfId="1275" priority="1225" operator="lessThan">
      <formula>0.333333333333333</formula>
    </cfRule>
    <cfRule type="cellIs" dxfId="1274" priority="1226" operator="greaterThan">
      <formula>0.333333333333333</formula>
    </cfRule>
  </conditionalFormatting>
  <conditionalFormatting sqref="AC7">
    <cfRule type="cellIs" dxfId="1273" priority="1223" operator="lessThan">
      <formula>0.333333333333333</formula>
    </cfRule>
    <cfRule type="cellIs" dxfId="1272" priority="1224" operator="greaterThan">
      <formula>0.333333333333333</formula>
    </cfRule>
  </conditionalFormatting>
  <conditionalFormatting sqref="AH7">
    <cfRule type="cellIs" dxfId="1271" priority="1221" operator="lessThan">
      <formula>0.333333333333333</formula>
    </cfRule>
    <cfRule type="cellIs" dxfId="1270" priority="1222" operator="greaterThan">
      <formula>0.333333333333333</formula>
    </cfRule>
  </conditionalFormatting>
  <conditionalFormatting sqref="AM7">
    <cfRule type="cellIs" dxfId="1269" priority="1219" operator="lessThan">
      <formula>0.333333333333333</formula>
    </cfRule>
    <cfRule type="cellIs" dxfId="1268" priority="1220" operator="greaterThan">
      <formula>0.333333333333333</formula>
    </cfRule>
  </conditionalFormatting>
  <conditionalFormatting sqref="AC7">
    <cfRule type="cellIs" dxfId="1267" priority="1217" operator="lessThan">
      <formula>0.333333333333333</formula>
    </cfRule>
    <cfRule type="cellIs" dxfId="1266" priority="1218" operator="greaterThan">
      <formula>0.333333333333333</formula>
    </cfRule>
  </conditionalFormatting>
  <conditionalFormatting sqref="AH7">
    <cfRule type="cellIs" dxfId="1265" priority="1215" operator="lessThan">
      <formula>0.333333333333333</formula>
    </cfRule>
    <cfRule type="cellIs" dxfId="1264" priority="1216" operator="greaterThan">
      <formula>0.333333333333333</formula>
    </cfRule>
  </conditionalFormatting>
  <conditionalFormatting sqref="AM7">
    <cfRule type="cellIs" dxfId="1263" priority="1213" operator="lessThan">
      <formula>0.333333333333333</formula>
    </cfRule>
    <cfRule type="cellIs" dxfId="1262" priority="1214" operator="greaterThan">
      <formula>0.333333333333333</formula>
    </cfRule>
  </conditionalFormatting>
  <conditionalFormatting sqref="N15">
    <cfRule type="cellIs" dxfId="1261" priority="1211" operator="lessThan">
      <formula>0.333333333333333</formula>
    </cfRule>
    <cfRule type="cellIs" dxfId="1260" priority="1212" operator="greaterThan">
      <formula>0.333333333333333</formula>
    </cfRule>
  </conditionalFormatting>
  <conditionalFormatting sqref="S15">
    <cfRule type="cellIs" dxfId="1259" priority="1209" operator="lessThan">
      <formula>0.333333333333333</formula>
    </cfRule>
    <cfRule type="cellIs" dxfId="1258" priority="1210" operator="greaterThan">
      <formula>0.333333333333333</formula>
    </cfRule>
  </conditionalFormatting>
  <conditionalFormatting sqref="AC15">
    <cfRule type="cellIs" dxfId="1257" priority="1207" operator="lessThan">
      <formula>0.333333333333333</formula>
    </cfRule>
    <cfRule type="cellIs" dxfId="1256" priority="1208" operator="greaterThan">
      <formula>0.333333333333333</formula>
    </cfRule>
  </conditionalFormatting>
  <conditionalFormatting sqref="N23">
    <cfRule type="cellIs" dxfId="1255" priority="1205" operator="lessThan">
      <formula>0.333333333333333</formula>
    </cfRule>
    <cfRule type="cellIs" dxfId="1254" priority="1206" operator="greaterThan">
      <formula>0.333333333333333</formula>
    </cfRule>
  </conditionalFormatting>
  <conditionalFormatting sqref="S23">
    <cfRule type="cellIs" dxfId="1253" priority="1203" operator="lessThan">
      <formula>0.333333333333333</formula>
    </cfRule>
    <cfRule type="cellIs" dxfId="1252" priority="1204" operator="greaterThan">
      <formula>0.333333333333333</formula>
    </cfRule>
  </conditionalFormatting>
  <conditionalFormatting sqref="X23">
    <cfRule type="cellIs" dxfId="1251" priority="1201" operator="lessThan">
      <formula>0.333333333333333</formula>
    </cfRule>
    <cfRule type="cellIs" dxfId="1250" priority="1202" operator="greaterThan">
      <formula>0.333333333333333</formula>
    </cfRule>
  </conditionalFormatting>
  <conditionalFormatting sqref="AC23">
    <cfRule type="cellIs" dxfId="1249" priority="1199" operator="lessThan">
      <formula>0.333333333333333</formula>
    </cfRule>
    <cfRule type="cellIs" dxfId="1248" priority="1200" operator="greaterThan">
      <formula>0.333333333333333</formula>
    </cfRule>
  </conditionalFormatting>
  <conditionalFormatting sqref="N27">
    <cfRule type="cellIs" dxfId="1247" priority="1197" operator="lessThan">
      <formula>0.333333333333333</formula>
    </cfRule>
    <cfRule type="cellIs" dxfId="1246" priority="1198" operator="greaterThan">
      <formula>0.333333333333333</formula>
    </cfRule>
  </conditionalFormatting>
  <conditionalFormatting sqref="S27">
    <cfRule type="cellIs" dxfId="1245" priority="1195" operator="lessThan">
      <formula>0.333333333333333</formula>
    </cfRule>
    <cfRule type="cellIs" dxfId="1244" priority="1196" operator="greaterThan">
      <formula>0.333333333333333</formula>
    </cfRule>
  </conditionalFormatting>
  <conditionalFormatting sqref="X27">
    <cfRule type="cellIs" dxfId="1243" priority="1193" operator="lessThan">
      <formula>0.333333333333333</formula>
    </cfRule>
    <cfRule type="cellIs" dxfId="1242" priority="1194" operator="greaterThan">
      <formula>0.333333333333333</formula>
    </cfRule>
  </conditionalFormatting>
  <conditionalFormatting sqref="AC27">
    <cfRule type="cellIs" dxfId="1241" priority="1191" operator="lessThan">
      <formula>0.333333333333333</formula>
    </cfRule>
    <cfRule type="cellIs" dxfId="1240" priority="1192" operator="greaterThan">
      <formula>0.333333333333333</formula>
    </cfRule>
  </conditionalFormatting>
  <conditionalFormatting sqref="AH27">
    <cfRule type="cellIs" dxfId="1239" priority="1189" operator="lessThan">
      <formula>0.333333333333333</formula>
    </cfRule>
    <cfRule type="cellIs" dxfId="1238" priority="1190" operator="greaterThan">
      <formula>0.333333333333333</formula>
    </cfRule>
  </conditionalFormatting>
  <conditionalFormatting sqref="AM27">
    <cfRule type="cellIs" dxfId="1237" priority="1187" operator="lessThan">
      <formula>0.333333333333333</formula>
    </cfRule>
    <cfRule type="cellIs" dxfId="1236" priority="1188" operator="greaterThan">
      <formula>0.333333333333333</formula>
    </cfRule>
  </conditionalFormatting>
  <conditionalFormatting sqref="N28">
    <cfRule type="cellIs" dxfId="1235" priority="1185" operator="lessThan">
      <formula>0.333333333333333</formula>
    </cfRule>
    <cfRule type="cellIs" dxfId="1234" priority="1186" operator="greaterThan">
      <formula>0.333333333333333</formula>
    </cfRule>
  </conditionalFormatting>
  <conditionalFormatting sqref="S28">
    <cfRule type="cellIs" dxfId="1233" priority="1183" operator="lessThan">
      <formula>0.333333333333333</formula>
    </cfRule>
    <cfRule type="cellIs" dxfId="1232" priority="1184" operator="greaterThan">
      <formula>0.333333333333333</formula>
    </cfRule>
  </conditionalFormatting>
  <conditionalFormatting sqref="X28">
    <cfRule type="cellIs" dxfId="1231" priority="1181" operator="lessThan">
      <formula>0.333333333333333</formula>
    </cfRule>
    <cfRule type="cellIs" dxfId="1230" priority="1182" operator="greaterThan">
      <formula>0.333333333333333</formula>
    </cfRule>
  </conditionalFormatting>
  <conditionalFormatting sqref="AC28">
    <cfRule type="cellIs" dxfId="1229" priority="1179" operator="lessThan">
      <formula>0.333333333333333</formula>
    </cfRule>
    <cfRule type="cellIs" dxfId="1228" priority="1180" operator="greaterThan">
      <formula>0.333333333333333</formula>
    </cfRule>
  </conditionalFormatting>
  <conditionalFormatting sqref="N34">
    <cfRule type="cellIs" dxfId="1227" priority="1177" operator="lessThan">
      <formula>0.333333333333333</formula>
    </cfRule>
    <cfRule type="cellIs" dxfId="1226" priority="1178" operator="greaterThan">
      <formula>0.333333333333333</formula>
    </cfRule>
  </conditionalFormatting>
  <conditionalFormatting sqref="S34">
    <cfRule type="cellIs" dxfId="1225" priority="1175" operator="lessThan">
      <formula>0.333333333333333</formula>
    </cfRule>
    <cfRule type="cellIs" dxfId="1224" priority="1176" operator="greaterThan">
      <formula>0.333333333333333</formula>
    </cfRule>
  </conditionalFormatting>
  <conditionalFormatting sqref="X34">
    <cfRule type="cellIs" dxfId="1223" priority="1173" operator="lessThan">
      <formula>0.333333333333333</formula>
    </cfRule>
    <cfRule type="cellIs" dxfId="1222" priority="1174" operator="greaterThan">
      <formula>0.333333333333333</formula>
    </cfRule>
  </conditionalFormatting>
  <conditionalFormatting sqref="AC34">
    <cfRule type="cellIs" dxfId="1221" priority="1171" operator="lessThan">
      <formula>0.333333333333333</formula>
    </cfRule>
    <cfRule type="cellIs" dxfId="1220" priority="1172" operator="greaterThan">
      <formula>0.333333333333333</formula>
    </cfRule>
  </conditionalFormatting>
  <conditionalFormatting sqref="AH34">
    <cfRule type="cellIs" dxfId="1219" priority="1169" operator="lessThan">
      <formula>0.333333333333333</formula>
    </cfRule>
    <cfRule type="cellIs" dxfId="1218" priority="1170" operator="greaterThan">
      <formula>0.333333333333333</formula>
    </cfRule>
  </conditionalFormatting>
  <conditionalFormatting sqref="AM34">
    <cfRule type="cellIs" dxfId="1217" priority="1167" operator="lessThan">
      <formula>0.333333333333333</formula>
    </cfRule>
    <cfRule type="cellIs" dxfId="1216" priority="1168" operator="greaterThan">
      <formula>0.333333333333333</formula>
    </cfRule>
  </conditionalFormatting>
  <conditionalFormatting sqref="N14">
    <cfRule type="cellIs" dxfId="1215" priority="1165" operator="lessThan">
      <formula>0.333333333333333</formula>
    </cfRule>
    <cfRule type="cellIs" dxfId="1214" priority="1166" operator="greaterThan">
      <formula>0.333333333333333</formula>
    </cfRule>
  </conditionalFormatting>
  <conditionalFormatting sqref="S14">
    <cfRule type="cellIs" dxfId="1213" priority="1163" operator="lessThan">
      <formula>0.333333333333333</formula>
    </cfRule>
    <cfRule type="cellIs" dxfId="1212" priority="1164" operator="greaterThan">
      <formula>0.333333333333333</formula>
    </cfRule>
  </conditionalFormatting>
  <conditionalFormatting sqref="N20:N21">
    <cfRule type="cellIs" dxfId="1211" priority="1161" operator="lessThan">
      <formula>0.333333333333333</formula>
    </cfRule>
    <cfRule type="cellIs" dxfId="1210" priority="1162" operator="greaterThan">
      <formula>0.333333333333333</formula>
    </cfRule>
  </conditionalFormatting>
  <conditionalFormatting sqref="S20:S21">
    <cfRule type="cellIs" dxfId="1209" priority="1159" operator="lessThan">
      <formula>0.333333333333333</formula>
    </cfRule>
    <cfRule type="cellIs" dxfId="1208" priority="1160" operator="greaterThan">
      <formula>0.333333333333333</formula>
    </cfRule>
  </conditionalFormatting>
  <conditionalFormatting sqref="X20:X21">
    <cfRule type="cellIs" dxfId="1207" priority="1157" operator="lessThan">
      <formula>0.333333333333333</formula>
    </cfRule>
    <cfRule type="cellIs" dxfId="1206" priority="1158" operator="greaterThan">
      <formula>0.333333333333333</formula>
    </cfRule>
  </conditionalFormatting>
  <conditionalFormatting sqref="AC20:AC21">
    <cfRule type="cellIs" dxfId="1205" priority="1155" operator="lessThan">
      <formula>0.333333333333333</formula>
    </cfRule>
    <cfRule type="cellIs" dxfId="1204" priority="1156" operator="greaterThan">
      <formula>0.333333333333333</formula>
    </cfRule>
  </conditionalFormatting>
  <conditionalFormatting sqref="AH20:AH21">
    <cfRule type="cellIs" dxfId="1203" priority="1153" operator="lessThan">
      <formula>0.333333333333333</formula>
    </cfRule>
    <cfRule type="cellIs" dxfId="1202" priority="1154" operator="greaterThan">
      <formula>0.333333333333333</formula>
    </cfRule>
  </conditionalFormatting>
  <conditionalFormatting sqref="AM20:AM21">
    <cfRule type="cellIs" dxfId="1201" priority="1151" operator="lessThan">
      <formula>0.333333333333333</formula>
    </cfRule>
    <cfRule type="cellIs" dxfId="1200" priority="1152" operator="greaterThan">
      <formula>0.333333333333333</formula>
    </cfRule>
  </conditionalFormatting>
  <conditionalFormatting sqref="N35:N36">
    <cfRule type="cellIs" dxfId="1199" priority="1149" operator="lessThan">
      <formula>0.333333333333333</formula>
    </cfRule>
    <cfRule type="cellIs" dxfId="1198" priority="1150" operator="greaterThan">
      <formula>0.333333333333333</formula>
    </cfRule>
  </conditionalFormatting>
  <conditionalFormatting sqref="S35:S36">
    <cfRule type="cellIs" dxfId="1197" priority="1147" operator="lessThan">
      <formula>0.333333333333333</formula>
    </cfRule>
    <cfRule type="cellIs" dxfId="1196" priority="1148" operator="greaterThan">
      <formula>0.333333333333333</formula>
    </cfRule>
  </conditionalFormatting>
  <conditionalFormatting sqref="X35:X36">
    <cfRule type="cellIs" dxfId="1195" priority="1145" operator="lessThan">
      <formula>0.333333333333333</formula>
    </cfRule>
    <cfRule type="cellIs" dxfId="1194" priority="1146" operator="greaterThan">
      <formula>0.333333333333333</formula>
    </cfRule>
  </conditionalFormatting>
  <conditionalFormatting sqref="AC35:AC36">
    <cfRule type="cellIs" dxfId="1193" priority="1143" operator="lessThan">
      <formula>0.333333333333333</formula>
    </cfRule>
    <cfRule type="cellIs" dxfId="1192" priority="1144" operator="greaterThan">
      <formula>0.333333333333333</formula>
    </cfRule>
  </conditionalFormatting>
  <conditionalFormatting sqref="AH35:AH36">
    <cfRule type="cellIs" dxfId="1191" priority="1141" operator="lessThan">
      <formula>0.333333333333333</formula>
    </cfRule>
    <cfRule type="cellIs" dxfId="1190" priority="1142" operator="greaterThan">
      <formula>0.333333333333333</formula>
    </cfRule>
  </conditionalFormatting>
  <conditionalFormatting sqref="AM35:AM36">
    <cfRule type="cellIs" dxfId="1189" priority="1139" operator="lessThan">
      <formula>0.333333333333333</formula>
    </cfRule>
    <cfRule type="cellIs" dxfId="1188" priority="1140" operator="greaterThan">
      <formula>0.333333333333333</formula>
    </cfRule>
  </conditionalFormatting>
  <conditionalFormatting sqref="N51">
    <cfRule type="cellIs" dxfId="1187" priority="1137" operator="lessThan">
      <formula>0.333333333333333</formula>
    </cfRule>
    <cfRule type="cellIs" dxfId="1186" priority="1138" operator="greaterThan">
      <formula>0.333333333333333</formula>
    </cfRule>
  </conditionalFormatting>
  <conditionalFormatting sqref="S51">
    <cfRule type="cellIs" dxfId="1185" priority="1135" operator="lessThan">
      <formula>0.333333333333333</formula>
    </cfRule>
    <cfRule type="cellIs" dxfId="1184" priority="1136" operator="greaterThan">
      <formula>0.333333333333333</formula>
    </cfRule>
  </conditionalFormatting>
  <conditionalFormatting sqref="AC51">
    <cfRule type="cellIs" dxfId="1183" priority="1133" operator="lessThan">
      <formula>0.333333333333333</formula>
    </cfRule>
    <cfRule type="cellIs" dxfId="1182" priority="1134" operator="greaterThan">
      <formula>0.333333333333333</formula>
    </cfRule>
  </conditionalFormatting>
  <conditionalFormatting sqref="AH51">
    <cfRule type="cellIs" dxfId="1181" priority="1131" operator="lessThan">
      <formula>0.333333333333333</formula>
    </cfRule>
    <cfRule type="cellIs" dxfId="1180" priority="1132" operator="greaterThan">
      <formula>0.333333333333333</formula>
    </cfRule>
  </conditionalFormatting>
  <conditionalFormatting sqref="AM51">
    <cfRule type="cellIs" dxfId="1179" priority="1129" operator="lessThan">
      <formula>0.333333333333333</formula>
    </cfRule>
    <cfRule type="cellIs" dxfId="1178" priority="1130" operator="greaterThan">
      <formula>0.333333333333333</formula>
    </cfRule>
  </conditionalFormatting>
  <conditionalFormatting sqref="N57:N58">
    <cfRule type="cellIs" dxfId="1177" priority="1127" operator="lessThan">
      <formula>0.333333333333333</formula>
    </cfRule>
    <cfRule type="cellIs" dxfId="1176" priority="1128" operator="greaterThan">
      <formula>0.333333333333333</formula>
    </cfRule>
  </conditionalFormatting>
  <conditionalFormatting sqref="S57:S58">
    <cfRule type="cellIs" dxfId="1175" priority="1125" operator="lessThan">
      <formula>0.333333333333333</formula>
    </cfRule>
    <cfRule type="cellIs" dxfId="1174" priority="1126" operator="greaterThan">
      <formula>0.333333333333333</formula>
    </cfRule>
  </conditionalFormatting>
  <conditionalFormatting sqref="X57:X58">
    <cfRule type="cellIs" dxfId="1173" priority="1123" operator="lessThan">
      <formula>0.333333333333333</formula>
    </cfRule>
    <cfRule type="cellIs" dxfId="1172" priority="1124" operator="greaterThan">
      <formula>0.333333333333333</formula>
    </cfRule>
  </conditionalFormatting>
  <conditionalFormatting sqref="AC57">
    <cfRule type="cellIs" dxfId="1171" priority="1121" operator="lessThan">
      <formula>0.333333333333333</formula>
    </cfRule>
    <cfRule type="cellIs" dxfId="1170" priority="1122" operator="greaterThan">
      <formula>0.333333333333333</formula>
    </cfRule>
  </conditionalFormatting>
  <conditionalFormatting sqref="AH57">
    <cfRule type="cellIs" dxfId="1169" priority="1119" operator="lessThan">
      <formula>0.333333333333333</formula>
    </cfRule>
    <cfRule type="cellIs" dxfId="1168" priority="1120" operator="greaterThan">
      <formula>0.333333333333333</formula>
    </cfRule>
  </conditionalFormatting>
  <conditionalFormatting sqref="AM57:AM58">
    <cfRule type="cellIs" dxfId="1167" priority="1117" operator="lessThan">
      <formula>0.333333333333333</formula>
    </cfRule>
    <cfRule type="cellIs" dxfId="1166" priority="1118" operator="greaterThan">
      <formula>0.333333333333333</formula>
    </cfRule>
  </conditionalFormatting>
  <conditionalFormatting sqref="I10">
    <cfRule type="cellIs" dxfId="1165" priority="1115" operator="lessThan">
      <formula>0.333333333333333</formula>
    </cfRule>
    <cfRule type="cellIs" dxfId="1164" priority="1116" operator="greaterThan">
      <formula>0.333333333333333</formula>
    </cfRule>
  </conditionalFormatting>
  <conditionalFormatting sqref="I11">
    <cfRule type="cellIs" dxfId="1163" priority="1113" operator="lessThan">
      <formula>0.333333333333333</formula>
    </cfRule>
    <cfRule type="cellIs" dxfId="1162" priority="1114" operator="greaterThan">
      <formula>0.333333333333333</formula>
    </cfRule>
  </conditionalFormatting>
  <conditionalFormatting sqref="S10">
    <cfRule type="cellIs" dxfId="1161" priority="1111" operator="lessThan">
      <formula>0.333333333333333</formula>
    </cfRule>
    <cfRule type="cellIs" dxfId="1160" priority="1112" operator="greaterThan">
      <formula>0.333333333333333</formula>
    </cfRule>
  </conditionalFormatting>
  <conditionalFormatting sqref="X10">
    <cfRule type="cellIs" dxfId="1159" priority="1109" operator="lessThan">
      <formula>0.333333333333333</formula>
    </cfRule>
    <cfRule type="cellIs" dxfId="1158" priority="1110" operator="greaterThan">
      <formula>0.333333333333333</formula>
    </cfRule>
  </conditionalFormatting>
  <conditionalFormatting sqref="AC10">
    <cfRule type="cellIs" dxfId="1157" priority="1107" operator="lessThan">
      <formula>0.333333333333333</formula>
    </cfRule>
    <cfRule type="cellIs" dxfId="1156" priority="1108" operator="greaterThan">
      <formula>0.333333333333333</formula>
    </cfRule>
  </conditionalFormatting>
  <conditionalFormatting sqref="AH10">
    <cfRule type="cellIs" dxfId="1155" priority="1105" operator="lessThan">
      <formula>0.333333333333333</formula>
    </cfRule>
    <cfRule type="cellIs" dxfId="1154" priority="1106" operator="greaterThan">
      <formula>0.333333333333333</formula>
    </cfRule>
  </conditionalFormatting>
  <conditionalFormatting sqref="AM10">
    <cfRule type="cellIs" dxfId="1153" priority="1103" operator="lessThan">
      <formula>0.333333333333333</formula>
    </cfRule>
    <cfRule type="cellIs" dxfId="1152" priority="1104" operator="greaterThan">
      <formula>0.333333333333333</formula>
    </cfRule>
  </conditionalFormatting>
  <conditionalFormatting sqref="AC10">
    <cfRule type="cellIs" dxfId="1151" priority="1101" operator="lessThan">
      <formula>0.333333333333333</formula>
    </cfRule>
    <cfRule type="cellIs" dxfId="1150" priority="1102" operator="greaterThan">
      <formula>0.333333333333333</formula>
    </cfRule>
  </conditionalFormatting>
  <conditionalFormatting sqref="AH10">
    <cfRule type="cellIs" dxfId="1149" priority="1099" operator="lessThan">
      <formula>0.333333333333333</formula>
    </cfRule>
    <cfRule type="cellIs" dxfId="1148" priority="1100" operator="greaterThan">
      <formula>0.333333333333333</formula>
    </cfRule>
  </conditionalFormatting>
  <conditionalFormatting sqref="S11">
    <cfRule type="cellIs" dxfId="1147" priority="1097" operator="lessThan">
      <formula>0.333333333333333</formula>
    </cfRule>
    <cfRule type="cellIs" dxfId="1146" priority="1098" operator="greaterThan">
      <formula>0.333333333333333</formula>
    </cfRule>
  </conditionalFormatting>
  <conditionalFormatting sqref="X11">
    <cfRule type="cellIs" dxfId="1145" priority="1095" operator="lessThan">
      <formula>0.333333333333333</formula>
    </cfRule>
    <cfRule type="cellIs" dxfId="1144" priority="1096" operator="greaterThan">
      <formula>0.333333333333333</formula>
    </cfRule>
  </conditionalFormatting>
  <conditionalFormatting sqref="AC11">
    <cfRule type="cellIs" dxfId="1143" priority="1093" operator="lessThan">
      <formula>0.333333333333333</formula>
    </cfRule>
    <cfRule type="cellIs" dxfId="1142" priority="1094" operator="greaterThan">
      <formula>0.333333333333333</formula>
    </cfRule>
  </conditionalFormatting>
  <conditionalFormatting sqref="AH11">
    <cfRule type="cellIs" dxfId="1141" priority="1091" operator="lessThan">
      <formula>0.333333333333333</formula>
    </cfRule>
    <cfRule type="cellIs" dxfId="1140" priority="1092" operator="greaterThan">
      <formula>0.333333333333333</formula>
    </cfRule>
  </conditionalFormatting>
  <conditionalFormatting sqref="AM11">
    <cfRule type="cellIs" dxfId="1139" priority="1089" operator="lessThan">
      <formula>0.333333333333333</formula>
    </cfRule>
    <cfRule type="cellIs" dxfId="1138" priority="1090" operator="greaterThan">
      <formula>0.333333333333333</formula>
    </cfRule>
  </conditionalFormatting>
  <conditionalFormatting sqref="X19">
    <cfRule type="cellIs" dxfId="1137" priority="1087" operator="lessThan">
      <formula>0.333333333333333</formula>
    </cfRule>
    <cfRule type="cellIs" dxfId="1136" priority="1088" operator="greaterThan">
      <formula>0.333333333333333</formula>
    </cfRule>
  </conditionalFormatting>
  <conditionalFormatting sqref="AC19">
    <cfRule type="cellIs" dxfId="1135" priority="1085" operator="lessThan">
      <formula>0.333333333333333</formula>
    </cfRule>
    <cfRule type="cellIs" dxfId="1134" priority="1086" operator="greaterThan">
      <formula>0.333333333333333</formula>
    </cfRule>
  </conditionalFormatting>
  <conditionalFormatting sqref="AH19">
    <cfRule type="cellIs" dxfId="1133" priority="1083" operator="lessThan">
      <formula>0.333333333333333</formula>
    </cfRule>
    <cfRule type="cellIs" dxfId="1132" priority="1084" operator="greaterThan">
      <formula>0.333333333333333</formula>
    </cfRule>
  </conditionalFormatting>
  <conditionalFormatting sqref="AM19">
    <cfRule type="cellIs" dxfId="1131" priority="1081" operator="lessThan">
      <formula>0.333333333333333</formula>
    </cfRule>
    <cfRule type="cellIs" dxfId="1130" priority="1082" operator="greaterThan">
      <formula>0.333333333333333</formula>
    </cfRule>
  </conditionalFormatting>
  <conditionalFormatting sqref="X19">
    <cfRule type="cellIs" dxfId="1129" priority="1079" operator="lessThan">
      <formula>0.333333333333333</formula>
    </cfRule>
    <cfRule type="cellIs" dxfId="1128" priority="1080" operator="greaterThan">
      <formula>0.333333333333333</formula>
    </cfRule>
  </conditionalFormatting>
  <conditionalFormatting sqref="AC19">
    <cfRule type="cellIs" dxfId="1127" priority="1077" operator="lessThan">
      <formula>0.333333333333333</formula>
    </cfRule>
    <cfRule type="cellIs" dxfId="1126" priority="1078" operator="greaterThan">
      <formula>0.333333333333333</formula>
    </cfRule>
  </conditionalFormatting>
  <conditionalFormatting sqref="AH19">
    <cfRule type="cellIs" dxfId="1125" priority="1075" operator="lessThan">
      <formula>0.333333333333333</formula>
    </cfRule>
    <cfRule type="cellIs" dxfId="1124" priority="1076" operator="greaterThan">
      <formula>0.333333333333333</formula>
    </cfRule>
  </conditionalFormatting>
  <conditionalFormatting sqref="S19">
    <cfRule type="cellIs" dxfId="1123" priority="1073" operator="lessThan">
      <formula>0.333333333333333</formula>
    </cfRule>
    <cfRule type="cellIs" dxfId="1122" priority="1074" operator="greaterThan">
      <formula>0.333333333333333</formula>
    </cfRule>
  </conditionalFormatting>
  <conditionalFormatting sqref="S26">
    <cfRule type="cellIs" dxfId="1121" priority="1071" operator="lessThan">
      <formula>0.333333333333333</formula>
    </cfRule>
    <cfRule type="cellIs" dxfId="1120" priority="1072" operator="greaterThan">
      <formula>0.333333333333333</formula>
    </cfRule>
  </conditionalFormatting>
  <conditionalFormatting sqref="X26">
    <cfRule type="cellIs" dxfId="1119" priority="1069" operator="lessThan">
      <formula>0.333333333333333</formula>
    </cfRule>
    <cfRule type="cellIs" dxfId="1118" priority="1070" operator="greaterThan">
      <formula>0.333333333333333</formula>
    </cfRule>
  </conditionalFormatting>
  <conditionalFormatting sqref="AC26">
    <cfRule type="cellIs" dxfId="1117" priority="1067" operator="lessThan">
      <formula>0.333333333333333</formula>
    </cfRule>
    <cfRule type="cellIs" dxfId="1116" priority="1068" operator="greaterThan">
      <formula>0.333333333333333</formula>
    </cfRule>
  </conditionalFormatting>
  <conditionalFormatting sqref="AH26">
    <cfRule type="cellIs" dxfId="1115" priority="1065" operator="lessThan">
      <formula>0.333333333333333</formula>
    </cfRule>
    <cfRule type="cellIs" dxfId="1114" priority="1066" operator="greaterThan">
      <formula>0.333333333333333</formula>
    </cfRule>
  </conditionalFormatting>
  <conditionalFormatting sqref="AM26">
    <cfRule type="cellIs" dxfId="1113" priority="1063" operator="lessThan">
      <formula>0.333333333333333</formula>
    </cfRule>
    <cfRule type="cellIs" dxfId="1112" priority="1064" operator="greaterThan">
      <formula>0.333333333333333</formula>
    </cfRule>
  </conditionalFormatting>
  <conditionalFormatting sqref="N93">
    <cfRule type="cellIs" dxfId="1111" priority="1061" operator="lessThan">
      <formula>0.333333333333333</formula>
    </cfRule>
    <cfRule type="cellIs" dxfId="1110" priority="1062" operator="greaterThan">
      <formula>0.333333333333333</formula>
    </cfRule>
  </conditionalFormatting>
  <conditionalFormatting sqref="S93">
    <cfRule type="cellIs" dxfId="1109" priority="1059" operator="lessThan">
      <formula>0.333333333333333</formula>
    </cfRule>
    <cfRule type="cellIs" dxfId="1108" priority="1060" operator="greaterThan">
      <formula>0.333333333333333</formula>
    </cfRule>
  </conditionalFormatting>
  <conditionalFormatting sqref="X93">
    <cfRule type="cellIs" dxfId="1107" priority="1057" operator="lessThan">
      <formula>0.333333333333333</formula>
    </cfRule>
    <cfRule type="cellIs" dxfId="1106" priority="1058" operator="greaterThan">
      <formula>0.333333333333333</formula>
    </cfRule>
  </conditionalFormatting>
  <conditionalFormatting sqref="AC93">
    <cfRule type="cellIs" dxfId="1105" priority="1055" operator="lessThan">
      <formula>0.333333333333333</formula>
    </cfRule>
    <cfRule type="cellIs" dxfId="1104" priority="1056" operator="greaterThan">
      <formula>0.333333333333333</formula>
    </cfRule>
  </conditionalFormatting>
  <conditionalFormatting sqref="AH93">
    <cfRule type="cellIs" dxfId="1103" priority="1053" operator="lessThan">
      <formula>0.333333333333333</formula>
    </cfRule>
    <cfRule type="cellIs" dxfId="1102" priority="1054" operator="greaterThan">
      <formula>0.333333333333333</formula>
    </cfRule>
  </conditionalFormatting>
  <conditionalFormatting sqref="AM93">
    <cfRule type="cellIs" dxfId="1101" priority="1051" operator="lessThan">
      <formula>0.333333333333333</formula>
    </cfRule>
    <cfRule type="cellIs" dxfId="1100" priority="1052" operator="greaterThan">
      <formula>0.333333333333333</formula>
    </cfRule>
  </conditionalFormatting>
  <conditionalFormatting sqref="N52">
    <cfRule type="cellIs" dxfId="1099" priority="1049" operator="lessThan">
      <formula>0.333333333333333</formula>
    </cfRule>
    <cfRule type="cellIs" dxfId="1098" priority="1050" operator="greaterThan">
      <formula>0.333333333333333</formula>
    </cfRule>
  </conditionalFormatting>
  <conditionalFormatting sqref="S52">
    <cfRule type="cellIs" dxfId="1097" priority="1047" operator="lessThan">
      <formula>0.333333333333333</formula>
    </cfRule>
    <cfRule type="cellIs" dxfId="1096" priority="1048" operator="greaterThan">
      <formula>0.333333333333333</formula>
    </cfRule>
  </conditionalFormatting>
  <conditionalFormatting sqref="X52">
    <cfRule type="cellIs" dxfId="1095" priority="1045" operator="lessThan">
      <formula>0.333333333333333</formula>
    </cfRule>
    <cfRule type="cellIs" dxfId="1094" priority="1046" operator="greaterThan">
      <formula>0.333333333333333</formula>
    </cfRule>
  </conditionalFormatting>
  <conditionalFormatting sqref="AC52">
    <cfRule type="cellIs" dxfId="1093" priority="1043" operator="lessThan">
      <formula>0.333333333333333</formula>
    </cfRule>
    <cfRule type="cellIs" dxfId="1092" priority="1044" operator="greaterThan">
      <formula>0.333333333333333</formula>
    </cfRule>
  </conditionalFormatting>
  <conditionalFormatting sqref="AH52">
    <cfRule type="cellIs" dxfId="1091" priority="1041" operator="lessThan">
      <formula>0.333333333333333</formula>
    </cfRule>
    <cfRule type="cellIs" dxfId="1090" priority="1042" operator="greaterThan">
      <formula>0.333333333333333</formula>
    </cfRule>
  </conditionalFormatting>
  <conditionalFormatting sqref="AM52">
    <cfRule type="cellIs" dxfId="1089" priority="1039" operator="lessThan">
      <formula>0.333333333333333</formula>
    </cfRule>
    <cfRule type="cellIs" dxfId="1088" priority="1040" operator="greaterThan">
      <formula>0.333333333333333</formula>
    </cfRule>
  </conditionalFormatting>
  <conditionalFormatting sqref="X52">
    <cfRule type="cellIs" dxfId="1087" priority="1037" operator="lessThan">
      <formula>0.333333333333333</formula>
    </cfRule>
    <cfRule type="cellIs" dxfId="1086" priority="1038" operator="greaterThan">
      <formula>0.333333333333333</formula>
    </cfRule>
  </conditionalFormatting>
  <conditionalFormatting sqref="AC52">
    <cfRule type="cellIs" dxfId="1085" priority="1035" operator="lessThan">
      <formula>0.333333333333333</formula>
    </cfRule>
    <cfRule type="cellIs" dxfId="1084" priority="1036" operator="greaterThan">
      <formula>0.333333333333333</formula>
    </cfRule>
  </conditionalFormatting>
  <conditionalFormatting sqref="AH52">
    <cfRule type="cellIs" dxfId="1083" priority="1033" operator="lessThan">
      <formula>0.333333333333333</formula>
    </cfRule>
    <cfRule type="cellIs" dxfId="1082" priority="1034" operator="greaterThan">
      <formula>0.333333333333333</formula>
    </cfRule>
  </conditionalFormatting>
  <conditionalFormatting sqref="AM52">
    <cfRule type="cellIs" dxfId="1081" priority="1031" operator="lessThan">
      <formula>0.333333333333333</formula>
    </cfRule>
    <cfRule type="cellIs" dxfId="1080" priority="1032" operator="greaterThan">
      <formula>0.333333333333333</formula>
    </cfRule>
  </conditionalFormatting>
  <conditionalFormatting sqref="N93">
    <cfRule type="cellIs" dxfId="1079" priority="1029" operator="lessThan">
      <formula>0.333333333333333</formula>
    </cfRule>
    <cfRule type="cellIs" dxfId="1078" priority="1030" operator="greaterThan">
      <formula>0.333333333333333</formula>
    </cfRule>
  </conditionalFormatting>
  <conditionalFormatting sqref="S93">
    <cfRule type="cellIs" dxfId="1077" priority="1027" operator="lessThan">
      <formula>0.333333333333333</formula>
    </cfRule>
    <cfRule type="cellIs" dxfId="1076" priority="1028" operator="greaterThan">
      <formula>0.333333333333333</formula>
    </cfRule>
  </conditionalFormatting>
  <conditionalFormatting sqref="X93">
    <cfRule type="cellIs" dxfId="1075" priority="1025" operator="lessThan">
      <formula>0.333333333333333</formula>
    </cfRule>
    <cfRule type="cellIs" dxfId="1074" priority="1026" operator="greaterThan">
      <formula>0.333333333333333</formula>
    </cfRule>
  </conditionalFormatting>
  <conditionalFormatting sqref="AC93">
    <cfRule type="cellIs" dxfId="1073" priority="1023" operator="lessThan">
      <formula>0.333333333333333</formula>
    </cfRule>
    <cfRule type="cellIs" dxfId="1072" priority="1024" operator="greaterThan">
      <formula>0.333333333333333</formula>
    </cfRule>
  </conditionalFormatting>
  <conditionalFormatting sqref="AH93">
    <cfRule type="cellIs" dxfId="1071" priority="1021" operator="lessThan">
      <formula>0.333333333333333</formula>
    </cfRule>
    <cfRule type="cellIs" dxfId="1070" priority="1022" operator="greaterThan">
      <formula>0.333333333333333</formula>
    </cfRule>
  </conditionalFormatting>
  <conditionalFormatting sqref="AM93">
    <cfRule type="cellIs" dxfId="1069" priority="1019" operator="lessThan">
      <formula>0.333333333333333</formula>
    </cfRule>
    <cfRule type="cellIs" dxfId="1068" priority="1020" operator="greaterThan">
      <formula>0.333333333333333</formula>
    </cfRule>
  </conditionalFormatting>
  <conditionalFormatting sqref="S93">
    <cfRule type="cellIs" dxfId="1067" priority="1017" operator="lessThan">
      <formula>0.333333333333333</formula>
    </cfRule>
    <cfRule type="cellIs" dxfId="1066" priority="1018" operator="greaterThan">
      <formula>0.333333333333333</formula>
    </cfRule>
  </conditionalFormatting>
  <conditionalFormatting sqref="X93">
    <cfRule type="cellIs" dxfId="1065" priority="1015" operator="lessThan">
      <formula>0.333333333333333</formula>
    </cfRule>
    <cfRule type="cellIs" dxfId="1064" priority="1016" operator="greaterThan">
      <formula>0.333333333333333</formula>
    </cfRule>
  </conditionalFormatting>
  <conditionalFormatting sqref="AC93">
    <cfRule type="cellIs" dxfId="1063" priority="1013" operator="lessThan">
      <formula>0.333333333333333</formula>
    </cfRule>
    <cfRule type="cellIs" dxfId="1062" priority="1014" operator="greaterThan">
      <formula>0.333333333333333</formula>
    </cfRule>
  </conditionalFormatting>
  <conditionalFormatting sqref="AH93">
    <cfRule type="cellIs" dxfId="1061" priority="1011" operator="lessThan">
      <formula>0.333333333333333</formula>
    </cfRule>
    <cfRule type="cellIs" dxfId="1060" priority="1012" operator="greaterThan">
      <formula>0.333333333333333</formula>
    </cfRule>
  </conditionalFormatting>
  <conditionalFormatting sqref="AM93">
    <cfRule type="cellIs" dxfId="1059" priority="1009" operator="lessThan">
      <formula>0.333333333333333</formula>
    </cfRule>
    <cfRule type="cellIs" dxfId="1058" priority="1010" operator="greaterThan">
      <formula>0.333333333333333</formula>
    </cfRule>
  </conditionalFormatting>
  <conditionalFormatting sqref="S81">
    <cfRule type="cellIs" dxfId="1057" priority="1007" operator="lessThan">
      <formula>0.333333333333333</formula>
    </cfRule>
    <cfRule type="cellIs" dxfId="1056" priority="1008" operator="greaterThan">
      <formula>0.333333333333333</formula>
    </cfRule>
  </conditionalFormatting>
  <conditionalFormatting sqref="X81">
    <cfRule type="cellIs" dxfId="1055" priority="1005" operator="lessThan">
      <formula>0.333333333333333</formula>
    </cfRule>
    <cfRule type="cellIs" dxfId="1054" priority="1006" operator="greaterThan">
      <formula>0.333333333333333</formula>
    </cfRule>
  </conditionalFormatting>
  <conditionalFormatting sqref="AC81">
    <cfRule type="cellIs" dxfId="1053" priority="1003" operator="lessThan">
      <formula>0.333333333333333</formula>
    </cfRule>
    <cfRule type="cellIs" dxfId="1052" priority="1004" operator="greaterThan">
      <formula>0.333333333333333</formula>
    </cfRule>
  </conditionalFormatting>
  <conditionalFormatting sqref="AH81">
    <cfRule type="cellIs" dxfId="1051" priority="1001" operator="lessThan">
      <formula>0.333333333333333</formula>
    </cfRule>
    <cfRule type="cellIs" dxfId="1050" priority="1002" operator="greaterThan">
      <formula>0.333333333333333</formula>
    </cfRule>
  </conditionalFormatting>
  <conditionalFormatting sqref="N55">
    <cfRule type="cellIs" dxfId="1049" priority="999" operator="lessThan">
      <formula>0.333333333333333</formula>
    </cfRule>
    <cfRule type="cellIs" dxfId="1048" priority="1000" operator="greaterThan">
      <formula>0.333333333333333</formula>
    </cfRule>
  </conditionalFormatting>
  <conditionalFormatting sqref="S55">
    <cfRule type="cellIs" dxfId="1047" priority="997" operator="lessThan">
      <formula>0.333333333333333</formula>
    </cfRule>
    <cfRule type="cellIs" dxfId="1046" priority="998" operator="greaterThan">
      <formula>0.333333333333333</formula>
    </cfRule>
  </conditionalFormatting>
  <conditionalFormatting sqref="X55">
    <cfRule type="cellIs" dxfId="1045" priority="995" operator="lessThan">
      <formula>0.333333333333333</formula>
    </cfRule>
    <cfRule type="cellIs" dxfId="1044" priority="996" operator="greaterThan">
      <formula>0.333333333333333</formula>
    </cfRule>
  </conditionalFormatting>
  <conditionalFormatting sqref="AC55">
    <cfRule type="cellIs" dxfId="1043" priority="993" operator="lessThan">
      <formula>0.333333333333333</formula>
    </cfRule>
    <cfRule type="cellIs" dxfId="1042" priority="994" operator="greaterThan">
      <formula>0.333333333333333</formula>
    </cfRule>
  </conditionalFormatting>
  <conditionalFormatting sqref="N47">
    <cfRule type="cellIs" dxfId="1041" priority="991" operator="lessThan">
      <formula>0.333333333333333</formula>
    </cfRule>
    <cfRule type="cellIs" dxfId="1040" priority="992" operator="greaterThan">
      <formula>0.333333333333333</formula>
    </cfRule>
  </conditionalFormatting>
  <conditionalFormatting sqref="S47">
    <cfRule type="cellIs" dxfId="1039" priority="989" operator="lessThan">
      <formula>0.333333333333333</formula>
    </cfRule>
    <cfRule type="cellIs" dxfId="1038" priority="990" operator="greaterThan">
      <formula>0.333333333333333</formula>
    </cfRule>
  </conditionalFormatting>
  <conditionalFormatting sqref="X47">
    <cfRule type="cellIs" dxfId="1037" priority="987" operator="lessThan">
      <formula>0.333333333333333</formula>
    </cfRule>
    <cfRule type="cellIs" dxfId="1036" priority="988" operator="greaterThan">
      <formula>0.333333333333333</formula>
    </cfRule>
  </conditionalFormatting>
  <conditionalFormatting sqref="AC47">
    <cfRule type="cellIs" dxfId="1035" priority="985" operator="lessThan">
      <formula>0.333333333333333</formula>
    </cfRule>
    <cfRule type="cellIs" dxfId="1034" priority="986" operator="greaterThan">
      <formula>0.333333333333333</formula>
    </cfRule>
  </conditionalFormatting>
  <conditionalFormatting sqref="N84">
    <cfRule type="cellIs" dxfId="1033" priority="983" operator="lessThan">
      <formula>0.333333333333333</formula>
    </cfRule>
    <cfRule type="cellIs" dxfId="1032" priority="984" operator="greaterThan">
      <formula>0.333333333333333</formula>
    </cfRule>
  </conditionalFormatting>
  <conditionalFormatting sqref="S84">
    <cfRule type="cellIs" dxfId="1031" priority="981" operator="lessThan">
      <formula>0.333333333333333</formula>
    </cfRule>
    <cfRule type="cellIs" dxfId="1030" priority="982" operator="greaterThan">
      <formula>0.333333333333333</formula>
    </cfRule>
  </conditionalFormatting>
  <conditionalFormatting sqref="X84">
    <cfRule type="cellIs" dxfId="1029" priority="979" operator="lessThan">
      <formula>0.333333333333333</formula>
    </cfRule>
    <cfRule type="cellIs" dxfId="1028" priority="980" operator="greaterThan">
      <formula>0.333333333333333</formula>
    </cfRule>
  </conditionalFormatting>
  <conditionalFormatting sqref="AC84">
    <cfRule type="cellIs" dxfId="1027" priority="977" operator="lessThan">
      <formula>0.333333333333333</formula>
    </cfRule>
    <cfRule type="cellIs" dxfId="1026" priority="978" operator="greaterThan">
      <formula>0.333333333333333</formula>
    </cfRule>
  </conditionalFormatting>
  <conditionalFormatting sqref="N39">
    <cfRule type="cellIs" dxfId="1025" priority="975" operator="lessThan">
      <formula>0.333333333333333</formula>
    </cfRule>
    <cfRule type="cellIs" dxfId="1024" priority="976" operator="greaterThan">
      <formula>0.333333333333333</formula>
    </cfRule>
  </conditionalFormatting>
  <conditionalFormatting sqref="S39">
    <cfRule type="cellIs" dxfId="1023" priority="973" operator="lessThan">
      <formula>0.333333333333333</formula>
    </cfRule>
    <cfRule type="cellIs" dxfId="1022" priority="974" operator="greaterThan">
      <formula>0.333333333333333</formula>
    </cfRule>
  </conditionalFormatting>
  <conditionalFormatting sqref="X39">
    <cfRule type="cellIs" dxfId="1021" priority="971" operator="lessThan">
      <formula>0.333333333333333</formula>
    </cfRule>
    <cfRule type="cellIs" dxfId="1020" priority="972" operator="greaterThan">
      <formula>0.333333333333333</formula>
    </cfRule>
  </conditionalFormatting>
  <conditionalFormatting sqref="AC39">
    <cfRule type="cellIs" dxfId="1019" priority="969" operator="lessThan">
      <formula>0.333333333333333</formula>
    </cfRule>
    <cfRule type="cellIs" dxfId="1018" priority="970" operator="greaterThan">
      <formula>0.333333333333333</formula>
    </cfRule>
  </conditionalFormatting>
  <conditionalFormatting sqref="AH39">
    <cfRule type="cellIs" dxfId="1017" priority="967" operator="lessThan">
      <formula>0.333333333333333</formula>
    </cfRule>
    <cfRule type="cellIs" dxfId="1016" priority="968" operator="greaterThan">
      <formula>0.333333333333333</formula>
    </cfRule>
  </conditionalFormatting>
  <conditionalFormatting sqref="AM39">
    <cfRule type="cellIs" dxfId="1015" priority="965" operator="lessThan">
      <formula>0.333333333333333</formula>
    </cfRule>
    <cfRule type="cellIs" dxfId="1014" priority="966" operator="greaterThan">
      <formula>0.333333333333333</formula>
    </cfRule>
  </conditionalFormatting>
  <conditionalFormatting sqref="S37">
    <cfRule type="cellIs" dxfId="1013" priority="963" operator="lessThan">
      <formula>0.333333333333333</formula>
    </cfRule>
    <cfRule type="cellIs" dxfId="1012" priority="964" operator="greaterThan">
      <formula>0.333333333333333</formula>
    </cfRule>
  </conditionalFormatting>
  <conditionalFormatting sqref="X37">
    <cfRule type="cellIs" dxfId="1011" priority="961" operator="lessThan">
      <formula>0.333333333333333</formula>
    </cfRule>
    <cfRule type="cellIs" dxfId="1010" priority="962" operator="greaterThan">
      <formula>0.333333333333333</formula>
    </cfRule>
  </conditionalFormatting>
  <conditionalFormatting sqref="AH37">
    <cfRule type="cellIs" dxfId="1009" priority="959" operator="lessThan">
      <formula>0.333333333333333</formula>
    </cfRule>
    <cfRule type="cellIs" dxfId="1008" priority="960" operator="greaterThan">
      <formula>0.333333333333333</formula>
    </cfRule>
  </conditionalFormatting>
  <conditionalFormatting sqref="AM37">
    <cfRule type="cellIs" dxfId="1007" priority="957" operator="lessThan">
      <formula>0.333333333333333</formula>
    </cfRule>
    <cfRule type="cellIs" dxfId="1006" priority="958" operator="greaterThan">
      <formula>0.333333333333333</formula>
    </cfRule>
  </conditionalFormatting>
  <conditionalFormatting sqref="AC37">
    <cfRule type="cellIs" dxfId="1005" priority="955" operator="lessThan">
      <formula>0.333333333333333</formula>
    </cfRule>
    <cfRule type="cellIs" dxfId="1004" priority="956" operator="greaterThan">
      <formula>0.333333333333333</formula>
    </cfRule>
  </conditionalFormatting>
  <conditionalFormatting sqref="N37">
    <cfRule type="cellIs" dxfId="1003" priority="953" operator="lessThan">
      <formula>0.333333333333333</formula>
    </cfRule>
    <cfRule type="cellIs" dxfId="1002" priority="954" operator="greaterThan">
      <formula>0.333333333333333</formula>
    </cfRule>
  </conditionalFormatting>
  <conditionalFormatting sqref="N65">
    <cfRule type="cellIs" dxfId="1001" priority="951" operator="lessThan">
      <formula>0.333333333333333</formula>
    </cfRule>
    <cfRule type="cellIs" dxfId="1000" priority="952" operator="greaterThan">
      <formula>0.333333333333333</formula>
    </cfRule>
  </conditionalFormatting>
  <conditionalFormatting sqref="S65">
    <cfRule type="cellIs" dxfId="999" priority="949" operator="lessThan">
      <formula>0.333333333333333</formula>
    </cfRule>
    <cfRule type="cellIs" dxfId="998" priority="950" operator="greaterThan">
      <formula>0.333333333333333</formula>
    </cfRule>
  </conditionalFormatting>
  <conditionalFormatting sqref="X65">
    <cfRule type="cellIs" dxfId="997" priority="947" operator="lessThan">
      <formula>0.333333333333333</formula>
    </cfRule>
    <cfRule type="cellIs" dxfId="996" priority="948" operator="greaterThan">
      <formula>0.333333333333333</formula>
    </cfRule>
  </conditionalFormatting>
  <conditionalFormatting sqref="AC65">
    <cfRule type="cellIs" dxfId="995" priority="945" operator="lessThan">
      <formula>0.333333333333333</formula>
    </cfRule>
    <cfRule type="cellIs" dxfId="994" priority="946" operator="greaterThan">
      <formula>0.333333333333333</formula>
    </cfRule>
  </conditionalFormatting>
  <conditionalFormatting sqref="AH65">
    <cfRule type="cellIs" dxfId="993" priority="943" operator="lessThan">
      <formula>0.333333333333333</formula>
    </cfRule>
    <cfRule type="cellIs" dxfId="992" priority="944" operator="greaterThan">
      <formula>0.333333333333333</formula>
    </cfRule>
  </conditionalFormatting>
  <conditionalFormatting sqref="AM65">
    <cfRule type="cellIs" dxfId="991" priority="941" operator="lessThan">
      <formula>0.333333333333333</formula>
    </cfRule>
    <cfRule type="cellIs" dxfId="990" priority="942" operator="greaterThan">
      <formula>0.333333333333333</formula>
    </cfRule>
  </conditionalFormatting>
  <conditionalFormatting sqref="N61">
    <cfRule type="cellIs" dxfId="989" priority="939" operator="lessThan">
      <formula>0.333333333333333</formula>
    </cfRule>
    <cfRule type="cellIs" dxfId="988" priority="940" operator="greaterThan">
      <formula>0.333333333333333</formula>
    </cfRule>
  </conditionalFormatting>
  <conditionalFormatting sqref="S61">
    <cfRule type="cellIs" dxfId="987" priority="937" operator="lessThan">
      <formula>0.333333333333333</formula>
    </cfRule>
    <cfRule type="cellIs" dxfId="986" priority="938" operator="greaterThan">
      <formula>0.333333333333333</formula>
    </cfRule>
  </conditionalFormatting>
  <conditionalFormatting sqref="X61">
    <cfRule type="cellIs" dxfId="985" priority="935" operator="lessThan">
      <formula>0.333333333333333</formula>
    </cfRule>
    <cfRule type="cellIs" dxfId="984" priority="936" operator="greaterThan">
      <formula>0.333333333333333</formula>
    </cfRule>
  </conditionalFormatting>
  <conditionalFormatting sqref="AC61">
    <cfRule type="cellIs" dxfId="983" priority="933" operator="lessThan">
      <formula>0.333333333333333</formula>
    </cfRule>
    <cfRule type="cellIs" dxfId="982" priority="934" operator="greaterThan">
      <formula>0.333333333333333</formula>
    </cfRule>
  </conditionalFormatting>
  <conditionalFormatting sqref="AH61">
    <cfRule type="cellIs" dxfId="981" priority="931" operator="lessThan">
      <formula>0.333333333333333</formula>
    </cfRule>
    <cfRule type="cellIs" dxfId="980" priority="932" operator="greaterThan">
      <formula>0.333333333333333</formula>
    </cfRule>
  </conditionalFormatting>
  <conditionalFormatting sqref="AM61">
    <cfRule type="cellIs" dxfId="979" priority="929" operator="lessThan">
      <formula>0.333333333333333</formula>
    </cfRule>
    <cfRule type="cellIs" dxfId="978" priority="930" operator="greaterThan">
      <formula>0.333333333333333</formula>
    </cfRule>
  </conditionalFormatting>
  <conditionalFormatting sqref="N60">
    <cfRule type="cellIs" dxfId="977" priority="927" operator="lessThan">
      <formula>0.333333333333333</formula>
    </cfRule>
    <cfRule type="cellIs" dxfId="976" priority="928" operator="greaterThan">
      <formula>0.333333333333333</formula>
    </cfRule>
  </conditionalFormatting>
  <conditionalFormatting sqref="S60">
    <cfRule type="cellIs" dxfId="975" priority="925" operator="lessThan">
      <formula>0.333333333333333</formula>
    </cfRule>
    <cfRule type="cellIs" dxfId="974" priority="926" operator="greaterThan">
      <formula>0.333333333333333</formula>
    </cfRule>
  </conditionalFormatting>
  <conditionalFormatting sqref="X60">
    <cfRule type="cellIs" dxfId="973" priority="923" operator="lessThan">
      <formula>0.333333333333333</formula>
    </cfRule>
    <cfRule type="cellIs" dxfId="972" priority="924" operator="greaterThan">
      <formula>0.333333333333333</formula>
    </cfRule>
  </conditionalFormatting>
  <conditionalFormatting sqref="AC60">
    <cfRule type="cellIs" dxfId="971" priority="921" operator="lessThan">
      <formula>0.333333333333333</formula>
    </cfRule>
    <cfRule type="cellIs" dxfId="970" priority="922" operator="greaterThan">
      <formula>0.333333333333333</formula>
    </cfRule>
  </conditionalFormatting>
  <conditionalFormatting sqref="AH60">
    <cfRule type="cellIs" dxfId="969" priority="919" operator="lessThan">
      <formula>0.333333333333333</formula>
    </cfRule>
    <cfRule type="cellIs" dxfId="968" priority="920" operator="greaterThan">
      <formula>0.333333333333333</formula>
    </cfRule>
  </conditionalFormatting>
  <conditionalFormatting sqref="AM60">
    <cfRule type="cellIs" dxfId="967" priority="917" operator="lessThan">
      <formula>0.333333333333333</formula>
    </cfRule>
    <cfRule type="cellIs" dxfId="966" priority="918" operator="greaterThan">
      <formula>0.333333333333333</formula>
    </cfRule>
  </conditionalFormatting>
  <conditionalFormatting sqref="N15">
    <cfRule type="cellIs" dxfId="965" priority="915" operator="lessThan">
      <formula>0.333333333333333</formula>
    </cfRule>
    <cfRule type="cellIs" dxfId="964" priority="916" operator="greaterThan">
      <formula>0.333333333333333</formula>
    </cfRule>
  </conditionalFormatting>
  <conditionalFormatting sqref="S15">
    <cfRule type="cellIs" dxfId="963" priority="913" operator="lessThan">
      <formula>0.333333333333333</formula>
    </cfRule>
    <cfRule type="cellIs" dxfId="962" priority="914" operator="greaterThan">
      <formula>0.333333333333333</formula>
    </cfRule>
  </conditionalFormatting>
  <conditionalFormatting sqref="AC15">
    <cfRule type="cellIs" dxfId="961" priority="911" operator="lessThan">
      <formula>0.333333333333333</formula>
    </cfRule>
    <cfRule type="cellIs" dxfId="960" priority="912" operator="greaterThan">
      <formula>0.333333333333333</formula>
    </cfRule>
  </conditionalFormatting>
  <conditionalFormatting sqref="S15">
    <cfRule type="cellIs" dxfId="959" priority="909" operator="lessThan">
      <formula>0.333333333333333</formula>
    </cfRule>
    <cfRule type="cellIs" dxfId="958" priority="910" operator="greaterThan">
      <formula>0.333333333333333</formula>
    </cfRule>
  </conditionalFormatting>
  <conditionalFormatting sqref="AC15">
    <cfRule type="cellIs" dxfId="957" priority="907" operator="lessThan">
      <formula>0.333333333333333</formula>
    </cfRule>
    <cfRule type="cellIs" dxfId="956" priority="908" operator="greaterThan">
      <formula>0.333333333333333</formula>
    </cfRule>
  </conditionalFormatting>
  <conditionalFormatting sqref="N28">
    <cfRule type="cellIs" dxfId="955" priority="905" operator="lessThan">
      <formula>0.333333333333333</formula>
    </cfRule>
    <cfRule type="cellIs" dxfId="954" priority="906" operator="greaterThan">
      <formula>0.333333333333333</formula>
    </cfRule>
  </conditionalFormatting>
  <conditionalFormatting sqref="S28">
    <cfRule type="cellIs" dxfId="953" priority="903" operator="lessThan">
      <formula>0.333333333333333</formula>
    </cfRule>
    <cfRule type="cellIs" dxfId="952" priority="904" operator="greaterThan">
      <formula>0.333333333333333</formula>
    </cfRule>
  </conditionalFormatting>
  <conditionalFormatting sqref="X28">
    <cfRule type="cellIs" dxfId="951" priority="901" operator="lessThan">
      <formula>0.333333333333333</formula>
    </cfRule>
    <cfRule type="cellIs" dxfId="950" priority="902" operator="greaterThan">
      <formula>0.333333333333333</formula>
    </cfRule>
  </conditionalFormatting>
  <conditionalFormatting sqref="AC28">
    <cfRule type="cellIs" dxfId="949" priority="899" operator="lessThan">
      <formula>0.333333333333333</formula>
    </cfRule>
    <cfRule type="cellIs" dxfId="948" priority="900" operator="greaterThan">
      <formula>0.333333333333333</formula>
    </cfRule>
  </conditionalFormatting>
  <conditionalFormatting sqref="S28">
    <cfRule type="cellIs" dxfId="947" priority="897" operator="lessThan">
      <formula>0.333333333333333</formula>
    </cfRule>
    <cfRule type="cellIs" dxfId="946" priority="898" operator="greaterThan">
      <formula>0.333333333333333</formula>
    </cfRule>
  </conditionalFormatting>
  <conditionalFormatting sqref="X28">
    <cfRule type="cellIs" dxfId="945" priority="895" operator="lessThan">
      <formula>0.333333333333333</formula>
    </cfRule>
    <cfRule type="cellIs" dxfId="944" priority="896" operator="greaterThan">
      <formula>0.333333333333333</formula>
    </cfRule>
  </conditionalFormatting>
  <conditionalFormatting sqref="AC28">
    <cfRule type="cellIs" dxfId="943" priority="893" operator="lessThan">
      <formula>0.333333333333333</formula>
    </cfRule>
    <cfRule type="cellIs" dxfId="942" priority="894" operator="greaterThan">
      <formula>0.333333333333333</formula>
    </cfRule>
  </conditionalFormatting>
  <conditionalFormatting sqref="N47">
    <cfRule type="cellIs" dxfId="941" priority="891" operator="lessThan">
      <formula>0.333333333333333</formula>
    </cfRule>
    <cfRule type="cellIs" dxfId="940" priority="892" operator="greaterThan">
      <formula>0.333333333333333</formula>
    </cfRule>
  </conditionalFormatting>
  <conditionalFormatting sqref="S47">
    <cfRule type="cellIs" dxfId="939" priority="889" operator="lessThan">
      <formula>0.333333333333333</formula>
    </cfRule>
    <cfRule type="cellIs" dxfId="938" priority="890" operator="greaterThan">
      <formula>0.333333333333333</formula>
    </cfRule>
  </conditionalFormatting>
  <conditionalFormatting sqref="X47">
    <cfRule type="cellIs" dxfId="937" priority="887" operator="lessThan">
      <formula>0.333333333333333</formula>
    </cfRule>
    <cfRule type="cellIs" dxfId="936" priority="888" operator="greaterThan">
      <formula>0.333333333333333</formula>
    </cfRule>
  </conditionalFormatting>
  <conditionalFormatting sqref="AC47">
    <cfRule type="cellIs" dxfId="935" priority="885" operator="lessThan">
      <formula>0.333333333333333</formula>
    </cfRule>
    <cfRule type="cellIs" dxfId="934" priority="886" operator="greaterThan">
      <formula>0.333333333333333</formula>
    </cfRule>
  </conditionalFormatting>
  <conditionalFormatting sqref="S47">
    <cfRule type="cellIs" dxfId="933" priority="883" operator="lessThan">
      <formula>0.333333333333333</formula>
    </cfRule>
    <cfRule type="cellIs" dxfId="932" priority="884" operator="greaterThan">
      <formula>0.333333333333333</formula>
    </cfRule>
  </conditionalFormatting>
  <conditionalFormatting sqref="X47">
    <cfRule type="cellIs" dxfId="931" priority="881" operator="lessThan">
      <formula>0.333333333333333</formula>
    </cfRule>
    <cfRule type="cellIs" dxfId="930" priority="882" operator="greaterThan">
      <formula>0.333333333333333</formula>
    </cfRule>
  </conditionalFormatting>
  <conditionalFormatting sqref="AC47">
    <cfRule type="cellIs" dxfId="929" priority="879" operator="lessThan">
      <formula>0.333333333333333</formula>
    </cfRule>
    <cfRule type="cellIs" dxfId="928" priority="880" operator="greaterThan">
      <formula>0.333333333333333</formula>
    </cfRule>
  </conditionalFormatting>
  <conditionalFormatting sqref="N55">
    <cfRule type="cellIs" dxfId="927" priority="877" operator="lessThan">
      <formula>0.333333333333333</formula>
    </cfRule>
    <cfRule type="cellIs" dxfId="926" priority="878" operator="greaterThan">
      <formula>0.333333333333333</formula>
    </cfRule>
  </conditionalFormatting>
  <conditionalFormatting sqref="S55">
    <cfRule type="cellIs" dxfId="925" priority="875" operator="lessThan">
      <formula>0.333333333333333</formula>
    </cfRule>
    <cfRule type="cellIs" dxfId="924" priority="876" operator="greaterThan">
      <formula>0.333333333333333</formula>
    </cfRule>
  </conditionalFormatting>
  <conditionalFormatting sqref="X55">
    <cfRule type="cellIs" dxfId="923" priority="873" operator="lessThan">
      <formula>0.333333333333333</formula>
    </cfRule>
    <cfRule type="cellIs" dxfId="922" priority="874" operator="greaterThan">
      <formula>0.333333333333333</formula>
    </cfRule>
  </conditionalFormatting>
  <conditionalFormatting sqref="AC55">
    <cfRule type="cellIs" dxfId="921" priority="871" operator="lessThan">
      <formula>0.333333333333333</formula>
    </cfRule>
    <cfRule type="cellIs" dxfId="920" priority="872" operator="greaterThan">
      <formula>0.333333333333333</formula>
    </cfRule>
  </conditionalFormatting>
  <conditionalFormatting sqref="S55">
    <cfRule type="cellIs" dxfId="919" priority="869" operator="lessThan">
      <formula>0.333333333333333</formula>
    </cfRule>
    <cfRule type="cellIs" dxfId="918" priority="870" operator="greaterThan">
      <formula>0.333333333333333</formula>
    </cfRule>
  </conditionalFormatting>
  <conditionalFormatting sqref="X55">
    <cfRule type="cellIs" dxfId="917" priority="867" operator="lessThan">
      <formula>0.333333333333333</formula>
    </cfRule>
    <cfRule type="cellIs" dxfId="916" priority="868" operator="greaterThan">
      <formula>0.333333333333333</formula>
    </cfRule>
  </conditionalFormatting>
  <conditionalFormatting sqref="AC55">
    <cfRule type="cellIs" dxfId="915" priority="865" operator="lessThan">
      <formula>0.333333333333333</formula>
    </cfRule>
    <cfRule type="cellIs" dxfId="914" priority="866" operator="greaterThan">
      <formula>0.333333333333333</formula>
    </cfRule>
  </conditionalFormatting>
  <conditionalFormatting sqref="S81">
    <cfRule type="cellIs" dxfId="913" priority="863" operator="lessThan">
      <formula>0.333333333333333</formula>
    </cfRule>
    <cfRule type="cellIs" dxfId="912" priority="864" operator="greaterThan">
      <formula>0.333333333333333</formula>
    </cfRule>
  </conditionalFormatting>
  <conditionalFormatting sqref="X81">
    <cfRule type="cellIs" dxfId="911" priority="861" operator="lessThan">
      <formula>0.333333333333333</formula>
    </cfRule>
    <cfRule type="cellIs" dxfId="910" priority="862" operator="greaterThan">
      <formula>0.333333333333333</formula>
    </cfRule>
  </conditionalFormatting>
  <conditionalFormatting sqref="AC81">
    <cfRule type="cellIs" dxfId="909" priority="859" operator="lessThan">
      <formula>0.333333333333333</formula>
    </cfRule>
    <cfRule type="cellIs" dxfId="908" priority="860" operator="greaterThan">
      <formula>0.333333333333333</formula>
    </cfRule>
  </conditionalFormatting>
  <conditionalFormatting sqref="AH81">
    <cfRule type="cellIs" dxfId="907" priority="857" operator="lessThan">
      <formula>0.333333333333333</formula>
    </cfRule>
    <cfRule type="cellIs" dxfId="906" priority="858" operator="greaterThan">
      <formula>0.333333333333333</formula>
    </cfRule>
  </conditionalFormatting>
  <conditionalFormatting sqref="S81">
    <cfRule type="cellIs" dxfId="905" priority="855" operator="lessThan">
      <formula>0.333333333333333</formula>
    </cfRule>
    <cfRule type="cellIs" dxfId="904" priority="856" operator="greaterThan">
      <formula>0.333333333333333</formula>
    </cfRule>
  </conditionalFormatting>
  <conditionalFormatting sqref="X81">
    <cfRule type="cellIs" dxfId="903" priority="853" operator="lessThan">
      <formula>0.333333333333333</formula>
    </cfRule>
    <cfRule type="cellIs" dxfId="902" priority="854" operator="greaterThan">
      <formula>0.333333333333333</formula>
    </cfRule>
  </conditionalFormatting>
  <conditionalFormatting sqref="AC81">
    <cfRule type="cellIs" dxfId="901" priority="851" operator="lessThan">
      <formula>0.333333333333333</formula>
    </cfRule>
    <cfRule type="cellIs" dxfId="900" priority="852" operator="greaterThan">
      <formula>0.333333333333333</formula>
    </cfRule>
  </conditionalFormatting>
  <conditionalFormatting sqref="AH81">
    <cfRule type="cellIs" dxfId="899" priority="849" operator="lessThan">
      <formula>0.333333333333333</formula>
    </cfRule>
    <cfRule type="cellIs" dxfId="898" priority="850" operator="greaterThan">
      <formula>0.333333333333333</formula>
    </cfRule>
  </conditionalFormatting>
  <conditionalFormatting sqref="N84">
    <cfRule type="cellIs" dxfId="897" priority="847" operator="lessThan">
      <formula>0.333333333333333</formula>
    </cfRule>
    <cfRule type="cellIs" dxfId="896" priority="848" operator="greaterThan">
      <formula>0.333333333333333</formula>
    </cfRule>
  </conditionalFormatting>
  <conditionalFormatting sqref="S84">
    <cfRule type="cellIs" dxfId="895" priority="845" operator="lessThan">
      <formula>0.333333333333333</formula>
    </cfRule>
    <cfRule type="cellIs" dxfId="894" priority="846" operator="greaterThan">
      <formula>0.333333333333333</formula>
    </cfRule>
  </conditionalFormatting>
  <conditionalFormatting sqref="X84">
    <cfRule type="cellIs" dxfId="893" priority="843" operator="lessThan">
      <formula>0.333333333333333</formula>
    </cfRule>
    <cfRule type="cellIs" dxfId="892" priority="844" operator="greaterThan">
      <formula>0.333333333333333</formula>
    </cfRule>
  </conditionalFormatting>
  <conditionalFormatting sqref="AC84">
    <cfRule type="cellIs" dxfId="891" priority="841" operator="lessThan">
      <formula>0.333333333333333</formula>
    </cfRule>
    <cfRule type="cellIs" dxfId="890" priority="842" operator="greaterThan">
      <formula>0.333333333333333</formula>
    </cfRule>
  </conditionalFormatting>
  <conditionalFormatting sqref="S84">
    <cfRule type="cellIs" dxfId="889" priority="839" operator="lessThan">
      <formula>0.333333333333333</formula>
    </cfRule>
    <cfRule type="cellIs" dxfId="888" priority="840" operator="greaterThan">
      <formula>0.333333333333333</formula>
    </cfRule>
  </conditionalFormatting>
  <conditionalFormatting sqref="X84">
    <cfRule type="cellIs" dxfId="887" priority="837" operator="lessThan">
      <formula>0.333333333333333</formula>
    </cfRule>
    <cfRule type="cellIs" dxfId="886" priority="838" operator="greaterThan">
      <formula>0.333333333333333</formula>
    </cfRule>
  </conditionalFormatting>
  <conditionalFormatting sqref="AC84">
    <cfRule type="cellIs" dxfId="885" priority="835" operator="lessThan">
      <formula>0.333333333333333</formula>
    </cfRule>
    <cfRule type="cellIs" dxfId="884" priority="836" operator="greaterThan">
      <formula>0.333333333333333</formula>
    </cfRule>
  </conditionalFormatting>
  <conditionalFormatting sqref="N16">
    <cfRule type="cellIs" dxfId="883" priority="833" operator="lessThan">
      <formula>0.333333333333333</formula>
    </cfRule>
    <cfRule type="cellIs" dxfId="882" priority="834" operator="greaterThan">
      <formula>0.333333333333333</formula>
    </cfRule>
  </conditionalFormatting>
  <conditionalFormatting sqref="S16">
    <cfRule type="cellIs" dxfId="881" priority="831" operator="lessThan">
      <formula>0.333333333333333</formula>
    </cfRule>
    <cfRule type="cellIs" dxfId="880" priority="832" operator="greaterThan">
      <formula>0.333333333333333</formula>
    </cfRule>
  </conditionalFormatting>
  <conditionalFormatting sqref="AC16">
    <cfRule type="cellIs" dxfId="879" priority="829" operator="lessThan">
      <formula>0.333333333333333</formula>
    </cfRule>
    <cfRule type="cellIs" dxfId="878" priority="830" operator="greaterThan">
      <formula>0.333333333333333</formula>
    </cfRule>
  </conditionalFormatting>
  <conditionalFormatting sqref="AH16">
    <cfRule type="cellIs" dxfId="877" priority="827" operator="lessThan">
      <formula>0.333333333333333</formula>
    </cfRule>
    <cfRule type="cellIs" dxfId="876" priority="828" operator="greaterThan">
      <formula>0.333333333333333</formula>
    </cfRule>
  </conditionalFormatting>
  <conditionalFormatting sqref="AM16">
    <cfRule type="cellIs" dxfId="875" priority="825" operator="lessThan">
      <formula>0.333333333333333</formula>
    </cfRule>
    <cfRule type="cellIs" dxfId="874" priority="826" operator="greaterThan">
      <formula>0.333333333333333</formula>
    </cfRule>
  </conditionalFormatting>
  <conditionalFormatting sqref="N23">
    <cfRule type="cellIs" dxfId="873" priority="823" operator="lessThan">
      <formula>0.333333333333333</formula>
    </cfRule>
    <cfRule type="cellIs" dxfId="872" priority="824" operator="greaterThan">
      <formula>0.333333333333333</formula>
    </cfRule>
  </conditionalFormatting>
  <conditionalFormatting sqref="S23">
    <cfRule type="cellIs" dxfId="871" priority="821" operator="lessThan">
      <formula>0.333333333333333</formula>
    </cfRule>
    <cfRule type="cellIs" dxfId="870" priority="822" operator="greaterThan">
      <formula>0.333333333333333</formula>
    </cfRule>
  </conditionalFormatting>
  <conditionalFormatting sqref="X23">
    <cfRule type="cellIs" dxfId="869" priority="819" operator="lessThan">
      <formula>0.333333333333333</formula>
    </cfRule>
    <cfRule type="cellIs" dxfId="868" priority="820" operator="greaterThan">
      <formula>0.333333333333333</formula>
    </cfRule>
  </conditionalFormatting>
  <conditionalFormatting sqref="AC23">
    <cfRule type="cellIs" dxfId="867" priority="817" operator="lessThan">
      <formula>0.333333333333333</formula>
    </cfRule>
    <cfRule type="cellIs" dxfId="866" priority="818" operator="greaterThan">
      <formula>0.333333333333333</formula>
    </cfRule>
  </conditionalFormatting>
  <conditionalFormatting sqref="S23">
    <cfRule type="cellIs" dxfId="865" priority="815" operator="lessThan">
      <formula>0.333333333333333</formula>
    </cfRule>
    <cfRule type="cellIs" dxfId="864" priority="816" operator="greaterThan">
      <formula>0.333333333333333</formula>
    </cfRule>
  </conditionalFormatting>
  <conditionalFormatting sqref="X23">
    <cfRule type="cellIs" dxfId="863" priority="813" operator="lessThan">
      <formula>0.333333333333333</formula>
    </cfRule>
    <cfRule type="cellIs" dxfId="862" priority="814" operator="greaterThan">
      <formula>0.333333333333333</formula>
    </cfRule>
  </conditionalFormatting>
  <conditionalFormatting sqref="AC23">
    <cfRule type="cellIs" dxfId="861" priority="811" operator="lessThan">
      <formula>0.333333333333333</formula>
    </cfRule>
    <cfRule type="cellIs" dxfId="860" priority="812" operator="greaterThan">
      <formula>0.333333333333333</formula>
    </cfRule>
  </conditionalFormatting>
  <conditionalFormatting sqref="N59">
    <cfRule type="cellIs" dxfId="859" priority="809" operator="lessThan">
      <formula>0.333333333333333</formula>
    </cfRule>
    <cfRule type="cellIs" dxfId="858" priority="810" operator="greaterThan">
      <formula>0.333333333333333</formula>
    </cfRule>
  </conditionalFormatting>
  <conditionalFormatting sqref="N94">
    <cfRule type="cellIs" dxfId="857" priority="807" operator="lessThan">
      <formula>0.333333333333333</formula>
    </cfRule>
    <cfRule type="cellIs" dxfId="856" priority="808" operator="greaterThan">
      <formula>0.333333333333333</formula>
    </cfRule>
  </conditionalFormatting>
  <conditionalFormatting sqref="AC94">
    <cfRule type="cellIs" dxfId="855" priority="805" operator="lessThan">
      <formula>0.333333333333333</formula>
    </cfRule>
    <cfRule type="cellIs" dxfId="854" priority="806" operator="greaterThan">
      <formula>0.333333333333333</formula>
    </cfRule>
  </conditionalFormatting>
  <conditionalFormatting sqref="N85">
    <cfRule type="cellIs" dxfId="853" priority="803" operator="lessThan">
      <formula>0.333333333333333</formula>
    </cfRule>
    <cfRule type="cellIs" dxfId="852" priority="804" operator="greaterThan">
      <formula>0.333333333333333</formula>
    </cfRule>
  </conditionalFormatting>
  <conditionalFormatting sqref="S85">
    <cfRule type="cellIs" dxfId="851" priority="801" operator="lessThan">
      <formula>0.333333333333333</formula>
    </cfRule>
    <cfRule type="cellIs" dxfId="850" priority="802" operator="greaterThan">
      <formula>0.333333333333333</formula>
    </cfRule>
  </conditionalFormatting>
  <conditionalFormatting sqref="AC85">
    <cfRule type="cellIs" dxfId="849" priority="799" operator="lessThan">
      <formula>0.333333333333333</formula>
    </cfRule>
    <cfRule type="cellIs" dxfId="848" priority="800" operator="greaterThan">
      <formula>0.333333333333333</formula>
    </cfRule>
  </conditionalFormatting>
  <conditionalFormatting sqref="AH15">
    <cfRule type="cellIs" dxfId="847" priority="797" operator="lessThan">
      <formula>0.333333333333333</formula>
    </cfRule>
    <cfRule type="cellIs" dxfId="846" priority="798" operator="greaterThan">
      <formula>0.333333333333333</formula>
    </cfRule>
  </conditionalFormatting>
  <conditionalFormatting sqref="AH15">
    <cfRule type="cellIs" dxfId="845" priority="795" operator="lessThan">
      <formula>0.333333333333333</formula>
    </cfRule>
    <cfRule type="cellIs" dxfId="844" priority="796" operator="greaterThan">
      <formula>0.333333333333333</formula>
    </cfRule>
  </conditionalFormatting>
  <conditionalFormatting sqref="AH15">
    <cfRule type="cellIs" dxfId="843" priority="793" operator="lessThan">
      <formula>0.333333333333333</formula>
    </cfRule>
    <cfRule type="cellIs" dxfId="842" priority="794" operator="greaterThan">
      <formula>0.333333333333333</formula>
    </cfRule>
  </conditionalFormatting>
  <conditionalFormatting sqref="AH15">
    <cfRule type="cellIs" dxfId="841" priority="791" operator="lessThan">
      <formula>0.333333333333333</formula>
    </cfRule>
    <cfRule type="cellIs" dxfId="840" priority="792" operator="greaterThan">
      <formula>0.333333333333333</formula>
    </cfRule>
  </conditionalFormatting>
  <conditionalFormatting sqref="AH84">
    <cfRule type="cellIs" dxfId="839" priority="789" operator="lessThan">
      <formula>0.333333333333333</formula>
    </cfRule>
    <cfRule type="cellIs" dxfId="838" priority="790" operator="greaterThan">
      <formula>0.333333333333333</formula>
    </cfRule>
  </conditionalFormatting>
  <conditionalFormatting sqref="AH84">
    <cfRule type="cellIs" dxfId="837" priority="787" operator="lessThan">
      <formula>0.333333333333333</formula>
    </cfRule>
    <cfRule type="cellIs" dxfId="836" priority="788" operator="greaterThan">
      <formula>0.333333333333333</formula>
    </cfRule>
  </conditionalFormatting>
  <conditionalFormatting sqref="AH84">
    <cfRule type="cellIs" dxfId="835" priority="785" operator="lessThan">
      <formula>0.333333333333333</formula>
    </cfRule>
    <cfRule type="cellIs" dxfId="834" priority="786" operator="greaterThan">
      <formula>0.333333333333333</formula>
    </cfRule>
  </conditionalFormatting>
  <conditionalFormatting sqref="AH84">
    <cfRule type="cellIs" dxfId="833" priority="783" operator="lessThan">
      <formula>0.333333333333333</formula>
    </cfRule>
    <cfRule type="cellIs" dxfId="832" priority="784" operator="greaterThan">
      <formula>0.333333333333333</formula>
    </cfRule>
  </conditionalFormatting>
  <conditionalFormatting sqref="AM77:AM78 AM59">
    <cfRule type="cellIs" dxfId="831" priority="781" operator="lessThan">
      <formula>0.333333333333333</formula>
    </cfRule>
    <cfRule type="cellIs" dxfId="830" priority="782" operator="greaterThan">
      <formula>0.333333333333333</formula>
    </cfRule>
  </conditionalFormatting>
  <conditionalFormatting sqref="AH83">
    <cfRule type="cellIs" dxfId="829" priority="779" operator="lessThan">
      <formula>0.333333333333333</formula>
    </cfRule>
    <cfRule type="cellIs" dxfId="828" priority="780" operator="greaterThan">
      <formula>0.333333333333333</formula>
    </cfRule>
  </conditionalFormatting>
  <conditionalFormatting sqref="AH55">
    <cfRule type="cellIs" dxfId="827" priority="777" operator="lessThan">
      <formula>0.333333333333333</formula>
    </cfRule>
    <cfRule type="cellIs" dxfId="826" priority="778" operator="greaterThan">
      <formula>0.333333333333333</formula>
    </cfRule>
  </conditionalFormatting>
  <conditionalFormatting sqref="AH55">
    <cfRule type="cellIs" dxfId="825" priority="775" operator="lessThan">
      <formula>0.333333333333333</formula>
    </cfRule>
    <cfRule type="cellIs" dxfId="824" priority="776" operator="greaterThan">
      <formula>0.333333333333333</formula>
    </cfRule>
  </conditionalFormatting>
  <conditionalFormatting sqref="AH55">
    <cfRule type="cellIs" dxfId="823" priority="773" operator="lessThan">
      <formula>0.333333333333333</formula>
    </cfRule>
    <cfRule type="cellIs" dxfId="822" priority="774" operator="greaterThan">
      <formula>0.333333333333333</formula>
    </cfRule>
  </conditionalFormatting>
  <conditionalFormatting sqref="AH55">
    <cfRule type="cellIs" dxfId="821" priority="771" operator="lessThan">
      <formula>0.333333333333333</formula>
    </cfRule>
    <cfRule type="cellIs" dxfId="820" priority="772" operator="greaterThan">
      <formula>0.333333333333333</formula>
    </cfRule>
  </conditionalFormatting>
  <conditionalFormatting sqref="AH47">
    <cfRule type="cellIs" dxfId="819" priority="769" operator="lessThan">
      <formula>0.333333333333333</formula>
    </cfRule>
    <cfRule type="cellIs" dxfId="818" priority="770" operator="greaterThan">
      <formula>0.333333333333333</formula>
    </cfRule>
  </conditionalFormatting>
  <conditionalFormatting sqref="AH47">
    <cfRule type="cellIs" dxfId="817" priority="767" operator="lessThan">
      <formula>0.333333333333333</formula>
    </cfRule>
    <cfRule type="cellIs" dxfId="816" priority="768" operator="greaterThan">
      <formula>0.333333333333333</formula>
    </cfRule>
  </conditionalFormatting>
  <conditionalFormatting sqref="AH47">
    <cfRule type="cellIs" dxfId="815" priority="765" operator="lessThan">
      <formula>0.333333333333333</formula>
    </cfRule>
    <cfRule type="cellIs" dxfId="814" priority="766" operator="greaterThan">
      <formula>0.333333333333333</formula>
    </cfRule>
  </conditionalFormatting>
  <conditionalFormatting sqref="AH47">
    <cfRule type="cellIs" dxfId="813" priority="763" operator="lessThan">
      <formula>0.333333333333333</formula>
    </cfRule>
    <cfRule type="cellIs" dxfId="812" priority="764" operator="greaterThan">
      <formula>0.333333333333333</formula>
    </cfRule>
  </conditionalFormatting>
  <conditionalFormatting sqref="AM47 AM28 AM23">
    <cfRule type="cellIs" dxfId="811" priority="761" operator="lessThan">
      <formula>0.333333333333333</formula>
    </cfRule>
    <cfRule type="cellIs" dxfId="810" priority="762" operator="greaterThan">
      <formula>0.333333333333333</formula>
    </cfRule>
  </conditionalFormatting>
  <conditionalFormatting sqref="AM47 AM28 AM23">
    <cfRule type="cellIs" dxfId="809" priority="759" operator="lessThan">
      <formula>0.333333333333333</formula>
    </cfRule>
    <cfRule type="cellIs" dxfId="808" priority="760" operator="greaterThan">
      <formula>0.333333333333333</formula>
    </cfRule>
  </conditionalFormatting>
  <conditionalFormatting sqref="AM55">
    <cfRule type="cellIs" dxfId="807" priority="757" operator="lessThan">
      <formula>0.333333333333333</formula>
    </cfRule>
    <cfRule type="cellIs" dxfId="806" priority="758" operator="greaterThan">
      <formula>0.333333333333333</formula>
    </cfRule>
  </conditionalFormatting>
  <conditionalFormatting sqref="AM55">
    <cfRule type="cellIs" dxfId="805" priority="755" operator="lessThan">
      <formula>0.333333333333333</formula>
    </cfRule>
    <cfRule type="cellIs" dxfId="804" priority="756" operator="greaterThan">
      <formula>0.333333333333333</formula>
    </cfRule>
  </conditionalFormatting>
  <conditionalFormatting sqref="AH78">
    <cfRule type="cellIs" dxfId="803" priority="753" operator="lessThan">
      <formula>0.333333333333333</formula>
    </cfRule>
    <cfRule type="cellIs" dxfId="802" priority="754" operator="greaterThan">
      <formula>0.333333333333333</formula>
    </cfRule>
  </conditionalFormatting>
  <conditionalFormatting sqref="AH77">
    <cfRule type="cellIs" dxfId="801" priority="751" operator="lessThan">
      <formula>0.333333333333333</formula>
    </cfRule>
    <cfRule type="cellIs" dxfId="800" priority="752" operator="greaterThan">
      <formula>0.333333333333333</formula>
    </cfRule>
  </conditionalFormatting>
  <conditionalFormatting sqref="AH28">
    <cfRule type="cellIs" dxfId="799" priority="749" operator="lessThan">
      <formula>0.333333333333333</formula>
    </cfRule>
    <cfRule type="cellIs" dxfId="798" priority="750" operator="greaterThan">
      <formula>0.333333333333333</formula>
    </cfRule>
  </conditionalFormatting>
  <conditionalFormatting sqref="AH28">
    <cfRule type="cellIs" dxfId="797" priority="747" operator="lessThan">
      <formula>0.333333333333333</formula>
    </cfRule>
    <cfRule type="cellIs" dxfId="796" priority="748" operator="greaterThan">
      <formula>0.333333333333333</formula>
    </cfRule>
  </conditionalFormatting>
  <conditionalFormatting sqref="AH28">
    <cfRule type="cellIs" dxfId="795" priority="745" operator="lessThan">
      <formula>0.333333333333333</formula>
    </cfRule>
    <cfRule type="cellIs" dxfId="794" priority="746" operator="greaterThan">
      <formula>0.333333333333333</formula>
    </cfRule>
  </conditionalFormatting>
  <conditionalFormatting sqref="AH28">
    <cfRule type="cellIs" dxfId="793" priority="743" operator="lessThan">
      <formula>0.333333333333333</formula>
    </cfRule>
    <cfRule type="cellIs" dxfId="792" priority="744" operator="greaterThan">
      <formula>0.333333333333333</formula>
    </cfRule>
  </conditionalFormatting>
  <conditionalFormatting sqref="AH23">
    <cfRule type="cellIs" dxfId="791" priority="741" operator="lessThan">
      <formula>0.333333333333333</formula>
    </cfRule>
    <cfRule type="cellIs" dxfId="790" priority="742" operator="greaterThan">
      <formula>0.333333333333333</formula>
    </cfRule>
  </conditionalFormatting>
  <conditionalFormatting sqref="AH23">
    <cfRule type="cellIs" dxfId="789" priority="739" operator="lessThan">
      <formula>0.333333333333333</formula>
    </cfRule>
    <cfRule type="cellIs" dxfId="788" priority="740" operator="greaterThan">
      <formula>0.333333333333333</formula>
    </cfRule>
  </conditionalFormatting>
  <conditionalFormatting sqref="AH23">
    <cfRule type="cellIs" dxfId="787" priority="737" operator="lessThan">
      <formula>0.333333333333333</formula>
    </cfRule>
    <cfRule type="cellIs" dxfId="786" priority="738" operator="greaterThan">
      <formula>0.333333333333333</formula>
    </cfRule>
  </conditionalFormatting>
  <conditionalFormatting sqref="AH23">
    <cfRule type="cellIs" dxfId="785" priority="735" operator="lessThan">
      <formula>0.333333333333333</formula>
    </cfRule>
    <cfRule type="cellIs" dxfId="784" priority="736" operator="greaterThan">
      <formula>0.333333333333333</formula>
    </cfRule>
  </conditionalFormatting>
  <conditionalFormatting sqref="X68">
    <cfRule type="cellIs" dxfId="783" priority="733" operator="lessThan">
      <formula>0.333333333333333</formula>
    </cfRule>
    <cfRule type="cellIs" dxfId="782" priority="734" operator="greaterThan">
      <formula>0.333333333333333</formula>
    </cfRule>
  </conditionalFormatting>
  <conditionalFormatting sqref="AM75">
    <cfRule type="cellIs" dxfId="781" priority="731" operator="lessThan">
      <formula>0.333333333333333</formula>
    </cfRule>
    <cfRule type="cellIs" dxfId="780" priority="732" operator="greaterThan">
      <formula>0.333333333333333</formula>
    </cfRule>
  </conditionalFormatting>
  <conditionalFormatting sqref="AM50">
    <cfRule type="cellIs" dxfId="779" priority="729" operator="lessThan">
      <formula>0.333333333333333</formula>
    </cfRule>
    <cfRule type="cellIs" dxfId="778" priority="730" operator="greaterThan">
      <formula>0.333333333333333</formula>
    </cfRule>
  </conditionalFormatting>
  <conditionalFormatting sqref="AH91">
    <cfRule type="cellIs" dxfId="777" priority="727" operator="lessThan">
      <formula>0.333333333333333</formula>
    </cfRule>
    <cfRule type="cellIs" dxfId="776" priority="728" operator="greaterThan">
      <formula>0.333333333333333</formula>
    </cfRule>
  </conditionalFormatting>
  <conditionalFormatting sqref="AM91">
    <cfRule type="cellIs" dxfId="775" priority="725" operator="lessThan">
      <formula>0.333333333333333</formula>
    </cfRule>
    <cfRule type="cellIs" dxfId="774" priority="726" operator="greaterThan">
      <formula>0.333333333333333</formula>
    </cfRule>
  </conditionalFormatting>
  <conditionalFormatting sqref="AM14">
    <cfRule type="cellIs" dxfId="773" priority="723" operator="lessThan">
      <formula>0.333333333333333</formula>
    </cfRule>
    <cfRule type="cellIs" dxfId="772" priority="724" operator="greaterThan">
      <formula>0.333333333333333</formula>
    </cfRule>
  </conditionalFormatting>
  <conditionalFormatting sqref="AM14">
    <cfRule type="cellIs" dxfId="771" priority="721" operator="lessThan">
      <formula>0.333333333333333</formula>
    </cfRule>
    <cfRule type="cellIs" dxfId="770" priority="722" operator="greaterThan">
      <formula>0.333333333333333</formula>
    </cfRule>
  </conditionalFormatting>
  <conditionalFormatting sqref="AC14">
    <cfRule type="cellIs" dxfId="769" priority="719" operator="lessThan">
      <formula>0.333333333333333</formula>
    </cfRule>
    <cfRule type="cellIs" dxfId="768" priority="720" operator="greaterThan">
      <formula>0.333333333333333</formula>
    </cfRule>
  </conditionalFormatting>
  <conditionalFormatting sqref="AC14">
    <cfRule type="cellIs" dxfId="767" priority="717" operator="lessThan">
      <formula>0.333333333333333</formula>
    </cfRule>
    <cfRule type="cellIs" dxfId="766" priority="718" operator="greaterThan">
      <formula>0.333333333333333</formula>
    </cfRule>
  </conditionalFormatting>
  <conditionalFormatting sqref="AM25">
    <cfRule type="cellIs" dxfId="765" priority="715" operator="lessThan">
      <formula>0.333333333333333</formula>
    </cfRule>
    <cfRule type="cellIs" dxfId="764" priority="716" operator="greaterThan">
      <formula>0.333333333333333</formula>
    </cfRule>
  </conditionalFormatting>
  <conditionalFormatting sqref="AC25">
    <cfRule type="cellIs" dxfId="763" priority="713" operator="lessThan">
      <formula>0.333333333333333</formula>
    </cfRule>
    <cfRule type="cellIs" dxfId="762" priority="714" operator="greaterThan">
      <formula>0.333333333333333</formula>
    </cfRule>
  </conditionalFormatting>
  <conditionalFormatting sqref="I17">
    <cfRule type="cellIs" dxfId="761" priority="711" operator="lessThan">
      <formula>0.333333333333333</formula>
    </cfRule>
    <cfRule type="cellIs" dxfId="760" priority="712" operator="greaterThan">
      <formula>0.333333333333333</formula>
    </cfRule>
  </conditionalFormatting>
  <conditionalFormatting sqref="N17">
    <cfRule type="cellIs" dxfId="759" priority="709" operator="lessThan">
      <formula>0.333333333333333</formula>
    </cfRule>
    <cfRule type="cellIs" dxfId="758" priority="710" operator="greaterThan">
      <formula>0.333333333333333</formula>
    </cfRule>
  </conditionalFormatting>
  <conditionalFormatting sqref="S17">
    <cfRule type="cellIs" dxfId="757" priority="707" operator="lessThan">
      <formula>0.333333333333333</formula>
    </cfRule>
    <cfRule type="cellIs" dxfId="756" priority="708" operator="greaterThan">
      <formula>0.333333333333333</formula>
    </cfRule>
  </conditionalFormatting>
  <conditionalFormatting sqref="X17">
    <cfRule type="cellIs" dxfId="755" priority="705" operator="lessThan">
      <formula>0.333333333333333</formula>
    </cfRule>
    <cfRule type="cellIs" dxfId="754" priority="706" operator="greaterThan">
      <formula>0.333333333333333</formula>
    </cfRule>
  </conditionalFormatting>
  <conditionalFormatting sqref="AC17">
    <cfRule type="cellIs" dxfId="753" priority="703" operator="lessThan">
      <formula>0.333333333333333</formula>
    </cfRule>
    <cfRule type="cellIs" dxfId="752" priority="704" operator="greaterThan">
      <formula>0.333333333333333</formula>
    </cfRule>
  </conditionalFormatting>
  <conditionalFormatting sqref="AH17">
    <cfRule type="cellIs" dxfId="751" priority="701" operator="lessThan">
      <formula>0.333333333333333</formula>
    </cfRule>
    <cfRule type="cellIs" dxfId="750" priority="702" operator="greaterThan">
      <formula>0.333333333333333</formula>
    </cfRule>
  </conditionalFormatting>
  <conditionalFormatting sqref="S17">
    <cfRule type="cellIs" dxfId="749" priority="699" operator="lessThan">
      <formula>0.333333333333333</formula>
    </cfRule>
    <cfRule type="cellIs" dxfId="748" priority="700" operator="greaterThan">
      <formula>0.333333333333333</formula>
    </cfRule>
  </conditionalFormatting>
  <conditionalFormatting sqref="X17">
    <cfRule type="cellIs" dxfId="747" priority="697" operator="lessThan">
      <formula>0.333333333333333</formula>
    </cfRule>
    <cfRule type="cellIs" dxfId="746" priority="698" operator="greaterThan">
      <formula>0.333333333333333</formula>
    </cfRule>
  </conditionalFormatting>
  <conditionalFormatting sqref="I4">
    <cfRule type="cellIs" dxfId="745" priority="695" operator="lessThan">
      <formula>0.333333333333333</formula>
    </cfRule>
    <cfRule type="cellIs" dxfId="744" priority="696" operator="greaterThan">
      <formula>0.333333333333333</formula>
    </cfRule>
  </conditionalFormatting>
  <conditionalFormatting sqref="N4">
    <cfRule type="cellIs" dxfId="743" priority="693" operator="lessThan">
      <formula>0.333333333333333</formula>
    </cfRule>
    <cfRule type="cellIs" dxfId="742" priority="694" operator="greaterThan">
      <formula>0.333333333333333</formula>
    </cfRule>
  </conditionalFormatting>
  <conditionalFormatting sqref="AC4">
    <cfRule type="cellIs" dxfId="741" priority="691" operator="lessThan">
      <formula>0.333333333333333</formula>
    </cfRule>
    <cfRule type="cellIs" dxfId="740" priority="692" operator="greaterThan">
      <formula>0.333333333333333</formula>
    </cfRule>
  </conditionalFormatting>
  <conditionalFormatting sqref="AH4">
    <cfRule type="cellIs" dxfId="739" priority="689" operator="lessThan">
      <formula>0.333333333333333</formula>
    </cfRule>
    <cfRule type="cellIs" dxfId="738" priority="690" operator="greaterThan">
      <formula>0.333333333333333</formula>
    </cfRule>
  </conditionalFormatting>
  <conditionalFormatting sqref="I71">
    <cfRule type="cellIs" dxfId="737" priority="687" operator="lessThan">
      <formula>0.333333333333333</formula>
    </cfRule>
    <cfRule type="cellIs" dxfId="736" priority="688" operator="greaterThan">
      <formula>0.333333333333333</formula>
    </cfRule>
  </conditionalFormatting>
  <conditionalFormatting sqref="N71">
    <cfRule type="cellIs" dxfId="735" priority="685" operator="lessThan">
      <formula>0.333333333333333</formula>
    </cfRule>
    <cfRule type="cellIs" dxfId="734" priority="686" operator="greaterThan">
      <formula>0.333333333333333</formula>
    </cfRule>
  </conditionalFormatting>
  <conditionalFormatting sqref="X71">
    <cfRule type="cellIs" dxfId="733" priority="683" operator="lessThan">
      <formula>0.333333333333333</formula>
    </cfRule>
    <cfRule type="cellIs" dxfId="732" priority="684" operator="greaterThan">
      <formula>0.333333333333333</formula>
    </cfRule>
  </conditionalFormatting>
  <conditionalFormatting sqref="AC71">
    <cfRule type="cellIs" dxfId="731" priority="681" operator="lessThan">
      <formula>0.333333333333333</formula>
    </cfRule>
    <cfRule type="cellIs" dxfId="730" priority="682" operator="greaterThan">
      <formula>0.333333333333333</formula>
    </cfRule>
  </conditionalFormatting>
  <conditionalFormatting sqref="S71">
    <cfRule type="cellIs" dxfId="729" priority="679" operator="lessThan">
      <formula>0.333333333333333</formula>
    </cfRule>
    <cfRule type="cellIs" dxfId="728" priority="680" operator="greaterThan">
      <formula>0.333333333333333</formula>
    </cfRule>
  </conditionalFormatting>
  <conditionalFormatting sqref="N53">
    <cfRule type="cellIs" dxfId="727" priority="677" operator="lessThan">
      <formula>0.333333333333333</formula>
    </cfRule>
    <cfRule type="cellIs" dxfId="726" priority="678" operator="greaterThan">
      <formula>0.333333333333333</formula>
    </cfRule>
  </conditionalFormatting>
  <conditionalFormatting sqref="S53">
    <cfRule type="cellIs" dxfId="725" priority="675" operator="lessThan">
      <formula>0.333333333333333</formula>
    </cfRule>
    <cfRule type="cellIs" dxfId="724" priority="676" operator="greaterThan">
      <formula>0.333333333333333</formula>
    </cfRule>
  </conditionalFormatting>
  <conditionalFormatting sqref="N53">
    <cfRule type="cellIs" dxfId="723" priority="673" operator="lessThan">
      <formula>0.333333333333333</formula>
    </cfRule>
    <cfRule type="cellIs" dxfId="722" priority="674" operator="greaterThan">
      <formula>0.333333333333333</formula>
    </cfRule>
  </conditionalFormatting>
  <conditionalFormatting sqref="S53">
    <cfRule type="cellIs" dxfId="721" priority="671" operator="lessThan">
      <formula>0.333333333333333</formula>
    </cfRule>
    <cfRule type="cellIs" dxfId="720" priority="672" operator="greaterThan">
      <formula>0.333333333333333</formula>
    </cfRule>
  </conditionalFormatting>
  <conditionalFormatting sqref="X4">
    <cfRule type="cellIs" dxfId="719" priority="669" operator="lessThan">
      <formula>0.333333333333333</formula>
    </cfRule>
    <cfRule type="cellIs" dxfId="718" priority="670" operator="greaterThan">
      <formula>0.333333333333333</formula>
    </cfRule>
  </conditionalFormatting>
  <conditionalFormatting sqref="X4">
    <cfRule type="cellIs" dxfId="717" priority="667" operator="lessThan">
      <formula>0.333333333333333</formula>
    </cfRule>
    <cfRule type="cellIs" dxfId="716" priority="668" operator="greaterThan">
      <formula>0.333333333333333</formula>
    </cfRule>
  </conditionalFormatting>
  <conditionalFormatting sqref="S4">
    <cfRule type="cellIs" dxfId="715" priority="665" operator="lessThan">
      <formula>0.333333333333333</formula>
    </cfRule>
    <cfRule type="cellIs" dxfId="714" priority="666" operator="greaterThan">
      <formula>0.333333333333333</formula>
    </cfRule>
  </conditionalFormatting>
  <conditionalFormatting sqref="N97">
    <cfRule type="cellIs" dxfId="713" priority="663" operator="lessThan">
      <formula>0.333333333333333</formula>
    </cfRule>
    <cfRule type="cellIs" dxfId="712" priority="664" operator="greaterThan">
      <formula>0.333333333333333</formula>
    </cfRule>
  </conditionalFormatting>
  <conditionalFormatting sqref="N98">
    <cfRule type="cellIs" dxfId="711" priority="661" operator="lessThan">
      <formula>0.333333333333333</formula>
    </cfRule>
    <cfRule type="cellIs" dxfId="710" priority="662" operator="greaterThan">
      <formula>0.333333333333333</formula>
    </cfRule>
  </conditionalFormatting>
  <conditionalFormatting sqref="N99">
    <cfRule type="cellIs" dxfId="709" priority="659" operator="lessThan">
      <formula>0.333333333333333</formula>
    </cfRule>
    <cfRule type="cellIs" dxfId="708" priority="660" operator="greaterThan">
      <formula>0.333333333333333</formula>
    </cfRule>
  </conditionalFormatting>
  <conditionalFormatting sqref="N100">
    <cfRule type="cellIs" dxfId="707" priority="657" operator="lessThan">
      <formula>0.333333333333333</formula>
    </cfRule>
    <cfRule type="cellIs" dxfId="706" priority="658" operator="greaterThan">
      <formula>0.333333333333333</formula>
    </cfRule>
  </conditionalFormatting>
  <conditionalFormatting sqref="S101:S104">
    <cfRule type="cellIs" dxfId="705" priority="655" operator="lessThan">
      <formula>0.333333333333333</formula>
    </cfRule>
    <cfRule type="cellIs" dxfId="704" priority="656" operator="greaterThan">
      <formula>0.333333333333333</formula>
    </cfRule>
  </conditionalFormatting>
  <conditionalFormatting sqref="S97:S100">
    <cfRule type="cellIs" dxfId="703" priority="653" operator="lessThan">
      <formula>0.333333333333333</formula>
    </cfRule>
    <cfRule type="cellIs" dxfId="702" priority="654" operator="greaterThan">
      <formula>0.333333333333333</formula>
    </cfRule>
  </conditionalFormatting>
  <conditionalFormatting sqref="S105:S108">
    <cfRule type="cellIs" dxfId="701" priority="651" operator="lessThan">
      <formula>0.333333333333333</formula>
    </cfRule>
    <cfRule type="cellIs" dxfId="700" priority="652" operator="greaterThan">
      <formula>0.333333333333333</formula>
    </cfRule>
  </conditionalFormatting>
  <conditionalFormatting sqref="X105:X108">
    <cfRule type="cellIs" dxfId="699" priority="649" operator="lessThan">
      <formula>0.333333333333333</formula>
    </cfRule>
    <cfRule type="cellIs" dxfId="698" priority="650" operator="greaterThan">
      <formula>0.333333333333333</formula>
    </cfRule>
  </conditionalFormatting>
  <conditionalFormatting sqref="AC105:AC112">
    <cfRule type="cellIs" dxfId="697" priority="647" operator="lessThan">
      <formula>0.333333333333333</formula>
    </cfRule>
    <cfRule type="cellIs" dxfId="696" priority="648" operator="greaterThan">
      <formula>0.333333333333333</formula>
    </cfRule>
  </conditionalFormatting>
  <conditionalFormatting sqref="X109:X112">
    <cfRule type="cellIs" dxfId="695" priority="645" operator="lessThan">
      <formula>0.333333333333333</formula>
    </cfRule>
    <cfRule type="cellIs" dxfId="694" priority="646" operator="greaterThan">
      <formula>0.333333333333333</formula>
    </cfRule>
  </conditionalFormatting>
  <conditionalFormatting sqref="AC113:AC117">
    <cfRule type="cellIs" dxfId="693" priority="643" operator="lessThan">
      <formula>0.333333333333333</formula>
    </cfRule>
    <cfRule type="cellIs" dxfId="692" priority="644" operator="greaterThan">
      <formula>0.333333333333333</formula>
    </cfRule>
  </conditionalFormatting>
  <conditionalFormatting sqref="X113:X117">
    <cfRule type="cellIs" dxfId="691" priority="641" operator="lessThan">
      <formula>0.333333333333333</formula>
    </cfRule>
    <cfRule type="cellIs" dxfId="690" priority="642" operator="greaterThan">
      <formula>0.333333333333333</formula>
    </cfRule>
  </conditionalFormatting>
  <conditionalFormatting sqref="S7">
    <cfRule type="cellIs" dxfId="689" priority="639" operator="lessThan">
      <formula>0.333333333333333</formula>
    </cfRule>
    <cfRule type="cellIs" dxfId="688" priority="640" operator="greaterThan">
      <formula>0.333333333333333</formula>
    </cfRule>
  </conditionalFormatting>
  <conditionalFormatting sqref="X7">
    <cfRule type="cellIs" dxfId="687" priority="637" operator="lessThan">
      <formula>0.333333333333333</formula>
    </cfRule>
    <cfRule type="cellIs" dxfId="686" priority="638" operator="greaterThan">
      <formula>0.333333333333333</formula>
    </cfRule>
  </conditionalFormatting>
  <conditionalFormatting sqref="S7">
    <cfRule type="cellIs" dxfId="685" priority="635" operator="lessThan">
      <formula>0.333333333333333</formula>
    </cfRule>
    <cfRule type="cellIs" dxfId="684" priority="636" operator="greaterThan">
      <formula>0.333333333333333</formula>
    </cfRule>
  </conditionalFormatting>
  <conditionalFormatting sqref="X7">
    <cfRule type="cellIs" dxfId="683" priority="633" operator="lessThan">
      <formula>0.333333333333333</formula>
    </cfRule>
    <cfRule type="cellIs" dxfId="682" priority="634" operator="greaterThan">
      <formula>0.333333333333333</formula>
    </cfRule>
  </conditionalFormatting>
  <conditionalFormatting sqref="X9">
    <cfRule type="cellIs" dxfId="681" priority="631" operator="lessThan">
      <formula>0.333333333333333</formula>
    </cfRule>
    <cfRule type="cellIs" dxfId="680" priority="632" operator="greaterThan">
      <formula>0.333333333333333</formula>
    </cfRule>
  </conditionalFormatting>
  <conditionalFormatting sqref="X59">
    <cfRule type="cellIs" dxfId="679" priority="629" operator="lessThan">
      <formula>0.333333333333333</formula>
    </cfRule>
    <cfRule type="cellIs" dxfId="678" priority="630" operator="greaterThan">
      <formula>0.333333333333333</formula>
    </cfRule>
  </conditionalFormatting>
  <conditionalFormatting sqref="AC59">
    <cfRule type="cellIs" dxfId="677" priority="627" operator="lessThan">
      <formula>0.333333333333333</formula>
    </cfRule>
    <cfRule type="cellIs" dxfId="676" priority="628" operator="greaterThan">
      <formula>0.333333333333333</formula>
    </cfRule>
  </conditionalFormatting>
  <conditionalFormatting sqref="X59">
    <cfRule type="cellIs" dxfId="675" priority="625" operator="lessThan">
      <formula>0.333333333333333</formula>
    </cfRule>
    <cfRule type="cellIs" dxfId="674" priority="626" operator="greaterThan">
      <formula>0.333333333333333</formula>
    </cfRule>
  </conditionalFormatting>
  <conditionalFormatting sqref="AC59">
    <cfRule type="cellIs" dxfId="673" priority="623" operator="lessThan">
      <formula>0.333333333333333</formula>
    </cfRule>
    <cfRule type="cellIs" dxfId="672" priority="624" operator="greaterThan">
      <formula>0.333333333333333</formula>
    </cfRule>
  </conditionalFormatting>
  <conditionalFormatting sqref="AH59">
    <cfRule type="cellIs" dxfId="671" priority="621" operator="lessThan">
      <formula>0.333333333333333</formula>
    </cfRule>
    <cfRule type="cellIs" dxfId="670" priority="622" operator="greaterThan">
      <formula>0.333333333333333</formula>
    </cfRule>
  </conditionalFormatting>
  <conditionalFormatting sqref="AH59">
    <cfRule type="cellIs" dxfId="669" priority="619" operator="lessThan">
      <formula>0.333333333333333</formula>
    </cfRule>
    <cfRule type="cellIs" dxfId="668" priority="620" operator="greaterThan">
      <formula>0.333333333333333</formula>
    </cfRule>
  </conditionalFormatting>
  <conditionalFormatting sqref="X101:X104">
    <cfRule type="cellIs" dxfId="667" priority="617" operator="lessThan">
      <formula>0.333333333333333</formula>
    </cfRule>
    <cfRule type="cellIs" dxfId="666" priority="618" operator="greaterThan">
      <formula>0.333333333333333</formula>
    </cfRule>
  </conditionalFormatting>
  <conditionalFormatting sqref="AH14">
    <cfRule type="cellIs" dxfId="665" priority="615" operator="lessThan">
      <formula>0.333333333333333</formula>
    </cfRule>
    <cfRule type="cellIs" dxfId="664" priority="616" operator="greaterThan">
      <formula>0.333333333333333</formula>
    </cfRule>
  </conditionalFormatting>
  <conditionalFormatting sqref="AH14">
    <cfRule type="cellIs" dxfId="663" priority="613" operator="lessThan">
      <formula>0.333333333333333</formula>
    </cfRule>
    <cfRule type="cellIs" dxfId="662" priority="614" operator="greaterThan">
      <formula>0.333333333333333</formula>
    </cfRule>
  </conditionalFormatting>
  <conditionalFormatting sqref="X14">
    <cfRule type="cellIs" dxfId="661" priority="611" operator="lessThan">
      <formula>0.333333333333333</formula>
    </cfRule>
    <cfRule type="cellIs" dxfId="660" priority="612" operator="greaterThan">
      <formula>0.333333333333333</formula>
    </cfRule>
  </conditionalFormatting>
  <conditionalFormatting sqref="X14">
    <cfRule type="cellIs" dxfId="659" priority="609" operator="lessThan">
      <formula>0.333333333333333</formula>
    </cfRule>
    <cfRule type="cellIs" dxfId="658" priority="610" operator="greaterThan">
      <formula>0.333333333333333</formula>
    </cfRule>
  </conditionalFormatting>
  <conditionalFormatting sqref="X16">
    <cfRule type="cellIs" dxfId="657" priority="607" operator="lessThan">
      <formula>0.333333333333333</formula>
    </cfRule>
    <cfRule type="cellIs" dxfId="656" priority="608" operator="greaterThan">
      <formula>0.333333333333333</formula>
    </cfRule>
  </conditionalFormatting>
  <conditionalFormatting sqref="X16">
    <cfRule type="cellIs" dxfId="655" priority="605" operator="lessThan">
      <formula>0.333333333333333</formula>
    </cfRule>
    <cfRule type="cellIs" dxfId="654" priority="606" operator="greaterThan">
      <formula>0.333333333333333</formula>
    </cfRule>
  </conditionalFormatting>
  <conditionalFormatting sqref="AH25">
    <cfRule type="cellIs" dxfId="653" priority="603" operator="lessThan">
      <formula>0.333333333333333</formula>
    </cfRule>
    <cfRule type="cellIs" dxfId="652" priority="604" operator="greaterThan">
      <formula>0.333333333333333</formula>
    </cfRule>
  </conditionalFormatting>
  <conditionalFormatting sqref="X25">
    <cfRule type="cellIs" dxfId="651" priority="601" operator="lessThan">
      <formula>0.333333333333333</formula>
    </cfRule>
    <cfRule type="cellIs" dxfId="650" priority="602" operator="greaterThan">
      <formula>0.333333333333333</formula>
    </cfRule>
  </conditionalFormatting>
  <conditionalFormatting sqref="AH68">
    <cfRule type="cellIs" dxfId="649" priority="599" operator="lessThan">
      <formula>0.333333333333333</formula>
    </cfRule>
    <cfRule type="cellIs" dxfId="648" priority="600" operator="greaterThan">
      <formula>0.333333333333333</formula>
    </cfRule>
  </conditionalFormatting>
  <conditionalFormatting sqref="AM68">
    <cfRule type="cellIs" dxfId="647" priority="597" operator="lessThan">
      <formula>0.333333333333333</formula>
    </cfRule>
    <cfRule type="cellIs" dxfId="646" priority="598" operator="greaterThan">
      <formula>0.333333333333333</formula>
    </cfRule>
  </conditionalFormatting>
  <conditionalFormatting sqref="AM68">
    <cfRule type="cellIs" dxfId="645" priority="595" operator="lessThan">
      <formula>0.333333333333333</formula>
    </cfRule>
    <cfRule type="cellIs" dxfId="644" priority="596" operator="greaterThan">
      <formula>0.333333333333333</formula>
    </cfRule>
  </conditionalFormatting>
  <conditionalFormatting sqref="AC68">
    <cfRule type="cellIs" dxfId="643" priority="593" operator="lessThan">
      <formula>0.333333333333333</formula>
    </cfRule>
    <cfRule type="cellIs" dxfId="642" priority="594" operator="greaterThan">
      <formula>0.333333333333333</formula>
    </cfRule>
  </conditionalFormatting>
  <conditionalFormatting sqref="AC68">
    <cfRule type="cellIs" dxfId="641" priority="591" operator="lessThan">
      <formula>0.333333333333333</formula>
    </cfRule>
    <cfRule type="cellIs" dxfId="640" priority="592" operator="greaterThan">
      <formula>0.333333333333333</formula>
    </cfRule>
  </conditionalFormatting>
  <conditionalFormatting sqref="I64">
    <cfRule type="cellIs" dxfId="639" priority="589" operator="lessThan">
      <formula>0.333333333333333</formula>
    </cfRule>
    <cfRule type="cellIs" dxfId="638" priority="590" operator="greaterThan">
      <formula>0.333333333333333</formula>
    </cfRule>
  </conditionalFormatting>
  <conditionalFormatting sqref="S64">
    <cfRule type="cellIs" dxfId="637" priority="587" operator="lessThan">
      <formula>0.333333333333333</formula>
    </cfRule>
    <cfRule type="cellIs" dxfId="636" priority="588" operator="greaterThan">
      <formula>0.333333333333333</formula>
    </cfRule>
  </conditionalFormatting>
  <conditionalFormatting sqref="N88">
    <cfRule type="cellIs" dxfId="635" priority="585" operator="lessThan">
      <formula>0.333333333333333</formula>
    </cfRule>
    <cfRule type="cellIs" dxfId="634" priority="586" operator="greaterThan">
      <formula>0.333333333333333</formula>
    </cfRule>
  </conditionalFormatting>
  <conditionalFormatting sqref="S88">
    <cfRule type="cellIs" dxfId="633" priority="583" operator="lessThan">
      <formula>0.333333333333333</formula>
    </cfRule>
    <cfRule type="cellIs" dxfId="632" priority="584" operator="greaterThan">
      <formula>0.333333333333333</formula>
    </cfRule>
  </conditionalFormatting>
  <conditionalFormatting sqref="X88">
    <cfRule type="cellIs" dxfId="631" priority="581" operator="lessThan">
      <formula>0.333333333333333</formula>
    </cfRule>
    <cfRule type="cellIs" dxfId="630" priority="582" operator="greaterThan">
      <formula>0.333333333333333</formula>
    </cfRule>
  </conditionalFormatting>
  <conditionalFormatting sqref="AC88">
    <cfRule type="cellIs" dxfId="629" priority="579" operator="lessThan">
      <formula>0.333333333333333</formula>
    </cfRule>
    <cfRule type="cellIs" dxfId="628" priority="580" operator="greaterThan">
      <formula>0.333333333333333</formula>
    </cfRule>
  </conditionalFormatting>
  <conditionalFormatting sqref="AH88">
    <cfRule type="cellIs" dxfId="627" priority="577" operator="lessThan">
      <formula>0.333333333333333</formula>
    </cfRule>
    <cfRule type="cellIs" dxfId="626" priority="578" operator="greaterThan">
      <formula>0.333333333333333</formula>
    </cfRule>
  </conditionalFormatting>
  <conditionalFormatting sqref="AM88">
    <cfRule type="cellIs" dxfId="625" priority="575" operator="lessThan">
      <formula>0.333333333333333</formula>
    </cfRule>
    <cfRule type="cellIs" dxfId="624" priority="576" operator="greaterThan">
      <formula>0.333333333333333</formula>
    </cfRule>
  </conditionalFormatting>
  <conditionalFormatting sqref="AH97:AH117">
    <cfRule type="cellIs" dxfId="623" priority="573" operator="lessThan">
      <formula>0.333333333333333</formula>
    </cfRule>
    <cfRule type="cellIs" dxfId="622" priority="574" operator="greaterThan">
      <formula>0.333333333333333</formula>
    </cfRule>
  </conditionalFormatting>
  <conditionalFormatting sqref="AH24">
    <cfRule type="cellIs" dxfId="621" priority="571" operator="lessThan">
      <formula>0.333333333333333</formula>
    </cfRule>
    <cfRule type="cellIs" dxfId="620" priority="572" operator="greaterThan">
      <formula>0.333333333333333</formula>
    </cfRule>
  </conditionalFormatting>
  <conditionalFormatting sqref="AM24">
    <cfRule type="cellIs" dxfId="619" priority="569" operator="lessThan">
      <formula>0.333333333333333</formula>
    </cfRule>
    <cfRule type="cellIs" dxfId="618" priority="570" operator="greaterThan">
      <formula>0.333333333333333</formula>
    </cfRule>
  </conditionalFormatting>
  <conditionalFormatting sqref="AH92">
    <cfRule type="cellIs" dxfId="617" priority="567" operator="lessThan">
      <formula>0.333333333333333</formula>
    </cfRule>
    <cfRule type="cellIs" dxfId="616" priority="568" operator="greaterThan">
      <formula>0.333333333333333</formula>
    </cfRule>
  </conditionalFormatting>
  <conditionalFormatting sqref="AM92">
    <cfRule type="cellIs" dxfId="615" priority="565" operator="lessThan">
      <formula>0.333333333333333</formula>
    </cfRule>
    <cfRule type="cellIs" dxfId="614" priority="566" operator="greaterThan">
      <formula>0.333333333333333</formula>
    </cfRule>
  </conditionalFormatting>
  <conditionalFormatting sqref="AH96">
    <cfRule type="cellIs" dxfId="613" priority="563" operator="lessThan">
      <formula>0.333333333333333</formula>
    </cfRule>
    <cfRule type="cellIs" dxfId="612" priority="564" operator="greaterThan">
      <formula>0.333333333333333</formula>
    </cfRule>
  </conditionalFormatting>
  <conditionalFormatting sqref="X96 X94 X85 X82">
    <cfRule type="cellIs" dxfId="611" priority="561" operator="lessThan">
      <formula>0.333333333333333</formula>
    </cfRule>
    <cfRule type="cellIs" dxfId="610" priority="562" operator="greaterThan">
      <formula>0.333333333333333</formula>
    </cfRule>
  </conditionalFormatting>
  <conditionalFormatting sqref="AH94">
    <cfRule type="cellIs" dxfId="609" priority="559" operator="lessThan">
      <formula>0.333333333333333</formula>
    </cfRule>
    <cfRule type="cellIs" dxfId="608" priority="560" operator="greaterThan">
      <formula>0.333333333333333</formula>
    </cfRule>
  </conditionalFormatting>
  <conditionalFormatting sqref="AH94">
    <cfRule type="cellIs" dxfId="607" priority="557" operator="lessThan">
      <formula>0.333333333333333</formula>
    </cfRule>
    <cfRule type="cellIs" dxfId="606" priority="558" operator="greaterThan">
      <formula>0.333333333333333</formula>
    </cfRule>
  </conditionalFormatting>
  <conditionalFormatting sqref="AH82">
    <cfRule type="cellIs" dxfId="605" priority="555" operator="lessThan">
      <formula>0.333333333333333</formula>
    </cfRule>
    <cfRule type="cellIs" dxfId="604" priority="556" operator="greaterThan">
      <formula>0.333333333333333</formula>
    </cfRule>
  </conditionalFormatting>
  <conditionalFormatting sqref="AH85">
    <cfRule type="cellIs" dxfId="603" priority="553" operator="lessThan">
      <formula>0.333333333333333</formula>
    </cfRule>
    <cfRule type="cellIs" dxfId="602" priority="554" operator="greaterThan">
      <formula>0.333333333333333</formula>
    </cfRule>
  </conditionalFormatting>
  <conditionalFormatting sqref="AC56">
    <cfRule type="cellIs" dxfId="601" priority="551" operator="lessThan">
      <formula>0.333333333333333</formula>
    </cfRule>
    <cfRule type="cellIs" dxfId="600" priority="552" operator="greaterThan">
      <formula>0.333333333333333</formula>
    </cfRule>
  </conditionalFormatting>
  <conditionalFormatting sqref="AH56">
    <cfRule type="cellIs" dxfId="599" priority="549" operator="lessThan">
      <formula>0.333333333333333</formula>
    </cfRule>
    <cfRule type="cellIs" dxfId="598" priority="550" operator="greaterThan">
      <formula>0.333333333333333</formula>
    </cfRule>
  </conditionalFormatting>
  <conditionalFormatting sqref="AC56">
    <cfRule type="cellIs" dxfId="597" priority="547" operator="lessThan">
      <formula>0.333333333333333</formula>
    </cfRule>
    <cfRule type="cellIs" dxfId="596" priority="548" operator="greaterThan">
      <formula>0.333333333333333</formula>
    </cfRule>
  </conditionalFormatting>
  <conditionalFormatting sqref="AH56">
    <cfRule type="cellIs" dxfId="595" priority="545" operator="lessThan">
      <formula>0.333333333333333</formula>
    </cfRule>
    <cfRule type="cellIs" dxfId="594" priority="546" operator="greaterThan">
      <formula>0.333333333333333</formula>
    </cfRule>
  </conditionalFormatting>
  <conditionalFormatting sqref="X56">
    <cfRule type="cellIs" dxfId="593" priority="543" operator="lessThan">
      <formula>0.333333333333333</formula>
    </cfRule>
    <cfRule type="cellIs" dxfId="592" priority="544" operator="greaterThan">
      <formula>0.333333333333333</formula>
    </cfRule>
  </conditionalFormatting>
  <conditionalFormatting sqref="X56">
    <cfRule type="cellIs" dxfId="591" priority="541" operator="lessThan">
      <formula>0.333333333333333</formula>
    </cfRule>
    <cfRule type="cellIs" dxfId="590" priority="542" operator="greaterThan">
      <formula>0.333333333333333</formula>
    </cfRule>
  </conditionalFormatting>
  <conditionalFormatting sqref="AH70">
    <cfRule type="cellIs" dxfId="589" priority="539" operator="lessThan">
      <formula>0.333333333333333</formula>
    </cfRule>
    <cfRule type="cellIs" dxfId="588" priority="540" operator="greaterThan">
      <formula>0.333333333333333</formula>
    </cfRule>
  </conditionalFormatting>
  <conditionalFormatting sqref="X70 X66">
    <cfRule type="cellIs" dxfId="587" priority="537" operator="lessThan">
      <formula>0.333333333333333</formula>
    </cfRule>
    <cfRule type="cellIs" dxfId="586" priority="538" operator="greaterThan">
      <formula>0.333333333333333</formula>
    </cfRule>
  </conditionalFormatting>
  <conditionalFormatting sqref="X22">
    <cfRule type="cellIs" dxfId="585" priority="535" operator="lessThan">
      <formula>0.333333333333333</formula>
    </cfRule>
    <cfRule type="cellIs" dxfId="584" priority="536" operator="greaterThan">
      <formula>0.333333333333333</formula>
    </cfRule>
  </conditionalFormatting>
  <conditionalFormatting sqref="X22">
    <cfRule type="cellIs" dxfId="583" priority="533" operator="lessThan">
      <formula>0.333333333333333</formula>
    </cfRule>
    <cfRule type="cellIs" dxfId="582" priority="534" operator="greaterThan">
      <formula>0.333333333333333</formula>
    </cfRule>
  </conditionalFormatting>
  <conditionalFormatting sqref="AH66">
    <cfRule type="cellIs" dxfId="581" priority="531" operator="lessThan">
      <formula>0.333333333333333</formula>
    </cfRule>
    <cfRule type="cellIs" dxfId="580" priority="532" operator="greaterThan">
      <formula>0.333333333333333</formula>
    </cfRule>
  </conditionalFormatting>
  <conditionalFormatting sqref="AH38">
    <cfRule type="cellIs" dxfId="579" priority="529" operator="lessThan">
      <formula>0.333333333333333</formula>
    </cfRule>
    <cfRule type="cellIs" dxfId="578" priority="530" operator="greaterThan">
      <formula>0.333333333333333</formula>
    </cfRule>
  </conditionalFormatting>
  <conditionalFormatting sqref="X38">
    <cfRule type="cellIs" dxfId="577" priority="527" operator="lessThan">
      <formula>0.333333333333333</formula>
    </cfRule>
    <cfRule type="cellIs" dxfId="576" priority="528" operator="greaterThan">
      <formula>0.333333333333333</formula>
    </cfRule>
  </conditionalFormatting>
  <conditionalFormatting sqref="AM95">
    <cfRule type="cellIs" dxfId="575" priority="525" operator="lessThan">
      <formula>0.333333333333333</formula>
    </cfRule>
    <cfRule type="cellIs" dxfId="574" priority="526" operator="greaterThan">
      <formula>0.333333333333333</formula>
    </cfRule>
  </conditionalFormatting>
  <conditionalFormatting sqref="I95">
    <cfRule type="cellIs" dxfId="573" priority="523" operator="lessThan">
      <formula>0.333333333333333</formula>
    </cfRule>
    <cfRule type="cellIs" dxfId="572" priority="524" operator="greaterThan">
      <formula>0.333333333333333</formula>
    </cfRule>
  </conditionalFormatting>
  <conditionalFormatting sqref="AM94">
    <cfRule type="cellIs" dxfId="571" priority="521" operator="lessThan">
      <formula>0.333333333333333</formula>
    </cfRule>
    <cfRule type="cellIs" dxfId="570" priority="522" operator="greaterThan">
      <formula>0.333333333333333</formula>
    </cfRule>
  </conditionalFormatting>
  <conditionalFormatting sqref="AM85">
    <cfRule type="cellIs" dxfId="569" priority="519" operator="lessThan">
      <formula>0.333333333333333</formula>
    </cfRule>
    <cfRule type="cellIs" dxfId="568" priority="520" operator="greaterThan">
      <formula>0.333333333333333</formula>
    </cfRule>
  </conditionalFormatting>
  <conditionalFormatting sqref="I84:I85">
    <cfRule type="cellIs" dxfId="567" priority="517" operator="lessThan">
      <formula>0.333333333333333</formula>
    </cfRule>
    <cfRule type="cellIs" dxfId="566" priority="518" operator="greaterThan">
      <formula>0.333333333333333</formula>
    </cfRule>
  </conditionalFormatting>
  <conditionalFormatting sqref="AM84">
    <cfRule type="cellIs" dxfId="565" priority="515" operator="lessThan">
      <formula>0.333333333333333</formula>
    </cfRule>
    <cfRule type="cellIs" dxfId="564" priority="516" operator="greaterThan">
      <formula>0.333333333333333</formula>
    </cfRule>
  </conditionalFormatting>
  <conditionalFormatting sqref="AM89">
    <cfRule type="cellIs" dxfId="563" priority="513" operator="lessThan">
      <formula>0.333333333333333</formula>
    </cfRule>
    <cfRule type="cellIs" dxfId="562" priority="514" operator="greaterThan">
      <formula>0.333333333333333</formula>
    </cfRule>
  </conditionalFormatting>
  <conditionalFormatting sqref="N89 N83">
    <cfRule type="cellIs" dxfId="561" priority="511" operator="lessThan">
      <formula>0.333333333333333</formula>
    </cfRule>
    <cfRule type="cellIs" dxfId="560" priority="512" operator="greaterThan">
      <formula>0.333333333333333</formula>
    </cfRule>
  </conditionalFormatting>
  <conditionalFormatting sqref="AM83">
    <cfRule type="cellIs" dxfId="559" priority="509" operator="lessThan">
      <formula>0.333333333333333</formula>
    </cfRule>
    <cfRule type="cellIs" dxfId="558" priority="510" operator="greaterThan">
      <formula>0.333333333333333</formula>
    </cfRule>
  </conditionalFormatting>
  <conditionalFormatting sqref="AM81">
    <cfRule type="cellIs" dxfId="557" priority="507" operator="lessThan">
      <formula>0.333333333333333</formula>
    </cfRule>
    <cfRule type="cellIs" dxfId="556" priority="508" operator="greaterThan">
      <formula>0.333333333333333</formula>
    </cfRule>
  </conditionalFormatting>
  <conditionalFormatting sqref="AM81">
    <cfRule type="cellIs" dxfId="555" priority="505" operator="lessThan">
      <formula>0.333333333333333</formula>
    </cfRule>
    <cfRule type="cellIs" dxfId="554" priority="506" operator="greaterThan">
      <formula>0.333333333333333</formula>
    </cfRule>
  </conditionalFormatting>
  <conditionalFormatting sqref="AM81">
    <cfRule type="cellIs" dxfId="553" priority="503" operator="lessThan">
      <formula>0.333333333333333</formula>
    </cfRule>
    <cfRule type="cellIs" dxfId="552" priority="504" operator="greaterThan">
      <formula>0.333333333333333</formula>
    </cfRule>
  </conditionalFormatting>
  <conditionalFormatting sqref="N81">
    <cfRule type="cellIs" dxfId="551" priority="501" operator="lessThan">
      <formula>0.333333333333333</formula>
    </cfRule>
    <cfRule type="cellIs" dxfId="550" priority="502" operator="greaterThan">
      <formula>0.333333333333333</formula>
    </cfRule>
  </conditionalFormatting>
  <conditionalFormatting sqref="AM38">
    <cfRule type="cellIs" dxfId="549" priority="499" operator="lessThan">
      <formula>0.333333333333333</formula>
    </cfRule>
    <cfRule type="cellIs" dxfId="548" priority="500" operator="greaterThan">
      <formula>0.333333333333333</formula>
    </cfRule>
  </conditionalFormatting>
  <conditionalFormatting sqref="N38">
    <cfRule type="cellIs" dxfId="547" priority="497" operator="lessThan">
      <formula>0.333333333333333</formula>
    </cfRule>
    <cfRule type="cellIs" dxfId="546" priority="498" operator="greaterThan">
      <formula>0.333333333333333</formula>
    </cfRule>
  </conditionalFormatting>
  <conditionalFormatting sqref="AM22">
    <cfRule type="cellIs" dxfId="545" priority="495" operator="lessThan">
      <formula>0.333333333333333</formula>
    </cfRule>
    <cfRule type="cellIs" dxfId="544" priority="496" operator="greaterThan">
      <formula>0.333333333333333</formula>
    </cfRule>
  </conditionalFormatting>
  <conditionalFormatting sqref="S22">
    <cfRule type="cellIs" dxfId="543" priority="493" operator="lessThan">
      <formula>0.333333333333333</formula>
    </cfRule>
    <cfRule type="cellIs" dxfId="542" priority="494" operator="greaterThan">
      <formula>0.333333333333333</formula>
    </cfRule>
  </conditionalFormatting>
  <conditionalFormatting sqref="S22">
    <cfRule type="cellIs" dxfId="541" priority="491" operator="lessThan">
      <formula>0.333333333333333</formula>
    </cfRule>
    <cfRule type="cellIs" dxfId="540" priority="492" operator="greaterThan">
      <formula>0.333333333333333</formula>
    </cfRule>
  </conditionalFormatting>
  <conditionalFormatting sqref="AM66">
    <cfRule type="cellIs" dxfId="539" priority="489" operator="lessThan">
      <formula>0.333333333333333</formula>
    </cfRule>
    <cfRule type="cellIs" dxfId="538" priority="490" operator="greaterThan">
      <formula>0.333333333333333</formula>
    </cfRule>
  </conditionalFormatting>
  <conditionalFormatting sqref="S66">
    <cfRule type="cellIs" dxfId="537" priority="487" operator="lessThan">
      <formula>0.333333333333333</formula>
    </cfRule>
    <cfRule type="cellIs" dxfId="536" priority="488" operator="greaterThan">
      <formula>0.333333333333333</formula>
    </cfRule>
  </conditionalFormatting>
  <conditionalFormatting sqref="AM15">
    <cfRule type="cellIs" dxfId="535" priority="485" operator="lessThan">
      <formula>0.333333333333333</formula>
    </cfRule>
    <cfRule type="cellIs" dxfId="534" priority="486" operator="greaterThan">
      <formula>0.333333333333333</formula>
    </cfRule>
  </conditionalFormatting>
  <conditionalFormatting sqref="AM15">
    <cfRule type="cellIs" dxfId="533" priority="483" operator="lessThan">
      <formula>0.333333333333333</formula>
    </cfRule>
    <cfRule type="cellIs" dxfId="532" priority="484" operator="greaterThan">
      <formula>0.333333333333333</formula>
    </cfRule>
  </conditionalFormatting>
  <conditionalFormatting sqref="AM15">
    <cfRule type="cellIs" dxfId="531" priority="481" operator="lessThan">
      <formula>0.333333333333333</formula>
    </cfRule>
    <cfRule type="cellIs" dxfId="530" priority="482" operator="greaterThan">
      <formula>0.333333333333333</formula>
    </cfRule>
  </conditionalFormatting>
  <conditionalFormatting sqref="AM15">
    <cfRule type="cellIs" dxfId="529" priority="479" operator="lessThan">
      <formula>0.333333333333333</formula>
    </cfRule>
    <cfRule type="cellIs" dxfId="528" priority="480" operator="greaterThan">
      <formula>0.333333333333333</formula>
    </cfRule>
  </conditionalFormatting>
  <conditionalFormatting sqref="X15">
    <cfRule type="cellIs" dxfId="527" priority="477" operator="lessThan">
      <formula>0.333333333333333</formula>
    </cfRule>
    <cfRule type="cellIs" dxfId="526" priority="478" operator="greaterThan">
      <formula>0.333333333333333</formula>
    </cfRule>
  </conditionalFormatting>
  <conditionalFormatting sqref="X15">
    <cfRule type="cellIs" dxfId="525" priority="475" operator="lessThan">
      <formula>0.333333333333333</formula>
    </cfRule>
    <cfRule type="cellIs" dxfId="524" priority="476" operator="greaterThan">
      <formula>0.333333333333333</formula>
    </cfRule>
  </conditionalFormatting>
  <conditionalFormatting sqref="X15">
    <cfRule type="cellIs" dxfId="523" priority="473" operator="lessThan">
      <formula>0.333333333333333</formula>
    </cfRule>
    <cfRule type="cellIs" dxfId="522" priority="474" operator="greaterThan">
      <formula>0.333333333333333</formula>
    </cfRule>
  </conditionalFormatting>
  <conditionalFormatting sqref="X15">
    <cfRule type="cellIs" dxfId="521" priority="471" operator="lessThan">
      <formula>0.333333333333333</formula>
    </cfRule>
    <cfRule type="cellIs" dxfId="520" priority="472" operator="greaterThan">
      <formula>0.333333333333333</formula>
    </cfRule>
  </conditionalFormatting>
  <conditionalFormatting sqref="AM70">
    <cfRule type="cellIs" dxfId="519" priority="469" operator="lessThan">
      <formula>0.333333333333333</formula>
    </cfRule>
    <cfRule type="cellIs" dxfId="518" priority="470" operator="greaterThan">
      <formula>0.333333333333333</formula>
    </cfRule>
  </conditionalFormatting>
  <conditionalFormatting sqref="AC70">
    <cfRule type="cellIs" dxfId="517" priority="467" operator="lessThan">
      <formula>0.333333333333333</formula>
    </cfRule>
    <cfRule type="cellIs" dxfId="516" priority="468" operator="greaterThan">
      <formula>0.333333333333333</formula>
    </cfRule>
  </conditionalFormatting>
  <conditionalFormatting sqref="AM82">
    <cfRule type="cellIs" dxfId="515" priority="465" operator="lessThan">
      <formula>0.333333333333333</formula>
    </cfRule>
    <cfRule type="cellIs" dxfId="514" priority="466" operator="greaterThan">
      <formula>0.333333333333333</formula>
    </cfRule>
  </conditionalFormatting>
  <conditionalFormatting sqref="AC82">
    <cfRule type="cellIs" dxfId="513" priority="463" operator="lessThan">
      <formula>0.333333333333333</formula>
    </cfRule>
    <cfRule type="cellIs" dxfId="512" priority="464" operator="greaterThan">
      <formula>0.333333333333333</formula>
    </cfRule>
  </conditionalFormatting>
  <conditionalFormatting sqref="AH58">
    <cfRule type="cellIs" dxfId="511" priority="461" operator="lessThan">
      <formula>0.333333333333333</formula>
    </cfRule>
    <cfRule type="cellIs" dxfId="510" priority="462" operator="greaterThan">
      <formula>0.333333333333333</formula>
    </cfRule>
  </conditionalFormatting>
  <conditionalFormatting sqref="AH58">
    <cfRule type="cellIs" dxfId="509" priority="459" operator="lessThan">
      <formula>0.333333333333333</formula>
    </cfRule>
    <cfRule type="cellIs" dxfId="508" priority="460" operator="greaterThan">
      <formula>0.333333333333333</formula>
    </cfRule>
  </conditionalFormatting>
  <conditionalFormatting sqref="AC58">
    <cfRule type="cellIs" dxfId="507" priority="457" operator="lessThan">
      <formula>0.333333333333333</formula>
    </cfRule>
    <cfRule type="cellIs" dxfId="506" priority="458" operator="greaterThan">
      <formula>0.333333333333333</formula>
    </cfRule>
  </conditionalFormatting>
  <conditionalFormatting sqref="AC58">
    <cfRule type="cellIs" dxfId="505" priority="455" operator="lessThan">
      <formula>0.333333333333333</formula>
    </cfRule>
    <cfRule type="cellIs" dxfId="504" priority="456" operator="greaterThan">
      <formula>0.333333333333333</formula>
    </cfRule>
  </conditionalFormatting>
  <conditionalFormatting sqref="N7">
    <cfRule type="cellIs" dxfId="503" priority="453" operator="lessThan">
      <formula>0.333333333333333</formula>
    </cfRule>
    <cfRule type="cellIs" dxfId="502" priority="454" operator="greaterThan">
      <formula>0.333333333333333</formula>
    </cfRule>
  </conditionalFormatting>
  <conditionalFormatting sqref="N7">
    <cfRule type="cellIs" dxfId="501" priority="451" operator="lessThan">
      <formula>0.333333333333333</formula>
    </cfRule>
    <cfRule type="cellIs" dxfId="500" priority="452" operator="greaterThan">
      <formula>0.333333333333333</formula>
    </cfRule>
  </conditionalFormatting>
  <conditionalFormatting sqref="S59">
    <cfRule type="cellIs" dxfId="499" priority="449" operator="lessThan">
      <formula>0.333333333333333</formula>
    </cfRule>
    <cfRule type="cellIs" dxfId="498" priority="450" operator="greaterThan">
      <formula>0.333333333333333</formula>
    </cfRule>
  </conditionalFormatting>
  <conditionalFormatting sqref="S59">
    <cfRule type="cellIs" dxfId="497" priority="447" operator="lessThan">
      <formula>0.333333333333333</formula>
    </cfRule>
    <cfRule type="cellIs" dxfId="496" priority="448" operator="greaterThan">
      <formula>0.333333333333333</formula>
    </cfRule>
  </conditionalFormatting>
  <conditionalFormatting sqref="AH22">
    <cfRule type="cellIs" dxfId="495" priority="445" operator="lessThan">
      <formula>0.333333333333333</formula>
    </cfRule>
    <cfRule type="cellIs" dxfId="494" priority="446" operator="greaterThan">
      <formula>0.333333333333333</formula>
    </cfRule>
  </conditionalFormatting>
  <conditionalFormatting sqref="X51">
    <cfRule type="cellIs" dxfId="493" priority="443" operator="lessThan">
      <formula>0.333333333333333</formula>
    </cfRule>
    <cfRule type="cellIs" dxfId="492" priority="444" operator="greaterThan">
      <formula>0.333333333333333</formula>
    </cfRule>
  </conditionalFormatting>
  <conditionalFormatting sqref="X51">
    <cfRule type="cellIs" dxfId="491" priority="441" operator="lessThan">
      <formula>0.333333333333333</formula>
    </cfRule>
    <cfRule type="cellIs" dxfId="490" priority="442" operator="greaterThan">
      <formula>0.333333333333333</formula>
    </cfRule>
  </conditionalFormatting>
  <conditionalFormatting sqref="X51">
    <cfRule type="cellIs" dxfId="489" priority="439" operator="lessThan">
      <formula>0.333333333333333</formula>
    </cfRule>
    <cfRule type="cellIs" dxfId="488" priority="440" operator="greaterThan">
      <formula>0.333333333333333</formula>
    </cfRule>
  </conditionalFormatting>
  <conditionalFormatting sqref="AM96">
    <cfRule type="cellIs" dxfId="487" priority="437" operator="lessThan">
      <formula>0.333333333333333</formula>
    </cfRule>
    <cfRule type="cellIs" dxfId="486" priority="438" operator="greaterThan">
      <formula>0.333333333333333</formula>
    </cfRule>
  </conditionalFormatting>
  <conditionalFormatting sqref="S94">
    <cfRule type="cellIs" dxfId="485" priority="435" operator="lessThan">
      <formula>0.333333333333333</formula>
    </cfRule>
    <cfRule type="cellIs" dxfId="484" priority="436" operator="greaterThan">
      <formula>0.333333333333333</formula>
    </cfRule>
  </conditionalFormatting>
  <conditionalFormatting sqref="I166:I170">
    <cfRule type="cellIs" dxfId="483" priority="433" operator="lessThan">
      <formula>0.333333333333333</formula>
    </cfRule>
    <cfRule type="cellIs" dxfId="482" priority="434" operator="greaterThan">
      <formula>0.333333333333333</formula>
    </cfRule>
  </conditionalFormatting>
  <conditionalFormatting sqref="B160:B170">
    <cfRule type="cellIs" dxfId="481" priority="432" operator="greaterThan">
      <formula>0</formula>
    </cfRule>
  </conditionalFormatting>
  <conditionalFormatting sqref="AM118:AM119 AM128:AM129 AM121:AM122 AM135:AM152 AM154 AM158:AM161 AM124 AM156 AM131">
    <cfRule type="cellIs" dxfId="480" priority="430" operator="lessThan">
      <formula>0.333333333333333</formula>
    </cfRule>
    <cfRule type="cellIs" dxfId="479" priority="431" operator="greaterThan">
      <formula>0.333333333333333</formula>
    </cfRule>
  </conditionalFormatting>
  <conditionalFormatting sqref="B118:B159">
    <cfRule type="cellIs" dxfId="478" priority="429" operator="greaterThan">
      <formula>0</formula>
    </cfRule>
  </conditionalFormatting>
  <conditionalFormatting sqref="AH118:AH119 AH144:AH146 AH130:AH142 AH121:AH125 AH158 AH154 AH148:AH152 AH156">
    <cfRule type="cellIs" dxfId="477" priority="427" operator="lessThan">
      <formula>0.333333333333333</formula>
    </cfRule>
    <cfRule type="cellIs" dxfId="476" priority="428" operator="greaterThan">
      <formula>0.333333333333333</formula>
    </cfRule>
  </conditionalFormatting>
  <conditionalFormatting sqref="AC118:AC126 AC151:AC152 AC142:AC146 AC135:AC140 AC154:AC156 AC148:AC149 AC158 AC128:AC131">
    <cfRule type="cellIs" dxfId="475" priority="425" operator="lessThan">
      <formula>0.333333333333333</formula>
    </cfRule>
    <cfRule type="cellIs" dxfId="474" priority="426" operator="greaterThan">
      <formula>0.333333333333333</formula>
    </cfRule>
  </conditionalFormatting>
  <conditionalFormatting sqref="X153:X156 X118:X119 X135:X140 X122:X129 X151 X142:X146 X158 X148 X131:X133">
    <cfRule type="cellIs" dxfId="473" priority="423" operator="lessThan">
      <formula>0.333333333333333</formula>
    </cfRule>
    <cfRule type="cellIs" dxfId="472" priority="424" operator="greaterThan">
      <formula>0.333333333333333</formula>
    </cfRule>
  </conditionalFormatting>
  <conditionalFormatting sqref="S118:S120 S153:S158 S129:S131 S133:S142 S144:S146 S122:S125 S148:S151">
    <cfRule type="cellIs" dxfId="471" priority="421" operator="lessThan">
      <formula>0.333333333333333</formula>
    </cfRule>
    <cfRule type="cellIs" dxfId="470" priority="422" operator="greaterThan">
      <formula>0.333333333333333</formula>
    </cfRule>
  </conditionalFormatting>
  <conditionalFormatting sqref="N118:N128 N131:N157 N159">
    <cfRule type="cellIs" dxfId="469" priority="419" operator="lessThan">
      <formula>0.333333333333333</formula>
    </cfRule>
    <cfRule type="cellIs" dxfId="468" priority="420" operator="greaterThan">
      <formula>0.333333333333333</formula>
    </cfRule>
  </conditionalFormatting>
  <conditionalFormatting sqref="I118 I120:I122 I131:I148 I154 I124:I128 I158:I165 I156 I150:I152">
    <cfRule type="cellIs" dxfId="467" priority="417" operator="lessThan">
      <formula>0.333333333333333</formula>
    </cfRule>
    <cfRule type="cellIs" dxfId="466" priority="418" operator="greaterThan">
      <formula>0.333333333333333</formula>
    </cfRule>
  </conditionalFormatting>
  <conditionalFormatting sqref="X152">
    <cfRule type="cellIs" dxfId="465" priority="415" operator="lessThan">
      <formula>0.333333333333333</formula>
    </cfRule>
    <cfRule type="cellIs" dxfId="464" priority="416" operator="greaterThan">
      <formula>0.333333333333333</formula>
    </cfRule>
  </conditionalFormatting>
  <conditionalFormatting sqref="S152">
    <cfRule type="cellIs" dxfId="463" priority="413" operator="lessThan">
      <formula>0.333333333333333</formula>
    </cfRule>
    <cfRule type="cellIs" dxfId="462" priority="414" operator="greaterThan">
      <formula>0.333333333333333</formula>
    </cfRule>
  </conditionalFormatting>
  <conditionalFormatting sqref="AH143 AH147 AH155 AH159:AH163 AH157">
    <cfRule type="cellIs" dxfId="461" priority="411" operator="lessThan">
      <formula>0.333333333333333</formula>
    </cfRule>
    <cfRule type="cellIs" dxfId="460" priority="412" operator="greaterThan">
      <formula>0.333333333333333</formula>
    </cfRule>
  </conditionalFormatting>
  <conditionalFormatting sqref="I153">
    <cfRule type="cellIs" dxfId="459" priority="409" operator="lessThan">
      <formula>0.333333333333333</formula>
    </cfRule>
    <cfRule type="cellIs" dxfId="458" priority="410" operator="greaterThan">
      <formula>0.333333333333333</formula>
    </cfRule>
  </conditionalFormatting>
  <conditionalFormatting sqref="AM153">
    <cfRule type="cellIs" dxfId="457" priority="407" operator="lessThan">
      <formula>0.333333333333333</formula>
    </cfRule>
    <cfRule type="cellIs" dxfId="456" priority="408" operator="greaterThan">
      <formula>0.333333333333333</formula>
    </cfRule>
  </conditionalFormatting>
  <conditionalFormatting sqref="S153">
    <cfRule type="cellIs" dxfId="455" priority="405" operator="lessThan">
      <formula>0.333333333333333</formula>
    </cfRule>
    <cfRule type="cellIs" dxfId="454" priority="406" operator="greaterThan">
      <formula>0.333333333333333</formula>
    </cfRule>
  </conditionalFormatting>
  <conditionalFormatting sqref="N153">
    <cfRule type="cellIs" dxfId="453" priority="403" operator="lessThan">
      <formula>0.333333333333333</formula>
    </cfRule>
    <cfRule type="cellIs" dxfId="452" priority="404" operator="greaterThan">
      <formula>0.333333333333333</formula>
    </cfRule>
  </conditionalFormatting>
  <conditionalFormatting sqref="AM126">
    <cfRule type="cellIs" dxfId="451" priority="401" operator="lessThan">
      <formula>0.333333333333333</formula>
    </cfRule>
    <cfRule type="cellIs" dxfId="450" priority="402" operator="greaterThan">
      <formula>0.333333333333333</formula>
    </cfRule>
  </conditionalFormatting>
  <conditionalFormatting sqref="AM127">
    <cfRule type="cellIs" dxfId="449" priority="399" operator="lessThan">
      <formula>0.333333333333333</formula>
    </cfRule>
    <cfRule type="cellIs" dxfId="448" priority="400" operator="greaterThan">
      <formula>0.333333333333333</formula>
    </cfRule>
  </conditionalFormatting>
  <conditionalFormatting sqref="S127">
    <cfRule type="cellIs" dxfId="447" priority="397" operator="lessThan">
      <formula>0.333333333333333</formula>
    </cfRule>
    <cfRule type="cellIs" dxfId="446" priority="398" operator="greaterThan">
      <formula>0.333333333333333</formula>
    </cfRule>
  </conditionalFormatting>
  <conditionalFormatting sqref="S132">
    <cfRule type="cellIs" dxfId="445" priority="395" operator="lessThan">
      <formula>0.333333333333333</formula>
    </cfRule>
    <cfRule type="cellIs" dxfId="444" priority="396" operator="greaterThan">
      <formula>0.333333333333333</formula>
    </cfRule>
  </conditionalFormatting>
  <conditionalFormatting sqref="S135">
    <cfRule type="cellIs" dxfId="443" priority="393" operator="lessThan">
      <formula>0.333333333333333</formula>
    </cfRule>
    <cfRule type="cellIs" dxfId="442" priority="394" operator="greaterThan">
      <formula>0.333333333333333</formula>
    </cfRule>
  </conditionalFormatting>
  <conditionalFormatting sqref="N135">
    <cfRule type="cellIs" dxfId="441" priority="391" operator="lessThan">
      <formula>0.333333333333333</formula>
    </cfRule>
    <cfRule type="cellIs" dxfId="440" priority="392" operator="greaterThan">
      <formula>0.333333333333333</formula>
    </cfRule>
  </conditionalFormatting>
  <conditionalFormatting sqref="S149">
    <cfRule type="cellIs" dxfId="439" priority="389" operator="lessThan">
      <formula>0.333333333333333</formula>
    </cfRule>
    <cfRule type="cellIs" dxfId="438" priority="390" operator="greaterThan">
      <formula>0.333333333333333</formula>
    </cfRule>
  </conditionalFormatting>
  <conditionalFormatting sqref="N149">
    <cfRule type="cellIs" dxfId="437" priority="387" operator="lessThan">
      <formula>0.333333333333333</formula>
    </cfRule>
    <cfRule type="cellIs" dxfId="436" priority="388" operator="greaterThan">
      <formula>0.333333333333333</formula>
    </cfRule>
  </conditionalFormatting>
  <conditionalFormatting sqref="AH119">
    <cfRule type="cellIs" dxfId="435" priority="385" operator="lessThan">
      <formula>0.333333333333333</formula>
    </cfRule>
    <cfRule type="cellIs" dxfId="434" priority="386" operator="greaterThan">
      <formula>0.333333333333333</formula>
    </cfRule>
  </conditionalFormatting>
  <conditionalFormatting sqref="AC119">
    <cfRule type="cellIs" dxfId="433" priority="383" operator="lessThan">
      <formula>0.333333333333333</formula>
    </cfRule>
    <cfRule type="cellIs" dxfId="432" priority="384" operator="greaterThan">
      <formula>0.333333333333333</formula>
    </cfRule>
  </conditionalFormatting>
  <conditionalFormatting sqref="X119">
    <cfRule type="cellIs" dxfId="431" priority="381" operator="lessThan">
      <formula>0.333333333333333</formula>
    </cfRule>
    <cfRule type="cellIs" dxfId="430" priority="382" operator="greaterThan">
      <formula>0.333333333333333</formula>
    </cfRule>
  </conditionalFormatting>
  <conditionalFormatting sqref="S119">
    <cfRule type="cellIs" dxfId="429" priority="379" operator="lessThan">
      <formula>0.333333333333333</formula>
    </cfRule>
    <cfRule type="cellIs" dxfId="428" priority="380" operator="greaterThan">
      <formula>0.333333333333333</formula>
    </cfRule>
  </conditionalFormatting>
  <conditionalFormatting sqref="AM125">
    <cfRule type="cellIs" dxfId="427" priority="377" operator="lessThan">
      <formula>0.333333333333333</formula>
    </cfRule>
    <cfRule type="cellIs" dxfId="426" priority="378" operator="greaterThan">
      <formula>0.333333333333333</formula>
    </cfRule>
  </conditionalFormatting>
  <conditionalFormatting sqref="AH128">
    <cfRule type="cellIs" dxfId="425" priority="375" operator="lessThan">
      <formula>0.333333333333333</formula>
    </cfRule>
    <cfRule type="cellIs" dxfId="424" priority="376" operator="greaterThan">
      <formula>0.333333333333333</formula>
    </cfRule>
  </conditionalFormatting>
  <conditionalFormatting sqref="S128">
    <cfRule type="cellIs" dxfId="423" priority="373" operator="lessThan">
      <formula>0.333333333333333</formula>
    </cfRule>
    <cfRule type="cellIs" dxfId="422" priority="374" operator="greaterThan">
      <formula>0.333333333333333</formula>
    </cfRule>
  </conditionalFormatting>
  <conditionalFormatting sqref="AH129">
    <cfRule type="cellIs" dxfId="421" priority="371" operator="lessThan">
      <formula>0.333333333333333</formula>
    </cfRule>
    <cfRule type="cellIs" dxfId="420" priority="372" operator="greaterThan">
      <formula>0.333333333333333</formula>
    </cfRule>
  </conditionalFormatting>
  <conditionalFormatting sqref="AH151">
    <cfRule type="cellIs" dxfId="419" priority="369" operator="lessThan">
      <formula>0.333333333333333</formula>
    </cfRule>
    <cfRule type="cellIs" dxfId="418" priority="370" operator="greaterThan">
      <formula>0.333333333333333</formula>
    </cfRule>
  </conditionalFormatting>
  <conditionalFormatting sqref="AC151">
    <cfRule type="cellIs" dxfId="417" priority="367" operator="lessThan">
      <formula>0.333333333333333</formula>
    </cfRule>
    <cfRule type="cellIs" dxfId="416" priority="368" operator="greaterThan">
      <formula>0.333333333333333</formula>
    </cfRule>
  </conditionalFormatting>
  <conditionalFormatting sqref="X151">
    <cfRule type="cellIs" dxfId="415" priority="365" operator="lessThan">
      <formula>0.333333333333333</formula>
    </cfRule>
    <cfRule type="cellIs" dxfId="414" priority="366" operator="greaterThan">
      <formula>0.333333333333333</formula>
    </cfRule>
  </conditionalFormatting>
  <conditionalFormatting sqref="S151">
    <cfRule type="cellIs" dxfId="413" priority="363" operator="lessThan">
      <formula>0.333333333333333</formula>
    </cfRule>
    <cfRule type="cellIs" dxfId="412" priority="364" operator="greaterThan">
      <formula>0.333333333333333</formula>
    </cfRule>
  </conditionalFormatting>
  <conditionalFormatting sqref="N151">
    <cfRule type="cellIs" dxfId="411" priority="361" operator="lessThan">
      <formula>0.333333333333333</formula>
    </cfRule>
    <cfRule type="cellIs" dxfId="410" priority="362" operator="greaterThan">
      <formula>0.333333333333333</formula>
    </cfRule>
  </conditionalFormatting>
  <conditionalFormatting sqref="AH118">
    <cfRule type="cellIs" dxfId="409" priority="359" operator="lessThan">
      <formula>0.333333333333333</formula>
    </cfRule>
    <cfRule type="cellIs" dxfId="408" priority="360" operator="greaterThan">
      <formula>0.333333333333333</formula>
    </cfRule>
  </conditionalFormatting>
  <conditionalFormatting sqref="AC118">
    <cfRule type="cellIs" dxfId="407" priority="357" operator="lessThan">
      <formula>0.333333333333333</formula>
    </cfRule>
    <cfRule type="cellIs" dxfId="406" priority="358" operator="greaterThan">
      <formula>0.333333333333333</formula>
    </cfRule>
  </conditionalFormatting>
  <conditionalFormatting sqref="X118">
    <cfRule type="cellIs" dxfId="405" priority="355" operator="lessThan">
      <formula>0.333333333333333</formula>
    </cfRule>
    <cfRule type="cellIs" dxfId="404" priority="356" operator="greaterThan">
      <formula>0.333333333333333</formula>
    </cfRule>
  </conditionalFormatting>
  <conditionalFormatting sqref="S118">
    <cfRule type="cellIs" dxfId="403" priority="353" operator="lessThan">
      <formula>0.333333333333333</formula>
    </cfRule>
    <cfRule type="cellIs" dxfId="402" priority="354" operator="greaterThan">
      <formula>0.333333333333333</formula>
    </cfRule>
  </conditionalFormatting>
  <conditionalFormatting sqref="N118">
    <cfRule type="cellIs" dxfId="401" priority="351" operator="lessThan">
      <formula>0.333333333333333</formula>
    </cfRule>
    <cfRule type="cellIs" dxfId="400" priority="352" operator="greaterThan">
      <formula>0.333333333333333</formula>
    </cfRule>
  </conditionalFormatting>
  <conditionalFormatting sqref="I118">
    <cfRule type="cellIs" dxfId="399" priority="349" operator="lessThan">
      <formula>0.333333333333333</formula>
    </cfRule>
    <cfRule type="cellIs" dxfId="398" priority="350" operator="greaterThan">
      <formula>0.333333333333333</formula>
    </cfRule>
  </conditionalFormatting>
  <conditionalFormatting sqref="AH137">
    <cfRule type="cellIs" dxfId="397" priority="347" operator="lessThan">
      <formula>0.333333333333333</formula>
    </cfRule>
    <cfRule type="cellIs" dxfId="396" priority="348" operator="greaterThan">
      <formula>0.333333333333333</formula>
    </cfRule>
  </conditionalFormatting>
  <conditionalFormatting sqref="AC137">
    <cfRule type="cellIs" dxfId="395" priority="345" operator="lessThan">
      <formula>0.333333333333333</formula>
    </cfRule>
    <cfRule type="cellIs" dxfId="394" priority="346" operator="greaterThan">
      <formula>0.333333333333333</formula>
    </cfRule>
  </conditionalFormatting>
  <conditionalFormatting sqref="X137">
    <cfRule type="cellIs" dxfId="393" priority="343" operator="lessThan">
      <formula>0.333333333333333</formula>
    </cfRule>
    <cfRule type="cellIs" dxfId="392" priority="344" operator="greaterThan">
      <formula>0.333333333333333</formula>
    </cfRule>
  </conditionalFormatting>
  <conditionalFormatting sqref="S137">
    <cfRule type="cellIs" dxfId="391" priority="341" operator="lessThan">
      <formula>0.333333333333333</formula>
    </cfRule>
    <cfRule type="cellIs" dxfId="390" priority="342" operator="greaterThan">
      <formula>0.333333333333333</formula>
    </cfRule>
  </conditionalFormatting>
  <conditionalFormatting sqref="N137">
    <cfRule type="cellIs" dxfId="389" priority="339" operator="lessThan">
      <formula>0.333333333333333</formula>
    </cfRule>
    <cfRule type="cellIs" dxfId="388" priority="340" operator="greaterThan">
      <formula>0.333333333333333</formula>
    </cfRule>
  </conditionalFormatting>
  <conditionalFormatting sqref="I137">
    <cfRule type="cellIs" dxfId="387" priority="337" operator="lessThan">
      <formula>0.333333333333333</formula>
    </cfRule>
    <cfRule type="cellIs" dxfId="386" priority="338" operator="greaterThan">
      <formula>0.333333333333333</formula>
    </cfRule>
  </conditionalFormatting>
  <conditionalFormatting sqref="AM141">
    <cfRule type="cellIs" dxfId="385" priority="335" operator="lessThan">
      <formula>0.333333333333333</formula>
    </cfRule>
    <cfRule type="cellIs" dxfId="384" priority="336" operator="greaterThan">
      <formula>0.333333333333333</formula>
    </cfRule>
  </conditionalFormatting>
  <conditionalFormatting sqref="AH141">
    <cfRule type="cellIs" dxfId="383" priority="333" operator="lessThan">
      <formula>0.333333333333333</formula>
    </cfRule>
    <cfRule type="cellIs" dxfId="382" priority="334" operator="greaterThan">
      <formula>0.333333333333333</formula>
    </cfRule>
  </conditionalFormatting>
  <conditionalFormatting sqref="S141">
    <cfRule type="cellIs" dxfId="381" priority="331" operator="lessThan">
      <formula>0.333333333333333</formula>
    </cfRule>
    <cfRule type="cellIs" dxfId="380" priority="332" operator="greaterThan">
      <formula>0.333333333333333</formula>
    </cfRule>
  </conditionalFormatting>
  <conditionalFormatting sqref="N141">
    <cfRule type="cellIs" dxfId="379" priority="329" operator="lessThan">
      <formula>0.333333333333333</formula>
    </cfRule>
    <cfRule type="cellIs" dxfId="378" priority="330" operator="greaterThan">
      <formula>0.333333333333333</formula>
    </cfRule>
  </conditionalFormatting>
  <conditionalFormatting sqref="AM140">
    <cfRule type="cellIs" dxfId="377" priority="327" operator="lessThan">
      <formula>0.333333333333333</formula>
    </cfRule>
    <cfRule type="cellIs" dxfId="376" priority="328" operator="greaterThan">
      <formula>0.333333333333333</formula>
    </cfRule>
  </conditionalFormatting>
  <conditionalFormatting sqref="AH140">
    <cfRule type="cellIs" dxfId="375" priority="325" operator="lessThan">
      <formula>0.333333333333333</formula>
    </cfRule>
    <cfRule type="cellIs" dxfId="374" priority="326" operator="greaterThan">
      <formula>0.333333333333333</formula>
    </cfRule>
  </conditionalFormatting>
  <conditionalFormatting sqref="AC140">
    <cfRule type="cellIs" dxfId="373" priority="323" operator="lessThan">
      <formula>0.333333333333333</formula>
    </cfRule>
    <cfRule type="cellIs" dxfId="372" priority="324" operator="greaterThan">
      <formula>0.333333333333333</formula>
    </cfRule>
  </conditionalFormatting>
  <conditionalFormatting sqref="X140">
    <cfRule type="cellIs" dxfId="371" priority="321" operator="lessThan">
      <formula>0.333333333333333</formula>
    </cfRule>
    <cfRule type="cellIs" dxfId="370" priority="322" operator="greaterThan">
      <formula>0.333333333333333</formula>
    </cfRule>
  </conditionalFormatting>
  <conditionalFormatting sqref="S140">
    <cfRule type="cellIs" dxfId="369" priority="319" operator="lessThan">
      <formula>0.333333333333333</formula>
    </cfRule>
    <cfRule type="cellIs" dxfId="368" priority="320" operator="greaterThan">
      <formula>0.333333333333333</formula>
    </cfRule>
  </conditionalFormatting>
  <conditionalFormatting sqref="N140">
    <cfRule type="cellIs" dxfId="367" priority="317" operator="lessThan">
      <formula>0.333333333333333</formula>
    </cfRule>
    <cfRule type="cellIs" dxfId="366" priority="318" operator="greaterThan">
      <formula>0.333333333333333</formula>
    </cfRule>
  </conditionalFormatting>
  <conditionalFormatting sqref="AM139">
    <cfRule type="cellIs" dxfId="365" priority="315" operator="lessThan">
      <formula>0.333333333333333</formula>
    </cfRule>
    <cfRule type="cellIs" dxfId="364" priority="316" operator="greaterThan">
      <formula>0.333333333333333</formula>
    </cfRule>
  </conditionalFormatting>
  <conditionalFormatting sqref="AH139">
    <cfRule type="cellIs" dxfId="363" priority="313" operator="lessThan">
      <formula>0.333333333333333</formula>
    </cfRule>
    <cfRule type="cellIs" dxfId="362" priority="314" operator="greaterThan">
      <formula>0.333333333333333</formula>
    </cfRule>
  </conditionalFormatting>
  <conditionalFormatting sqref="AC139">
    <cfRule type="cellIs" dxfId="361" priority="311" operator="lessThan">
      <formula>0.333333333333333</formula>
    </cfRule>
    <cfRule type="cellIs" dxfId="360" priority="312" operator="greaterThan">
      <formula>0.333333333333333</formula>
    </cfRule>
  </conditionalFormatting>
  <conditionalFormatting sqref="X139">
    <cfRule type="cellIs" dxfId="359" priority="309" operator="lessThan">
      <formula>0.333333333333333</formula>
    </cfRule>
    <cfRule type="cellIs" dxfId="358" priority="310" operator="greaterThan">
      <formula>0.333333333333333</formula>
    </cfRule>
  </conditionalFormatting>
  <conditionalFormatting sqref="S139">
    <cfRule type="cellIs" dxfId="357" priority="307" operator="lessThan">
      <formula>0.333333333333333</formula>
    </cfRule>
    <cfRule type="cellIs" dxfId="356" priority="308" operator="greaterThan">
      <formula>0.333333333333333</formula>
    </cfRule>
  </conditionalFormatting>
  <conditionalFormatting sqref="N139">
    <cfRule type="cellIs" dxfId="355" priority="305" operator="lessThan">
      <formula>0.333333333333333</formula>
    </cfRule>
    <cfRule type="cellIs" dxfId="354" priority="306" operator="greaterThan">
      <formula>0.333333333333333</formula>
    </cfRule>
  </conditionalFormatting>
  <conditionalFormatting sqref="AM152">
    <cfRule type="cellIs" dxfId="353" priority="303" operator="lessThan">
      <formula>0.333333333333333</formula>
    </cfRule>
    <cfRule type="cellIs" dxfId="352" priority="304" operator="greaterThan">
      <formula>0.333333333333333</formula>
    </cfRule>
  </conditionalFormatting>
  <conditionalFormatting sqref="AH152">
    <cfRule type="cellIs" dxfId="351" priority="301" operator="lessThan">
      <formula>0.333333333333333</formula>
    </cfRule>
    <cfRule type="cellIs" dxfId="350" priority="302" operator="greaterThan">
      <formula>0.333333333333333</formula>
    </cfRule>
  </conditionalFormatting>
  <conditionalFormatting sqref="S152">
    <cfRule type="cellIs" dxfId="349" priority="299" operator="lessThan">
      <formula>0.333333333333333</formula>
    </cfRule>
    <cfRule type="cellIs" dxfId="348" priority="300" operator="greaterThan">
      <formula>0.333333333333333</formula>
    </cfRule>
  </conditionalFormatting>
  <conditionalFormatting sqref="N152">
    <cfRule type="cellIs" dxfId="347" priority="297" operator="lessThan">
      <formula>0.333333333333333</formula>
    </cfRule>
    <cfRule type="cellIs" dxfId="346" priority="298" operator="greaterThan">
      <formula>0.333333333333333</formula>
    </cfRule>
  </conditionalFormatting>
  <conditionalFormatting sqref="AC152">
    <cfRule type="cellIs" dxfId="345" priority="295" operator="lessThan">
      <formula>0.333333333333333</formula>
    </cfRule>
    <cfRule type="cellIs" dxfId="344" priority="296" operator="greaterThan">
      <formula>0.333333333333333</formula>
    </cfRule>
  </conditionalFormatting>
  <conditionalFormatting sqref="X152">
    <cfRule type="cellIs" dxfId="343" priority="293" operator="lessThan">
      <formula>0.333333333333333</formula>
    </cfRule>
    <cfRule type="cellIs" dxfId="342" priority="294" operator="greaterThan">
      <formula>0.333333333333333</formula>
    </cfRule>
  </conditionalFormatting>
  <conditionalFormatting sqref="AM134">
    <cfRule type="cellIs" dxfId="341" priority="291" operator="lessThan">
      <formula>0.333333333333333</formula>
    </cfRule>
    <cfRule type="cellIs" dxfId="340" priority="292" operator="greaterThan">
      <formula>0.333333333333333</formula>
    </cfRule>
  </conditionalFormatting>
  <conditionalFormatting sqref="X120">
    <cfRule type="cellIs" dxfId="339" priority="289" operator="lessThan">
      <formula>0.333333333333333</formula>
    </cfRule>
    <cfRule type="cellIs" dxfId="338" priority="290" operator="greaterThan">
      <formula>0.333333333333333</formula>
    </cfRule>
  </conditionalFormatting>
  <conditionalFormatting sqref="X159">
    <cfRule type="cellIs" dxfId="337" priority="287" operator="lessThan">
      <formula>0.333333333333333</formula>
    </cfRule>
    <cfRule type="cellIs" dxfId="336" priority="288" operator="greaterThan">
      <formula>0.333333333333333</formula>
    </cfRule>
  </conditionalFormatting>
  <conditionalFormatting sqref="X150">
    <cfRule type="cellIs" dxfId="335" priority="285" operator="lessThan">
      <formula>0.333333333333333</formula>
    </cfRule>
    <cfRule type="cellIs" dxfId="334" priority="286" operator="greaterThan">
      <formula>0.333333333333333</formula>
    </cfRule>
  </conditionalFormatting>
  <conditionalFormatting sqref="AC150">
    <cfRule type="cellIs" dxfId="333" priority="283" operator="lessThan">
      <formula>0.333333333333333</formula>
    </cfRule>
    <cfRule type="cellIs" dxfId="332" priority="284" operator="greaterThan">
      <formula>0.333333333333333</formula>
    </cfRule>
  </conditionalFormatting>
  <conditionalFormatting sqref="X141">
    <cfRule type="cellIs" dxfId="331" priority="281" operator="lessThan">
      <formula>0.333333333333333</formula>
    </cfRule>
    <cfRule type="cellIs" dxfId="330" priority="282" operator="greaterThan">
      <formula>0.333333333333333</formula>
    </cfRule>
  </conditionalFormatting>
  <conditionalFormatting sqref="X141">
    <cfRule type="cellIs" dxfId="329" priority="279" operator="lessThan">
      <formula>0.333333333333333</formula>
    </cfRule>
    <cfRule type="cellIs" dxfId="328" priority="280" operator="greaterThan">
      <formula>0.333333333333333</formula>
    </cfRule>
  </conditionalFormatting>
  <conditionalFormatting sqref="AC141">
    <cfRule type="cellIs" dxfId="327" priority="277" operator="lessThan">
      <formula>0.333333333333333</formula>
    </cfRule>
    <cfRule type="cellIs" dxfId="326" priority="278" operator="greaterThan">
      <formula>0.333333333333333</formula>
    </cfRule>
  </conditionalFormatting>
  <conditionalFormatting sqref="AC141">
    <cfRule type="cellIs" dxfId="325" priority="275" operator="lessThan">
      <formula>0.333333333333333</formula>
    </cfRule>
    <cfRule type="cellIs" dxfId="324" priority="276" operator="greaterThan">
      <formula>0.333333333333333</formula>
    </cfRule>
  </conditionalFormatting>
  <conditionalFormatting sqref="AH164:AH170">
    <cfRule type="cellIs" dxfId="323" priority="273" operator="lessThan">
      <formula>0.333333333333333</formula>
    </cfRule>
    <cfRule type="cellIs" dxfId="322" priority="274" operator="greaterThan">
      <formula>0.333333333333333</formula>
    </cfRule>
  </conditionalFormatting>
  <conditionalFormatting sqref="AM162:AM170">
    <cfRule type="cellIs" dxfId="321" priority="271" operator="lessThan">
      <formula>0.333333333333333</formula>
    </cfRule>
    <cfRule type="cellIs" dxfId="320" priority="272" operator="greaterThan">
      <formula>0.333333333333333</formula>
    </cfRule>
  </conditionalFormatting>
  <conditionalFormatting sqref="I119">
    <cfRule type="cellIs" dxfId="319" priority="269" operator="lessThan">
      <formula>0.333333333333333</formula>
    </cfRule>
    <cfRule type="cellIs" dxfId="318" priority="270" operator="greaterThan">
      <formula>0.333333333333333</formula>
    </cfRule>
  </conditionalFormatting>
  <conditionalFormatting sqref="I130">
    <cfRule type="cellIs" dxfId="317" priority="267" operator="lessThan">
      <formula>0.333333333333333</formula>
    </cfRule>
    <cfRule type="cellIs" dxfId="316" priority="268" operator="greaterThan">
      <formula>0.333333333333333</formula>
    </cfRule>
  </conditionalFormatting>
  <conditionalFormatting sqref="N129">
    <cfRule type="cellIs" dxfId="315" priority="265" operator="lessThan">
      <formula>0.333333333333333</formula>
    </cfRule>
    <cfRule type="cellIs" dxfId="314" priority="266" operator="greaterThan">
      <formula>0.333333333333333</formula>
    </cfRule>
  </conditionalFormatting>
  <conditionalFormatting sqref="I129">
    <cfRule type="cellIs" dxfId="313" priority="263" operator="lessThan">
      <formula>0.333333333333333</formula>
    </cfRule>
    <cfRule type="cellIs" dxfId="312" priority="264" operator="greaterThan">
      <formula>0.333333333333333</formula>
    </cfRule>
  </conditionalFormatting>
  <conditionalFormatting sqref="S143">
    <cfRule type="cellIs" dxfId="311" priority="261" operator="lessThan">
      <formula>0.333333333333333</formula>
    </cfRule>
    <cfRule type="cellIs" dxfId="310" priority="262" operator="greaterThan">
      <formula>0.333333333333333</formula>
    </cfRule>
  </conditionalFormatting>
  <conditionalFormatting sqref="S159">
    <cfRule type="cellIs" dxfId="309" priority="259" operator="lessThan">
      <formula>0.333333333333333</formula>
    </cfRule>
    <cfRule type="cellIs" dxfId="308" priority="260" operator="greaterThan">
      <formula>0.333333333333333</formula>
    </cfRule>
  </conditionalFormatting>
  <conditionalFormatting sqref="AC134">
    <cfRule type="cellIs" dxfId="307" priority="257" operator="lessThan">
      <formula>0.333333333333333</formula>
    </cfRule>
    <cfRule type="cellIs" dxfId="306" priority="258" operator="greaterThan">
      <formula>0.333333333333333</formula>
    </cfRule>
  </conditionalFormatting>
  <conditionalFormatting sqref="X134">
    <cfRule type="cellIs" dxfId="305" priority="255" operator="lessThan">
      <formula>0.333333333333333</formula>
    </cfRule>
    <cfRule type="cellIs" dxfId="304" priority="256" operator="greaterThan">
      <formula>0.333333333333333</formula>
    </cfRule>
  </conditionalFormatting>
  <conditionalFormatting sqref="AM120">
    <cfRule type="cellIs" dxfId="303" priority="253" operator="lessThan">
      <formula>0.333333333333333</formula>
    </cfRule>
    <cfRule type="cellIs" dxfId="302" priority="254" operator="greaterThan">
      <formula>0.333333333333333</formula>
    </cfRule>
  </conditionalFormatting>
  <conditionalFormatting sqref="AH120">
    <cfRule type="cellIs" dxfId="301" priority="251" operator="lessThan">
      <formula>0.333333333333333</formula>
    </cfRule>
    <cfRule type="cellIs" dxfId="300" priority="252" operator="greaterThan">
      <formula>0.333333333333333</formula>
    </cfRule>
  </conditionalFormatting>
  <conditionalFormatting sqref="AC159">
    <cfRule type="cellIs" dxfId="299" priority="249" operator="lessThan">
      <formula>0.333333333333333</formula>
    </cfRule>
    <cfRule type="cellIs" dxfId="298" priority="250" operator="greaterThan">
      <formula>0.333333333333333</formula>
    </cfRule>
  </conditionalFormatting>
  <conditionalFormatting sqref="AC157">
    <cfRule type="cellIs" dxfId="297" priority="247" operator="lessThan">
      <formula>0.333333333333333</formula>
    </cfRule>
    <cfRule type="cellIs" dxfId="296" priority="248" operator="greaterThan">
      <formula>0.333333333333333</formula>
    </cfRule>
  </conditionalFormatting>
  <conditionalFormatting sqref="X157">
    <cfRule type="cellIs" dxfId="295" priority="245" operator="lessThan">
      <formula>0.333333333333333</formula>
    </cfRule>
    <cfRule type="cellIs" dxfId="294" priority="246" operator="greaterThan">
      <formula>0.333333333333333</formula>
    </cfRule>
  </conditionalFormatting>
  <conditionalFormatting sqref="AC153">
    <cfRule type="cellIs" dxfId="293" priority="243" operator="lessThan">
      <formula>0.333333333333333</formula>
    </cfRule>
    <cfRule type="cellIs" dxfId="292" priority="244" operator="greaterThan">
      <formula>0.333333333333333</formula>
    </cfRule>
  </conditionalFormatting>
  <conditionalFormatting sqref="AH153">
    <cfRule type="cellIs" dxfId="291" priority="241" operator="lessThan">
      <formula>0.333333333333333</formula>
    </cfRule>
    <cfRule type="cellIs" dxfId="290" priority="242" operator="greaterThan">
      <formula>0.333333333333333</formula>
    </cfRule>
  </conditionalFormatting>
  <conditionalFormatting sqref="S147">
    <cfRule type="cellIs" dxfId="289" priority="239" operator="lessThan">
      <formula>0.333333333333333</formula>
    </cfRule>
    <cfRule type="cellIs" dxfId="288" priority="240" operator="greaterThan">
      <formula>0.333333333333333</formula>
    </cfRule>
  </conditionalFormatting>
  <conditionalFormatting sqref="N166:N170">
    <cfRule type="cellIs" dxfId="287" priority="237" operator="lessThan">
      <formula>0.333333333333333</formula>
    </cfRule>
    <cfRule type="cellIs" dxfId="286" priority="238" operator="greaterThan">
      <formula>0.333333333333333</formula>
    </cfRule>
  </conditionalFormatting>
  <conditionalFormatting sqref="N160:N165">
    <cfRule type="cellIs" dxfId="285" priority="235" operator="lessThan">
      <formula>0.333333333333333</formula>
    </cfRule>
    <cfRule type="cellIs" dxfId="284" priority="236" operator="greaterThan">
      <formula>0.333333333333333</formula>
    </cfRule>
  </conditionalFormatting>
  <conditionalFormatting sqref="S166:S170">
    <cfRule type="cellIs" dxfId="283" priority="233" operator="lessThan">
      <formula>0.333333333333333</formula>
    </cfRule>
    <cfRule type="cellIs" dxfId="282" priority="234" operator="greaterThan">
      <formula>0.333333333333333</formula>
    </cfRule>
  </conditionalFormatting>
  <conditionalFormatting sqref="S160:S165">
    <cfRule type="cellIs" dxfId="281" priority="231" operator="lessThan">
      <formula>0.333333333333333</formula>
    </cfRule>
    <cfRule type="cellIs" dxfId="280" priority="232" operator="greaterThan">
      <formula>0.333333333333333</formula>
    </cfRule>
  </conditionalFormatting>
  <conditionalFormatting sqref="X166:X170">
    <cfRule type="cellIs" dxfId="279" priority="229" operator="lessThan">
      <formula>0.333333333333333</formula>
    </cfRule>
    <cfRule type="cellIs" dxfId="278" priority="230" operator="greaterThan">
      <formula>0.333333333333333</formula>
    </cfRule>
  </conditionalFormatting>
  <conditionalFormatting sqref="X160:X165">
    <cfRule type="cellIs" dxfId="277" priority="227" operator="lessThan">
      <formula>0.333333333333333</formula>
    </cfRule>
    <cfRule type="cellIs" dxfId="276" priority="228" operator="greaterThan">
      <formula>0.333333333333333</formula>
    </cfRule>
  </conditionalFormatting>
  <conditionalFormatting sqref="AC166:AC170">
    <cfRule type="cellIs" dxfId="275" priority="225" operator="lessThan">
      <formula>0.333333333333333</formula>
    </cfRule>
    <cfRule type="cellIs" dxfId="274" priority="226" operator="greaterThan">
      <formula>0.333333333333333</formula>
    </cfRule>
  </conditionalFormatting>
  <conditionalFormatting sqref="AC160:AC165">
    <cfRule type="cellIs" dxfId="273" priority="223" operator="lessThan">
      <formula>0.333333333333333</formula>
    </cfRule>
    <cfRule type="cellIs" dxfId="272" priority="224" operator="greaterThan">
      <formula>0.333333333333333</formula>
    </cfRule>
  </conditionalFormatting>
  <conditionalFormatting sqref="X120">
    <cfRule type="cellIs" dxfId="271" priority="221" operator="lessThan">
      <formula>0.333333333333333</formula>
    </cfRule>
    <cfRule type="cellIs" dxfId="270" priority="222" operator="greaterThan">
      <formula>0.333333333333333</formula>
    </cfRule>
  </conditionalFormatting>
  <conditionalFormatting sqref="N120">
    <cfRule type="cellIs" dxfId="269" priority="219" operator="lessThan">
      <formula>0.333333333333333</formula>
    </cfRule>
    <cfRule type="cellIs" dxfId="268" priority="220" operator="greaterThan">
      <formula>0.333333333333333</formula>
    </cfRule>
  </conditionalFormatting>
  <conditionalFormatting sqref="I120">
    <cfRule type="cellIs" dxfId="267" priority="217" operator="lessThan">
      <formula>0.333333333333333</formula>
    </cfRule>
    <cfRule type="cellIs" dxfId="266" priority="218" operator="greaterThan">
      <formula>0.333333333333333</formula>
    </cfRule>
  </conditionalFormatting>
  <conditionalFormatting sqref="S120">
    <cfRule type="cellIs" dxfId="265" priority="215" operator="lessThan">
      <formula>0.333333333333333</formula>
    </cfRule>
    <cfRule type="cellIs" dxfId="264" priority="216" operator="greaterThan">
      <formula>0.333333333333333</formula>
    </cfRule>
  </conditionalFormatting>
  <conditionalFormatting sqref="AH120">
    <cfRule type="cellIs" dxfId="263" priority="213" operator="lessThan">
      <formula>0.333333333333333</formula>
    </cfRule>
    <cfRule type="cellIs" dxfId="262" priority="214" operator="greaterThan">
      <formula>0.333333333333333</formula>
    </cfRule>
  </conditionalFormatting>
  <conditionalFormatting sqref="AC120">
    <cfRule type="cellIs" dxfId="261" priority="211" operator="lessThan">
      <formula>0.333333333333333</formula>
    </cfRule>
    <cfRule type="cellIs" dxfId="260" priority="212" operator="greaterThan">
      <formula>0.333333333333333</formula>
    </cfRule>
  </conditionalFormatting>
  <conditionalFormatting sqref="AH124">
    <cfRule type="cellIs" dxfId="259" priority="209" operator="lessThan">
      <formula>0.333333333333333</formula>
    </cfRule>
    <cfRule type="cellIs" dxfId="258" priority="210" operator="greaterThan">
      <formula>0.333333333333333</formula>
    </cfRule>
  </conditionalFormatting>
  <conditionalFormatting sqref="AC124">
    <cfRule type="cellIs" dxfId="257" priority="207" operator="lessThan">
      <formula>0.333333333333333</formula>
    </cfRule>
    <cfRule type="cellIs" dxfId="256" priority="208" operator="greaterThan">
      <formula>0.333333333333333</formula>
    </cfRule>
  </conditionalFormatting>
  <conditionalFormatting sqref="X124">
    <cfRule type="cellIs" dxfId="255" priority="205" operator="lessThan">
      <formula>0.333333333333333</formula>
    </cfRule>
    <cfRule type="cellIs" dxfId="254" priority="206" operator="greaterThan">
      <formula>0.333333333333333</formula>
    </cfRule>
  </conditionalFormatting>
  <conditionalFormatting sqref="S124">
    <cfRule type="cellIs" dxfId="253" priority="203" operator="lessThan">
      <formula>0.333333333333333</formula>
    </cfRule>
    <cfRule type="cellIs" dxfId="252" priority="204" operator="greaterThan">
      <formula>0.333333333333333</formula>
    </cfRule>
  </conditionalFormatting>
  <conditionalFormatting sqref="N124">
    <cfRule type="cellIs" dxfId="251" priority="201" operator="lessThan">
      <formula>0.333333333333333</formula>
    </cfRule>
    <cfRule type="cellIs" dxfId="250" priority="202" operator="greaterThan">
      <formula>0.333333333333333</formula>
    </cfRule>
  </conditionalFormatting>
  <conditionalFormatting sqref="I124">
    <cfRule type="cellIs" dxfId="249" priority="199" operator="lessThan">
      <formula>0.333333333333333</formula>
    </cfRule>
    <cfRule type="cellIs" dxfId="248" priority="200" operator="greaterThan">
      <formula>0.333333333333333</formula>
    </cfRule>
  </conditionalFormatting>
  <conditionalFormatting sqref="AH159">
    <cfRule type="cellIs" dxfId="247" priority="197" operator="lessThan">
      <formula>0.333333333333333</formula>
    </cfRule>
    <cfRule type="cellIs" dxfId="246" priority="198" operator="greaterThan">
      <formula>0.333333333333333</formula>
    </cfRule>
  </conditionalFormatting>
  <conditionalFormatting sqref="I159">
    <cfRule type="cellIs" dxfId="245" priority="195" operator="lessThan">
      <formula>0.333333333333333</formula>
    </cfRule>
    <cfRule type="cellIs" dxfId="244" priority="196" operator="greaterThan">
      <formula>0.333333333333333</formula>
    </cfRule>
  </conditionalFormatting>
  <conditionalFormatting sqref="AC159">
    <cfRule type="cellIs" dxfId="243" priority="193" operator="lessThan">
      <formula>0.333333333333333</formula>
    </cfRule>
    <cfRule type="cellIs" dxfId="242" priority="194" operator="greaterThan">
      <formula>0.333333333333333</formula>
    </cfRule>
  </conditionalFormatting>
  <conditionalFormatting sqref="S159">
    <cfRule type="cellIs" dxfId="241" priority="191" operator="lessThan">
      <formula>0.333333333333333</formula>
    </cfRule>
    <cfRule type="cellIs" dxfId="240" priority="192" operator="greaterThan">
      <formula>0.333333333333333</formula>
    </cfRule>
  </conditionalFormatting>
  <conditionalFormatting sqref="N159">
    <cfRule type="cellIs" dxfId="239" priority="189" operator="lessThan">
      <formula>0.333333333333333</formula>
    </cfRule>
    <cfRule type="cellIs" dxfId="238" priority="190" operator="greaterThan">
      <formula>0.333333333333333</formula>
    </cfRule>
  </conditionalFormatting>
  <conditionalFormatting sqref="X159">
    <cfRule type="cellIs" dxfId="237" priority="187" operator="lessThan">
      <formula>0.333333333333333</formula>
    </cfRule>
    <cfRule type="cellIs" dxfId="236" priority="188" operator="greaterThan">
      <formula>0.333333333333333</formula>
    </cfRule>
  </conditionalFormatting>
  <conditionalFormatting sqref="AM123">
    <cfRule type="cellIs" dxfId="235" priority="185" operator="lessThan">
      <formula>0.333333333333333</formula>
    </cfRule>
    <cfRule type="cellIs" dxfId="234" priority="186" operator="greaterThan">
      <formula>0.333333333333333</formula>
    </cfRule>
  </conditionalFormatting>
  <conditionalFormatting sqref="I123">
    <cfRule type="cellIs" dxfId="233" priority="183" operator="lessThan">
      <formula>0.333333333333333</formula>
    </cfRule>
    <cfRule type="cellIs" dxfId="232" priority="184" operator="greaterThan">
      <formula>0.333333333333333</formula>
    </cfRule>
  </conditionalFormatting>
  <conditionalFormatting sqref="AM157">
    <cfRule type="cellIs" dxfId="231" priority="181" operator="lessThan">
      <formula>0.333333333333333</formula>
    </cfRule>
    <cfRule type="cellIs" dxfId="230" priority="182" operator="greaterThan">
      <formula>0.333333333333333</formula>
    </cfRule>
  </conditionalFormatting>
  <conditionalFormatting sqref="I157">
    <cfRule type="cellIs" dxfId="229" priority="179" operator="lessThan">
      <formula>0.333333333333333</formula>
    </cfRule>
    <cfRule type="cellIs" dxfId="228" priority="180" operator="greaterThan">
      <formula>0.333333333333333</formula>
    </cfRule>
  </conditionalFormatting>
  <conditionalFormatting sqref="AM155">
    <cfRule type="cellIs" dxfId="227" priority="177" operator="lessThan">
      <formula>0.333333333333333</formula>
    </cfRule>
    <cfRule type="cellIs" dxfId="226" priority="178" operator="greaterThan">
      <formula>0.333333333333333</formula>
    </cfRule>
  </conditionalFormatting>
  <conditionalFormatting sqref="I155">
    <cfRule type="cellIs" dxfId="225" priority="175" operator="lessThan">
      <formula>0.333333333333333</formula>
    </cfRule>
    <cfRule type="cellIs" dxfId="224" priority="176" operator="greaterThan">
      <formula>0.333333333333333</formula>
    </cfRule>
  </conditionalFormatting>
  <conditionalFormatting sqref="AM158">
    <cfRule type="cellIs" dxfId="223" priority="173" operator="lessThan">
      <formula>0.333333333333333</formula>
    </cfRule>
    <cfRule type="cellIs" dxfId="222" priority="174" operator="greaterThan">
      <formula>0.333333333333333</formula>
    </cfRule>
  </conditionalFormatting>
  <conditionalFormatting sqref="AH158">
    <cfRule type="cellIs" dxfId="221" priority="171" operator="lessThan">
      <formula>0.333333333333333</formula>
    </cfRule>
    <cfRule type="cellIs" dxfId="220" priority="172" operator="greaterThan">
      <formula>0.333333333333333</formula>
    </cfRule>
  </conditionalFormatting>
  <conditionalFormatting sqref="AC158">
    <cfRule type="cellIs" dxfId="219" priority="169" operator="lessThan">
      <formula>0.333333333333333</formula>
    </cfRule>
    <cfRule type="cellIs" dxfId="218" priority="170" operator="greaterThan">
      <formula>0.333333333333333</formula>
    </cfRule>
  </conditionalFormatting>
  <conditionalFormatting sqref="X158">
    <cfRule type="cellIs" dxfId="217" priority="167" operator="lessThan">
      <formula>0.333333333333333</formula>
    </cfRule>
    <cfRule type="cellIs" dxfId="216" priority="168" operator="greaterThan">
      <formula>0.333333333333333</formula>
    </cfRule>
  </conditionalFormatting>
  <conditionalFormatting sqref="S158">
    <cfRule type="cellIs" dxfId="215" priority="165" operator="lessThan">
      <formula>0.333333333333333</formula>
    </cfRule>
    <cfRule type="cellIs" dxfId="214" priority="166" operator="greaterThan">
      <formula>0.333333333333333</formula>
    </cfRule>
  </conditionalFormatting>
  <conditionalFormatting sqref="N158">
    <cfRule type="cellIs" dxfId="213" priority="163" operator="lessThan">
      <formula>0.333333333333333</formula>
    </cfRule>
    <cfRule type="cellIs" dxfId="212" priority="164" operator="greaterThan">
      <formula>0.333333333333333</formula>
    </cfRule>
  </conditionalFormatting>
  <conditionalFormatting sqref="AH126">
    <cfRule type="cellIs" dxfId="211" priority="161" operator="lessThan">
      <formula>0.333333333333333</formula>
    </cfRule>
    <cfRule type="cellIs" dxfId="210" priority="162" operator="greaterThan">
      <formula>0.333333333333333</formula>
    </cfRule>
  </conditionalFormatting>
  <conditionalFormatting sqref="S126">
    <cfRule type="cellIs" dxfId="209" priority="159" operator="lessThan">
      <formula>0.333333333333333</formula>
    </cfRule>
    <cfRule type="cellIs" dxfId="208" priority="160" operator="greaterThan">
      <formula>0.333333333333333</formula>
    </cfRule>
  </conditionalFormatting>
  <conditionalFormatting sqref="AC147">
    <cfRule type="cellIs" dxfId="207" priority="157" operator="lessThan">
      <formula>0.333333333333333</formula>
    </cfRule>
    <cfRule type="cellIs" dxfId="206" priority="158" operator="greaterThan">
      <formula>0.333333333333333</formula>
    </cfRule>
  </conditionalFormatting>
  <conditionalFormatting sqref="X147">
    <cfRule type="cellIs" dxfId="205" priority="155" operator="lessThan">
      <formula>0.333333333333333</formula>
    </cfRule>
    <cfRule type="cellIs" dxfId="204" priority="156" operator="greaterThan">
      <formula>0.333333333333333</formula>
    </cfRule>
  </conditionalFormatting>
  <conditionalFormatting sqref="AH127">
    <cfRule type="cellIs" dxfId="203" priority="153" operator="lessThan">
      <formula>0.333333333333333</formula>
    </cfRule>
    <cfRule type="cellIs" dxfId="202" priority="154" operator="greaterThan">
      <formula>0.333333333333333</formula>
    </cfRule>
  </conditionalFormatting>
  <conditionalFormatting sqref="AC127">
    <cfRule type="cellIs" dxfId="201" priority="151" operator="lessThan">
      <formula>0.333333333333333</formula>
    </cfRule>
    <cfRule type="cellIs" dxfId="200" priority="152" operator="greaterThan">
      <formula>0.333333333333333</formula>
    </cfRule>
  </conditionalFormatting>
  <conditionalFormatting sqref="AM132">
    <cfRule type="cellIs" dxfId="199" priority="149" operator="lessThan">
      <formula>0.333333333333333</formula>
    </cfRule>
    <cfRule type="cellIs" dxfId="198" priority="150" operator="greaterThan">
      <formula>0.333333333333333</formula>
    </cfRule>
  </conditionalFormatting>
  <conditionalFormatting sqref="AC132">
    <cfRule type="cellIs" dxfId="197" priority="147" operator="lessThan">
      <formula>0.333333333333333</formula>
    </cfRule>
    <cfRule type="cellIs" dxfId="196" priority="148" operator="greaterThan">
      <formula>0.333333333333333</formula>
    </cfRule>
  </conditionalFormatting>
  <conditionalFormatting sqref="AM133">
    <cfRule type="cellIs" dxfId="195" priority="145" operator="lessThan">
      <formula>0.333333333333333</formula>
    </cfRule>
    <cfRule type="cellIs" dxfId="194" priority="146" operator="greaterThan">
      <formula>0.333333333333333</formula>
    </cfRule>
  </conditionalFormatting>
  <conditionalFormatting sqref="AC133">
    <cfRule type="cellIs" dxfId="193" priority="143" operator="lessThan">
      <formula>0.333333333333333</formula>
    </cfRule>
    <cfRule type="cellIs" dxfId="192" priority="144" operator="greaterThan">
      <formula>0.333333333333333</formula>
    </cfRule>
  </conditionalFormatting>
  <conditionalFormatting sqref="I149">
    <cfRule type="cellIs" dxfId="191" priority="141" operator="lessThan">
      <formula>0.333333333333333</formula>
    </cfRule>
    <cfRule type="cellIs" dxfId="190" priority="142" operator="greaterThan">
      <formula>0.333333333333333</formula>
    </cfRule>
  </conditionalFormatting>
  <conditionalFormatting sqref="X149">
    <cfRule type="cellIs" dxfId="189" priority="139" operator="lessThan">
      <formula>0.333333333333333</formula>
    </cfRule>
    <cfRule type="cellIs" dxfId="188" priority="140" operator="greaterThan">
      <formula>0.333333333333333</formula>
    </cfRule>
  </conditionalFormatting>
  <conditionalFormatting sqref="X149">
    <cfRule type="cellIs" dxfId="187" priority="137" operator="lessThan">
      <formula>0.333333333333333</formula>
    </cfRule>
    <cfRule type="cellIs" dxfId="186" priority="138" operator="greaterThan">
      <formula>0.333333333333333</formula>
    </cfRule>
  </conditionalFormatting>
  <conditionalFormatting sqref="N130">
    <cfRule type="cellIs" dxfId="185" priority="135" operator="lessThan">
      <formula>0.333333333333333</formula>
    </cfRule>
    <cfRule type="cellIs" dxfId="184" priority="136" operator="greaterThan">
      <formula>0.333333333333333</formula>
    </cfRule>
  </conditionalFormatting>
  <conditionalFormatting sqref="X130">
    <cfRule type="cellIs" dxfId="183" priority="133" operator="lessThan">
      <formula>0.333333333333333</formula>
    </cfRule>
    <cfRule type="cellIs" dxfId="182" priority="134" operator="greaterThan">
      <formula>0.333333333333333</formula>
    </cfRule>
  </conditionalFormatting>
  <conditionalFormatting sqref="S121">
    <cfRule type="cellIs" dxfId="181" priority="131" operator="lessThan">
      <formula>0.333333333333333</formula>
    </cfRule>
    <cfRule type="cellIs" dxfId="180" priority="132" operator="greaterThan">
      <formula>0.333333333333333</formula>
    </cfRule>
  </conditionalFormatting>
  <conditionalFormatting sqref="X121">
    <cfRule type="cellIs" dxfId="179" priority="129" operator="lessThan">
      <formula>0.333333333333333</formula>
    </cfRule>
    <cfRule type="cellIs" dxfId="178" priority="130" operator="greaterThan">
      <formula>0.333333333333333</formula>
    </cfRule>
  </conditionalFormatting>
  <conditionalFormatting sqref="AM130">
    <cfRule type="cellIs" dxfId="177" priority="127" operator="lessThan">
      <formula>0.333333333333333</formula>
    </cfRule>
    <cfRule type="cellIs" dxfId="176" priority="128" operator="greaterThan">
      <formula>0.333333333333333</formula>
    </cfRule>
  </conditionalFormatting>
  <conditionalFormatting sqref="I171:I175 I177:I180">
    <cfRule type="cellIs" dxfId="175" priority="125" operator="lessThan">
      <formula>0.333333333333333</formula>
    </cfRule>
    <cfRule type="cellIs" dxfId="174" priority="126" operator="greaterThan">
      <formula>0.333333333333333</formula>
    </cfRule>
  </conditionalFormatting>
  <conditionalFormatting sqref="B171:B180">
    <cfRule type="cellIs" dxfId="173" priority="124" operator="greaterThan">
      <formula>0</formula>
    </cfRule>
  </conditionalFormatting>
  <conditionalFormatting sqref="N171:N177 N179:N180">
    <cfRule type="cellIs" dxfId="172" priority="122" operator="lessThan">
      <formula>0.333333333333333</formula>
    </cfRule>
    <cfRule type="cellIs" dxfId="171" priority="123" operator="greaterThan">
      <formula>0.333333333333333</formula>
    </cfRule>
  </conditionalFormatting>
  <conditionalFormatting sqref="S171:S175 S179:S180 S177">
    <cfRule type="cellIs" dxfId="170" priority="120" operator="lessThan">
      <formula>0.333333333333333</formula>
    </cfRule>
    <cfRule type="cellIs" dxfId="169" priority="121" operator="greaterThan">
      <formula>0.333333333333333</formula>
    </cfRule>
  </conditionalFormatting>
  <conditionalFormatting sqref="X171:X177 X179:X180">
    <cfRule type="cellIs" dxfId="168" priority="118" operator="lessThan">
      <formula>0.333333333333333</formula>
    </cfRule>
    <cfRule type="cellIs" dxfId="167" priority="119" operator="greaterThan">
      <formula>0.333333333333333</formula>
    </cfRule>
  </conditionalFormatting>
  <conditionalFormatting sqref="AC171:AC177 AC179:AC180">
    <cfRule type="cellIs" dxfId="166" priority="116" operator="lessThan">
      <formula>0.333333333333333</formula>
    </cfRule>
    <cfRule type="cellIs" dxfId="165" priority="117" operator="greaterThan">
      <formula>0.333333333333333</formula>
    </cfRule>
  </conditionalFormatting>
  <conditionalFormatting sqref="AH171:AH177 AH179:AH180">
    <cfRule type="cellIs" dxfId="164" priority="114" operator="lessThan">
      <formula>0.333333333333333</formula>
    </cfRule>
    <cfRule type="cellIs" dxfId="163" priority="115" operator="greaterThan">
      <formula>0.333333333333333</formula>
    </cfRule>
  </conditionalFormatting>
  <conditionalFormatting sqref="AM171:AM174 AM179:AM180 AM176">
    <cfRule type="cellIs" dxfId="162" priority="112" operator="lessThan">
      <formula>0.333333333333333</formula>
    </cfRule>
    <cfRule type="cellIs" dxfId="161" priority="113" operator="greaterThan">
      <formula>0.333333333333333</formula>
    </cfRule>
  </conditionalFormatting>
  <conditionalFormatting sqref="N176">
    <cfRule type="cellIs" dxfId="160" priority="110" operator="lessThan">
      <formula>0.333333333333333</formula>
    </cfRule>
    <cfRule type="cellIs" dxfId="159" priority="111" operator="greaterThan">
      <formula>0.333333333333333</formula>
    </cfRule>
  </conditionalFormatting>
  <conditionalFormatting sqref="X176">
    <cfRule type="cellIs" dxfId="158" priority="108" operator="lessThan">
      <formula>0.333333333333333</formula>
    </cfRule>
    <cfRule type="cellIs" dxfId="157" priority="109" operator="greaterThan">
      <formula>0.333333333333333</formula>
    </cfRule>
  </conditionalFormatting>
  <conditionalFormatting sqref="AC176">
    <cfRule type="cellIs" dxfId="156" priority="106" operator="lessThan">
      <formula>0.333333333333333</formula>
    </cfRule>
    <cfRule type="cellIs" dxfId="155" priority="107" operator="greaterThan">
      <formula>0.333333333333333</formula>
    </cfRule>
  </conditionalFormatting>
  <conditionalFormatting sqref="AH176">
    <cfRule type="cellIs" dxfId="154" priority="104" operator="lessThan">
      <formula>0.333333333333333</formula>
    </cfRule>
    <cfRule type="cellIs" dxfId="153" priority="105" operator="greaterThan">
      <formula>0.333333333333333</formula>
    </cfRule>
  </conditionalFormatting>
  <conditionalFormatting sqref="N177">
    <cfRule type="cellIs" dxfId="152" priority="102" operator="lessThan">
      <formula>0.333333333333333</formula>
    </cfRule>
    <cfRule type="cellIs" dxfId="151" priority="103" operator="greaterThan">
      <formula>0.333333333333333</formula>
    </cfRule>
  </conditionalFormatting>
  <conditionalFormatting sqref="S177">
    <cfRule type="cellIs" dxfId="150" priority="100" operator="lessThan">
      <formula>0.333333333333333</formula>
    </cfRule>
    <cfRule type="cellIs" dxfId="149" priority="101" operator="greaterThan">
      <formula>0.333333333333333</formula>
    </cfRule>
  </conditionalFormatting>
  <conditionalFormatting sqref="X177">
    <cfRule type="cellIs" dxfId="148" priority="98" operator="lessThan">
      <formula>0.333333333333333</formula>
    </cfRule>
    <cfRule type="cellIs" dxfId="147" priority="99" operator="greaterThan">
      <formula>0.333333333333333</formula>
    </cfRule>
  </conditionalFormatting>
  <conditionalFormatting sqref="AC177">
    <cfRule type="cellIs" dxfId="146" priority="96" operator="lessThan">
      <formula>0.333333333333333</formula>
    </cfRule>
    <cfRule type="cellIs" dxfId="145" priority="97" operator="greaterThan">
      <formula>0.333333333333333</formula>
    </cfRule>
  </conditionalFormatting>
  <conditionalFormatting sqref="AH177">
    <cfRule type="cellIs" dxfId="144" priority="94" operator="lessThan">
      <formula>0.333333333333333</formula>
    </cfRule>
    <cfRule type="cellIs" dxfId="143" priority="95" operator="greaterThan">
      <formula>0.333333333333333</formula>
    </cfRule>
  </conditionalFormatting>
  <conditionalFormatting sqref="N177">
    <cfRule type="cellIs" dxfId="142" priority="92" operator="lessThan">
      <formula>0.333333333333333</formula>
    </cfRule>
    <cfRule type="cellIs" dxfId="141" priority="93" operator="greaterThan">
      <formula>0.333333333333333</formula>
    </cfRule>
  </conditionalFormatting>
  <conditionalFormatting sqref="S177">
    <cfRule type="cellIs" dxfId="140" priority="90" operator="lessThan">
      <formula>0.333333333333333</formula>
    </cfRule>
    <cfRule type="cellIs" dxfId="139" priority="91" operator="greaterThan">
      <formula>0.333333333333333</formula>
    </cfRule>
  </conditionalFormatting>
  <conditionalFormatting sqref="X177">
    <cfRule type="cellIs" dxfId="138" priority="88" operator="lessThan">
      <formula>0.333333333333333</formula>
    </cfRule>
    <cfRule type="cellIs" dxfId="137" priority="89" operator="greaterThan">
      <formula>0.333333333333333</formula>
    </cfRule>
  </conditionalFormatting>
  <conditionalFormatting sqref="AC177">
    <cfRule type="cellIs" dxfId="136" priority="86" operator="lessThan">
      <formula>0.333333333333333</formula>
    </cfRule>
    <cfRule type="cellIs" dxfId="135" priority="87" operator="greaterThan">
      <formula>0.333333333333333</formula>
    </cfRule>
  </conditionalFormatting>
  <conditionalFormatting sqref="AH177">
    <cfRule type="cellIs" dxfId="134" priority="84" operator="lessThan">
      <formula>0.333333333333333</formula>
    </cfRule>
    <cfRule type="cellIs" dxfId="133" priority="85" operator="greaterThan">
      <formula>0.333333333333333</formula>
    </cfRule>
  </conditionalFormatting>
  <conditionalFormatting sqref="N177">
    <cfRule type="cellIs" dxfId="132" priority="82" operator="lessThan">
      <formula>0.333333333333333</formula>
    </cfRule>
    <cfRule type="cellIs" dxfId="131" priority="83" operator="greaterThan">
      <formula>0.333333333333333</formula>
    </cfRule>
  </conditionalFormatting>
  <conditionalFormatting sqref="S177">
    <cfRule type="cellIs" dxfId="130" priority="80" operator="lessThan">
      <formula>0.333333333333333</formula>
    </cfRule>
    <cfRule type="cellIs" dxfId="129" priority="81" operator="greaterThan">
      <formula>0.333333333333333</formula>
    </cfRule>
  </conditionalFormatting>
  <conditionalFormatting sqref="X177">
    <cfRule type="cellIs" dxfId="128" priority="78" operator="lessThan">
      <formula>0.333333333333333</formula>
    </cfRule>
    <cfRule type="cellIs" dxfId="127" priority="79" operator="greaterThan">
      <formula>0.333333333333333</formula>
    </cfRule>
  </conditionalFormatting>
  <conditionalFormatting sqref="AC177">
    <cfRule type="cellIs" dxfId="126" priority="76" operator="lessThan">
      <formula>0.333333333333333</formula>
    </cfRule>
    <cfRule type="cellIs" dxfId="125" priority="77" operator="greaterThan">
      <formula>0.333333333333333</formula>
    </cfRule>
  </conditionalFormatting>
  <conditionalFormatting sqref="AM177">
    <cfRule type="cellIs" dxfId="124" priority="74" operator="lessThan">
      <formula>0.333333333333333</formula>
    </cfRule>
    <cfRule type="cellIs" dxfId="123" priority="75" operator="greaterThan">
      <formula>0.333333333333333</formula>
    </cfRule>
  </conditionalFormatting>
  <conditionalFormatting sqref="N178">
    <cfRule type="cellIs" dxfId="122" priority="72" operator="lessThan">
      <formula>0.333333333333333</formula>
    </cfRule>
    <cfRule type="cellIs" dxfId="121" priority="73" operator="greaterThan">
      <formula>0.333333333333333</formula>
    </cfRule>
  </conditionalFormatting>
  <conditionalFormatting sqref="S178">
    <cfRule type="cellIs" dxfId="120" priority="70" operator="lessThan">
      <formula>0.333333333333333</formula>
    </cfRule>
    <cfRule type="cellIs" dxfId="119" priority="71" operator="greaterThan">
      <formula>0.333333333333333</formula>
    </cfRule>
  </conditionalFormatting>
  <conditionalFormatting sqref="X178">
    <cfRule type="cellIs" dxfId="118" priority="68" operator="lessThan">
      <formula>0.333333333333333</formula>
    </cfRule>
    <cfRule type="cellIs" dxfId="117" priority="69" operator="greaterThan">
      <formula>0.333333333333333</formula>
    </cfRule>
  </conditionalFormatting>
  <conditionalFormatting sqref="AC178">
    <cfRule type="cellIs" dxfId="116" priority="66" operator="lessThan">
      <formula>0.333333333333333</formula>
    </cfRule>
    <cfRule type="cellIs" dxfId="115" priority="67" operator="greaterThan">
      <formula>0.333333333333333</formula>
    </cfRule>
  </conditionalFormatting>
  <conditionalFormatting sqref="AH178">
    <cfRule type="cellIs" dxfId="114" priority="64" operator="lessThan">
      <formula>0.333333333333333</formula>
    </cfRule>
    <cfRule type="cellIs" dxfId="113" priority="65" operator="greaterThan">
      <formula>0.333333333333333</formula>
    </cfRule>
  </conditionalFormatting>
  <conditionalFormatting sqref="AM178">
    <cfRule type="cellIs" dxfId="112" priority="62" operator="lessThan">
      <formula>0.333333333333333</formula>
    </cfRule>
    <cfRule type="cellIs" dxfId="111" priority="63" operator="greaterThan">
      <formula>0.333333333333333</formula>
    </cfRule>
  </conditionalFormatting>
  <conditionalFormatting sqref="N175">
    <cfRule type="cellIs" dxfId="110" priority="60" operator="lessThan">
      <formula>0.333333333333333</formula>
    </cfRule>
    <cfRule type="cellIs" dxfId="109" priority="61" operator="greaterThan">
      <formula>0.333333333333333</formula>
    </cfRule>
  </conditionalFormatting>
  <conditionalFormatting sqref="S175">
    <cfRule type="cellIs" dxfId="108" priority="58" operator="lessThan">
      <formula>0.333333333333333</formula>
    </cfRule>
    <cfRule type="cellIs" dxfId="107" priority="59" operator="greaterThan">
      <formula>0.333333333333333</formula>
    </cfRule>
  </conditionalFormatting>
  <conditionalFormatting sqref="X175">
    <cfRule type="cellIs" dxfId="106" priority="56" operator="lessThan">
      <formula>0.333333333333333</formula>
    </cfRule>
    <cfRule type="cellIs" dxfId="105" priority="57" operator="greaterThan">
      <formula>0.333333333333333</formula>
    </cfRule>
  </conditionalFormatting>
  <conditionalFormatting sqref="AC175">
    <cfRule type="cellIs" dxfId="104" priority="54" operator="lessThan">
      <formula>0.333333333333333</formula>
    </cfRule>
    <cfRule type="cellIs" dxfId="103" priority="55" operator="greaterThan">
      <formula>0.333333333333333</formula>
    </cfRule>
  </conditionalFormatting>
  <conditionalFormatting sqref="AH175">
    <cfRule type="cellIs" dxfId="102" priority="52" operator="lessThan">
      <formula>0.333333333333333</formula>
    </cfRule>
    <cfRule type="cellIs" dxfId="101" priority="53" operator="greaterThan">
      <formula>0.333333333333333</formula>
    </cfRule>
  </conditionalFormatting>
  <conditionalFormatting sqref="AM175">
    <cfRule type="cellIs" dxfId="100" priority="50" operator="lessThan">
      <formula>0.333333333333333</formula>
    </cfRule>
    <cfRule type="cellIs" dxfId="99" priority="51" operator="greaterThan">
      <formula>0.333333333333333</formula>
    </cfRule>
  </conditionalFormatting>
  <conditionalFormatting sqref="N179">
    <cfRule type="cellIs" dxfId="98" priority="48" operator="lessThan">
      <formula>0.333333333333333</formula>
    </cfRule>
    <cfRule type="cellIs" dxfId="97" priority="49" operator="greaterThan">
      <formula>0.333333333333333</formula>
    </cfRule>
  </conditionalFormatting>
  <conditionalFormatting sqref="S179">
    <cfRule type="cellIs" dxfId="96" priority="46" operator="lessThan">
      <formula>0.333333333333333</formula>
    </cfRule>
    <cfRule type="cellIs" dxfId="95" priority="47" operator="greaterThan">
      <formula>0.333333333333333</formula>
    </cfRule>
  </conditionalFormatting>
  <conditionalFormatting sqref="X179">
    <cfRule type="cellIs" dxfId="94" priority="44" operator="lessThan">
      <formula>0.333333333333333</formula>
    </cfRule>
    <cfRule type="cellIs" dxfId="93" priority="45" operator="greaterThan">
      <formula>0.333333333333333</formula>
    </cfRule>
  </conditionalFormatting>
  <conditionalFormatting sqref="AC179">
    <cfRule type="cellIs" dxfId="92" priority="42" operator="lessThan">
      <formula>0.333333333333333</formula>
    </cfRule>
    <cfRule type="cellIs" dxfId="91" priority="43" operator="greaterThan">
      <formula>0.333333333333333</formula>
    </cfRule>
  </conditionalFormatting>
  <conditionalFormatting sqref="AH179">
    <cfRule type="cellIs" dxfId="90" priority="40" operator="lessThan">
      <formula>0.333333333333333</formula>
    </cfRule>
    <cfRule type="cellIs" dxfId="89" priority="41" operator="greaterThan">
      <formula>0.333333333333333</formula>
    </cfRule>
  </conditionalFormatting>
  <conditionalFormatting sqref="AM179">
    <cfRule type="cellIs" dxfId="88" priority="38" operator="lessThan">
      <formula>0.333333333333333</formula>
    </cfRule>
    <cfRule type="cellIs" dxfId="87" priority="39" operator="greaterThan">
      <formula>0.333333333333333</formula>
    </cfRule>
  </conditionalFormatting>
  <conditionalFormatting sqref="I176">
    <cfRule type="cellIs" dxfId="86" priority="36" operator="lessThan">
      <formula>0.333333333333333</formula>
    </cfRule>
    <cfRule type="cellIs" dxfId="85" priority="37" operator="greaterThan">
      <formula>0.333333333333333</formula>
    </cfRule>
  </conditionalFormatting>
  <conditionalFormatting sqref="I176">
    <cfRule type="cellIs" dxfId="84" priority="34" operator="lessThan">
      <formula>0.333333333333333</formula>
    </cfRule>
    <cfRule type="cellIs" dxfId="83" priority="35" operator="greaterThan">
      <formula>0.333333333333333</formula>
    </cfRule>
  </conditionalFormatting>
  <conditionalFormatting sqref="S176">
    <cfRule type="cellIs" dxfId="82" priority="32" operator="lessThan">
      <formula>0.333333333333333</formula>
    </cfRule>
    <cfRule type="cellIs" dxfId="81" priority="33" operator="greaterThan">
      <formula>0.333333333333333</formula>
    </cfRule>
  </conditionalFormatting>
  <conditionalFormatting sqref="S176">
    <cfRule type="cellIs" dxfId="80" priority="30" operator="lessThan">
      <formula>0.333333333333333</formula>
    </cfRule>
    <cfRule type="cellIs" dxfId="79" priority="31" operator="greaterThan">
      <formula>0.333333333333333</formula>
    </cfRule>
  </conditionalFormatting>
  <conditionalFormatting sqref="I180">
    <cfRule type="cellIs" dxfId="78" priority="28" operator="lessThan">
      <formula>0.333333333333333</formula>
    </cfRule>
    <cfRule type="cellIs" dxfId="77" priority="29" operator="greaterThan">
      <formula>0.333333333333333</formula>
    </cfRule>
  </conditionalFormatting>
  <conditionalFormatting sqref="N180">
    <cfRule type="cellIs" dxfId="76" priority="26" operator="lessThan">
      <formula>0.333333333333333</formula>
    </cfRule>
    <cfRule type="cellIs" dxfId="75" priority="27" operator="greaterThan">
      <formula>0.333333333333333</formula>
    </cfRule>
  </conditionalFormatting>
  <conditionalFormatting sqref="S180">
    <cfRule type="cellIs" dxfId="74" priority="24" operator="lessThan">
      <formula>0.333333333333333</formula>
    </cfRule>
    <cfRule type="cellIs" dxfId="73" priority="25" operator="greaterThan">
      <formula>0.333333333333333</formula>
    </cfRule>
  </conditionalFormatting>
  <conditionalFormatting sqref="I182:I190">
    <cfRule type="cellIs" dxfId="72" priority="22" operator="lessThan">
      <formula>0.333333333333333</formula>
    </cfRule>
    <cfRule type="cellIs" dxfId="71" priority="23" operator="greaterThan">
      <formula>0.333333333333333</formula>
    </cfRule>
  </conditionalFormatting>
  <conditionalFormatting sqref="B181:B190">
    <cfRule type="cellIs" dxfId="70" priority="21" operator="greaterThan">
      <formula>0</formula>
    </cfRule>
  </conditionalFormatting>
  <conditionalFormatting sqref="N181:N190">
    <cfRule type="cellIs" dxfId="69" priority="19" operator="lessThan">
      <formula>0.333333333333333</formula>
    </cfRule>
    <cfRule type="cellIs" dxfId="68" priority="20" operator="greaterThan">
      <formula>0.333333333333333</formula>
    </cfRule>
  </conditionalFormatting>
  <conditionalFormatting sqref="S181:S190">
    <cfRule type="cellIs" dxfId="67" priority="17" operator="lessThan">
      <formula>0.333333333333333</formula>
    </cfRule>
    <cfRule type="cellIs" dxfId="66" priority="18" operator="greaterThan">
      <formula>0.333333333333333</formula>
    </cfRule>
  </conditionalFormatting>
  <conditionalFormatting sqref="X181:X190">
    <cfRule type="cellIs" dxfId="65" priority="15" operator="lessThan">
      <formula>0.333333333333333</formula>
    </cfRule>
    <cfRule type="cellIs" dxfId="64" priority="16" operator="greaterThan">
      <formula>0.333333333333333</formula>
    </cfRule>
  </conditionalFormatting>
  <conditionalFormatting sqref="AC181:AC189">
    <cfRule type="cellIs" dxfId="63" priority="13" operator="lessThan">
      <formula>0.333333333333333</formula>
    </cfRule>
    <cfRule type="cellIs" dxfId="62" priority="14" operator="greaterThan">
      <formula>0.333333333333333</formula>
    </cfRule>
  </conditionalFormatting>
  <conditionalFormatting sqref="AH182:AH190">
    <cfRule type="cellIs" dxfId="61" priority="11" operator="lessThan">
      <formula>0.333333333333333</formula>
    </cfRule>
    <cfRule type="cellIs" dxfId="60" priority="12" operator="greaterThan">
      <formula>0.333333333333333</formula>
    </cfRule>
  </conditionalFormatting>
  <conditionalFormatting sqref="AM181:AM189">
    <cfRule type="cellIs" dxfId="59" priority="9" operator="lessThan">
      <formula>0.333333333333333</formula>
    </cfRule>
    <cfRule type="cellIs" dxfId="58" priority="10" operator="greaterThan">
      <formula>0.333333333333333</formula>
    </cfRule>
  </conditionalFormatting>
  <conditionalFormatting sqref="AC190">
    <cfRule type="cellIs" dxfId="57" priority="7" operator="lessThan">
      <formula>0.333333333333333</formula>
    </cfRule>
    <cfRule type="cellIs" dxfId="56" priority="8" operator="greaterThan">
      <formula>0.333333333333333</formula>
    </cfRule>
  </conditionalFormatting>
  <conditionalFormatting sqref="AM190">
    <cfRule type="cellIs" dxfId="55" priority="5" operator="lessThan">
      <formula>0.333333333333333</formula>
    </cfRule>
    <cfRule type="cellIs" dxfId="54" priority="6" operator="greaterThan">
      <formula>0.333333333333333</formula>
    </cfRule>
  </conditionalFormatting>
  <conditionalFormatting sqref="I181">
    <cfRule type="cellIs" dxfId="53" priority="3" operator="lessThan">
      <formula>0.333333333333333</formula>
    </cfRule>
    <cfRule type="cellIs" dxfId="52" priority="4" operator="greaterThan">
      <formula>0.333333333333333</formula>
    </cfRule>
  </conditionalFormatting>
  <conditionalFormatting sqref="AH181">
    <cfRule type="cellIs" dxfId="51" priority="1" operator="lessThan">
      <formula>0.333333333333333</formula>
    </cfRule>
    <cfRule type="cellIs" dxfId="50" priority="2" operator="greaterThan">
      <formula>0.333333333333333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FF3B6-0106-4C72-A5C9-0E7EACC9F427}">
  <sheetPr>
    <tabColor rgb="FF0070C0"/>
  </sheetPr>
  <dimension ref="A1:BE46"/>
  <sheetViews>
    <sheetView zoomScale="80" zoomScaleNormal="80" workbookViewId="0">
      <selection activeCell="R49" sqref="R49"/>
    </sheetView>
  </sheetViews>
  <sheetFormatPr baseColWidth="10" defaultRowHeight="12.75" x14ac:dyDescent="0.2"/>
  <cols>
    <col min="3" max="3" width="7.85546875" bestFit="1" customWidth="1"/>
    <col min="4" max="4" width="5.85546875" bestFit="1" customWidth="1"/>
    <col min="5" max="5" width="8.7109375" bestFit="1" customWidth="1"/>
    <col min="6" max="6" width="5.7109375" bestFit="1" customWidth="1"/>
    <col min="7" max="7" width="9.140625" bestFit="1" customWidth="1"/>
    <col min="8" max="8" width="7.42578125" bestFit="1" customWidth="1"/>
    <col min="9" max="9" width="9.5703125" bestFit="1" customWidth="1"/>
    <col min="10" max="10" width="12.140625" bestFit="1" customWidth="1"/>
    <col min="11" max="12" width="6.5703125" bestFit="1" customWidth="1"/>
    <col min="13" max="13" width="8.85546875" bestFit="1" customWidth="1"/>
    <col min="14" max="14" width="6.5703125" bestFit="1" customWidth="1"/>
    <col min="15" max="15" width="9.28515625" bestFit="1" customWidth="1"/>
    <col min="16" max="16" width="7.5703125" bestFit="1" customWidth="1"/>
    <col min="17" max="17" width="9.710937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7" max="27" width="8" bestFit="1" customWidth="1"/>
    <col min="28" max="28" width="6" bestFit="1" customWidth="1"/>
    <col min="29" max="29" width="8.7109375" bestFit="1" customWidth="1"/>
    <col min="30" max="30" width="6" bestFit="1" customWidth="1"/>
    <col min="31" max="31" width="9.140625" bestFit="1" customWidth="1"/>
    <col min="32" max="32" width="7.42578125" bestFit="1" customWidth="1"/>
    <col min="33" max="33" width="9.5703125" bestFit="1" customWidth="1"/>
    <col min="35" max="36" width="5.85546875" bestFit="1" customWidth="1"/>
    <col min="37" max="37" width="8.7109375" bestFit="1" customWidth="1"/>
    <col min="38" max="38" width="5.7109375" bestFit="1" customWidth="1"/>
    <col min="39" max="39" width="9.140625" bestFit="1" customWidth="1"/>
    <col min="40" max="40" width="7.42578125" bestFit="1" customWidth="1"/>
    <col min="41" max="41" width="9.5703125" bestFit="1" customWidth="1"/>
    <col min="43" max="43" width="8.7109375" bestFit="1" customWidth="1"/>
    <col min="44" max="44" width="7.28515625" bestFit="1" customWidth="1"/>
    <col min="45" max="45" width="8.85546875" bestFit="1" customWidth="1"/>
    <col min="46" max="46" width="7.28515625" bestFit="1" customWidth="1"/>
    <col min="47" max="47" width="9.28515625" bestFit="1" customWidth="1"/>
    <col min="48" max="48" width="7.5703125" bestFit="1" customWidth="1"/>
    <col min="49" max="49" width="9.5703125" customWidth="1"/>
    <col min="51" max="57" width="7.42578125" hidden="1" customWidth="1"/>
  </cols>
  <sheetData>
    <row r="1" spans="1:57" ht="13.5" thickBot="1" x14ac:dyDescent="0.25"/>
    <row r="2" spans="1:57" ht="13.5" thickBot="1" x14ac:dyDescent="0.25">
      <c r="A2" s="131" t="s">
        <v>126</v>
      </c>
      <c r="C2" s="132">
        <v>0.7</v>
      </c>
      <c r="K2" s="161"/>
      <c r="L2" s="161"/>
      <c r="M2" s="161"/>
      <c r="N2" s="161"/>
      <c r="O2" s="161"/>
      <c r="P2" s="161"/>
      <c r="Q2" s="161"/>
    </row>
    <row r="3" spans="1:57" ht="13.5" thickBot="1" x14ac:dyDescent="0.25"/>
    <row r="4" spans="1:57" ht="13.5" thickBot="1" x14ac:dyDescent="0.25">
      <c r="A4" s="317" t="s">
        <v>132</v>
      </c>
      <c r="B4" s="317"/>
      <c r="C4" s="132">
        <v>0.95</v>
      </c>
    </row>
    <row r="5" spans="1:57" ht="13.5" thickBot="1" x14ac:dyDescent="0.25">
      <c r="C5" s="133"/>
      <c r="H5" t="s">
        <v>133</v>
      </c>
      <c r="S5" s="21"/>
    </row>
    <row r="6" spans="1:57" ht="13.5" thickBot="1" x14ac:dyDescent="0.25">
      <c r="A6" s="317" t="s">
        <v>134</v>
      </c>
      <c r="B6" s="317"/>
      <c r="C6" s="134">
        <v>30</v>
      </c>
    </row>
    <row r="7" spans="1:57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7" t="s">
        <v>135</v>
      </c>
      <c r="B8" s="318"/>
      <c r="C8" s="172">
        <v>2.0855936470930144E-2</v>
      </c>
      <c r="D8" s="172">
        <v>1.3827527185405319E-2</v>
      </c>
      <c r="E8" s="172">
        <v>6.6072656265314042E-3</v>
      </c>
      <c r="F8" s="172">
        <v>5.2484124529519165E-3</v>
      </c>
      <c r="G8" s="172">
        <v>6.7678224606062577E-4</v>
      </c>
      <c r="H8" s="172">
        <v>1.013574806223716E-4</v>
      </c>
      <c r="I8" s="172">
        <v>5.4574246912727047E-3</v>
      </c>
      <c r="J8" s="21"/>
      <c r="K8" s="135"/>
      <c r="L8" s="135"/>
      <c r="M8" s="135"/>
      <c r="N8" s="135"/>
      <c r="O8" s="135"/>
      <c r="P8" s="135"/>
      <c r="Q8" s="135"/>
      <c r="S8" s="204"/>
      <c r="T8" s="204"/>
      <c r="U8" s="204"/>
      <c r="V8" s="204"/>
      <c r="W8" s="204"/>
      <c r="X8" s="204"/>
      <c r="Y8" s="204"/>
    </row>
    <row r="9" spans="1:57" ht="13.5" thickBot="1" x14ac:dyDescent="0.25">
      <c r="S9" s="136"/>
      <c r="T9" s="136"/>
      <c r="U9" s="136"/>
      <c r="V9" s="136"/>
      <c r="W9" s="136"/>
      <c r="X9" s="136"/>
      <c r="Y9" s="136"/>
    </row>
    <row r="10" spans="1:57" ht="13.5" thickBot="1" x14ac:dyDescent="0.25">
      <c r="A10" s="137" t="s">
        <v>136</v>
      </c>
      <c r="B10" s="134">
        <v>60</v>
      </c>
      <c r="C10" s="21" t="s">
        <v>17</v>
      </c>
      <c r="J10" s="138" t="s">
        <v>137</v>
      </c>
      <c r="K10">
        <v>668</v>
      </c>
      <c r="L10">
        <v>671</v>
      </c>
      <c r="M10">
        <v>686</v>
      </c>
      <c r="N10">
        <v>623</v>
      </c>
      <c r="O10">
        <v>658</v>
      </c>
      <c r="P10">
        <v>664</v>
      </c>
      <c r="Q10">
        <v>624</v>
      </c>
      <c r="S10">
        <f t="shared" ref="S10:Y10" si="0">MAX(K13:K36)</f>
        <v>4</v>
      </c>
      <c r="T10">
        <f t="shared" si="0"/>
        <v>3</v>
      </c>
      <c r="U10">
        <f t="shared" si="0"/>
        <v>3</v>
      </c>
      <c r="V10">
        <f t="shared" si="0"/>
        <v>3</v>
      </c>
      <c r="W10">
        <f t="shared" si="0"/>
        <v>3</v>
      </c>
      <c r="X10">
        <f t="shared" si="0"/>
        <v>3</v>
      </c>
      <c r="Y10">
        <f t="shared" si="0"/>
        <v>2</v>
      </c>
      <c r="AA10" s="139">
        <f t="shared" ref="AA10:AG10" si="1">AY10/C37</f>
        <v>0.99309548245461965</v>
      </c>
      <c r="AB10" s="139">
        <f t="shared" si="1"/>
        <v>0.98827739623546329</v>
      </c>
      <c r="AC10" s="139">
        <f t="shared" si="1"/>
        <v>0.98601342282691895</v>
      </c>
      <c r="AD10" s="139">
        <f t="shared" si="1"/>
        <v>0.986564823675811</v>
      </c>
      <c r="AE10" s="139">
        <f t="shared" si="1"/>
        <v>0.98517583657802321</v>
      </c>
      <c r="AF10" s="139">
        <f t="shared" si="1"/>
        <v>0.98407507867245936</v>
      </c>
      <c r="AG10" s="139">
        <f t="shared" si="1"/>
        <v>0.99275700297693237</v>
      </c>
      <c r="AI10" s="139"/>
      <c r="AJ10" s="139"/>
      <c r="AK10" s="139"/>
      <c r="AL10" s="139"/>
      <c r="AM10" s="139"/>
      <c r="AN10" s="139"/>
      <c r="AO10" s="139"/>
      <c r="AQ10" s="323" t="s">
        <v>158</v>
      </c>
      <c r="AR10" s="324"/>
      <c r="AS10" s="324"/>
      <c r="AT10" s="324"/>
      <c r="AU10" s="324"/>
      <c r="AV10" s="324"/>
      <c r="AW10" s="325"/>
      <c r="AY10" s="163">
        <f t="shared" ref="AY10:BE10" si="2">SUM(AY13:AY36)</f>
        <v>49.654774122730984</v>
      </c>
      <c r="AZ10" s="163">
        <f t="shared" si="2"/>
        <v>52.378702000479556</v>
      </c>
      <c r="BA10" s="163">
        <f t="shared" si="2"/>
        <v>43.384590604384435</v>
      </c>
      <c r="BB10" s="163">
        <f t="shared" si="2"/>
        <v>53.274500478493792</v>
      </c>
      <c r="BC10" s="163">
        <f t="shared" si="2"/>
        <v>51.229143502057205</v>
      </c>
      <c r="BD10" s="163">
        <f t="shared" si="2"/>
        <v>37.394852989553456</v>
      </c>
      <c r="BE10" s="163">
        <f t="shared" si="2"/>
        <v>29.782710089307972</v>
      </c>
    </row>
    <row r="11" spans="1:57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A11" s="319" t="s">
        <v>11</v>
      </c>
      <c r="AB11" s="319"/>
      <c r="AC11" s="319"/>
      <c r="AD11" s="319"/>
      <c r="AE11" s="319"/>
      <c r="AF11" s="319"/>
      <c r="AG11" s="319"/>
      <c r="AI11" s="319" t="s">
        <v>45</v>
      </c>
      <c r="AJ11" s="319"/>
      <c r="AK11" s="319"/>
      <c r="AL11" s="319"/>
      <c r="AM11" s="319"/>
      <c r="AN11" s="319"/>
      <c r="AO11" s="319"/>
      <c r="AQ11" s="319" t="s">
        <v>45</v>
      </c>
      <c r="AR11" s="319"/>
      <c r="AS11" s="319"/>
      <c r="AT11" s="319"/>
      <c r="AU11" s="319"/>
      <c r="AV11" s="319"/>
      <c r="AW11" s="319"/>
    </row>
    <row r="12" spans="1:57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A12" s="142" t="s">
        <v>139</v>
      </c>
      <c r="AB12" s="142" t="s">
        <v>140</v>
      </c>
      <c r="AC12" s="142" t="s">
        <v>141</v>
      </c>
      <c r="AD12" s="142" t="s">
        <v>142</v>
      </c>
      <c r="AE12" s="142" t="s">
        <v>143</v>
      </c>
      <c r="AF12" s="142" t="s">
        <v>144</v>
      </c>
      <c r="AG12" s="142" t="s">
        <v>145</v>
      </c>
      <c r="AI12" s="142" t="s">
        <v>139</v>
      </c>
      <c r="AJ12" s="142" t="s">
        <v>140</v>
      </c>
      <c r="AK12" s="142" t="s">
        <v>141</v>
      </c>
      <c r="AL12" s="142" t="s">
        <v>142</v>
      </c>
      <c r="AM12" s="142" t="s">
        <v>143</v>
      </c>
      <c r="AN12" s="142" t="s">
        <v>144</v>
      </c>
      <c r="AO12" s="142" t="s">
        <v>145</v>
      </c>
      <c r="AQ12" s="142" t="s">
        <v>139</v>
      </c>
      <c r="AR12" s="142" t="s">
        <v>140</v>
      </c>
      <c r="AS12" s="142" t="s">
        <v>141</v>
      </c>
      <c r="AT12" s="142" t="s">
        <v>142</v>
      </c>
      <c r="AU12" s="142" t="s">
        <v>143</v>
      </c>
      <c r="AV12" s="142" t="s">
        <v>144</v>
      </c>
      <c r="AW12" s="142" t="s">
        <v>145</v>
      </c>
    </row>
    <row r="13" spans="1:57" x14ac:dyDescent="0.2">
      <c r="A13" s="143">
        <f>AVERAGE(C13:I13)</f>
        <v>1</v>
      </c>
      <c r="B13" s="144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 s="165">
        <v>1</v>
      </c>
      <c r="K13" s="43">
        <f>AgentsRequired(C13,$B$10,K$10,$C$4,$C$6,$C$2,$C$8)</f>
        <v>2</v>
      </c>
      <c r="L13" s="43">
        <f>AgentsRequired(D13,$B$10,L$10,$C$4,$C$6,$C$2,$D$8)</f>
        <v>2</v>
      </c>
      <c r="M13" s="43">
        <f>AgentsRequired(E13,$B$10,M$10,$C$4,$C$6,$C$2,$E$8)</f>
        <v>2</v>
      </c>
      <c r="N13" s="43">
        <f>AgentsRequired(F13,$B$10,N$10,$C$4,$C$6,$C$2,$F$8)</f>
        <v>2</v>
      </c>
      <c r="O13" s="43">
        <f>AgentsRequired(G13,$B$10,O$10,$C$4,$C$6,$C$2,$G$8)</f>
        <v>2</v>
      </c>
      <c r="P13" s="43">
        <f>AgentsRequired(H13,$B$10,P$10,$C$4,$C$6,$C$2,$H$8)</f>
        <v>2</v>
      </c>
      <c r="Q13" s="43">
        <f>AgentsRequired(I13,$B$10,Q$10,$C$4,$C$6,$C$2,$I$8)</f>
        <v>2</v>
      </c>
      <c r="R13" s="165">
        <v>1</v>
      </c>
      <c r="S13" s="135">
        <v>2</v>
      </c>
      <c r="T13" s="135">
        <v>2</v>
      </c>
      <c r="U13" s="135">
        <v>2</v>
      </c>
      <c r="V13" s="135">
        <v>2</v>
      </c>
      <c r="W13" s="135">
        <v>2</v>
      </c>
      <c r="X13" s="135">
        <v>2</v>
      </c>
      <c r="Y13" s="135">
        <v>2</v>
      </c>
      <c r="AA13" s="55">
        <f>ServiceLevel(C13,$B$10,K$10,$C$6,S13)</f>
        <v>0.98547899392142724</v>
      </c>
      <c r="AB13" s="55">
        <f>ServiceLevel(D13,$B$10,L$10,$C$6,T13)</f>
        <v>0.98534797449359679</v>
      </c>
      <c r="AC13" s="55">
        <f t="shared" ref="AC13:AG28" si="3">ServiceLevel(E13,$B$10,M$10,$C$6,U13)</f>
        <v>0.98468478357072842</v>
      </c>
      <c r="AD13" s="55">
        <f t="shared" si="3"/>
        <v>0.98737901446001308</v>
      </c>
      <c r="AE13" s="55">
        <f t="shared" si="3"/>
        <v>0.98591181447566389</v>
      </c>
      <c r="AF13" s="55">
        <f t="shared" si="3"/>
        <v>0.98565284479191206</v>
      </c>
      <c r="AG13" s="55">
        <f t="shared" si="3"/>
        <v>0.98733812934648479</v>
      </c>
      <c r="AI13" s="214">
        <f>S13-K13</f>
        <v>0</v>
      </c>
      <c r="AJ13" s="214">
        <f t="shared" ref="AJ13:AO28" si="4">T13-L13</f>
        <v>0</v>
      </c>
      <c r="AK13" s="214">
        <f t="shared" si="4"/>
        <v>0</v>
      </c>
      <c r="AL13" s="214">
        <f t="shared" si="4"/>
        <v>0</v>
      </c>
      <c r="AM13" s="214">
        <f t="shared" si="4"/>
        <v>0</v>
      </c>
      <c r="AN13" s="214">
        <f t="shared" si="4"/>
        <v>0</v>
      </c>
      <c r="AO13" s="214">
        <f t="shared" si="4"/>
        <v>0</v>
      </c>
      <c r="AP13" s="206">
        <f>B13</f>
        <v>0</v>
      </c>
      <c r="AQ13" s="213">
        <f>S13/K13-1</f>
        <v>0</v>
      </c>
      <c r="AR13" s="213">
        <f t="shared" ref="AR13:AW28" si="5">T13/L13-1</f>
        <v>0</v>
      </c>
      <c r="AS13" s="213">
        <f t="shared" si="5"/>
        <v>0</v>
      </c>
      <c r="AT13" s="213">
        <f t="shared" si="5"/>
        <v>0</v>
      </c>
      <c r="AU13" s="213">
        <f t="shared" si="5"/>
        <v>0</v>
      </c>
      <c r="AV13" s="213">
        <f t="shared" si="5"/>
        <v>0</v>
      </c>
      <c r="AW13" s="213">
        <f t="shared" si="5"/>
        <v>0</v>
      </c>
      <c r="AY13" s="162">
        <f>AA13*C13</f>
        <v>0.98547899392142724</v>
      </c>
      <c r="AZ13" s="162">
        <f t="shared" ref="AZ13:BE28" si="6">AB13*D13</f>
        <v>0.98534797449359679</v>
      </c>
      <c r="BA13" s="162">
        <f t="shared" si="6"/>
        <v>0.98468478357072842</v>
      </c>
      <c r="BB13" s="162">
        <f t="shared" si="6"/>
        <v>0.98737901446001308</v>
      </c>
      <c r="BC13" s="162">
        <f t="shared" si="6"/>
        <v>0.98591181447566389</v>
      </c>
      <c r="BD13" s="162">
        <f t="shared" si="6"/>
        <v>0.98565284479191206</v>
      </c>
      <c r="BE13" s="162">
        <f t="shared" si="6"/>
        <v>0.98733812934648479</v>
      </c>
    </row>
    <row r="14" spans="1:57" x14ac:dyDescent="0.2">
      <c r="A14" s="143">
        <f t="shared" ref="A14:A36" si="7">AVERAGE(C14:I14)</f>
        <v>1</v>
      </c>
      <c r="B14" s="147">
        <f>B13+TIME(0,$B$10,0)</f>
        <v>4.1666666666666664E-2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 s="165">
        <v>2</v>
      </c>
      <c r="K14" s="43">
        <f t="shared" ref="K14:K36" si="8">AgentsRequired(C14,$B$10,K$10,$C$4,$C$6,$C$2,$C$8)</f>
        <v>2</v>
      </c>
      <c r="L14" s="43">
        <f t="shared" ref="L14:L36" si="9">AgentsRequired(D14,$B$10,L$10,$C$4,$C$6,$C$2,$D$8)</f>
        <v>2</v>
      </c>
      <c r="M14" s="43">
        <f t="shared" ref="M14:M36" si="10">AgentsRequired(E14,$B$10,M$10,$C$4,$C$6,$C$2,$E$8)</f>
        <v>2</v>
      </c>
      <c r="N14" s="43">
        <f t="shared" ref="N14:N36" si="11">AgentsRequired(F14,$B$10,N$10,$C$4,$C$6,$C$2,$F$8)</f>
        <v>2</v>
      </c>
      <c r="O14" s="43">
        <f t="shared" ref="O14:O36" si="12">AgentsRequired(G14,$B$10,O$10,$C$4,$C$6,$C$2,$G$8)</f>
        <v>2</v>
      </c>
      <c r="P14" s="43">
        <f t="shared" ref="P14:P36" si="13">AgentsRequired(H14,$B$10,P$10,$C$4,$C$6,$C$2,$H$8)</f>
        <v>2</v>
      </c>
      <c r="Q14" s="43">
        <f t="shared" ref="Q14:Q36" si="14">AgentsRequired(I14,$B$10,Q$10,$C$4,$C$6,$C$2,$I$8)</f>
        <v>2</v>
      </c>
      <c r="R14" s="165">
        <v>2</v>
      </c>
      <c r="S14" s="135">
        <v>1</v>
      </c>
      <c r="T14" s="135">
        <v>1</v>
      </c>
      <c r="U14" s="135">
        <v>1</v>
      </c>
      <c r="V14" s="135">
        <v>1</v>
      </c>
      <c r="W14" s="135">
        <v>1</v>
      </c>
      <c r="X14" s="135">
        <v>1</v>
      </c>
      <c r="Y14" s="135">
        <v>1</v>
      </c>
      <c r="AA14" s="55">
        <f t="shared" ref="AA14:AG36" si="15">ServiceLevel(C14,$B$10,K$10,$C$6,S14)</f>
        <v>0.82110885689567492</v>
      </c>
      <c r="AB14" s="55">
        <f t="shared" si="15"/>
        <v>0.82026936894757296</v>
      </c>
      <c r="AC14" s="55">
        <f t="shared" si="3"/>
        <v>0.81607182333893569</v>
      </c>
      <c r="AD14" s="55">
        <f t="shared" si="3"/>
        <v>0.83370024489953121</v>
      </c>
      <c r="AE14" s="55">
        <f t="shared" si="3"/>
        <v>0.82390709694634112</v>
      </c>
      <c r="AF14" s="55">
        <f t="shared" si="3"/>
        <v>0.82222816282261224</v>
      </c>
      <c r="AG14" s="55">
        <f t="shared" si="3"/>
        <v>0.83342045665236109</v>
      </c>
      <c r="AI14" s="214">
        <f t="shared" ref="AI14:AO36" si="16">S14-K14</f>
        <v>-1</v>
      </c>
      <c r="AJ14" s="214">
        <f t="shared" si="4"/>
        <v>-1</v>
      </c>
      <c r="AK14" s="214">
        <f t="shared" si="4"/>
        <v>-1</v>
      </c>
      <c r="AL14" s="214">
        <f t="shared" si="4"/>
        <v>-1</v>
      </c>
      <c r="AM14" s="214">
        <f t="shared" si="4"/>
        <v>-1</v>
      </c>
      <c r="AN14" s="214">
        <f t="shared" si="4"/>
        <v>-1</v>
      </c>
      <c r="AO14" s="214">
        <f t="shared" si="4"/>
        <v>-1</v>
      </c>
      <c r="AP14" s="206">
        <f t="shared" ref="AP14:AP36" si="17">B14</f>
        <v>4.1666666666666664E-2</v>
      </c>
      <c r="AQ14" s="213">
        <f t="shared" ref="AQ14:AW36" si="18">S14/K14-1</f>
        <v>-0.5</v>
      </c>
      <c r="AR14" s="213">
        <f t="shared" si="5"/>
        <v>-0.5</v>
      </c>
      <c r="AS14" s="213">
        <f t="shared" si="5"/>
        <v>-0.5</v>
      </c>
      <c r="AT14" s="213">
        <f t="shared" si="5"/>
        <v>-0.5</v>
      </c>
      <c r="AU14" s="213">
        <f t="shared" si="5"/>
        <v>-0.5</v>
      </c>
      <c r="AV14" s="213">
        <f t="shared" si="5"/>
        <v>-0.5</v>
      </c>
      <c r="AW14" s="213">
        <f t="shared" si="5"/>
        <v>-0.5</v>
      </c>
      <c r="AY14" s="162">
        <f t="shared" ref="AY14:BE36" si="19">AA14*C14</f>
        <v>0.82110885689567492</v>
      </c>
      <c r="AZ14" s="162">
        <f t="shared" si="6"/>
        <v>0.82026936894757296</v>
      </c>
      <c r="BA14" s="162">
        <f t="shared" si="6"/>
        <v>0.81607182333893569</v>
      </c>
      <c r="BB14" s="162">
        <f t="shared" si="6"/>
        <v>0.83370024489953121</v>
      </c>
      <c r="BC14" s="162">
        <f t="shared" si="6"/>
        <v>0.82390709694634112</v>
      </c>
      <c r="BD14" s="162">
        <f t="shared" si="6"/>
        <v>0.82222816282261224</v>
      </c>
      <c r="BE14" s="162">
        <f t="shared" si="6"/>
        <v>0.83342045665236109</v>
      </c>
    </row>
    <row r="15" spans="1:57" x14ac:dyDescent="0.2">
      <c r="A15" s="143">
        <f t="shared" si="7"/>
        <v>0.42857142857142855</v>
      </c>
      <c r="B15" s="147">
        <f t="shared" ref="B15:B36" si="20">B14+TIME(0,$B$10,0)</f>
        <v>8.3333333333333329E-2</v>
      </c>
      <c r="C15">
        <v>0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 s="165">
        <v>3</v>
      </c>
      <c r="K15" s="43">
        <f t="shared" si="8"/>
        <v>0</v>
      </c>
      <c r="L15" s="43">
        <f t="shared" si="9"/>
        <v>2</v>
      </c>
      <c r="M15" s="43">
        <f t="shared" si="10"/>
        <v>0</v>
      </c>
      <c r="N15" s="43">
        <f t="shared" si="11"/>
        <v>0</v>
      </c>
      <c r="O15" s="43">
        <f t="shared" si="12"/>
        <v>2</v>
      </c>
      <c r="P15" s="43">
        <f t="shared" si="13"/>
        <v>2</v>
      </c>
      <c r="Q15" s="43">
        <f t="shared" si="14"/>
        <v>0</v>
      </c>
      <c r="R15" s="165">
        <v>3</v>
      </c>
      <c r="S15" s="135">
        <v>1</v>
      </c>
      <c r="T15" s="135">
        <v>1</v>
      </c>
      <c r="U15" s="135">
        <v>1</v>
      </c>
      <c r="V15" s="135">
        <v>1</v>
      </c>
      <c r="W15" s="135">
        <v>1</v>
      </c>
      <c r="X15" s="135">
        <v>1</v>
      </c>
      <c r="Y15" s="135">
        <v>1</v>
      </c>
      <c r="AA15" s="55">
        <f t="shared" si="15"/>
        <v>4.3916646273145288E-2</v>
      </c>
      <c r="AB15" s="55">
        <f t="shared" si="15"/>
        <v>0.82026936894757296</v>
      </c>
      <c r="AC15" s="55">
        <f t="shared" si="3"/>
        <v>4.2789332403847524E-2</v>
      </c>
      <c r="AD15" s="55">
        <f t="shared" si="3"/>
        <v>4.7013072945123358E-2</v>
      </c>
      <c r="AE15" s="55">
        <f t="shared" si="3"/>
        <v>0.82390709694634112</v>
      </c>
      <c r="AF15" s="55">
        <f t="shared" si="3"/>
        <v>0.82222816282261224</v>
      </c>
      <c r="AG15" s="55">
        <f t="shared" si="3"/>
        <v>4.6939528086266447E-2</v>
      </c>
      <c r="AI15" s="214">
        <f t="shared" si="16"/>
        <v>1</v>
      </c>
      <c r="AJ15" s="214">
        <f t="shared" si="4"/>
        <v>-1</v>
      </c>
      <c r="AK15" s="214">
        <f t="shared" si="4"/>
        <v>1</v>
      </c>
      <c r="AL15" s="214">
        <f t="shared" si="4"/>
        <v>1</v>
      </c>
      <c r="AM15" s="214">
        <f t="shared" si="4"/>
        <v>-1</v>
      </c>
      <c r="AN15" s="214">
        <f t="shared" si="4"/>
        <v>-1</v>
      </c>
      <c r="AO15" s="214">
        <f t="shared" si="4"/>
        <v>1</v>
      </c>
      <c r="AP15" s="206">
        <f t="shared" si="17"/>
        <v>8.3333333333333329E-2</v>
      </c>
      <c r="AQ15" s="213" t="e">
        <f t="shared" si="18"/>
        <v>#DIV/0!</v>
      </c>
      <c r="AR15" s="213">
        <f t="shared" si="5"/>
        <v>-0.5</v>
      </c>
      <c r="AS15" s="213" t="e">
        <f t="shared" si="5"/>
        <v>#DIV/0!</v>
      </c>
      <c r="AT15" s="213" t="e">
        <f t="shared" si="5"/>
        <v>#DIV/0!</v>
      </c>
      <c r="AU15" s="213">
        <f t="shared" si="5"/>
        <v>-0.5</v>
      </c>
      <c r="AV15" s="213">
        <f t="shared" si="5"/>
        <v>-0.5</v>
      </c>
      <c r="AW15" s="213" t="e">
        <f t="shared" si="5"/>
        <v>#DIV/0!</v>
      </c>
      <c r="AY15" s="162">
        <f t="shared" si="19"/>
        <v>0</v>
      </c>
      <c r="AZ15" s="162">
        <f t="shared" si="6"/>
        <v>0.82026936894757296</v>
      </c>
      <c r="BA15" s="162">
        <f t="shared" si="6"/>
        <v>0</v>
      </c>
      <c r="BB15" s="162">
        <f t="shared" si="6"/>
        <v>0</v>
      </c>
      <c r="BC15" s="162">
        <f t="shared" si="6"/>
        <v>0.82390709694634112</v>
      </c>
      <c r="BD15" s="162">
        <f t="shared" si="6"/>
        <v>0.82222816282261224</v>
      </c>
      <c r="BE15" s="162">
        <f t="shared" si="6"/>
        <v>0</v>
      </c>
    </row>
    <row r="16" spans="1:57" x14ac:dyDescent="0.2">
      <c r="A16" s="143">
        <f t="shared" si="7"/>
        <v>0.5714285714285714</v>
      </c>
      <c r="B16" s="147">
        <f t="shared" si="20"/>
        <v>0.125</v>
      </c>
      <c r="C16">
        <v>0</v>
      </c>
      <c r="D16">
        <v>0</v>
      </c>
      <c r="E16">
        <v>1</v>
      </c>
      <c r="F16">
        <v>1</v>
      </c>
      <c r="G16">
        <v>1</v>
      </c>
      <c r="H16">
        <v>1</v>
      </c>
      <c r="I16">
        <v>0</v>
      </c>
      <c r="J16" s="165">
        <v>4</v>
      </c>
      <c r="K16" s="43">
        <f t="shared" si="8"/>
        <v>0</v>
      </c>
      <c r="L16" s="43">
        <f t="shared" si="9"/>
        <v>0</v>
      </c>
      <c r="M16" s="43">
        <f t="shared" si="10"/>
        <v>2</v>
      </c>
      <c r="N16" s="43">
        <f t="shared" si="11"/>
        <v>2</v>
      </c>
      <c r="O16" s="43">
        <f t="shared" si="12"/>
        <v>2</v>
      </c>
      <c r="P16" s="43">
        <f t="shared" si="13"/>
        <v>2</v>
      </c>
      <c r="Q16" s="43">
        <f t="shared" si="14"/>
        <v>0</v>
      </c>
      <c r="R16" s="165">
        <v>4</v>
      </c>
      <c r="S16" s="135">
        <v>1</v>
      </c>
      <c r="T16" s="135">
        <v>1</v>
      </c>
      <c r="U16" s="135">
        <v>1</v>
      </c>
      <c r="V16" s="135">
        <v>1</v>
      </c>
      <c r="W16" s="135">
        <v>1</v>
      </c>
      <c r="X16" s="135">
        <v>1</v>
      </c>
      <c r="Y16" s="135">
        <v>1</v>
      </c>
      <c r="AA16" s="55">
        <f t="shared" si="15"/>
        <v>4.3916646273145288E-2</v>
      </c>
      <c r="AB16" s="55">
        <f t="shared" si="15"/>
        <v>4.3724654382452655E-2</v>
      </c>
      <c r="AC16" s="55">
        <f t="shared" si="3"/>
        <v>0.81607182333893569</v>
      </c>
      <c r="AD16" s="55">
        <f t="shared" si="3"/>
        <v>0.83370024489953121</v>
      </c>
      <c r="AE16" s="55">
        <f t="shared" si="3"/>
        <v>0.82390709694634112</v>
      </c>
      <c r="AF16" s="55">
        <f t="shared" si="3"/>
        <v>0.82222816282261224</v>
      </c>
      <c r="AG16" s="55">
        <f t="shared" si="3"/>
        <v>4.6939528086266447E-2</v>
      </c>
      <c r="AI16" s="214">
        <f t="shared" si="16"/>
        <v>1</v>
      </c>
      <c r="AJ16" s="214">
        <f t="shared" si="4"/>
        <v>1</v>
      </c>
      <c r="AK16" s="214">
        <f t="shared" si="4"/>
        <v>-1</v>
      </c>
      <c r="AL16" s="214">
        <f t="shared" si="4"/>
        <v>-1</v>
      </c>
      <c r="AM16" s="214">
        <f t="shared" si="4"/>
        <v>-1</v>
      </c>
      <c r="AN16" s="214">
        <f t="shared" si="4"/>
        <v>-1</v>
      </c>
      <c r="AO16" s="214">
        <f t="shared" si="4"/>
        <v>1</v>
      </c>
      <c r="AP16" s="206">
        <f t="shared" si="17"/>
        <v>0.125</v>
      </c>
      <c r="AQ16" s="213" t="e">
        <f t="shared" si="18"/>
        <v>#DIV/0!</v>
      </c>
      <c r="AR16" s="213" t="e">
        <f t="shared" si="5"/>
        <v>#DIV/0!</v>
      </c>
      <c r="AS16" s="213">
        <f t="shared" si="5"/>
        <v>-0.5</v>
      </c>
      <c r="AT16" s="213">
        <f t="shared" si="5"/>
        <v>-0.5</v>
      </c>
      <c r="AU16" s="213">
        <f t="shared" si="5"/>
        <v>-0.5</v>
      </c>
      <c r="AV16" s="213">
        <f t="shared" si="5"/>
        <v>-0.5</v>
      </c>
      <c r="AW16" s="213" t="e">
        <f t="shared" si="5"/>
        <v>#DIV/0!</v>
      </c>
      <c r="AY16" s="162">
        <f t="shared" si="19"/>
        <v>0</v>
      </c>
      <c r="AZ16" s="162">
        <f t="shared" si="6"/>
        <v>0</v>
      </c>
      <c r="BA16" s="162">
        <f t="shared" si="6"/>
        <v>0.81607182333893569</v>
      </c>
      <c r="BB16" s="162">
        <f t="shared" si="6"/>
        <v>0.83370024489953121</v>
      </c>
      <c r="BC16" s="162">
        <f t="shared" si="6"/>
        <v>0.82390709694634112</v>
      </c>
      <c r="BD16" s="162">
        <f t="shared" si="6"/>
        <v>0.82222816282261224</v>
      </c>
      <c r="BE16" s="162">
        <f t="shared" si="6"/>
        <v>0</v>
      </c>
    </row>
    <row r="17" spans="1:57" x14ac:dyDescent="0.2">
      <c r="A17" s="143">
        <f t="shared" si="7"/>
        <v>0.2857142857142857</v>
      </c>
      <c r="B17" s="147">
        <f t="shared" si="20"/>
        <v>0.16666666666666666</v>
      </c>
      <c r="C17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v>0</v>
      </c>
      <c r="J17" s="165">
        <v>5</v>
      </c>
      <c r="K17" s="43">
        <f t="shared" si="8"/>
        <v>0</v>
      </c>
      <c r="L17" s="43">
        <f t="shared" si="9"/>
        <v>0</v>
      </c>
      <c r="M17" s="43">
        <f t="shared" si="10"/>
        <v>2</v>
      </c>
      <c r="N17" s="43">
        <f t="shared" si="11"/>
        <v>2</v>
      </c>
      <c r="O17" s="43">
        <f t="shared" si="12"/>
        <v>0</v>
      </c>
      <c r="P17" s="43">
        <f t="shared" si="13"/>
        <v>0</v>
      </c>
      <c r="Q17" s="43">
        <f t="shared" si="14"/>
        <v>0</v>
      </c>
      <c r="R17" s="165">
        <v>5</v>
      </c>
      <c r="S17" s="135">
        <v>1</v>
      </c>
      <c r="T17" s="135">
        <v>1</v>
      </c>
      <c r="U17" s="135">
        <v>1</v>
      </c>
      <c r="V17" s="135">
        <v>1</v>
      </c>
      <c r="W17" s="135">
        <v>1</v>
      </c>
      <c r="X17" s="135">
        <v>1</v>
      </c>
      <c r="Y17" s="135">
        <v>1</v>
      </c>
      <c r="AA17" s="55">
        <f t="shared" si="15"/>
        <v>4.3916646273145288E-2</v>
      </c>
      <c r="AB17" s="55">
        <f t="shared" si="15"/>
        <v>4.3724654382452655E-2</v>
      </c>
      <c r="AC17" s="55">
        <f t="shared" si="3"/>
        <v>0.81607182333893569</v>
      </c>
      <c r="AD17" s="55">
        <f t="shared" si="3"/>
        <v>0.83370024489953121</v>
      </c>
      <c r="AE17" s="55">
        <f t="shared" si="3"/>
        <v>4.4568974926679994E-2</v>
      </c>
      <c r="AF17" s="55">
        <f t="shared" si="3"/>
        <v>4.4175273185283581E-2</v>
      </c>
      <c r="AG17" s="55">
        <f t="shared" si="3"/>
        <v>4.6939528086266447E-2</v>
      </c>
      <c r="AI17" s="214">
        <f t="shared" si="16"/>
        <v>1</v>
      </c>
      <c r="AJ17" s="214">
        <f t="shared" si="4"/>
        <v>1</v>
      </c>
      <c r="AK17" s="214">
        <f t="shared" si="4"/>
        <v>-1</v>
      </c>
      <c r="AL17" s="214">
        <f t="shared" si="4"/>
        <v>-1</v>
      </c>
      <c r="AM17" s="214">
        <f t="shared" si="4"/>
        <v>1</v>
      </c>
      <c r="AN17" s="214">
        <f t="shared" si="4"/>
        <v>1</v>
      </c>
      <c r="AO17" s="214">
        <f t="shared" si="4"/>
        <v>1</v>
      </c>
      <c r="AP17" s="206">
        <f t="shared" si="17"/>
        <v>0.16666666666666666</v>
      </c>
      <c r="AQ17" s="213" t="e">
        <f t="shared" si="18"/>
        <v>#DIV/0!</v>
      </c>
      <c r="AR17" s="213" t="e">
        <f t="shared" si="5"/>
        <v>#DIV/0!</v>
      </c>
      <c r="AS17" s="213">
        <f t="shared" si="5"/>
        <v>-0.5</v>
      </c>
      <c r="AT17" s="213">
        <f t="shared" si="5"/>
        <v>-0.5</v>
      </c>
      <c r="AU17" s="213" t="e">
        <f t="shared" si="5"/>
        <v>#DIV/0!</v>
      </c>
      <c r="AV17" s="213" t="e">
        <f t="shared" si="5"/>
        <v>#DIV/0!</v>
      </c>
      <c r="AW17" s="213" t="e">
        <f t="shared" si="5"/>
        <v>#DIV/0!</v>
      </c>
      <c r="AY17" s="162">
        <f t="shared" si="19"/>
        <v>0</v>
      </c>
      <c r="AZ17" s="162">
        <f t="shared" si="6"/>
        <v>0</v>
      </c>
      <c r="BA17" s="162">
        <f t="shared" si="6"/>
        <v>0.81607182333893569</v>
      </c>
      <c r="BB17" s="162">
        <f t="shared" si="6"/>
        <v>0.83370024489953121</v>
      </c>
      <c r="BC17" s="162">
        <f t="shared" si="6"/>
        <v>0</v>
      </c>
      <c r="BD17" s="162">
        <f t="shared" si="6"/>
        <v>0</v>
      </c>
      <c r="BE17" s="162">
        <f t="shared" si="6"/>
        <v>0</v>
      </c>
    </row>
    <row r="18" spans="1:57" x14ac:dyDescent="0.2">
      <c r="A18" s="143">
        <f t="shared" si="7"/>
        <v>0.5714285714285714</v>
      </c>
      <c r="B18" s="147">
        <f t="shared" si="20"/>
        <v>0.20833333333333331</v>
      </c>
      <c r="C18">
        <v>1</v>
      </c>
      <c r="D18">
        <v>1</v>
      </c>
      <c r="E18">
        <v>0</v>
      </c>
      <c r="F18">
        <v>1</v>
      </c>
      <c r="G18">
        <v>0</v>
      </c>
      <c r="H18">
        <v>1</v>
      </c>
      <c r="I18">
        <v>0</v>
      </c>
      <c r="J18" s="165">
        <v>6</v>
      </c>
      <c r="K18" s="43">
        <f t="shared" si="8"/>
        <v>2</v>
      </c>
      <c r="L18" s="43">
        <f t="shared" si="9"/>
        <v>2</v>
      </c>
      <c r="M18" s="43">
        <f t="shared" si="10"/>
        <v>0</v>
      </c>
      <c r="N18" s="43">
        <f t="shared" si="11"/>
        <v>2</v>
      </c>
      <c r="O18" s="43">
        <f t="shared" si="12"/>
        <v>0</v>
      </c>
      <c r="P18" s="43">
        <f t="shared" si="13"/>
        <v>2</v>
      </c>
      <c r="Q18" s="43">
        <f t="shared" si="14"/>
        <v>0</v>
      </c>
      <c r="R18" s="165">
        <v>6</v>
      </c>
      <c r="S18" s="135">
        <v>2</v>
      </c>
      <c r="T18" s="135">
        <v>2</v>
      </c>
      <c r="U18" s="135">
        <v>2</v>
      </c>
      <c r="V18" s="135">
        <v>2</v>
      </c>
      <c r="W18" s="135">
        <v>2</v>
      </c>
      <c r="X18" s="135">
        <v>2</v>
      </c>
      <c r="Y18" s="135">
        <v>2</v>
      </c>
      <c r="AA18" s="55">
        <f t="shared" si="15"/>
        <v>0.98547899392142724</v>
      </c>
      <c r="AB18" s="55">
        <f t="shared" si="15"/>
        <v>0.98534797449359679</v>
      </c>
      <c r="AC18" s="55">
        <f t="shared" si="3"/>
        <v>8.3747737840128011E-2</v>
      </c>
      <c r="AD18" s="55">
        <f t="shared" si="3"/>
        <v>0.98737901446001308</v>
      </c>
      <c r="AE18" s="55">
        <f t="shared" si="3"/>
        <v>8.7151556327344837E-2</v>
      </c>
      <c r="AF18" s="55">
        <f t="shared" si="3"/>
        <v>0.98565284479191206</v>
      </c>
      <c r="AG18" s="55">
        <f t="shared" si="3"/>
        <v>9.1675736875571512E-2</v>
      </c>
      <c r="AI18" s="214">
        <f t="shared" si="16"/>
        <v>0</v>
      </c>
      <c r="AJ18" s="214">
        <f t="shared" si="4"/>
        <v>0</v>
      </c>
      <c r="AK18" s="214">
        <f t="shared" si="4"/>
        <v>2</v>
      </c>
      <c r="AL18" s="214">
        <f t="shared" si="4"/>
        <v>0</v>
      </c>
      <c r="AM18" s="214">
        <f t="shared" si="4"/>
        <v>2</v>
      </c>
      <c r="AN18" s="214">
        <f t="shared" si="4"/>
        <v>0</v>
      </c>
      <c r="AO18" s="214">
        <f t="shared" si="4"/>
        <v>2</v>
      </c>
      <c r="AP18" s="206">
        <f t="shared" si="17"/>
        <v>0.20833333333333331</v>
      </c>
      <c r="AQ18" s="213">
        <f t="shared" si="18"/>
        <v>0</v>
      </c>
      <c r="AR18" s="213">
        <f t="shared" si="5"/>
        <v>0</v>
      </c>
      <c r="AS18" s="213" t="e">
        <f t="shared" si="5"/>
        <v>#DIV/0!</v>
      </c>
      <c r="AT18" s="213">
        <f t="shared" si="5"/>
        <v>0</v>
      </c>
      <c r="AU18" s="213" t="e">
        <f t="shared" si="5"/>
        <v>#DIV/0!</v>
      </c>
      <c r="AV18" s="213">
        <f t="shared" si="5"/>
        <v>0</v>
      </c>
      <c r="AW18" s="213" t="e">
        <f t="shared" si="5"/>
        <v>#DIV/0!</v>
      </c>
      <c r="AY18" s="162">
        <f t="shared" si="19"/>
        <v>0.98547899392142724</v>
      </c>
      <c r="AZ18" s="162">
        <f t="shared" si="6"/>
        <v>0.98534797449359679</v>
      </c>
      <c r="BA18" s="162">
        <f t="shared" si="6"/>
        <v>0</v>
      </c>
      <c r="BB18" s="162">
        <f t="shared" si="6"/>
        <v>0.98737901446001308</v>
      </c>
      <c r="BC18" s="162">
        <f t="shared" si="6"/>
        <v>0</v>
      </c>
      <c r="BD18" s="162">
        <f t="shared" si="6"/>
        <v>0.98565284479191206</v>
      </c>
      <c r="BE18" s="162">
        <f t="shared" si="6"/>
        <v>0</v>
      </c>
    </row>
    <row r="19" spans="1:57" x14ac:dyDescent="0.2">
      <c r="A19" s="143">
        <f t="shared" si="7"/>
        <v>1</v>
      </c>
      <c r="B19" s="147">
        <f t="shared" si="20"/>
        <v>0.24999999999999997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 s="165">
        <v>7</v>
      </c>
      <c r="K19" s="43">
        <f t="shared" si="8"/>
        <v>2</v>
      </c>
      <c r="L19" s="43">
        <f t="shared" si="9"/>
        <v>2</v>
      </c>
      <c r="M19" s="43">
        <f t="shared" si="10"/>
        <v>2</v>
      </c>
      <c r="N19" s="43">
        <f t="shared" si="11"/>
        <v>2</v>
      </c>
      <c r="O19" s="43">
        <f t="shared" si="12"/>
        <v>2</v>
      </c>
      <c r="P19" s="43">
        <f t="shared" si="13"/>
        <v>2</v>
      </c>
      <c r="Q19" s="43">
        <f t="shared" si="14"/>
        <v>2</v>
      </c>
      <c r="R19" s="165">
        <v>7</v>
      </c>
      <c r="S19" s="135">
        <v>2</v>
      </c>
      <c r="T19" s="135">
        <v>2</v>
      </c>
      <c r="U19" s="135">
        <v>2</v>
      </c>
      <c r="V19" s="135">
        <v>2</v>
      </c>
      <c r="W19" s="135">
        <v>2</v>
      </c>
      <c r="X19" s="135">
        <v>2</v>
      </c>
      <c r="Y19" s="135">
        <v>2</v>
      </c>
      <c r="AA19" s="55">
        <f t="shared" si="15"/>
        <v>0.98547899392142724</v>
      </c>
      <c r="AB19" s="55">
        <f t="shared" si="15"/>
        <v>0.98534797449359679</v>
      </c>
      <c r="AC19" s="55">
        <f t="shared" si="3"/>
        <v>0.98468478357072842</v>
      </c>
      <c r="AD19" s="55">
        <f t="shared" si="3"/>
        <v>0.98737901446001308</v>
      </c>
      <c r="AE19" s="55">
        <f t="shared" si="3"/>
        <v>0.98591181447566389</v>
      </c>
      <c r="AF19" s="55">
        <f t="shared" si="3"/>
        <v>0.98565284479191206</v>
      </c>
      <c r="AG19" s="55">
        <f t="shared" si="3"/>
        <v>0.98733812934648479</v>
      </c>
      <c r="AI19" s="214">
        <f t="shared" si="16"/>
        <v>0</v>
      </c>
      <c r="AJ19" s="214">
        <f t="shared" si="4"/>
        <v>0</v>
      </c>
      <c r="AK19" s="214">
        <f t="shared" si="4"/>
        <v>0</v>
      </c>
      <c r="AL19" s="214">
        <f t="shared" si="4"/>
        <v>0</v>
      </c>
      <c r="AM19" s="214">
        <f t="shared" si="4"/>
        <v>0</v>
      </c>
      <c r="AN19" s="214">
        <f t="shared" si="4"/>
        <v>0</v>
      </c>
      <c r="AO19" s="214">
        <f t="shared" si="4"/>
        <v>0</v>
      </c>
      <c r="AP19" s="206">
        <f t="shared" si="17"/>
        <v>0.24999999999999997</v>
      </c>
      <c r="AQ19" s="213">
        <f t="shared" si="18"/>
        <v>0</v>
      </c>
      <c r="AR19" s="213">
        <f t="shared" si="5"/>
        <v>0</v>
      </c>
      <c r="AS19" s="213">
        <f t="shared" si="5"/>
        <v>0</v>
      </c>
      <c r="AT19" s="213">
        <f t="shared" si="5"/>
        <v>0</v>
      </c>
      <c r="AU19" s="213">
        <f t="shared" si="5"/>
        <v>0</v>
      </c>
      <c r="AV19" s="213">
        <f t="shared" si="5"/>
        <v>0</v>
      </c>
      <c r="AW19" s="213">
        <f t="shared" si="5"/>
        <v>0</v>
      </c>
      <c r="AY19" s="162">
        <f t="shared" si="19"/>
        <v>0.98547899392142724</v>
      </c>
      <c r="AZ19" s="162">
        <f t="shared" si="6"/>
        <v>0.98534797449359679</v>
      </c>
      <c r="BA19" s="162">
        <f t="shared" si="6"/>
        <v>0.98468478357072842</v>
      </c>
      <c r="BB19" s="162">
        <f t="shared" si="6"/>
        <v>0.98737901446001308</v>
      </c>
      <c r="BC19" s="162">
        <f t="shared" si="6"/>
        <v>0.98591181447566389</v>
      </c>
      <c r="BD19" s="162">
        <f t="shared" si="6"/>
        <v>0.98565284479191206</v>
      </c>
      <c r="BE19" s="162">
        <f t="shared" si="6"/>
        <v>0.98733812934648479</v>
      </c>
    </row>
    <row r="20" spans="1:57" x14ac:dyDescent="0.2">
      <c r="A20" s="143">
        <f t="shared" si="7"/>
        <v>2</v>
      </c>
      <c r="B20" s="147">
        <f t="shared" si="20"/>
        <v>0.29166666666666663</v>
      </c>
      <c r="C20">
        <v>2</v>
      </c>
      <c r="D20">
        <v>2</v>
      </c>
      <c r="E20">
        <v>2</v>
      </c>
      <c r="F20">
        <v>2</v>
      </c>
      <c r="G20">
        <v>3</v>
      </c>
      <c r="H20">
        <v>1</v>
      </c>
      <c r="I20">
        <v>2</v>
      </c>
      <c r="J20" s="165">
        <v>8</v>
      </c>
      <c r="K20" s="43">
        <f t="shared" si="8"/>
        <v>3</v>
      </c>
      <c r="L20" s="43">
        <f t="shared" si="9"/>
        <v>3</v>
      </c>
      <c r="M20" s="43">
        <f t="shared" si="10"/>
        <v>3</v>
      </c>
      <c r="N20" s="43">
        <f t="shared" si="11"/>
        <v>2</v>
      </c>
      <c r="O20" s="43">
        <f t="shared" si="12"/>
        <v>3</v>
      </c>
      <c r="P20" s="43">
        <f t="shared" si="13"/>
        <v>2</v>
      </c>
      <c r="Q20" s="43">
        <f t="shared" si="14"/>
        <v>2</v>
      </c>
      <c r="R20" s="165">
        <v>8</v>
      </c>
      <c r="S20" s="135">
        <v>5</v>
      </c>
      <c r="T20" s="135">
        <v>8</v>
      </c>
      <c r="U20" s="135">
        <v>4</v>
      </c>
      <c r="V20" s="135">
        <v>5</v>
      </c>
      <c r="W20" s="135">
        <v>5</v>
      </c>
      <c r="X20" s="135">
        <v>5</v>
      </c>
      <c r="Y20" s="135">
        <v>5</v>
      </c>
      <c r="AA20" s="55">
        <f t="shared" si="15"/>
        <v>0.99996448784357528</v>
      </c>
      <c r="AB20" s="55">
        <f t="shared" si="15"/>
        <v>0.9999999952487294</v>
      </c>
      <c r="AC20" s="55">
        <f t="shared" si="3"/>
        <v>0.99943346388446785</v>
      </c>
      <c r="AD20" s="55">
        <f t="shared" si="3"/>
        <v>0.99997485746330927</v>
      </c>
      <c r="AE20" s="55">
        <f t="shared" si="3"/>
        <v>0.99978112166361954</v>
      </c>
      <c r="AF20" s="55">
        <f t="shared" si="3"/>
        <v>0.99999876440121527</v>
      </c>
      <c r="AG20" s="55">
        <f t="shared" si="3"/>
        <v>0.99997465630399163</v>
      </c>
      <c r="AI20" s="214">
        <f t="shared" si="16"/>
        <v>2</v>
      </c>
      <c r="AJ20" s="214">
        <f t="shared" si="4"/>
        <v>5</v>
      </c>
      <c r="AK20" s="214">
        <f t="shared" si="4"/>
        <v>1</v>
      </c>
      <c r="AL20" s="214">
        <f t="shared" si="4"/>
        <v>3</v>
      </c>
      <c r="AM20" s="214">
        <f t="shared" si="4"/>
        <v>2</v>
      </c>
      <c r="AN20" s="214">
        <f t="shared" si="4"/>
        <v>3</v>
      </c>
      <c r="AO20" s="214">
        <f t="shared" si="4"/>
        <v>3</v>
      </c>
      <c r="AP20" s="206">
        <f t="shared" si="17"/>
        <v>0.29166666666666663</v>
      </c>
      <c r="AQ20" s="213">
        <f t="shared" si="18"/>
        <v>0.66666666666666674</v>
      </c>
      <c r="AR20" s="213">
        <f t="shared" si="5"/>
        <v>1.6666666666666665</v>
      </c>
      <c r="AS20" s="213">
        <f t="shared" si="5"/>
        <v>0.33333333333333326</v>
      </c>
      <c r="AT20" s="213">
        <f t="shared" si="5"/>
        <v>1.5</v>
      </c>
      <c r="AU20" s="213">
        <f t="shared" si="5"/>
        <v>0.66666666666666674</v>
      </c>
      <c r="AV20" s="213">
        <f t="shared" si="5"/>
        <v>1.5</v>
      </c>
      <c r="AW20" s="213">
        <f t="shared" si="5"/>
        <v>1.5</v>
      </c>
      <c r="AY20" s="162">
        <f t="shared" si="19"/>
        <v>1.9999289756871506</v>
      </c>
      <c r="AZ20" s="162">
        <f t="shared" si="6"/>
        <v>1.9999999904974588</v>
      </c>
      <c r="BA20" s="162">
        <f t="shared" si="6"/>
        <v>1.9988669277689357</v>
      </c>
      <c r="BB20" s="162">
        <f t="shared" si="6"/>
        <v>1.9999497149266185</v>
      </c>
      <c r="BC20" s="162">
        <f t="shared" si="6"/>
        <v>2.9993433649908585</v>
      </c>
      <c r="BD20" s="162">
        <f t="shared" si="6"/>
        <v>0.99999876440121527</v>
      </c>
      <c r="BE20" s="162">
        <f t="shared" si="6"/>
        <v>1.9999493126079833</v>
      </c>
    </row>
    <row r="21" spans="1:57" x14ac:dyDescent="0.2">
      <c r="A21" s="143">
        <f t="shared" si="7"/>
        <v>2.2857142857142856</v>
      </c>
      <c r="B21" s="147">
        <f t="shared" si="20"/>
        <v>0.33333333333333331</v>
      </c>
      <c r="C21">
        <v>3</v>
      </c>
      <c r="D21">
        <v>2</v>
      </c>
      <c r="E21">
        <v>2</v>
      </c>
      <c r="F21">
        <v>2</v>
      </c>
      <c r="G21">
        <v>3</v>
      </c>
      <c r="H21">
        <v>2</v>
      </c>
      <c r="I21">
        <v>2</v>
      </c>
      <c r="J21" s="165">
        <v>9</v>
      </c>
      <c r="K21" s="43">
        <f t="shared" si="8"/>
        <v>3</v>
      </c>
      <c r="L21" s="43">
        <f t="shared" si="9"/>
        <v>3</v>
      </c>
      <c r="M21" s="43">
        <f t="shared" si="10"/>
        <v>3</v>
      </c>
      <c r="N21" s="43">
        <f t="shared" si="11"/>
        <v>2</v>
      </c>
      <c r="O21" s="43">
        <f t="shared" si="12"/>
        <v>3</v>
      </c>
      <c r="P21" s="43">
        <f t="shared" si="13"/>
        <v>3</v>
      </c>
      <c r="Q21" s="43">
        <f t="shared" si="14"/>
        <v>2</v>
      </c>
      <c r="R21" s="165">
        <v>9</v>
      </c>
      <c r="S21" s="135">
        <v>6</v>
      </c>
      <c r="T21" s="135">
        <v>8</v>
      </c>
      <c r="U21" s="135">
        <v>4</v>
      </c>
      <c r="V21" s="135">
        <v>5</v>
      </c>
      <c r="W21" s="135">
        <v>5</v>
      </c>
      <c r="X21" s="135">
        <v>5</v>
      </c>
      <c r="Y21" s="135">
        <v>6</v>
      </c>
      <c r="AA21" s="55">
        <f t="shared" si="15"/>
        <v>0.99997955441268649</v>
      </c>
      <c r="AB21" s="55">
        <f t="shared" si="15"/>
        <v>0.9999999952487294</v>
      </c>
      <c r="AC21" s="55">
        <f t="shared" si="3"/>
        <v>0.99943346388446785</v>
      </c>
      <c r="AD21" s="55">
        <f t="shared" si="3"/>
        <v>0.99997485746330927</v>
      </c>
      <c r="AE21" s="55">
        <f t="shared" si="3"/>
        <v>0.99978112166361954</v>
      </c>
      <c r="AF21" s="55">
        <f t="shared" si="3"/>
        <v>0.99996552499677904</v>
      </c>
      <c r="AG21" s="55">
        <f t="shared" si="3"/>
        <v>0.99999862154615948</v>
      </c>
      <c r="AI21" s="214">
        <f t="shared" si="16"/>
        <v>3</v>
      </c>
      <c r="AJ21" s="214">
        <f t="shared" si="4"/>
        <v>5</v>
      </c>
      <c r="AK21" s="214">
        <f t="shared" si="4"/>
        <v>1</v>
      </c>
      <c r="AL21" s="214">
        <f t="shared" si="4"/>
        <v>3</v>
      </c>
      <c r="AM21" s="214">
        <f t="shared" si="4"/>
        <v>2</v>
      </c>
      <c r="AN21" s="214">
        <f t="shared" si="4"/>
        <v>2</v>
      </c>
      <c r="AO21" s="214">
        <f t="shared" si="4"/>
        <v>4</v>
      </c>
      <c r="AP21" s="206">
        <f t="shared" si="17"/>
        <v>0.33333333333333331</v>
      </c>
      <c r="AQ21" s="213">
        <f t="shared" si="18"/>
        <v>1</v>
      </c>
      <c r="AR21" s="213">
        <f t="shared" si="5"/>
        <v>1.6666666666666665</v>
      </c>
      <c r="AS21" s="213">
        <f t="shared" si="5"/>
        <v>0.33333333333333326</v>
      </c>
      <c r="AT21" s="213">
        <f t="shared" si="5"/>
        <v>1.5</v>
      </c>
      <c r="AU21" s="213">
        <f t="shared" si="5"/>
        <v>0.66666666666666674</v>
      </c>
      <c r="AV21" s="213">
        <f t="shared" si="5"/>
        <v>0.66666666666666674</v>
      </c>
      <c r="AW21" s="213">
        <f t="shared" si="5"/>
        <v>2</v>
      </c>
      <c r="AY21" s="162">
        <f t="shared" si="19"/>
        <v>2.9999386632380594</v>
      </c>
      <c r="AZ21" s="162">
        <f t="shared" si="6"/>
        <v>1.9999999904974588</v>
      </c>
      <c r="BA21" s="162">
        <f t="shared" si="6"/>
        <v>1.9988669277689357</v>
      </c>
      <c r="BB21" s="162">
        <f t="shared" si="6"/>
        <v>1.9999497149266185</v>
      </c>
      <c r="BC21" s="162">
        <f t="shared" si="6"/>
        <v>2.9993433649908585</v>
      </c>
      <c r="BD21" s="162">
        <f t="shared" si="6"/>
        <v>1.9999310499935581</v>
      </c>
      <c r="BE21" s="162">
        <f t="shared" si="6"/>
        <v>1.999997243092319</v>
      </c>
    </row>
    <row r="22" spans="1:57" x14ac:dyDescent="0.2">
      <c r="A22" s="143">
        <f t="shared" si="7"/>
        <v>2.7142857142857144</v>
      </c>
      <c r="B22" s="147">
        <f t="shared" si="20"/>
        <v>0.375</v>
      </c>
      <c r="C22">
        <v>3</v>
      </c>
      <c r="D22">
        <v>3</v>
      </c>
      <c r="E22">
        <v>2</v>
      </c>
      <c r="F22">
        <v>3</v>
      </c>
      <c r="G22">
        <v>4</v>
      </c>
      <c r="H22">
        <v>2</v>
      </c>
      <c r="I22">
        <v>2</v>
      </c>
      <c r="J22" s="165">
        <v>10</v>
      </c>
      <c r="K22" s="43">
        <f t="shared" si="8"/>
        <v>3</v>
      </c>
      <c r="L22" s="43">
        <f t="shared" si="9"/>
        <v>3</v>
      </c>
      <c r="M22" s="43">
        <f t="shared" si="10"/>
        <v>3</v>
      </c>
      <c r="N22" s="43">
        <f t="shared" si="11"/>
        <v>3</v>
      </c>
      <c r="O22" s="43">
        <f t="shared" si="12"/>
        <v>3</v>
      </c>
      <c r="P22" s="43">
        <f t="shared" si="13"/>
        <v>3</v>
      </c>
      <c r="Q22" s="43">
        <f t="shared" si="14"/>
        <v>2</v>
      </c>
      <c r="R22" s="165">
        <v>10</v>
      </c>
      <c r="S22" s="135">
        <v>6</v>
      </c>
      <c r="T22" s="135">
        <v>8</v>
      </c>
      <c r="U22" s="135">
        <v>5</v>
      </c>
      <c r="V22" s="135">
        <v>8</v>
      </c>
      <c r="W22" s="135">
        <v>5</v>
      </c>
      <c r="X22" s="135">
        <v>6</v>
      </c>
      <c r="Y22" s="135">
        <v>6</v>
      </c>
      <c r="AA22" s="55">
        <f t="shared" si="15"/>
        <v>0.99997955441268649</v>
      </c>
      <c r="AB22" s="55">
        <f t="shared" si="15"/>
        <v>0.99999989553853408</v>
      </c>
      <c r="AC22" s="55">
        <f t="shared" si="3"/>
        <v>0.99995951721057996</v>
      </c>
      <c r="AD22" s="55">
        <f t="shared" si="3"/>
        <v>0.99999994190274977</v>
      </c>
      <c r="AE22" s="55">
        <f t="shared" si="3"/>
        <v>0.99919214466384765</v>
      </c>
      <c r="AF22" s="55">
        <f t="shared" si="3"/>
        <v>0.9999980006008985</v>
      </c>
      <c r="AG22" s="55">
        <f t="shared" si="3"/>
        <v>0.99999862154615948</v>
      </c>
      <c r="AI22" s="214">
        <f t="shared" si="16"/>
        <v>3</v>
      </c>
      <c r="AJ22" s="214">
        <f t="shared" si="4"/>
        <v>5</v>
      </c>
      <c r="AK22" s="214">
        <f t="shared" si="4"/>
        <v>2</v>
      </c>
      <c r="AL22" s="214">
        <f t="shared" si="4"/>
        <v>5</v>
      </c>
      <c r="AM22" s="214">
        <f t="shared" si="4"/>
        <v>2</v>
      </c>
      <c r="AN22" s="214">
        <f t="shared" si="4"/>
        <v>3</v>
      </c>
      <c r="AO22" s="214">
        <f t="shared" si="4"/>
        <v>4</v>
      </c>
      <c r="AP22" s="206">
        <f t="shared" si="17"/>
        <v>0.375</v>
      </c>
      <c r="AQ22" s="213">
        <f t="shared" si="18"/>
        <v>1</v>
      </c>
      <c r="AR22" s="213">
        <f t="shared" si="5"/>
        <v>1.6666666666666665</v>
      </c>
      <c r="AS22" s="213">
        <f t="shared" si="5"/>
        <v>0.66666666666666674</v>
      </c>
      <c r="AT22" s="213">
        <f t="shared" si="5"/>
        <v>1.6666666666666665</v>
      </c>
      <c r="AU22" s="213">
        <f t="shared" si="5"/>
        <v>0.66666666666666674</v>
      </c>
      <c r="AV22" s="213">
        <f t="shared" si="5"/>
        <v>1</v>
      </c>
      <c r="AW22" s="213">
        <f t="shared" si="5"/>
        <v>2</v>
      </c>
      <c r="AY22" s="162">
        <f t="shared" si="19"/>
        <v>2.9999386632380594</v>
      </c>
      <c r="AZ22" s="162">
        <f t="shared" si="6"/>
        <v>2.9999996866156025</v>
      </c>
      <c r="BA22" s="162">
        <f t="shared" si="6"/>
        <v>1.9999190344211599</v>
      </c>
      <c r="BB22" s="162">
        <f t="shared" si="6"/>
        <v>2.9999998257082492</v>
      </c>
      <c r="BC22" s="162">
        <f t="shared" si="6"/>
        <v>3.9967685786553906</v>
      </c>
      <c r="BD22" s="162">
        <f t="shared" si="6"/>
        <v>1.999996001201797</v>
      </c>
      <c r="BE22" s="162">
        <f t="shared" si="6"/>
        <v>1.999997243092319</v>
      </c>
    </row>
    <row r="23" spans="1:57" x14ac:dyDescent="0.2">
      <c r="A23" s="143">
        <f t="shared" si="7"/>
        <v>2.8571428571428572</v>
      </c>
      <c r="B23" s="147">
        <f t="shared" si="20"/>
        <v>0.41666666666666669</v>
      </c>
      <c r="C23">
        <v>3</v>
      </c>
      <c r="D23">
        <v>3</v>
      </c>
      <c r="E23">
        <v>3</v>
      </c>
      <c r="F23">
        <v>3</v>
      </c>
      <c r="G23">
        <v>3</v>
      </c>
      <c r="H23">
        <v>3</v>
      </c>
      <c r="I23">
        <v>2</v>
      </c>
      <c r="J23" s="165">
        <v>11</v>
      </c>
      <c r="K23" s="43">
        <f>AgentsRequired(C23,$B$10,K$10,$C$4,$C$6,$C$2,$C$8)</f>
        <v>3</v>
      </c>
      <c r="L23" s="43">
        <f t="shared" si="9"/>
        <v>3</v>
      </c>
      <c r="M23" s="43">
        <f t="shared" si="10"/>
        <v>3</v>
      </c>
      <c r="N23" s="43">
        <f t="shared" si="11"/>
        <v>3</v>
      </c>
      <c r="O23" s="43">
        <f t="shared" si="12"/>
        <v>3</v>
      </c>
      <c r="P23" s="43">
        <f t="shared" si="13"/>
        <v>3</v>
      </c>
      <c r="Q23" s="43">
        <f t="shared" si="14"/>
        <v>2</v>
      </c>
      <c r="R23" s="165">
        <v>11</v>
      </c>
      <c r="S23" s="135">
        <v>6</v>
      </c>
      <c r="T23" s="135">
        <v>8</v>
      </c>
      <c r="U23" s="135">
        <v>7</v>
      </c>
      <c r="V23" s="135">
        <v>8</v>
      </c>
      <c r="W23" s="135">
        <v>6</v>
      </c>
      <c r="X23" s="135">
        <v>7</v>
      </c>
      <c r="Y23" s="135">
        <v>7</v>
      </c>
      <c r="AA23" s="55">
        <f t="shared" si="15"/>
        <v>0.99997955441268649</v>
      </c>
      <c r="AB23" s="55">
        <f t="shared" si="15"/>
        <v>0.99999989553853408</v>
      </c>
      <c r="AC23" s="55">
        <f t="shared" si="3"/>
        <v>0.99999816258362173</v>
      </c>
      <c r="AD23" s="55">
        <f t="shared" si="3"/>
        <v>0.99999994190274977</v>
      </c>
      <c r="AE23" s="55">
        <f t="shared" si="3"/>
        <v>0.99998127281725446</v>
      </c>
      <c r="AF23" s="55">
        <f t="shared" si="3"/>
        <v>0.999998529599335</v>
      </c>
      <c r="AG23" s="55">
        <f t="shared" si="3"/>
        <v>0.99999993550310051</v>
      </c>
      <c r="AI23" s="214">
        <f t="shared" si="16"/>
        <v>3</v>
      </c>
      <c r="AJ23" s="214">
        <f t="shared" si="4"/>
        <v>5</v>
      </c>
      <c r="AK23" s="214">
        <f t="shared" si="4"/>
        <v>4</v>
      </c>
      <c r="AL23" s="214">
        <f t="shared" si="4"/>
        <v>5</v>
      </c>
      <c r="AM23" s="214">
        <f t="shared" si="4"/>
        <v>3</v>
      </c>
      <c r="AN23" s="214">
        <f t="shared" si="4"/>
        <v>4</v>
      </c>
      <c r="AO23" s="214">
        <f t="shared" si="4"/>
        <v>5</v>
      </c>
      <c r="AP23" s="206">
        <f t="shared" si="17"/>
        <v>0.41666666666666669</v>
      </c>
      <c r="AQ23" s="213">
        <f t="shared" si="18"/>
        <v>1</v>
      </c>
      <c r="AR23" s="213">
        <f t="shared" si="5"/>
        <v>1.6666666666666665</v>
      </c>
      <c r="AS23" s="213">
        <f t="shared" si="5"/>
        <v>1.3333333333333335</v>
      </c>
      <c r="AT23" s="213">
        <f t="shared" si="5"/>
        <v>1.6666666666666665</v>
      </c>
      <c r="AU23" s="213">
        <f t="shared" si="5"/>
        <v>1</v>
      </c>
      <c r="AV23" s="213">
        <f t="shared" si="5"/>
        <v>1.3333333333333335</v>
      </c>
      <c r="AW23" s="213">
        <f t="shared" si="5"/>
        <v>2.5</v>
      </c>
      <c r="AY23" s="162">
        <f t="shared" si="19"/>
        <v>2.9999386632380594</v>
      </c>
      <c r="AZ23" s="162">
        <f t="shared" si="6"/>
        <v>2.9999996866156025</v>
      </c>
      <c r="BA23" s="162">
        <f t="shared" si="6"/>
        <v>2.9999944877508651</v>
      </c>
      <c r="BB23" s="162">
        <f t="shared" si="6"/>
        <v>2.9999998257082492</v>
      </c>
      <c r="BC23" s="162">
        <f t="shared" si="6"/>
        <v>2.9999438184517633</v>
      </c>
      <c r="BD23" s="162">
        <f t="shared" si="6"/>
        <v>2.9999955887980052</v>
      </c>
      <c r="BE23" s="162">
        <f t="shared" si="6"/>
        <v>1.999999871006201</v>
      </c>
    </row>
    <row r="24" spans="1:57" x14ac:dyDescent="0.2">
      <c r="A24" s="143">
        <f t="shared" si="7"/>
        <v>3</v>
      </c>
      <c r="B24" s="147">
        <f t="shared" si="20"/>
        <v>0.45833333333333337</v>
      </c>
      <c r="C24">
        <v>3</v>
      </c>
      <c r="D24">
        <v>3</v>
      </c>
      <c r="E24">
        <v>3</v>
      </c>
      <c r="F24">
        <v>4</v>
      </c>
      <c r="G24">
        <v>3</v>
      </c>
      <c r="H24">
        <v>3</v>
      </c>
      <c r="I24">
        <v>2</v>
      </c>
      <c r="J24" s="165">
        <v>12</v>
      </c>
      <c r="K24" s="43">
        <f t="shared" si="8"/>
        <v>3</v>
      </c>
      <c r="L24" s="43">
        <f t="shared" si="9"/>
        <v>3</v>
      </c>
      <c r="M24" s="43">
        <f t="shared" si="10"/>
        <v>3</v>
      </c>
      <c r="N24" s="43">
        <f t="shared" si="11"/>
        <v>3</v>
      </c>
      <c r="O24" s="43">
        <f t="shared" si="12"/>
        <v>3</v>
      </c>
      <c r="P24" s="43">
        <f t="shared" si="13"/>
        <v>3</v>
      </c>
      <c r="Q24" s="43">
        <f t="shared" si="14"/>
        <v>2</v>
      </c>
      <c r="R24" s="165">
        <v>12</v>
      </c>
      <c r="S24" s="135">
        <v>7</v>
      </c>
      <c r="T24" s="135">
        <v>8</v>
      </c>
      <c r="U24" s="135">
        <v>7</v>
      </c>
      <c r="V24" s="135">
        <v>9</v>
      </c>
      <c r="W24" s="135">
        <v>6</v>
      </c>
      <c r="X24" s="135">
        <v>7</v>
      </c>
      <c r="Y24" s="135">
        <v>7</v>
      </c>
      <c r="AA24" s="55">
        <f t="shared" si="15"/>
        <v>0.99999846787638225</v>
      </c>
      <c r="AB24" s="55">
        <f t="shared" si="15"/>
        <v>0.99999989553853408</v>
      </c>
      <c r="AC24" s="55">
        <f t="shared" si="3"/>
        <v>0.99999816258362173</v>
      </c>
      <c r="AD24" s="55">
        <f t="shared" si="3"/>
        <v>0.99999996345439812</v>
      </c>
      <c r="AE24" s="55">
        <f t="shared" si="3"/>
        <v>0.99998127281725446</v>
      </c>
      <c r="AF24" s="55">
        <f t="shared" si="3"/>
        <v>0.999998529599335</v>
      </c>
      <c r="AG24" s="55">
        <f t="shared" si="3"/>
        <v>0.99999993550310051</v>
      </c>
      <c r="AI24" s="214">
        <f t="shared" si="16"/>
        <v>4</v>
      </c>
      <c r="AJ24" s="214">
        <f t="shared" si="4"/>
        <v>5</v>
      </c>
      <c r="AK24" s="214">
        <f t="shared" si="4"/>
        <v>4</v>
      </c>
      <c r="AL24" s="214">
        <f t="shared" si="4"/>
        <v>6</v>
      </c>
      <c r="AM24" s="214">
        <f t="shared" si="4"/>
        <v>3</v>
      </c>
      <c r="AN24" s="214">
        <f t="shared" si="4"/>
        <v>4</v>
      </c>
      <c r="AO24" s="214">
        <f t="shared" si="4"/>
        <v>5</v>
      </c>
      <c r="AP24" s="206">
        <f t="shared" si="17"/>
        <v>0.45833333333333337</v>
      </c>
      <c r="AQ24" s="213">
        <f t="shared" si="18"/>
        <v>1.3333333333333335</v>
      </c>
      <c r="AR24" s="213">
        <f t="shared" si="5"/>
        <v>1.6666666666666665</v>
      </c>
      <c r="AS24" s="213">
        <f t="shared" si="5"/>
        <v>1.3333333333333335</v>
      </c>
      <c r="AT24" s="213">
        <f t="shared" si="5"/>
        <v>2</v>
      </c>
      <c r="AU24" s="213">
        <f t="shared" si="5"/>
        <v>1</v>
      </c>
      <c r="AV24" s="213">
        <f t="shared" si="5"/>
        <v>1.3333333333333335</v>
      </c>
      <c r="AW24" s="213">
        <f t="shared" si="5"/>
        <v>2.5</v>
      </c>
      <c r="AY24" s="162">
        <f t="shared" si="19"/>
        <v>2.9999954036291467</v>
      </c>
      <c r="AZ24" s="162">
        <f t="shared" si="6"/>
        <v>2.9999996866156025</v>
      </c>
      <c r="BA24" s="162">
        <f t="shared" si="6"/>
        <v>2.9999944877508651</v>
      </c>
      <c r="BB24" s="162">
        <f t="shared" si="6"/>
        <v>3.9999998538175925</v>
      </c>
      <c r="BC24" s="162">
        <f t="shared" si="6"/>
        <v>2.9999438184517633</v>
      </c>
      <c r="BD24" s="162">
        <f t="shared" si="6"/>
        <v>2.9999955887980052</v>
      </c>
      <c r="BE24" s="162">
        <f t="shared" si="6"/>
        <v>1.999999871006201</v>
      </c>
    </row>
    <row r="25" spans="1:57" x14ac:dyDescent="0.2">
      <c r="A25" s="143">
        <f t="shared" si="7"/>
        <v>3.5714285714285716</v>
      </c>
      <c r="B25" s="147">
        <f t="shared" si="20"/>
        <v>0.5</v>
      </c>
      <c r="C25">
        <v>5</v>
      </c>
      <c r="D25">
        <v>4</v>
      </c>
      <c r="E25">
        <v>4</v>
      </c>
      <c r="F25">
        <v>3</v>
      </c>
      <c r="G25">
        <v>4</v>
      </c>
      <c r="H25">
        <v>3</v>
      </c>
      <c r="I25">
        <v>2</v>
      </c>
      <c r="J25" s="165">
        <v>13</v>
      </c>
      <c r="K25" s="43">
        <f t="shared" si="8"/>
        <v>4</v>
      </c>
      <c r="L25" s="43">
        <f t="shared" si="9"/>
        <v>3</v>
      </c>
      <c r="M25" s="43">
        <f t="shared" si="10"/>
        <v>3</v>
      </c>
      <c r="N25" s="43">
        <f t="shared" si="11"/>
        <v>3</v>
      </c>
      <c r="O25" s="43">
        <f t="shared" si="12"/>
        <v>3</v>
      </c>
      <c r="P25" s="43">
        <f t="shared" si="13"/>
        <v>3</v>
      </c>
      <c r="Q25" s="43">
        <f t="shared" si="14"/>
        <v>2</v>
      </c>
      <c r="R25" s="165">
        <v>13</v>
      </c>
      <c r="S25" s="135">
        <v>10</v>
      </c>
      <c r="T25" s="135">
        <v>11</v>
      </c>
      <c r="U25" s="135">
        <v>9</v>
      </c>
      <c r="V25" s="135">
        <v>7</v>
      </c>
      <c r="W25" s="135">
        <v>9</v>
      </c>
      <c r="X25" s="135">
        <v>8</v>
      </c>
      <c r="Y25" s="135">
        <v>10</v>
      </c>
      <c r="AA25" s="55">
        <f t="shared" si="15"/>
        <v>0.99999996223518606</v>
      </c>
      <c r="AB25" s="55">
        <f t="shared" si="15"/>
        <v>0.99999999968106412</v>
      </c>
      <c r="AC25" s="55">
        <f t="shared" si="3"/>
        <v>0.99999991490202855</v>
      </c>
      <c r="AD25" s="55">
        <f t="shared" si="3"/>
        <v>0.99999905119056609</v>
      </c>
      <c r="AE25" s="55">
        <f t="shared" si="3"/>
        <v>0.9999999408934247</v>
      </c>
      <c r="AF25" s="55">
        <f t="shared" si="3"/>
        <v>0.9999999038219306</v>
      </c>
      <c r="AG25" s="55">
        <f t="shared" si="3"/>
        <v>0.99999999999681899</v>
      </c>
      <c r="AI25" s="214">
        <f t="shared" si="16"/>
        <v>6</v>
      </c>
      <c r="AJ25" s="214">
        <f t="shared" si="4"/>
        <v>8</v>
      </c>
      <c r="AK25" s="214">
        <f t="shared" si="4"/>
        <v>6</v>
      </c>
      <c r="AL25" s="214">
        <f t="shared" si="4"/>
        <v>4</v>
      </c>
      <c r="AM25" s="214">
        <f t="shared" si="4"/>
        <v>6</v>
      </c>
      <c r="AN25" s="214">
        <f t="shared" si="4"/>
        <v>5</v>
      </c>
      <c r="AO25" s="214">
        <f t="shared" si="4"/>
        <v>8</v>
      </c>
      <c r="AP25" s="206">
        <f t="shared" si="17"/>
        <v>0.5</v>
      </c>
      <c r="AQ25" s="213">
        <f t="shared" si="18"/>
        <v>1.5</v>
      </c>
      <c r="AR25" s="213">
        <f t="shared" si="5"/>
        <v>2.6666666666666665</v>
      </c>
      <c r="AS25" s="213">
        <f t="shared" si="5"/>
        <v>2</v>
      </c>
      <c r="AT25" s="213">
        <f t="shared" si="5"/>
        <v>1.3333333333333335</v>
      </c>
      <c r="AU25" s="213">
        <f t="shared" si="5"/>
        <v>2</v>
      </c>
      <c r="AV25" s="213">
        <f t="shared" si="5"/>
        <v>1.6666666666666665</v>
      </c>
      <c r="AW25" s="213">
        <f t="shared" si="5"/>
        <v>4</v>
      </c>
      <c r="AY25" s="162">
        <f t="shared" si="19"/>
        <v>4.9999998111759307</v>
      </c>
      <c r="AZ25" s="162">
        <f t="shared" si="6"/>
        <v>3.9999999987242565</v>
      </c>
      <c r="BA25" s="162">
        <f t="shared" si="6"/>
        <v>3.9999996596081142</v>
      </c>
      <c r="BB25" s="162">
        <f t="shared" si="6"/>
        <v>2.999997153571698</v>
      </c>
      <c r="BC25" s="162">
        <f t="shared" si="6"/>
        <v>3.9999997635736988</v>
      </c>
      <c r="BD25" s="162">
        <f t="shared" si="6"/>
        <v>2.9999997114657919</v>
      </c>
      <c r="BE25" s="162">
        <f t="shared" si="6"/>
        <v>1.999999999993638</v>
      </c>
    </row>
    <row r="26" spans="1:57" x14ac:dyDescent="0.2">
      <c r="A26" s="143">
        <f t="shared" si="7"/>
        <v>3.1428571428571428</v>
      </c>
      <c r="B26" s="147">
        <f t="shared" si="20"/>
        <v>0.54166666666666663</v>
      </c>
      <c r="C26">
        <v>4</v>
      </c>
      <c r="D26">
        <v>4</v>
      </c>
      <c r="E26">
        <v>3</v>
      </c>
      <c r="F26">
        <v>4</v>
      </c>
      <c r="G26">
        <v>3</v>
      </c>
      <c r="H26">
        <v>3</v>
      </c>
      <c r="I26">
        <v>1</v>
      </c>
      <c r="J26" s="165">
        <v>14</v>
      </c>
      <c r="K26" s="43">
        <f t="shared" si="8"/>
        <v>3</v>
      </c>
      <c r="L26" s="43">
        <f t="shared" si="9"/>
        <v>3</v>
      </c>
      <c r="M26" s="43">
        <f t="shared" si="10"/>
        <v>3</v>
      </c>
      <c r="N26" s="43">
        <f t="shared" si="11"/>
        <v>3</v>
      </c>
      <c r="O26" s="43">
        <f t="shared" si="12"/>
        <v>3</v>
      </c>
      <c r="P26" s="43">
        <f t="shared" si="13"/>
        <v>3</v>
      </c>
      <c r="Q26" s="43">
        <f t="shared" si="14"/>
        <v>2</v>
      </c>
      <c r="R26" s="165">
        <v>14</v>
      </c>
      <c r="S26" s="135">
        <v>8</v>
      </c>
      <c r="T26" s="135">
        <v>7</v>
      </c>
      <c r="U26" s="135">
        <v>9</v>
      </c>
      <c r="V26" s="135">
        <v>7</v>
      </c>
      <c r="W26" s="135">
        <v>8</v>
      </c>
      <c r="X26" s="135">
        <v>7</v>
      </c>
      <c r="Y26" s="135">
        <v>8</v>
      </c>
      <c r="AA26" s="55">
        <f t="shared" si="15"/>
        <v>0.99999913475930668</v>
      </c>
      <c r="AB26" s="55">
        <f t="shared" si="15"/>
        <v>0.999989799880037</v>
      </c>
      <c r="AC26" s="55">
        <f t="shared" si="3"/>
        <v>0.99999999250663218</v>
      </c>
      <c r="AD26" s="55">
        <f t="shared" si="3"/>
        <v>0.99999380606534194</v>
      </c>
      <c r="AE26" s="55">
        <f t="shared" si="3"/>
        <v>0.99999991046616987</v>
      </c>
      <c r="AF26" s="55">
        <f t="shared" si="3"/>
        <v>0.999998529599335</v>
      </c>
      <c r="AG26" s="55">
        <f t="shared" si="3"/>
        <v>0.99999999998807787</v>
      </c>
      <c r="AI26" s="214">
        <f t="shared" si="16"/>
        <v>5</v>
      </c>
      <c r="AJ26" s="214">
        <f t="shared" si="4"/>
        <v>4</v>
      </c>
      <c r="AK26" s="214">
        <f t="shared" si="4"/>
        <v>6</v>
      </c>
      <c r="AL26" s="214">
        <f t="shared" si="4"/>
        <v>4</v>
      </c>
      <c r="AM26" s="214">
        <f t="shared" si="4"/>
        <v>5</v>
      </c>
      <c r="AN26" s="214">
        <f t="shared" si="4"/>
        <v>4</v>
      </c>
      <c r="AO26" s="214">
        <f t="shared" si="4"/>
        <v>6</v>
      </c>
      <c r="AP26" s="206">
        <f t="shared" si="17"/>
        <v>0.54166666666666663</v>
      </c>
      <c r="AQ26" s="213">
        <f t="shared" si="18"/>
        <v>1.6666666666666665</v>
      </c>
      <c r="AR26" s="213">
        <f t="shared" si="5"/>
        <v>1.3333333333333335</v>
      </c>
      <c r="AS26" s="213">
        <f t="shared" si="5"/>
        <v>2</v>
      </c>
      <c r="AT26" s="213">
        <f t="shared" si="5"/>
        <v>1.3333333333333335</v>
      </c>
      <c r="AU26" s="213">
        <f t="shared" si="5"/>
        <v>1.6666666666666665</v>
      </c>
      <c r="AV26" s="213">
        <f t="shared" si="5"/>
        <v>1.3333333333333335</v>
      </c>
      <c r="AW26" s="213">
        <f t="shared" si="5"/>
        <v>3</v>
      </c>
      <c r="AY26" s="162">
        <f t="shared" si="19"/>
        <v>3.9999965390372267</v>
      </c>
      <c r="AZ26" s="162">
        <f t="shared" si="6"/>
        <v>3.999959199520148</v>
      </c>
      <c r="BA26" s="162">
        <f t="shared" si="6"/>
        <v>2.9999999775198964</v>
      </c>
      <c r="BB26" s="162">
        <f t="shared" si="6"/>
        <v>3.9999752242613678</v>
      </c>
      <c r="BC26" s="162">
        <f t="shared" si="6"/>
        <v>2.9999997313985096</v>
      </c>
      <c r="BD26" s="162">
        <f t="shared" si="6"/>
        <v>2.9999955887980052</v>
      </c>
      <c r="BE26" s="162">
        <f t="shared" si="6"/>
        <v>0.99999999998807787</v>
      </c>
    </row>
    <row r="27" spans="1:57" x14ac:dyDescent="0.2">
      <c r="A27" s="143">
        <f t="shared" si="7"/>
        <v>2.8571428571428572</v>
      </c>
      <c r="B27" s="147">
        <f t="shared" si="20"/>
        <v>0.58333333333333326</v>
      </c>
      <c r="C27">
        <v>3</v>
      </c>
      <c r="D27">
        <v>4</v>
      </c>
      <c r="E27">
        <v>2</v>
      </c>
      <c r="F27">
        <v>4</v>
      </c>
      <c r="G27">
        <v>3</v>
      </c>
      <c r="H27">
        <v>2</v>
      </c>
      <c r="I27">
        <v>2</v>
      </c>
      <c r="J27" s="165">
        <v>15</v>
      </c>
      <c r="K27" s="43">
        <f t="shared" si="8"/>
        <v>3</v>
      </c>
      <c r="L27" s="43">
        <f t="shared" si="9"/>
        <v>3</v>
      </c>
      <c r="M27" s="43">
        <f t="shared" si="10"/>
        <v>3</v>
      </c>
      <c r="N27" s="43">
        <f t="shared" si="11"/>
        <v>3</v>
      </c>
      <c r="O27" s="43">
        <f t="shared" si="12"/>
        <v>3</v>
      </c>
      <c r="P27" s="43">
        <f t="shared" si="13"/>
        <v>3</v>
      </c>
      <c r="Q27" s="43">
        <f t="shared" si="14"/>
        <v>2</v>
      </c>
      <c r="R27" s="165">
        <v>15</v>
      </c>
      <c r="S27" s="135">
        <v>9</v>
      </c>
      <c r="T27" s="135">
        <v>11</v>
      </c>
      <c r="U27" s="135">
        <v>10</v>
      </c>
      <c r="V27" s="135">
        <v>10</v>
      </c>
      <c r="W27" s="135">
        <v>9</v>
      </c>
      <c r="X27" s="135">
        <v>9</v>
      </c>
      <c r="Y27" s="135">
        <v>8</v>
      </c>
      <c r="AA27" s="55">
        <f t="shared" si="15"/>
        <v>0.99999999408595808</v>
      </c>
      <c r="AB27" s="55">
        <f t="shared" si="15"/>
        <v>0.99999999968106412</v>
      </c>
      <c r="AC27" s="55">
        <f t="shared" si="3"/>
        <v>0.99999999999169331</v>
      </c>
      <c r="AD27" s="55">
        <f t="shared" si="3"/>
        <v>0.99999999760908598</v>
      </c>
      <c r="AE27" s="55">
        <f t="shared" si="3"/>
        <v>0.99999999483045621</v>
      </c>
      <c r="AF27" s="55">
        <f t="shared" si="3"/>
        <v>0.9999999998298198</v>
      </c>
      <c r="AG27" s="55">
        <f t="shared" si="3"/>
        <v>0.99999999735356038</v>
      </c>
      <c r="AI27" s="214">
        <f t="shared" si="16"/>
        <v>6</v>
      </c>
      <c r="AJ27" s="214">
        <f t="shared" si="4"/>
        <v>8</v>
      </c>
      <c r="AK27" s="214">
        <f t="shared" si="4"/>
        <v>7</v>
      </c>
      <c r="AL27" s="214">
        <f t="shared" si="4"/>
        <v>7</v>
      </c>
      <c r="AM27" s="214">
        <f t="shared" si="4"/>
        <v>6</v>
      </c>
      <c r="AN27" s="214">
        <f t="shared" si="4"/>
        <v>6</v>
      </c>
      <c r="AO27" s="214">
        <f t="shared" si="4"/>
        <v>6</v>
      </c>
      <c r="AP27" s="206">
        <f t="shared" si="17"/>
        <v>0.58333333333333326</v>
      </c>
      <c r="AQ27" s="213">
        <f t="shared" si="18"/>
        <v>2</v>
      </c>
      <c r="AR27" s="213">
        <f t="shared" si="5"/>
        <v>2.6666666666666665</v>
      </c>
      <c r="AS27" s="213">
        <f t="shared" si="5"/>
        <v>2.3333333333333335</v>
      </c>
      <c r="AT27" s="213">
        <f t="shared" si="5"/>
        <v>2.3333333333333335</v>
      </c>
      <c r="AU27" s="213">
        <f t="shared" si="5"/>
        <v>2</v>
      </c>
      <c r="AV27" s="213">
        <f t="shared" si="5"/>
        <v>2</v>
      </c>
      <c r="AW27" s="213">
        <f t="shared" si="5"/>
        <v>3</v>
      </c>
      <c r="AY27" s="162">
        <f t="shared" si="19"/>
        <v>2.999999982257874</v>
      </c>
      <c r="AZ27" s="162">
        <f t="shared" si="6"/>
        <v>3.9999999987242565</v>
      </c>
      <c r="BA27" s="162">
        <f t="shared" si="6"/>
        <v>1.9999999999833866</v>
      </c>
      <c r="BB27" s="162">
        <f t="shared" si="6"/>
        <v>3.9999999904363439</v>
      </c>
      <c r="BC27" s="162">
        <f t="shared" si="6"/>
        <v>2.9999999844913687</v>
      </c>
      <c r="BD27" s="162">
        <f t="shared" si="6"/>
        <v>1.9999999996596396</v>
      </c>
      <c r="BE27" s="162">
        <f t="shared" si="6"/>
        <v>1.9999999947071208</v>
      </c>
    </row>
    <row r="28" spans="1:57" x14ac:dyDescent="0.2">
      <c r="A28" s="143">
        <f t="shared" si="7"/>
        <v>2.8571428571428572</v>
      </c>
      <c r="B28" s="147">
        <f t="shared" si="20"/>
        <v>0.62499999999999989</v>
      </c>
      <c r="C28">
        <v>3</v>
      </c>
      <c r="D28">
        <v>4</v>
      </c>
      <c r="E28">
        <v>3</v>
      </c>
      <c r="F28">
        <v>3</v>
      </c>
      <c r="G28">
        <v>3</v>
      </c>
      <c r="H28">
        <v>2</v>
      </c>
      <c r="I28">
        <v>2</v>
      </c>
      <c r="J28" s="165">
        <v>16</v>
      </c>
      <c r="K28" s="43">
        <f t="shared" si="8"/>
        <v>3</v>
      </c>
      <c r="L28" s="43">
        <f t="shared" si="9"/>
        <v>3</v>
      </c>
      <c r="M28" s="43">
        <f t="shared" si="10"/>
        <v>3</v>
      </c>
      <c r="N28" s="43">
        <f t="shared" si="11"/>
        <v>3</v>
      </c>
      <c r="O28" s="43">
        <f t="shared" si="12"/>
        <v>3</v>
      </c>
      <c r="P28" s="43">
        <f t="shared" si="13"/>
        <v>3</v>
      </c>
      <c r="Q28" s="43">
        <f t="shared" si="14"/>
        <v>2</v>
      </c>
      <c r="R28" s="165">
        <v>16</v>
      </c>
      <c r="S28" s="135">
        <v>7</v>
      </c>
      <c r="T28" s="135">
        <v>10</v>
      </c>
      <c r="U28" s="135">
        <v>8</v>
      </c>
      <c r="V28" s="135">
        <v>7</v>
      </c>
      <c r="W28" s="135">
        <v>7</v>
      </c>
      <c r="X28" s="135">
        <v>6</v>
      </c>
      <c r="Y28" s="135">
        <v>8</v>
      </c>
      <c r="AA28" s="55">
        <f t="shared" si="15"/>
        <v>0.99999846787638225</v>
      </c>
      <c r="AB28" s="55">
        <f t="shared" si="15"/>
        <v>0.99999999504319159</v>
      </c>
      <c r="AC28" s="55">
        <f t="shared" si="3"/>
        <v>0.99999987570119331</v>
      </c>
      <c r="AD28" s="55">
        <f t="shared" si="3"/>
        <v>0.99999905119056609</v>
      </c>
      <c r="AE28" s="55">
        <f t="shared" si="3"/>
        <v>0.9999986182715308</v>
      </c>
      <c r="AF28" s="55">
        <f t="shared" si="3"/>
        <v>0.9999980006008985</v>
      </c>
      <c r="AG28" s="55">
        <f t="shared" si="3"/>
        <v>0.99999999735356038</v>
      </c>
      <c r="AI28" s="214">
        <f t="shared" si="16"/>
        <v>4</v>
      </c>
      <c r="AJ28" s="214">
        <f t="shared" si="4"/>
        <v>7</v>
      </c>
      <c r="AK28" s="214">
        <f t="shared" si="4"/>
        <v>5</v>
      </c>
      <c r="AL28" s="214">
        <f t="shared" si="4"/>
        <v>4</v>
      </c>
      <c r="AM28" s="214">
        <f t="shared" si="4"/>
        <v>4</v>
      </c>
      <c r="AN28" s="214">
        <f t="shared" si="4"/>
        <v>3</v>
      </c>
      <c r="AO28" s="214">
        <f t="shared" si="4"/>
        <v>6</v>
      </c>
      <c r="AP28" s="206">
        <f t="shared" si="17"/>
        <v>0.62499999999999989</v>
      </c>
      <c r="AQ28" s="213">
        <f t="shared" si="18"/>
        <v>1.3333333333333335</v>
      </c>
      <c r="AR28" s="213">
        <f t="shared" si="5"/>
        <v>2.3333333333333335</v>
      </c>
      <c r="AS28" s="213">
        <f t="shared" si="5"/>
        <v>1.6666666666666665</v>
      </c>
      <c r="AT28" s="213">
        <f t="shared" si="5"/>
        <v>1.3333333333333335</v>
      </c>
      <c r="AU28" s="213">
        <f t="shared" si="5"/>
        <v>1.3333333333333335</v>
      </c>
      <c r="AV28" s="213">
        <f t="shared" si="5"/>
        <v>1</v>
      </c>
      <c r="AW28" s="213">
        <f t="shared" si="5"/>
        <v>3</v>
      </c>
      <c r="AY28" s="162">
        <f t="shared" si="19"/>
        <v>2.9999954036291467</v>
      </c>
      <c r="AZ28" s="162">
        <f t="shared" si="6"/>
        <v>3.9999999801727664</v>
      </c>
      <c r="BA28" s="162">
        <f t="shared" si="6"/>
        <v>2.99999962710358</v>
      </c>
      <c r="BB28" s="162">
        <f t="shared" si="6"/>
        <v>2.999997153571698</v>
      </c>
      <c r="BC28" s="162">
        <f t="shared" si="6"/>
        <v>2.9999958548145926</v>
      </c>
      <c r="BD28" s="162">
        <f t="shared" si="6"/>
        <v>1.999996001201797</v>
      </c>
      <c r="BE28" s="162">
        <f t="shared" si="6"/>
        <v>1.9999999947071208</v>
      </c>
    </row>
    <row r="29" spans="1:57" x14ac:dyDescent="0.2">
      <c r="A29" s="143">
        <f t="shared" si="7"/>
        <v>2.7142857142857144</v>
      </c>
      <c r="B29" s="147">
        <f t="shared" si="20"/>
        <v>0.66666666666666652</v>
      </c>
      <c r="C29">
        <v>3</v>
      </c>
      <c r="D29">
        <v>3</v>
      </c>
      <c r="E29">
        <v>3</v>
      </c>
      <c r="F29">
        <v>3</v>
      </c>
      <c r="G29">
        <v>3</v>
      </c>
      <c r="H29">
        <v>2</v>
      </c>
      <c r="I29">
        <v>2</v>
      </c>
      <c r="J29" s="165">
        <v>17</v>
      </c>
      <c r="K29" s="43">
        <f t="shared" si="8"/>
        <v>3</v>
      </c>
      <c r="L29" s="43">
        <f t="shared" si="9"/>
        <v>3</v>
      </c>
      <c r="M29" s="43">
        <f t="shared" si="10"/>
        <v>3</v>
      </c>
      <c r="N29" s="43">
        <f t="shared" si="11"/>
        <v>3</v>
      </c>
      <c r="O29" s="43">
        <f t="shared" si="12"/>
        <v>3</v>
      </c>
      <c r="P29" s="43">
        <f t="shared" si="13"/>
        <v>3</v>
      </c>
      <c r="Q29" s="43">
        <f t="shared" si="14"/>
        <v>2</v>
      </c>
      <c r="R29" s="165">
        <v>17</v>
      </c>
      <c r="S29" s="135">
        <v>7</v>
      </c>
      <c r="T29" s="135">
        <v>9</v>
      </c>
      <c r="U29" s="135">
        <v>9</v>
      </c>
      <c r="V29" s="135">
        <v>9</v>
      </c>
      <c r="W29" s="135">
        <v>7</v>
      </c>
      <c r="X29" s="135">
        <v>6</v>
      </c>
      <c r="Y29" s="135">
        <v>6</v>
      </c>
      <c r="AA29" s="55">
        <f t="shared" si="15"/>
        <v>0.99999846787638225</v>
      </c>
      <c r="AB29" s="55">
        <f t="shared" si="15"/>
        <v>0.99999999384502047</v>
      </c>
      <c r="AC29" s="55">
        <f t="shared" si="15"/>
        <v>0.99999999250663218</v>
      </c>
      <c r="AD29" s="55">
        <f t="shared" si="15"/>
        <v>0.99999999683064578</v>
      </c>
      <c r="AE29" s="55">
        <f t="shared" si="15"/>
        <v>0.9999986182715308</v>
      </c>
      <c r="AF29" s="55">
        <f t="shared" si="15"/>
        <v>0.9999980006008985</v>
      </c>
      <c r="AG29" s="55">
        <f t="shared" si="15"/>
        <v>0.99999862154615948</v>
      </c>
      <c r="AI29" s="214">
        <f t="shared" si="16"/>
        <v>4</v>
      </c>
      <c r="AJ29" s="214">
        <f t="shared" si="16"/>
        <v>6</v>
      </c>
      <c r="AK29" s="214">
        <f t="shared" si="16"/>
        <v>6</v>
      </c>
      <c r="AL29" s="214">
        <f t="shared" si="16"/>
        <v>6</v>
      </c>
      <c r="AM29" s="214">
        <f t="shared" si="16"/>
        <v>4</v>
      </c>
      <c r="AN29" s="214">
        <f t="shared" si="16"/>
        <v>3</v>
      </c>
      <c r="AO29" s="214">
        <f t="shared" si="16"/>
        <v>4</v>
      </c>
      <c r="AP29" s="206">
        <f t="shared" si="17"/>
        <v>0.66666666666666652</v>
      </c>
      <c r="AQ29" s="213">
        <f t="shared" si="18"/>
        <v>1.3333333333333335</v>
      </c>
      <c r="AR29" s="213">
        <f t="shared" si="18"/>
        <v>2</v>
      </c>
      <c r="AS29" s="213">
        <f t="shared" si="18"/>
        <v>2</v>
      </c>
      <c r="AT29" s="213">
        <f t="shared" si="18"/>
        <v>2</v>
      </c>
      <c r="AU29" s="213">
        <f t="shared" si="18"/>
        <v>1.3333333333333335</v>
      </c>
      <c r="AV29" s="213">
        <f t="shared" si="18"/>
        <v>1</v>
      </c>
      <c r="AW29" s="213">
        <f t="shared" si="18"/>
        <v>2</v>
      </c>
      <c r="AY29" s="162">
        <f t="shared" si="19"/>
        <v>2.9999954036291467</v>
      </c>
      <c r="AZ29" s="162">
        <f t="shared" si="19"/>
        <v>2.9999999815350615</v>
      </c>
      <c r="BA29" s="162">
        <f t="shared" si="19"/>
        <v>2.9999999775198964</v>
      </c>
      <c r="BB29" s="162">
        <f t="shared" si="19"/>
        <v>2.9999999904919372</v>
      </c>
      <c r="BC29" s="162">
        <f t="shared" si="19"/>
        <v>2.9999958548145926</v>
      </c>
      <c r="BD29" s="162">
        <f t="shared" si="19"/>
        <v>1.999996001201797</v>
      </c>
      <c r="BE29" s="162">
        <f t="shared" si="19"/>
        <v>1.999997243092319</v>
      </c>
    </row>
    <row r="30" spans="1:57" x14ac:dyDescent="0.2">
      <c r="A30" s="143">
        <f t="shared" si="7"/>
        <v>2.4285714285714284</v>
      </c>
      <c r="B30" s="147">
        <f t="shared" si="20"/>
        <v>0.70833333333333315</v>
      </c>
      <c r="C30">
        <v>3</v>
      </c>
      <c r="D30">
        <v>3</v>
      </c>
      <c r="E30">
        <v>2</v>
      </c>
      <c r="F30">
        <v>3</v>
      </c>
      <c r="G30">
        <v>2</v>
      </c>
      <c r="H30">
        <v>2</v>
      </c>
      <c r="I30">
        <v>2</v>
      </c>
      <c r="J30" s="165">
        <v>18</v>
      </c>
      <c r="K30" s="43">
        <f t="shared" si="8"/>
        <v>3</v>
      </c>
      <c r="L30" s="43">
        <f t="shared" si="9"/>
        <v>3</v>
      </c>
      <c r="M30" s="43">
        <f t="shared" si="10"/>
        <v>3</v>
      </c>
      <c r="N30" s="43">
        <f t="shared" si="11"/>
        <v>3</v>
      </c>
      <c r="O30" s="43">
        <f t="shared" si="12"/>
        <v>3</v>
      </c>
      <c r="P30" s="43">
        <f t="shared" si="13"/>
        <v>3</v>
      </c>
      <c r="Q30" s="43">
        <f t="shared" si="14"/>
        <v>2</v>
      </c>
      <c r="R30" s="165">
        <v>18</v>
      </c>
      <c r="S30" s="135">
        <v>8</v>
      </c>
      <c r="T30" s="135">
        <v>7</v>
      </c>
      <c r="U30" s="135">
        <v>10</v>
      </c>
      <c r="V30" s="135">
        <v>11</v>
      </c>
      <c r="W30" s="135">
        <v>8</v>
      </c>
      <c r="X30" s="135">
        <v>8</v>
      </c>
      <c r="Y30" s="135">
        <v>6</v>
      </c>
      <c r="AA30" s="55">
        <f>ServiceLevel(C30,$B$10,K$10,$C$6,S30)</f>
        <v>0.99999989916068632</v>
      </c>
      <c r="AB30" s="55">
        <f t="shared" si="15"/>
        <v>0.99999842017337559</v>
      </c>
      <c r="AC30" s="55">
        <f t="shared" si="15"/>
        <v>0.99999999999169331</v>
      </c>
      <c r="AD30" s="55">
        <f t="shared" si="15"/>
        <v>0.9999999999930248</v>
      </c>
      <c r="AE30" s="55">
        <f t="shared" si="15"/>
        <v>0.99999999594030575</v>
      </c>
      <c r="AF30" s="55">
        <f t="shared" si="15"/>
        <v>0.99999999563278874</v>
      </c>
      <c r="AG30" s="55">
        <f t="shared" si="15"/>
        <v>0.99999862154615948</v>
      </c>
      <c r="AI30" s="214">
        <f t="shared" si="16"/>
        <v>5</v>
      </c>
      <c r="AJ30" s="214">
        <f t="shared" si="16"/>
        <v>4</v>
      </c>
      <c r="AK30" s="214">
        <f t="shared" si="16"/>
        <v>7</v>
      </c>
      <c r="AL30" s="214">
        <f t="shared" si="16"/>
        <v>8</v>
      </c>
      <c r="AM30" s="214">
        <f t="shared" si="16"/>
        <v>5</v>
      </c>
      <c r="AN30" s="214">
        <f t="shared" si="16"/>
        <v>5</v>
      </c>
      <c r="AO30" s="214">
        <f t="shared" si="16"/>
        <v>4</v>
      </c>
      <c r="AP30" s="206">
        <f t="shared" si="17"/>
        <v>0.70833333333333315</v>
      </c>
      <c r="AQ30" s="213">
        <f t="shared" si="18"/>
        <v>1.6666666666666665</v>
      </c>
      <c r="AR30" s="213">
        <f t="shared" si="18"/>
        <v>1.3333333333333335</v>
      </c>
      <c r="AS30" s="213">
        <f t="shared" si="18"/>
        <v>2.3333333333333335</v>
      </c>
      <c r="AT30" s="213">
        <f t="shared" si="18"/>
        <v>2.6666666666666665</v>
      </c>
      <c r="AU30" s="213">
        <f t="shared" si="18"/>
        <v>1.6666666666666665</v>
      </c>
      <c r="AV30" s="213">
        <f t="shared" si="18"/>
        <v>1.6666666666666665</v>
      </c>
      <c r="AW30" s="213">
        <f t="shared" si="18"/>
        <v>2</v>
      </c>
      <c r="AY30" s="162">
        <f t="shared" si="19"/>
        <v>2.9999996974820591</v>
      </c>
      <c r="AZ30" s="162">
        <f t="shared" si="19"/>
        <v>2.9999952605201265</v>
      </c>
      <c r="BA30" s="162">
        <f t="shared" si="19"/>
        <v>1.9999999999833866</v>
      </c>
      <c r="BB30" s="162">
        <f t="shared" si="19"/>
        <v>2.9999999999790745</v>
      </c>
      <c r="BC30" s="162">
        <f t="shared" si="19"/>
        <v>1.9999999918806115</v>
      </c>
      <c r="BD30" s="162">
        <f t="shared" si="19"/>
        <v>1.9999999912655775</v>
      </c>
      <c r="BE30" s="162">
        <f t="shared" si="19"/>
        <v>1.999997243092319</v>
      </c>
    </row>
    <row r="31" spans="1:57" x14ac:dyDescent="0.2">
      <c r="A31" s="143">
        <f t="shared" si="7"/>
        <v>2.2857142857142856</v>
      </c>
      <c r="B31" s="147">
        <f t="shared" si="20"/>
        <v>0.74999999999999978</v>
      </c>
      <c r="C31">
        <v>2</v>
      </c>
      <c r="D31">
        <v>3</v>
      </c>
      <c r="E31">
        <v>2</v>
      </c>
      <c r="F31">
        <v>3</v>
      </c>
      <c r="G31">
        <v>3</v>
      </c>
      <c r="H31">
        <v>2</v>
      </c>
      <c r="I31">
        <v>1</v>
      </c>
      <c r="J31" s="165">
        <v>19</v>
      </c>
      <c r="K31" s="43">
        <f t="shared" si="8"/>
        <v>3</v>
      </c>
      <c r="L31" s="43">
        <f>AgentsRequired(D31,$B$10,L$10,$C$4,$C$6,$C$2,$D$8)</f>
        <v>3</v>
      </c>
      <c r="M31" s="43">
        <f t="shared" si="10"/>
        <v>3</v>
      </c>
      <c r="N31" s="43">
        <f t="shared" si="11"/>
        <v>3</v>
      </c>
      <c r="O31" s="43">
        <f t="shared" si="12"/>
        <v>3</v>
      </c>
      <c r="P31" s="43">
        <f t="shared" si="13"/>
        <v>3</v>
      </c>
      <c r="Q31" s="43">
        <f t="shared" si="14"/>
        <v>2</v>
      </c>
      <c r="R31" s="165">
        <v>19</v>
      </c>
      <c r="S31" s="135">
        <v>7</v>
      </c>
      <c r="T31" s="135">
        <v>7</v>
      </c>
      <c r="U31" s="135">
        <v>10</v>
      </c>
      <c r="V31" s="135">
        <v>10</v>
      </c>
      <c r="W31" s="135">
        <v>8</v>
      </c>
      <c r="X31" s="135">
        <v>8</v>
      </c>
      <c r="Y31" s="135">
        <v>5</v>
      </c>
      <c r="AA31" s="55">
        <f t="shared" si="15"/>
        <v>0.99999989593816108</v>
      </c>
      <c r="AB31" s="55">
        <f t="shared" si="15"/>
        <v>0.99999842017337559</v>
      </c>
      <c r="AC31" s="55">
        <f t="shared" si="15"/>
        <v>0.99999999999169331</v>
      </c>
      <c r="AD31" s="55">
        <f t="shared" si="15"/>
        <v>0.99999999984414745</v>
      </c>
      <c r="AE31" s="55">
        <f t="shared" si="15"/>
        <v>0.99999991046616987</v>
      </c>
      <c r="AF31" s="55">
        <f t="shared" si="15"/>
        <v>0.99999999563278874</v>
      </c>
      <c r="AG31" s="55">
        <f t="shared" si="15"/>
        <v>0.99999909947537902</v>
      </c>
      <c r="AI31" s="214">
        <f t="shared" si="16"/>
        <v>4</v>
      </c>
      <c r="AJ31" s="214">
        <f t="shared" si="16"/>
        <v>4</v>
      </c>
      <c r="AK31" s="214">
        <f t="shared" si="16"/>
        <v>7</v>
      </c>
      <c r="AL31" s="214">
        <f t="shared" si="16"/>
        <v>7</v>
      </c>
      <c r="AM31" s="214">
        <f t="shared" si="16"/>
        <v>5</v>
      </c>
      <c r="AN31" s="214">
        <f t="shared" si="16"/>
        <v>5</v>
      </c>
      <c r="AO31" s="214">
        <f t="shared" si="16"/>
        <v>3</v>
      </c>
      <c r="AP31" s="206">
        <f t="shared" si="17"/>
        <v>0.74999999999999978</v>
      </c>
      <c r="AQ31" s="213">
        <f t="shared" si="18"/>
        <v>1.3333333333333335</v>
      </c>
      <c r="AR31" s="213">
        <f t="shared" si="18"/>
        <v>1.3333333333333335</v>
      </c>
      <c r="AS31" s="213">
        <f t="shared" si="18"/>
        <v>2.3333333333333335</v>
      </c>
      <c r="AT31" s="213">
        <f t="shared" si="18"/>
        <v>2.3333333333333335</v>
      </c>
      <c r="AU31" s="213">
        <f t="shared" si="18"/>
        <v>1.6666666666666665</v>
      </c>
      <c r="AV31" s="213">
        <f t="shared" si="18"/>
        <v>1.6666666666666665</v>
      </c>
      <c r="AW31" s="213">
        <f t="shared" si="18"/>
        <v>1.5</v>
      </c>
      <c r="AY31" s="162">
        <f t="shared" si="19"/>
        <v>1.9999997918763222</v>
      </c>
      <c r="AZ31" s="162">
        <f t="shared" si="19"/>
        <v>2.9999952605201265</v>
      </c>
      <c r="BA31" s="162">
        <f t="shared" si="19"/>
        <v>1.9999999999833866</v>
      </c>
      <c r="BB31" s="162">
        <f t="shared" si="19"/>
        <v>2.9999999995324425</v>
      </c>
      <c r="BC31" s="162">
        <f t="shared" si="19"/>
        <v>2.9999997313985096</v>
      </c>
      <c r="BD31" s="162">
        <f t="shared" si="19"/>
        <v>1.9999999912655775</v>
      </c>
      <c r="BE31" s="162">
        <f t="shared" si="19"/>
        <v>0.99999909947537902</v>
      </c>
    </row>
    <row r="32" spans="1:57" x14ac:dyDescent="0.2">
      <c r="A32" s="143">
        <f t="shared" si="7"/>
        <v>2</v>
      </c>
      <c r="B32" s="147">
        <f t="shared" si="20"/>
        <v>0.79166666666666641</v>
      </c>
      <c r="C32">
        <v>2</v>
      </c>
      <c r="D32">
        <v>2</v>
      </c>
      <c r="E32">
        <v>2</v>
      </c>
      <c r="F32">
        <v>3</v>
      </c>
      <c r="G32">
        <v>3</v>
      </c>
      <c r="H32">
        <v>1</v>
      </c>
      <c r="I32">
        <v>1</v>
      </c>
      <c r="J32" s="165">
        <v>20</v>
      </c>
      <c r="K32" s="43">
        <f t="shared" si="8"/>
        <v>3</v>
      </c>
      <c r="L32" s="43">
        <f t="shared" si="9"/>
        <v>3</v>
      </c>
      <c r="M32" s="43">
        <f t="shared" si="10"/>
        <v>3</v>
      </c>
      <c r="N32" s="43">
        <f t="shared" si="11"/>
        <v>3</v>
      </c>
      <c r="O32" s="43">
        <f t="shared" si="12"/>
        <v>3</v>
      </c>
      <c r="P32" s="43">
        <f t="shared" si="13"/>
        <v>2</v>
      </c>
      <c r="Q32" s="43">
        <f t="shared" si="14"/>
        <v>2</v>
      </c>
      <c r="R32" s="165">
        <v>20</v>
      </c>
      <c r="S32" s="135">
        <v>7</v>
      </c>
      <c r="T32" s="135">
        <v>7</v>
      </c>
      <c r="U32" s="135">
        <v>9</v>
      </c>
      <c r="V32" s="135">
        <v>10</v>
      </c>
      <c r="W32" s="135">
        <v>8</v>
      </c>
      <c r="X32" s="135">
        <v>9</v>
      </c>
      <c r="Y32" s="135">
        <v>9</v>
      </c>
      <c r="AA32" s="55">
        <f t="shared" si="15"/>
        <v>0.99999989593816108</v>
      </c>
      <c r="AB32" s="55">
        <f t="shared" si="15"/>
        <v>0.99999989262338762</v>
      </c>
      <c r="AC32" s="55">
        <f t="shared" si="15"/>
        <v>0.9999999997712905</v>
      </c>
      <c r="AD32" s="55">
        <f t="shared" si="15"/>
        <v>0.99999999984414745</v>
      </c>
      <c r="AE32" s="55">
        <f t="shared" si="15"/>
        <v>0.99999991046616987</v>
      </c>
      <c r="AF32" s="55">
        <f t="shared" si="15"/>
        <v>0.99999999999961187</v>
      </c>
      <c r="AG32" s="55">
        <f t="shared" si="15"/>
        <v>0.99999999999978173</v>
      </c>
      <c r="AI32" s="214">
        <f t="shared" si="16"/>
        <v>4</v>
      </c>
      <c r="AJ32" s="214">
        <f t="shared" si="16"/>
        <v>4</v>
      </c>
      <c r="AK32" s="214">
        <f t="shared" si="16"/>
        <v>6</v>
      </c>
      <c r="AL32" s="214">
        <f t="shared" si="16"/>
        <v>7</v>
      </c>
      <c r="AM32" s="214">
        <f t="shared" si="16"/>
        <v>5</v>
      </c>
      <c r="AN32" s="214">
        <f t="shared" si="16"/>
        <v>7</v>
      </c>
      <c r="AO32" s="214">
        <f t="shared" si="16"/>
        <v>7</v>
      </c>
      <c r="AP32" s="206">
        <f t="shared" si="17"/>
        <v>0.79166666666666641</v>
      </c>
      <c r="AQ32" s="213">
        <f t="shared" si="18"/>
        <v>1.3333333333333335</v>
      </c>
      <c r="AR32" s="213">
        <f t="shared" si="18"/>
        <v>1.3333333333333335</v>
      </c>
      <c r="AS32" s="213">
        <f t="shared" si="18"/>
        <v>2</v>
      </c>
      <c r="AT32" s="213">
        <f t="shared" si="18"/>
        <v>2.3333333333333335</v>
      </c>
      <c r="AU32" s="213">
        <f t="shared" si="18"/>
        <v>1.6666666666666665</v>
      </c>
      <c r="AV32" s="213">
        <f t="shared" si="18"/>
        <v>3.5</v>
      </c>
      <c r="AW32" s="213">
        <f t="shared" si="18"/>
        <v>3.5</v>
      </c>
      <c r="AY32" s="162">
        <f t="shared" si="19"/>
        <v>1.9999997918763222</v>
      </c>
      <c r="AZ32" s="162">
        <f t="shared" si="19"/>
        <v>1.9999997852467752</v>
      </c>
      <c r="BA32" s="162">
        <f t="shared" si="19"/>
        <v>1.999999999542581</v>
      </c>
      <c r="BB32" s="162">
        <f t="shared" si="19"/>
        <v>2.9999999995324425</v>
      </c>
      <c r="BC32" s="162">
        <f t="shared" si="19"/>
        <v>2.9999997313985096</v>
      </c>
      <c r="BD32" s="162">
        <f t="shared" si="19"/>
        <v>0.99999999999961187</v>
      </c>
      <c r="BE32" s="162">
        <f t="shared" si="19"/>
        <v>0.99999999999978173</v>
      </c>
    </row>
    <row r="33" spans="1:57" x14ac:dyDescent="0.2">
      <c r="A33" s="143">
        <f t="shared" si="7"/>
        <v>1.7142857142857142</v>
      </c>
      <c r="B33" s="147">
        <f t="shared" si="20"/>
        <v>0.83333333333333304</v>
      </c>
      <c r="C33">
        <v>2</v>
      </c>
      <c r="D33">
        <v>2</v>
      </c>
      <c r="E33">
        <v>2</v>
      </c>
      <c r="F33">
        <v>2</v>
      </c>
      <c r="G33">
        <v>2</v>
      </c>
      <c r="H33">
        <v>1</v>
      </c>
      <c r="I33">
        <v>1</v>
      </c>
      <c r="J33" s="165">
        <v>21</v>
      </c>
      <c r="K33" s="43">
        <f t="shared" si="8"/>
        <v>3</v>
      </c>
      <c r="L33" s="43">
        <f t="shared" si="9"/>
        <v>3</v>
      </c>
      <c r="M33" s="43">
        <f t="shared" si="10"/>
        <v>3</v>
      </c>
      <c r="N33" s="43">
        <f t="shared" si="11"/>
        <v>2</v>
      </c>
      <c r="O33" s="43">
        <f t="shared" si="12"/>
        <v>3</v>
      </c>
      <c r="P33" s="43">
        <f t="shared" si="13"/>
        <v>2</v>
      </c>
      <c r="Q33" s="43">
        <f t="shared" si="14"/>
        <v>2</v>
      </c>
      <c r="R33" s="165">
        <v>21</v>
      </c>
      <c r="S33" s="135">
        <v>7</v>
      </c>
      <c r="T33" s="135">
        <v>7</v>
      </c>
      <c r="U33" s="135">
        <v>7</v>
      </c>
      <c r="V33" s="135">
        <v>9</v>
      </c>
      <c r="W33" s="135">
        <v>7</v>
      </c>
      <c r="X33" s="135">
        <v>8</v>
      </c>
      <c r="Y33" s="135">
        <v>8</v>
      </c>
      <c r="AA33" s="55">
        <f t="shared" si="15"/>
        <v>0.99999989593816108</v>
      </c>
      <c r="AB33" s="55">
        <f t="shared" si="15"/>
        <v>0.99999989262338762</v>
      </c>
      <c r="AC33" s="55">
        <f t="shared" si="15"/>
        <v>0.99999987468005802</v>
      </c>
      <c r="AD33" s="55">
        <f t="shared" si="15"/>
        <v>0.99999999990473909</v>
      </c>
      <c r="AE33" s="55">
        <f t="shared" si="15"/>
        <v>0.99999990637075531</v>
      </c>
      <c r="AF33" s="55">
        <f t="shared" si="15"/>
        <v>0.99999999998013556</v>
      </c>
      <c r="AG33" s="55">
        <f t="shared" si="15"/>
        <v>0.99999999998807787</v>
      </c>
      <c r="AI33" s="214">
        <f t="shared" si="16"/>
        <v>4</v>
      </c>
      <c r="AJ33" s="214">
        <f t="shared" si="16"/>
        <v>4</v>
      </c>
      <c r="AK33" s="214">
        <f t="shared" si="16"/>
        <v>4</v>
      </c>
      <c r="AL33" s="214">
        <f t="shared" si="16"/>
        <v>7</v>
      </c>
      <c r="AM33" s="214">
        <f t="shared" si="16"/>
        <v>4</v>
      </c>
      <c r="AN33" s="214">
        <f t="shared" si="16"/>
        <v>6</v>
      </c>
      <c r="AO33" s="214">
        <f t="shared" si="16"/>
        <v>6</v>
      </c>
      <c r="AP33" s="206">
        <f t="shared" si="17"/>
        <v>0.83333333333333304</v>
      </c>
      <c r="AQ33" s="213">
        <f t="shared" si="18"/>
        <v>1.3333333333333335</v>
      </c>
      <c r="AR33" s="213">
        <f t="shared" si="18"/>
        <v>1.3333333333333335</v>
      </c>
      <c r="AS33" s="213">
        <f t="shared" si="18"/>
        <v>1.3333333333333335</v>
      </c>
      <c r="AT33" s="213">
        <f t="shared" si="18"/>
        <v>3.5</v>
      </c>
      <c r="AU33" s="213">
        <f t="shared" si="18"/>
        <v>1.3333333333333335</v>
      </c>
      <c r="AV33" s="213">
        <f t="shared" si="18"/>
        <v>3</v>
      </c>
      <c r="AW33" s="213">
        <f t="shared" si="18"/>
        <v>3</v>
      </c>
      <c r="AY33" s="162">
        <f t="shared" si="19"/>
        <v>1.9999997918763222</v>
      </c>
      <c r="AZ33" s="162">
        <f t="shared" si="19"/>
        <v>1.9999997852467752</v>
      </c>
      <c r="BA33" s="162">
        <f t="shared" si="19"/>
        <v>1.999999749360116</v>
      </c>
      <c r="BB33" s="162">
        <f t="shared" si="19"/>
        <v>1.9999999998094782</v>
      </c>
      <c r="BC33" s="162">
        <f t="shared" si="19"/>
        <v>1.9999998127415106</v>
      </c>
      <c r="BD33" s="162">
        <f t="shared" si="19"/>
        <v>0.99999999998013556</v>
      </c>
      <c r="BE33" s="162">
        <f t="shared" si="19"/>
        <v>0.99999999998807787</v>
      </c>
    </row>
    <row r="34" spans="1:57" x14ac:dyDescent="0.2">
      <c r="A34" s="143">
        <f t="shared" si="7"/>
        <v>1.5714285714285714</v>
      </c>
      <c r="B34" s="147">
        <f t="shared" si="20"/>
        <v>0.87499999999999967</v>
      </c>
      <c r="C34">
        <v>2</v>
      </c>
      <c r="D34">
        <v>2</v>
      </c>
      <c r="E34">
        <v>2</v>
      </c>
      <c r="F34">
        <v>2</v>
      </c>
      <c r="G34">
        <v>1</v>
      </c>
      <c r="H34">
        <v>1</v>
      </c>
      <c r="I34">
        <v>1</v>
      </c>
      <c r="J34" s="165">
        <v>22</v>
      </c>
      <c r="K34" s="43">
        <f t="shared" si="8"/>
        <v>3</v>
      </c>
      <c r="L34" s="43">
        <f t="shared" si="9"/>
        <v>3</v>
      </c>
      <c r="M34" s="43">
        <f t="shared" si="10"/>
        <v>3</v>
      </c>
      <c r="N34" s="43">
        <f t="shared" si="11"/>
        <v>2</v>
      </c>
      <c r="O34" s="43">
        <f t="shared" si="12"/>
        <v>2</v>
      </c>
      <c r="P34" s="43">
        <f t="shared" si="13"/>
        <v>2</v>
      </c>
      <c r="Q34" s="43">
        <f t="shared" si="14"/>
        <v>2</v>
      </c>
      <c r="R34" s="165">
        <v>22</v>
      </c>
      <c r="S34" s="135">
        <v>6</v>
      </c>
      <c r="T34" s="135">
        <v>6</v>
      </c>
      <c r="U34" s="135">
        <v>6</v>
      </c>
      <c r="V34" s="135">
        <v>7</v>
      </c>
      <c r="W34" s="135">
        <v>8</v>
      </c>
      <c r="X34" s="135">
        <v>7</v>
      </c>
      <c r="Y34" s="135">
        <v>7</v>
      </c>
      <c r="AA34" s="55">
        <f t="shared" si="15"/>
        <v>0.99999792765963924</v>
      </c>
      <c r="AB34" s="55">
        <f t="shared" si="15"/>
        <v>0.99999787154030495</v>
      </c>
      <c r="AC34" s="55">
        <f t="shared" si="15"/>
        <v>0.9999975720098061</v>
      </c>
      <c r="AD34" s="55">
        <f t="shared" si="15"/>
        <v>0.99999993622749928</v>
      </c>
      <c r="AE34" s="55">
        <f t="shared" si="15"/>
        <v>0.99999999998156097</v>
      </c>
      <c r="AF34" s="55">
        <f t="shared" si="15"/>
        <v>0.99999999909554071</v>
      </c>
      <c r="AG34" s="55">
        <f t="shared" si="15"/>
        <v>0.99999999942081397</v>
      </c>
      <c r="AI34" s="214">
        <f t="shared" si="16"/>
        <v>3</v>
      </c>
      <c r="AJ34" s="214">
        <f t="shared" si="16"/>
        <v>3</v>
      </c>
      <c r="AK34" s="214">
        <f t="shared" si="16"/>
        <v>3</v>
      </c>
      <c r="AL34" s="214">
        <f t="shared" si="16"/>
        <v>5</v>
      </c>
      <c r="AM34" s="214">
        <f t="shared" si="16"/>
        <v>6</v>
      </c>
      <c r="AN34" s="214">
        <f t="shared" si="16"/>
        <v>5</v>
      </c>
      <c r="AO34" s="214">
        <f t="shared" si="16"/>
        <v>5</v>
      </c>
      <c r="AP34" s="206">
        <f t="shared" si="17"/>
        <v>0.87499999999999967</v>
      </c>
      <c r="AQ34" s="213">
        <f t="shared" si="18"/>
        <v>1</v>
      </c>
      <c r="AR34" s="213">
        <f t="shared" si="18"/>
        <v>1</v>
      </c>
      <c r="AS34" s="213">
        <f t="shared" si="18"/>
        <v>1</v>
      </c>
      <c r="AT34" s="213">
        <f t="shared" si="18"/>
        <v>2.5</v>
      </c>
      <c r="AU34" s="213">
        <f t="shared" si="18"/>
        <v>3</v>
      </c>
      <c r="AV34" s="213">
        <f t="shared" si="18"/>
        <v>2.5</v>
      </c>
      <c r="AW34" s="213">
        <f t="shared" si="18"/>
        <v>2.5</v>
      </c>
      <c r="AY34" s="162">
        <f t="shared" si="19"/>
        <v>1.9999958553192785</v>
      </c>
      <c r="AZ34" s="162">
        <f t="shared" si="19"/>
        <v>1.9999957430806099</v>
      </c>
      <c r="BA34" s="162">
        <f t="shared" si="19"/>
        <v>1.9999951440196122</v>
      </c>
      <c r="BB34" s="162">
        <f t="shared" si="19"/>
        <v>1.9999998724549986</v>
      </c>
      <c r="BC34" s="162">
        <f t="shared" si="19"/>
        <v>0.99999999998156097</v>
      </c>
      <c r="BD34" s="162">
        <f t="shared" si="19"/>
        <v>0.99999999909554071</v>
      </c>
      <c r="BE34" s="162">
        <f t="shared" si="19"/>
        <v>0.99999999942081397</v>
      </c>
    </row>
    <row r="35" spans="1:57" x14ac:dyDescent="0.2">
      <c r="A35" s="143">
        <f t="shared" si="7"/>
        <v>1.5714285714285714</v>
      </c>
      <c r="B35" s="147">
        <f t="shared" si="20"/>
        <v>0.9166666666666663</v>
      </c>
      <c r="C35">
        <v>2</v>
      </c>
      <c r="D35">
        <v>2</v>
      </c>
      <c r="E35">
        <v>1</v>
      </c>
      <c r="F35">
        <v>2</v>
      </c>
      <c r="G35">
        <v>2</v>
      </c>
      <c r="H35">
        <v>1</v>
      </c>
      <c r="I35">
        <v>1</v>
      </c>
      <c r="J35" s="165">
        <v>23</v>
      </c>
      <c r="K35" s="43">
        <f t="shared" si="8"/>
        <v>3</v>
      </c>
      <c r="L35" s="43">
        <f t="shared" si="9"/>
        <v>3</v>
      </c>
      <c r="M35" s="43">
        <f t="shared" si="10"/>
        <v>2</v>
      </c>
      <c r="N35" s="43">
        <f t="shared" si="11"/>
        <v>2</v>
      </c>
      <c r="O35" s="43">
        <f t="shared" si="12"/>
        <v>3</v>
      </c>
      <c r="P35" s="43">
        <f t="shared" si="13"/>
        <v>2</v>
      </c>
      <c r="Q35" s="43">
        <f t="shared" si="14"/>
        <v>2</v>
      </c>
      <c r="R35" s="165">
        <v>23</v>
      </c>
      <c r="S35" s="135">
        <v>2</v>
      </c>
      <c r="T35" s="135">
        <v>2</v>
      </c>
      <c r="U35" s="135">
        <v>2</v>
      </c>
      <c r="V35" s="135">
        <v>2</v>
      </c>
      <c r="W35" s="135">
        <v>2</v>
      </c>
      <c r="X35" s="135">
        <v>2</v>
      </c>
      <c r="Y35" s="135">
        <v>2</v>
      </c>
      <c r="AA35" s="55">
        <f t="shared" si="15"/>
        <v>0.94601342647974718</v>
      </c>
      <c r="AB35" s="55">
        <f t="shared" si="15"/>
        <v>0.94554382624274724</v>
      </c>
      <c r="AC35" s="55">
        <f t="shared" si="15"/>
        <v>0.98468478357072842</v>
      </c>
      <c r="AD35" s="55">
        <f t="shared" si="15"/>
        <v>0.95284859542158973</v>
      </c>
      <c r="AE35" s="55">
        <f t="shared" si="15"/>
        <v>0.94756629505818923</v>
      </c>
      <c r="AF35" s="55">
        <f t="shared" si="15"/>
        <v>0.98565284479191206</v>
      </c>
      <c r="AG35" s="55">
        <f t="shared" si="15"/>
        <v>0.98733812934648479</v>
      </c>
      <c r="AI35" s="214">
        <f t="shared" si="16"/>
        <v>-1</v>
      </c>
      <c r="AJ35" s="214">
        <f t="shared" si="16"/>
        <v>-1</v>
      </c>
      <c r="AK35" s="214">
        <f t="shared" si="16"/>
        <v>0</v>
      </c>
      <c r="AL35" s="214">
        <f t="shared" si="16"/>
        <v>0</v>
      </c>
      <c r="AM35" s="214">
        <f t="shared" si="16"/>
        <v>-1</v>
      </c>
      <c r="AN35" s="214">
        <f t="shared" si="16"/>
        <v>0</v>
      </c>
      <c r="AO35" s="214">
        <f t="shared" si="16"/>
        <v>0</v>
      </c>
      <c r="AP35" s="206">
        <f t="shared" si="17"/>
        <v>0.9166666666666663</v>
      </c>
      <c r="AQ35" s="213">
        <f t="shared" si="18"/>
        <v>-0.33333333333333337</v>
      </c>
      <c r="AR35" s="213">
        <f t="shared" si="18"/>
        <v>-0.33333333333333337</v>
      </c>
      <c r="AS35" s="213">
        <f t="shared" si="18"/>
        <v>0</v>
      </c>
      <c r="AT35" s="213">
        <f t="shared" si="18"/>
        <v>0</v>
      </c>
      <c r="AU35" s="213">
        <f t="shared" si="18"/>
        <v>-0.33333333333333337</v>
      </c>
      <c r="AV35" s="213">
        <f t="shared" si="18"/>
        <v>0</v>
      </c>
      <c r="AW35" s="213">
        <f t="shared" si="18"/>
        <v>0</v>
      </c>
      <c r="AY35" s="162">
        <f t="shared" si="19"/>
        <v>1.8920268529594944</v>
      </c>
      <c r="AZ35" s="162">
        <f t="shared" si="19"/>
        <v>1.8910876524854945</v>
      </c>
      <c r="BA35" s="162">
        <f t="shared" si="19"/>
        <v>0.98468478357072842</v>
      </c>
      <c r="BB35" s="162">
        <f t="shared" si="19"/>
        <v>1.9056971908431795</v>
      </c>
      <c r="BC35" s="162">
        <f t="shared" si="19"/>
        <v>1.8951325901163785</v>
      </c>
      <c r="BD35" s="162">
        <f t="shared" si="19"/>
        <v>0.98565284479191206</v>
      </c>
      <c r="BE35" s="162">
        <f t="shared" si="19"/>
        <v>0.98733812934648479</v>
      </c>
    </row>
    <row r="36" spans="1:57" ht="13.5" thickBot="1" x14ac:dyDescent="0.25">
      <c r="A36" s="143">
        <f t="shared" si="7"/>
        <v>1.4285714285714286</v>
      </c>
      <c r="B36" s="147">
        <f t="shared" si="20"/>
        <v>0.95833333333333293</v>
      </c>
      <c r="C36">
        <v>1</v>
      </c>
      <c r="D36">
        <v>2</v>
      </c>
      <c r="E36">
        <v>1</v>
      </c>
      <c r="F36">
        <v>2</v>
      </c>
      <c r="G36">
        <v>2</v>
      </c>
      <c r="H36">
        <v>1</v>
      </c>
      <c r="I36">
        <v>1</v>
      </c>
      <c r="J36" s="165">
        <v>24</v>
      </c>
      <c r="K36" s="43">
        <f t="shared" si="8"/>
        <v>2</v>
      </c>
      <c r="L36" s="43">
        <f t="shared" si="9"/>
        <v>3</v>
      </c>
      <c r="M36" s="43">
        <f t="shared" si="10"/>
        <v>2</v>
      </c>
      <c r="N36" s="43">
        <f t="shared" si="11"/>
        <v>2</v>
      </c>
      <c r="O36" s="43">
        <f t="shared" si="12"/>
        <v>3</v>
      </c>
      <c r="P36" s="43">
        <f t="shared" si="13"/>
        <v>2</v>
      </c>
      <c r="Q36" s="43">
        <f t="shared" si="14"/>
        <v>2</v>
      </c>
      <c r="R36" s="165">
        <v>24</v>
      </c>
      <c r="S36" s="135">
        <v>2</v>
      </c>
      <c r="T36" s="135">
        <v>2</v>
      </c>
      <c r="U36" s="135">
        <v>2</v>
      </c>
      <c r="V36" s="135">
        <v>2</v>
      </c>
      <c r="W36" s="135">
        <v>2</v>
      </c>
      <c r="X36" s="135">
        <v>2</v>
      </c>
      <c r="Y36" s="135">
        <v>2</v>
      </c>
      <c r="AA36" s="55">
        <f t="shared" si="15"/>
        <v>0.98547899392142724</v>
      </c>
      <c r="AB36" s="55">
        <f t="shared" si="15"/>
        <v>0.94554382624274724</v>
      </c>
      <c r="AC36" s="55">
        <f t="shared" si="15"/>
        <v>0.98468478357072842</v>
      </c>
      <c r="AD36" s="55">
        <f t="shared" si="15"/>
        <v>0.95284859542158973</v>
      </c>
      <c r="AE36" s="55">
        <f t="shared" si="15"/>
        <v>0.94756629505818923</v>
      </c>
      <c r="AF36" s="55">
        <f t="shared" si="15"/>
        <v>0.98565284479191206</v>
      </c>
      <c r="AG36" s="55">
        <f t="shared" si="15"/>
        <v>0.98733812934648479</v>
      </c>
      <c r="AI36" s="214">
        <f t="shared" si="16"/>
        <v>0</v>
      </c>
      <c r="AJ36" s="214">
        <f t="shared" si="16"/>
        <v>-1</v>
      </c>
      <c r="AK36" s="214">
        <f t="shared" si="16"/>
        <v>0</v>
      </c>
      <c r="AL36" s="214">
        <f t="shared" si="16"/>
        <v>0</v>
      </c>
      <c r="AM36" s="214">
        <f t="shared" si="16"/>
        <v>-1</v>
      </c>
      <c r="AN36" s="214">
        <f t="shared" si="16"/>
        <v>0</v>
      </c>
      <c r="AO36" s="214">
        <f t="shared" si="16"/>
        <v>0</v>
      </c>
      <c r="AP36" s="206">
        <f t="shared" si="17"/>
        <v>0.95833333333333293</v>
      </c>
      <c r="AQ36" s="213">
        <f t="shared" si="18"/>
        <v>0</v>
      </c>
      <c r="AR36" s="213">
        <f t="shared" si="18"/>
        <v>-0.33333333333333337</v>
      </c>
      <c r="AS36" s="213">
        <f t="shared" si="18"/>
        <v>0</v>
      </c>
      <c r="AT36" s="213">
        <f t="shared" si="18"/>
        <v>0</v>
      </c>
      <c r="AU36" s="213">
        <f t="shared" si="18"/>
        <v>-0.33333333333333337</v>
      </c>
      <c r="AV36" s="213">
        <f t="shared" si="18"/>
        <v>0</v>
      </c>
      <c r="AW36" s="213">
        <f t="shared" si="18"/>
        <v>0</v>
      </c>
      <c r="AY36" s="162">
        <f t="shared" si="19"/>
        <v>0.98547899392142724</v>
      </c>
      <c r="AZ36" s="162">
        <f t="shared" si="19"/>
        <v>1.8910876524854945</v>
      </c>
      <c r="BA36" s="162">
        <f t="shared" si="19"/>
        <v>0.98468478357072842</v>
      </c>
      <c r="BB36" s="162">
        <f t="shared" si="19"/>
        <v>1.9056971908431795</v>
      </c>
      <c r="BC36" s="162">
        <f t="shared" si="19"/>
        <v>1.8951325901163785</v>
      </c>
      <c r="BD36" s="162">
        <f t="shared" si="19"/>
        <v>0.98565284479191206</v>
      </c>
      <c r="BE36" s="162">
        <f t="shared" si="19"/>
        <v>0.98733812934648479</v>
      </c>
    </row>
    <row r="37" spans="1:57" ht="13.5" thickBot="1" x14ac:dyDescent="0.25">
      <c r="A37" s="152">
        <f>SUM(K37:Q37)</f>
        <v>393</v>
      </c>
      <c r="B37" s="153">
        <f>SUM(C37:I37)</f>
        <v>321</v>
      </c>
      <c r="C37" s="135">
        <f t="shared" ref="C37:I37" si="21">SUM(C13:C36)</f>
        <v>50</v>
      </c>
      <c r="D37" s="135">
        <f t="shared" si="21"/>
        <v>53</v>
      </c>
      <c r="E37" s="135">
        <f t="shared" si="21"/>
        <v>44</v>
      </c>
      <c r="F37" s="135">
        <f t="shared" si="21"/>
        <v>54</v>
      </c>
      <c r="G37" s="135">
        <f t="shared" si="21"/>
        <v>52</v>
      </c>
      <c r="H37" s="135">
        <f t="shared" si="21"/>
        <v>38</v>
      </c>
      <c r="I37" s="135">
        <f t="shared" si="21"/>
        <v>30</v>
      </c>
      <c r="K37" s="148">
        <f>SUM(K13:K36)</f>
        <v>59</v>
      </c>
      <c r="L37" s="148">
        <f t="shared" ref="L37:Q37" si="22">SUM(L13:L36)</f>
        <v>61</v>
      </c>
      <c r="M37" s="148">
        <f t="shared" si="22"/>
        <v>59</v>
      </c>
      <c r="N37" s="148">
        <f t="shared" si="22"/>
        <v>57</v>
      </c>
      <c r="O37" s="148">
        <f t="shared" si="22"/>
        <v>60</v>
      </c>
      <c r="P37" s="148">
        <f t="shared" si="22"/>
        <v>57</v>
      </c>
      <c r="Q37" s="148">
        <f t="shared" si="22"/>
        <v>40</v>
      </c>
      <c r="S37" s="148">
        <f>SUM(S13:S36)</f>
        <v>120</v>
      </c>
      <c r="T37" s="148">
        <f t="shared" ref="T37:Y37" si="23">SUM(T13:T36)</f>
        <v>136</v>
      </c>
      <c r="U37" s="148">
        <f t="shared" si="23"/>
        <v>128</v>
      </c>
      <c r="V37" s="148">
        <f t="shared" si="23"/>
        <v>136</v>
      </c>
      <c r="W37" s="148">
        <f t="shared" si="23"/>
        <v>120</v>
      </c>
      <c r="X37" s="148">
        <f t="shared" si="23"/>
        <v>120</v>
      </c>
      <c r="Y37" s="148">
        <f t="shared" si="23"/>
        <v>120</v>
      </c>
      <c r="AP37" s="21" t="s">
        <v>161</v>
      </c>
      <c r="AQ37" s="212">
        <f t="shared" ref="AQ37:AW37" si="24">COUNTIF(AQ13:AQ36,$AP$37)/48</f>
        <v>4.1666666666666664E-2</v>
      </c>
      <c r="AR37" s="212">
        <f t="shared" si="24"/>
        <v>8.3333333333333329E-2</v>
      </c>
      <c r="AS37" s="212">
        <f t="shared" si="24"/>
        <v>6.25E-2</v>
      </c>
      <c r="AT37" s="212">
        <f t="shared" si="24"/>
        <v>6.25E-2</v>
      </c>
      <c r="AU37" s="212">
        <f t="shared" si="24"/>
        <v>0.10416666666666667</v>
      </c>
      <c r="AV37" s="212">
        <f t="shared" si="24"/>
        <v>6.25E-2</v>
      </c>
      <c r="AW37" s="212">
        <f t="shared" si="24"/>
        <v>2.0833333333333332E-2</v>
      </c>
    </row>
    <row r="38" spans="1:57" x14ac:dyDescent="0.2">
      <c r="A38" s="152">
        <f>SUM(S37:Y37)</f>
        <v>880</v>
      </c>
    </row>
    <row r="39" spans="1:57" x14ac:dyDescent="0.2">
      <c r="C39" s="151">
        <f>C37/$B$37</f>
        <v>0.1557632398753894</v>
      </c>
      <c r="D39" s="151">
        <f t="shared" ref="D39:I39" si="25">D37/$B$37</f>
        <v>0.16510903426791276</v>
      </c>
      <c r="E39" s="151">
        <f t="shared" si="25"/>
        <v>0.13707165109034267</v>
      </c>
      <c r="F39" s="151">
        <f t="shared" si="25"/>
        <v>0.16822429906542055</v>
      </c>
      <c r="G39" s="151">
        <f t="shared" si="25"/>
        <v>0.16199376947040497</v>
      </c>
      <c r="H39" s="151">
        <f t="shared" si="25"/>
        <v>0.11838006230529595</v>
      </c>
      <c r="I39" s="151">
        <f t="shared" si="25"/>
        <v>9.3457943925233641E-2</v>
      </c>
      <c r="K39" s="151">
        <f>K37/$A$37</f>
        <v>0.15012722646310434</v>
      </c>
      <c r="L39" s="151">
        <f t="shared" ref="L39:Q39" si="26">L37/$A$37</f>
        <v>0.15521628498727735</v>
      </c>
      <c r="M39" s="151">
        <f t="shared" si="26"/>
        <v>0.15012722646310434</v>
      </c>
      <c r="N39" s="151">
        <f t="shared" si="26"/>
        <v>0.14503816793893129</v>
      </c>
      <c r="O39" s="151">
        <f t="shared" si="26"/>
        <v>0.15267175572519084</v>
      </c>
      <c r="P39" s="151">
        <f t="shared" si="26"/>
        <v>0.14503816793893129</v>
      </c>
      <c r="Q39" s="151">
        <f t="shared" si="26"/>
        <v>0.10178117048346055</v>
      </c>
      <c r="S39" s="151">
        <f>S37/$A$38</f>
        <v>0.13636363636363635</v>
      </c>
      <c r="T39" s="151">
        <f t="shared" ref="T39:Y39" si="27">T37/$A$38</f>
        <v>0.15454545454545454</v>
      </c>
      <c r="U39" s="151">
        <f t="shared" si="27"/>
        <v>0.14545454545454545</v>
      </c>
      <c r="V39" s="151">
        <f t="shared" si="27"/>
        <v>0.15454545454545454</v>
      </c>
      <c r="W39" s="151">
        <f t="shared" si="27"/>
        <v>0.13636363636363635</v>
      </c>
      <c r="X39" s="151">
        <f t="shared" si="27"/>
        <v>0.13636363636363635</v>
      </c>
      <c r="Y39" s="151">
        <f t="shared" si="27"/>
        <v>0.13636363636363635</v>
      </c>
    </row>
    <row r="40" spans="1:57" x14ac:dyDescent="0.2">
      <c r="AQ40" s="322" t="s">
        <v>147</v>
      </c>
      <c r="AR40" s="322"/>
    </row>
    <row r="41" spans="1:57" x14ac:dyDescent="0.2">
      <c r="K41" s="314" t="str">
        <f>"ETP HEBDO =  "&amp;A37/40</f>
        <v>ETP HEBDO =  9,825</v>
      </c>
      <c r="L41" s="314"/>
      <c r="M41" s="314"/>
      <c r="N41" s="314"/>
      <c r="O41" s="314"/>
      <c r="P41" s="314"/>
      <c r="Q41" s="314"/>
      <c r="S41" s="315" t="str">
        <f>"ETP HEBDO =  "&amp;A38/40</f>
        <v>ETP HEBDO =  22</v>
      </c>
      <c r="T41" s="315"/>
      <c r="U41" s="315"/>
      <c r="V41" s="315"/>
      <c r="W41" s="315"/>
      <c r="X41" s="315"/>
      <c r="Y41" s="315"/>
      <c r="AP41" s="21" t="s">
        <v>162</v>
      </c>
      <c r="AQ41" s="316" t="s">
        <v>149</v>
      </c>
      <c r="AR41" s="316"/>
      <c r="AS41" s="156">
        <f>COUNTIF(AI13:AO36, AP41)</f>
        <v>0</v>
      </c>
    </row>
    <row r="43" spans="1:57" x14ac:dyDescent="0.2">
      <c r="AQ43" s="320" t="s">
        <v>150</v>
      </c>
      <c r="AR43" s="320"/>
    </row>
    <row r="44" spans="1:57" x14ac:dyDescent="0.2">
      <c r="AP44" s="21" t="s">
        <v>163</v>
      </c>
      <c r="AQ44" s="321" t="s">
        <v>152</v>
      </c>
      <c r="AR44" s="321"/>
      <c r="AS44" s="156">
        <f>COUNTIF(AI13:AO36, AP44)</f>
        <v>0</v>
      </c>
    </row>
    <row r="46" spans="1:57" x14ac:dyDescent="0.2">
      <c r="AP46" s="21" t="s">
        <v>161</v>
      </c>
      <c r="AQ46" s="221">
        <f>COUNTIF(AQ13:AW36, AP46)/336</f>
        <v>6.25E-2</v>
      </c>
      <c r="AR46" s="21" t="s">
        <v>153</v>
      </c>
    </row>
  </sheetData>
  <mergeCells count="17">
    <mergeCell ref="C11:I11"/>
    <mergeCell ref="K11:Q11"/>
    <mergeCell ref="S11:Y11"/>
    <mergeCell ref="AA11:AG11"/>
    <mergeCell ref="AI11:AO11"/>
    <mergeCell ref="A4:B4"/>
    <mergeCell ref="A6:B6"/>
    <mergeCell ref="S7:Y7"/>
    <mergeCell ref="A8:B8"/>
    <mergeCell ref="AQ10:AW10"/>
    <mergeCell ref="AQ44:AR44"/>
    <mergeCell ref="AQ11:AW11"/>
    <mergeCell ref="AQ40:AR40"/>
    <mergeCell ref="K41:Q41"/>
    <mergeCell ref="S41:Y41"/>
    <mergeCell ref="AQ41:AR41"/>
    <mergeCell ref="AQ43:AR43"/>
  </mergeCells>
  <conditionalFormatting sqref="AA13:AG36">
    <cfRule type="cellIs" dxfId="49" priority="22" operator="lessThan">
      <formula>0.8</formula>
    </cfRule>
    <cfRule type="cellIs" dxfId="48" priority="23" operator="greaterThan">
      <formula>0.9</formula>
    </cfRule>
    <cfRule type="cellIs" dxfId="47" priority="24" operator="between">
      <formula>0.8</formula>
      <formula>0.9</formula>
    </cfRule>
  </conditionalFormatting>
  <conditionalFormatting sqref="S13:Y36">
    <cfRule type="cellIs" dxfId="46" priority="9" operator="greaterThan">
      <formula>3</formula>
    </cfRule>
    <cfRule type="cellIs" dxfId="45" priority="20" operator="lessThan">
      <formula>30</formula>
    </cfRule>
    <cfRule type="cellIs" dxfId="44" priority="21" operator="greaterThan">
      <formula>50</formula>
    </cfRule>
  </conditionalFormatting>
  <conditionalFormatting sqref="AQ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37:AW37">
    <cfRule type="cellIs" dxfId="43" priority="18" operator="greaterThan">
      <formula>0.15</formula>
    </cfRule>
  </conditionalFormatting>
  <conditionalFormatting sqref="AS44">
    <cfRule type="cellIs" dxfId="42" priority="17" operator="greaterThan">
      <formula>0</formula>
    </cfRule>
  </conditionalFormatting>
  <conditionalFormatting sqref="AQ46">
    <cfRule type="cellIs" dxfId="41" priority="16" operator="greaterThan">
      <formula>0.1</formula>
    </cfRule>
  </conditionalFormatting>
  <conditionalFormatting sqref="AS41">
    <cfRule type="cellIs" dxfId="40" priority="15" operator="greaterThan">
      <formula>0</formula>
    </cfRule>
  </conditionalFormatting>
  <conditionalFormatting sqref="AY13:BE36">
    <cfRule type="cellIs" dxfId="39" priority="11" operator="between">
      <formula>-9</formula>
      <formula>-1</formula>
    </cfRule>
    <cfRule type="cellIs" dxfId="38" priority="12" operator="between">
      <formula>1</formula>
      <formula>9</formula>
    </cfRule>
    <cfRule type="cellIs" dxfId="37" priority="13" operator="lessThan">
      <formula>-9</formula>
    </cfRule>
    <cfRule type="cellIs" dxfId="36" priority="14" operator="greaterThan">
      <formula>9</formula>
    </cfRule>
  </conditionalFormatting>
  <conditionalFormatting sqref="AA10:AG10">
    <cfRule type="cellIs" dxfId="35" priority="10" operator="lessThan">
      <formula>0.8</formula>
    </cfRule>
  </conditionalFormatting>
  <conditionalFormatting sqref="AQ13:AW36">
    <cfRule type="cellIs" dxfId="34" priority="5" operator="between">
      <formula>-9</formula>
      <formula>-1</formula>
    </cfRule>
    <cfRule type="cellIs" dxfId="33" priority="6" operator="between">
      <formula>1</formula>
      <formula>9</formula>
    </cfRule>
    <cfRule type="cellIs" dxfId="32" priority="7" operator="lessThan">
      <formula>-9</formula>
    </cfRule>
    <cfRule type="cellIs" dxfId="31" priority="8" operator="greaterThan">
      <formula>9</formula>
    </cfRule>
  </conditionalFormatting>
  <conditionalFormatting sqref="AQ13:AW36">
    <cfRule type="cellIs" dxfId="30" priority="4" operator="lessThan">
      <formula>-0.1</formula>
    </cfRule>
  </conditionalFormatting>
  <conditionalFormatting sqref="AI13:AO36">
    <cfRule type="cellIs" dxfId="29" priority="1" operator="greaterThan">
      <formula>10</formula>
    </cfRule>
    <cfRule type="cellIs" dxfId="28" priority="2" operator="lessThan">
      <formula>-10</formula>
    </cfRule>
    <cfRule type="cellIs" dxfId="27" priority="3" operator="lessThan">
      <formula>0</formula>
    </cfRule>
  </conditionalFormatting>
  <conditionalFormatting sqref="K13:Q36">
    <cfRule type="cellIs" dxfId="26" priority="25" operator="greaterThan">
      <formula>50</formula>
    </cfRule>
    <cfRule type="cellIs" dxfId="25" priority="26" operator="greaterThan">
      <formula>69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C13:I3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006AE-F59C-4FE9-A16C-5B540113C897}">
  <sheetPr>
    <tabColor rgb="FF0070C0"/>
  </sheetPr>
  <dimension ref="A1:BE46"/>
  <sheetViews>
    <sheetView zoomScale="80" zoomScaleNormal="80" workbookViewId="0">
      <selection activeCell="K10" sqref="K10:Q10"/>
    </sheetView>
  </sheetViews>
  <sheetFormatPr baseColWidth="10" defaultRowHeight="12.75" x14ac:dyDescent="0.2"/>
  <cols>
    <col min="3" max="3" width="7.85546875" bestFit="1" customWidth="1"/>
    <col min="4" max="4" width="5.85546875" bestFit="1" customWidth="1"/>
    <col min="5" max="5" width="8.7109375" bestFit="1" customWidth="1"/>
    <col min="6" max="6" width="5.7109375" bestFit="1" customWidth="1"/>
    <col min="7" max="7" width="9.140625" bestFit="1" customWidth="1"/>
    <col min="8" max="8" width="7.42578125" bestFit="1" customWidth="1"/>
    <col min="9" max="9" width="9.5703125" bestFit="1" customWidth="1"/>
    <col min="10" max="10" width="12.140625" bestFit="1" customWidth="1"/>
    <col min="11" max="12" width="6.5703125" bestFit="1" customWidth="1"/>
    <col min="13" max="13" width="8.85546875" bestFit="1" customWidth="1"/>
    <col min="14" max="14" width="6.5703125" bestFit="1" customWidth="1"/>
    <col min="15" max="15" width="9.28515625" bestFit="1" customWidth="1"/>
    <col min="16" max="16" width="7.5703125" bestFit="1" customWidth="1"/>
    <col min="17" max="17" width="9.7109375" bestFit="1" customWidth="1"/>
    <col min="19" max="19" width="7.7109375" bestFit="1" customWidth="1"/>
    <col min="20" max="20" width="5.85546875" bestFit="1" customWidth="1"/>
    <col min="21" max="21" width="8.7109375" bestFit="1" customWidth="1"/>
    <col min="22" max="22" width="5.7109375" bestFit="1" customWidth="1"/>
    <col min="23" max="23" width="9.140625" bestFit="1" customWidth="1"/>
    <col min="24" max="24" width="7.42578125" bestFit="1" customWidth="1"/>
    <col min="25" max="25" width="9.5703125" bestFit="1" customWidth="1"/>
    <col min="27" max="27" width="8" bestFit="1" customWidth="1"/>
    <col min="28" max="28" width="6" bestFit="1" customWidth="1"/>
    <col min="29" max="29" width="8.7109375" bestFit="1" customWidth="1"/>
    <col min="30" max="30" width="6" bestFit="1" customWidth="1"/>
    <col min="31" max="31" width="9.140625" bestFit="1" customWidth="1"/>
    <col min="32" max="32" width="7.42578125" bestFit="1" customWidth="1"/>
    <col min="33" max="33" width="9.5703125" bestFit="1" customWidth="1"/>
    <col min="35" max="36" width="5.85546875" bestFit="1" customWidth="1"/>
    <col min="37" max="37" width="8.7109375" bestFit="1" customWidth="1"/>
    <col min="38" max="38" width="5.7109375" bestFit="1" customWidth="1"/>
    <col min="39" max="39" width="9.140625" bestFit="1" customWidth="1"/>
    <col min="40" max="40" width="7.42578125" bestFit="1" customWidth="1"/>
    <col min="41" max="41" width="9.5703125" bestFit="1" customWidth="1"/>
    <col min="43" max="43" width="8.7109375" bestFit="1" customWidth="1"/>
    <col min="44" max="44" width="7.28515625" bestFit="1" customWidth="1"/>
    <col min="45" max="45" width="8.85546875" bestFit="1" customWidth="1"/>
    <col min="46" max="46" width="7.28515625" bestFit="1" customWidth="1"/>
    <col min="47" max="47" width="9.28515625" bestFit="1" customWidth="1"/>
    <col min="48" max="48" width="7.5703125" bestFit="1" customWidth="1"/>
    <col min="49" max="49" width="9.5703125" customWidth="1"/>
    <col min="51" max="57" width="7.42578125" hidden="1" customWidth="1"/>
  </cols>
  <sheetData>
    <row r="1" spans="1:57" ht="13.5" thickBot="1" x14ac:dyDescent="0.25"/>
    <row r="2" spans="1:57" ht="13.5" thickBot="1" x14ac:dyDescent="0.25">
      <c r="A2" s="131" t="s">
        <v>126</v>
      </c>
      <c r="C2" s="132">
        <v>0.9</v>
      </c>
      <c r="K2" s="161"/>
      <c r="L2" s="161"/>
      <c r="M2" s="161"/>
      <c r="N2" s="161"/>
      <c r="O2" s="161"/>
      <c r="P2" s="161"/>
      <c r="Q2" s="161"/>
    </row>
    <row r="3" spans="1:57" ht="13.5" thickBot="1" x14ac:dyDescent="0.25"/>
    <row r="4" spans="1:57" ht="13.5" thickBot="1" x14ac:dyDescent="0.25">
      <c r="A4" s="317" t="s">
        <v>132</v>
      </c>
      <c r="B4" s="317"/>
      <c r="C4" s="132">
        <v>0.95</v>
      </c>
    </row>
    <row r="5" spans="1:57" ht="13.5" thickBot="1" x14ac:dyDescent="0.25">
      <c r="C5" s="133"/>
      <c r="H5" t="s">
        <v>133</v>
      </c>
      <c r="S5" s="21"/>
    </row>
    <row r="6" spans="1:57" ht="13.5" thickBot="1" x14ac:dyDescent="0.25">
      <c r="A6" s="317" t="s">
        <v>134</v>
      </c>
      <c r="B6" s="317"/>
      <c r="C6" s="134">
        <v>60</v>
      </c>
    </row>
    <row r="7" spans="1:57" ht="13.5" thickBot="1" x14ac:dyDescent="0.25">
      <c r="C7" s="133"/>
      <c r="S7" s="310" t="s">
        <v>154</v>
      </c>
      <c r="T7" s="310"/>
      <c r="U7" s="310"/>
      <c r="V7" s="310"/>
      <c r="W7" s="310"/>
      <c r="X7" s="310"/>
      <c r="Y7" s="310"/>
    </row>
    <row r="8" spans="1:57" ht="13.5" thickBot="1" x14ac:dyDescent="0.25">
      <c r="A8" s="317" t="s">
        <v>135</v>
      </c>
      <c r="B8" s="318"/>
      <c r="C8" s="172">
        <v>2.646525351860534E-3</v>
      </c>
      <c r="D8" s="172">
        <v>1.3641414127809774E-2</v>
      </c>
      <c r="E8" s="172">
        <v>1.1368353173159458E-2</v>
      </c>
      <c r="F8" s="172">
        <v>1.4678344164585027E-2</v>
      </c>
      <c r="G8" s="172">
        <v>1.6771528081287648E-2</v>
      </c>
      <c r="H8" s="172">
        <v>1.7772964855284908E-2</v>
      </c>
      <c r="I8" s="172">
        <v>1.7836715064153106E-2</v>
      </c>
      <c r="J8" s="21"/>
      <c r="K8" s="135"/>
      <c r="L8" s="135"/>
      <c r="M8" s="135"/>
      <c r="N8" s="135"/>
      <c r="O8" s="135"/>
      <c r="P8" s="135"/>
      <c r="Q8" s="135"/>
      <c r="S8" s="204"/>
      <c r="T8" s="204"/>
      <c r="U8" s="204"/>
      <c r="V8" s="204"/>
      <c r="W8" s="204"/>
      <c r="X8" s="204"/>
      <c r="Y8" s="204"/>
    </row>
    <row r="9" spans="1:57" ht="13.5" thickBot="1" x14ac:dyDescent="0.25">
      <c r="S9" s="136"/>
      <c r="T9" s="136"/>
      <c r="U9" s="136"/>
      <c r="V9" s="136"/>
      <c r="W9" s="136"/>
      <c r="X9" s="136"/>
      <c r="Y9" s="136"/>
    </row>
    <row r="10" spans="1:57" ht="13.5" thickBot="1" x14ac:dyDescent="0.25">
      <c r="A10" s="137" t="s">
        <v>136</v>
      </c>
      <c r="B10" s="134">
        <v>60</v>
      </c>
      <c r="C10" s="21" t="s">
        <v>17</v>
      </c>
      <c r="J10" s="138" t="s">
        <v>137</v>
      </c>
      <c r="K10" s="135">
        <v>678</v>
      </c>
      <c r="L10" s="135">
        <v>708</v>
      </c>
      <c r="M10" s="135">
        <v>691</v>
      </c>
      <c r="N10" s="135">
        <v>634</v>
      </c>
      <c r="O10" s="135">
        <v>676</v>
      </c>
      <c r="P10" s="135">
        <v>699</v>
      </c>
      <c r="Q10" s="135">
        <v>523</v>
      </c>
      <c r="S10">
        <f t="shared" ref="S10:Y10" si="0">MAX(K13:K36)</f>
        <v>3</v>
      </c>
      <c r="T10">
        <f t="shared" si="0"/>
        <v>3</v>
      </c>
      <c r="U10">
        <f t="shared" si="0"/>
        <v>3</v>
      </c>
      <c r="V10">
        <f t="shared" si="0"/>
        <v>2</v>
      </c>
      <c r="W10">
        <f t="shared" si="0"/>
        <v>3</v>
      </c>
      <c r="X10">
        <f t="shared" si="0"/>
        <v>3</v>
      </c>
      <c r="Y10">
        <f t="shared" si="0"/>
        <v>2</v>
      </c>
      <c r="AA10" s="139">
        <f t="shared" ref="AA10:AG10" si="1">AY10/C37</f>
        <v>0.94866999667716723</v>
      </c>
      <c r="AB10" s="139">
        <f t="shared" si="1"/>
        <v>0.95416199921921208</v>
      </c>
      <c r="AC10" s="139">
        <f t="shared" si="1"/>
        <v>0.97232241730492575</v>
      </c>
      <c r="AD10" s="139">
        <f t="shared" si="1"/>
        <v>0.95369766205812001</v>
      </c>
      <c r="AE10" s="139">
        <f t="shared" si="1"/>
        <v>0.96148866042029202</v>
      </c>
      <c r="AF10" s="139">
        <f t="shared" si="1"/>
        <v>0.96315413932515503</v>
      </c>
      <c r="AG10" s="139">
        <f t="shared" si="1"/>
        <v>0.95112598369324752</v>
      </c>
      <c r="AI10" s="139"/>
      <c r="AJ10" s="139"/>
      <c r="AK10" s="139"/>
      <c r="AL10" s="139"/>
      <c r="AM10" s="139"/>
      <c r="AN10" s="139"/>
      <c r="AO10" s="139"/>
      <c r="AQ10" s="323" t="s">
        <v>158</v>
      </c>
      <c r="AR10" s="324"/>
      <c r="AS10" s="324"/>
      <c r="AT10" s="324"/>
      <c r="AU10" s="324"/>
      <c r="AV10" s="324"/>
      <c r="AW10" s="325"/>
      <c r="AY10" s="163">
        <f t="shared" ref="AY10:BE10" si="2">SUM(AY13:AY36)</f>
        <v>29.544294182231756</v>
      </c>
      <c r="AZ10" s="163">
        <f t="shared" si="2"/>
        <v>29.698292225697937</v>
      </c>
      <c r="BA10" s="163">
        <f t="shared" si="2"/>
        <v>32.021818276575516</v>
      </c>
      <c r="BB10" s="163">
        <f t="shared" si="2"/>
        <v>32.50519531514756</v>
      </c>
      <c r="BC10" s="163">
        <f t="shared" si="2"/>
        <v>31.211401130566358</v>
      </c>
      <c r="BD10" s="163">
        <f t="shared" si="2"/>
        <v>27.656283143479421</v>
      </c>
      <c r="BE10" s="163">
        <f t="shared" si="2"/>
        <v>21.583243476115982</v>
      </c>
    </row>
    <row r="11" spans="1:57" ht="24" customHeight="1" x14ac:dyDescent="0.2">
      <c r="C11" s="319" t="s">
        <v>18</v>
      </c>
      <c r="D11" s="319"/>
      <c r="E11" s="319"/>
      <c r="F11" s="319"/>
      <c r="G11" s="319"/>
      <c r="H11" s="319"/>
      <c r="I11" s="319"/>
      <c r="K11" s="319" t="s">
        <v>12</v>
      </c>
      <c r="L11" s="319"/>
      <c r="M11" s="319"/>
      <c r="N11" s="319"/>
      <c r="O11" s="319"/>
      <c r="P11" s="319"/>
      <c r="Q11" s="319"/>
      <c r="S11" s="319" t="s">
        <v>44</v>
      </c>
      <c r="T11" s="319"/>
      <c r="U11" s="319"/>
      <c r="V11" s="319"/>
      <c r="W11" s="319"/>
      <c r="X11" s="319"/>
      <c r="Y11" s="319"/>
      <c r="AA11" s="319" t="s">
        <v>11</v>
      </c>
      <c r="AB11" s="319"/>
      <c r="AC11" s="319"/>
      <c r="AD11" s="319"/>
      <c r="AE11" s="319"/>
      <c r="AF11" s="319"/>
      <c r="AG11" s="319"/>
      <c r="AI11" s="319" t="s">
        <v>45</v>
      </c>
      <c r="AJ11" s="319"/>
      <c r="AK11" s="319"/>
      <c r="AL11" s="319"/>
      <c r="AM11" s="319"/>
      <c r="AN11" s="319"/>
      <c r="AO11" s="319"/>
      <c r="AQ11" s="319" t="s">
        <v>45</v>
      </c>
      <c r="AR11" s="319"/>
      <c r="AS11" s="319"/>
      <c r="AT11" s="319"/>
      <c r="AU11" s="319"/>
      <c r="AV11" s="319"/>
      <c r="AW11" s="319"/>
    </row>
    <row r="12" spans="1:57" ht="24" x14ac:dyDescent="0.2">
      <c r="B12" s="140" t="s">
        <v>138</v>
      </c>
      <c r="C12" s="141" t="s">
        <v>139</v>
      </c>
      <c r="D12" s="141" t="s">
        <v>140</v>
      </c>
      <c r="E12" s="141" t="s">
        <v>141</v>
      </c>
      <c r="F12" s="141" t="s">
        <v>142</v>
      </c>
      <c r="G12" s="141" t="s">
        <v>143</v>
      </c>
      <c r="H12" s="141" t="s">
        <v>144</v>
      </c>
      <c r="I12" s="141" t="s">
        <v>145</v>
      </c>
      <c r="K12" s="142" t="s">
        <v>139</v>
      </c>
      <c r="L12" s="142" t="s">
        <v>140</v>
      </c>
      <c r="M12" s="142" t="s">
        <v>141</v>
      </c>
      <c r="N12" s="142" t="s">
        <v>142</v>
      </c>
      <c r="O12" s="142" t="s">
        <v>143</v>
      </c>
      <c r="P12" s="142" t="s">
        <v>144</v>
      </c>
      <c r="Q12" s="142" t="s">
        <v>145</v>
      </c>
      <c r="S12" s="142" t="s">
        <v>139</v>
      </c>
      <c r="T12" s="142" t="s">
        <v>140</v>
      </c>
      <c r="U12" s="142" t="s">
        <v>141</v>
      </c>
      <c r="V12" s="142" t="s">
        <v>142</v>
      </c>
      <c r="W12" s="142" t="s">
        <v>143</v>
      </c>
      <c r="X12" s="142" t="s">
        <v>144</v>
      </c>
      <c r="Y12" s="142" t="s">
        <v>145</v>
      </c>
      <c r="AA12" s="142" t="s">
        <v>139</v>
      </c>
      <c r="AB12" s="142" t="s">
        <v>140</v>
      </c>
      <c r="AC12" s="142" t="s">
        <v>141</v>
      </c>
      <c r="AD12" s="142" t="s">
        <v>142</v>
      </c>
      <c r="AE12" s="142" t="s">
        <v>143</v>
      </c>
      <c r="AF12" s="142" t="s">
        <v>144</v>
      </c>
      <c r="AG12" s="142" t="s">
        <v>145</v>
      </c>
      <c r="AI12" s="142" t="s">
        <v>139</v>
      </c>
      <c r="AJ12" s="142" t="s">
        <v>140</v>
      </c>
      <c r="AK12" s="142" t="s">
        <v>141</v>
      </c>
      <c r="AL12" s="142" t="s">
        <v>142</v>
      </c>
      <c r="AM12" s="142" t="s">
        <v>143</v>
      </c>
      <c r="AN12" s="142" t="s">
        <v>144</v>
      </c>
      <c r="AO12" s="142" t="s">
        <v>145</v>
      </c>
      <c r="AQ12" s="142" t="s">
        <v>139</v>
      </c>
      <c r="AR12" s="142" t="s">
        <v>140</v>
      </c>
      <c r="AS12" s="142" t="s">
        <v>141</v>
      </c>
      <c r="AT12" s="142" t="s">
        <v>142</v>
      </c>
      <c r="AU12" s="142" t="s">
        <v>143</v>
      </c>
      <c r="AV12" s="142" t="s">
        <v>144</v>
      </c>
      <c r="AW12" s="142" t="s">
        <v>145</v>
      </c>
    </row>
    <row r="13" spans="1:57" x14ac:dyDescent="0.2">
      <c r="A13" s="143">
        <f>AVERAGE(C13:I13)</f>
        <v>0.78284275248560775</v>
      </c>
      <c r="B13" s="144">
        <v>0</v>
      </c>
      <c r="C13" s="135">
        <v>0.78571428571428503</v>
      </c>
      <c r="D13" s="135">
        <v>1.062499999999998</v>
      </c>
      <c r="E13" s="135">
        <v>0.73333333333333017</v>
      </c>
      <c r="F13" s="135">
        <v>0.74999999999999922</v>
      </c>
      <c r="G13" s="135">
        <v>0.61538461538461264</v>
      </c>
      <c r="H13" s="135">
        <v>1.071428571428569</v>
      </c>
      <c r="I13" s="135">
        <v>0.46153846153846029</v>
      </c>
      <c r="J13" s="165">
        <v>1</v>
      </c>
      <c r="K13" s="43">
        <f>AgentsRequired(C13,$B$10,K$10,$C$4,$C$6,$C$2,$C$8)</f>
        <v>2</v>
      </c>
      <c r="L13" s="43">
        <f>AgentsRequired(D13,$B$10,L$10,$C$4,$C$6,$C$2,$D$8)</f>
        <v>2</v>
      </c>
      <c r="M13" s="43">
        <f>AgentsRequired(E13,$B$10,M$10,$C$4,$C$6,$C$2,$E$8)</f>
        <v>2</v>
      </c>
      <c r="N13" s="43">
        <f>AgentsRequired(F13,$B$10,N$10,$C$4,$C$6,$C$2,$F$8)</f>
        <v>2</v>
      </c>
      <c r="O13" s="43">
        <f>AgentsRequired(G13,$B$10,O$10,$C$4,$C$6,$C$2,$G$8)</f>
        <v>2</v>
      </c>
      <c r="P13" s="43">
        <f>AgentsRequired(H13,$B$10,P$10,$C$4,$C$6,$C$2,$H$8)</f>
        <v>2</v>
      </c>
      <c r="Q13" s="43">
        <f>AgentsRequired(I13,$B$10,Q$10,$C$4,$C$6,$C$2,$I$8)</f>
        <v>0</v>
      </c>
      <c r="R13" s="165">
        <v>1</v>
      </c>
      <c r="S13" s="135">
        <v>2</v>
      </c>
      <c r="T13" s="135">
        <v>2</v>
      </c>
      <c r="U13" s="135">
        <v>2</v>
      </c>
      <c r="V13" s="135">
        <v>2</v>
      </c>
      <c r="W13" s="135">
        <v>2</v>
      </c>
      <c r="X13" s="135">
        <v>2</v>
      </c>
      <c r="Y13" s="135">
        <v>2</v>
      </c>
      <c r="AA13" s="55">
        <f>ServiceLevel(C13,$B$10,K$10,$C$6,S13)</f>
        <v>0.9861925693090734</v>
      </c>
      <c r="AB13" s="55">
        <f>ServiceLevel(D13,$B$10,L$10,$C$6,T13)</f>
        <v>0.9848878463301477</v>
      </c>
      <c r="AC13" s="55">
        <f t="shared" ref="AC13:AG28" si="3">ServiceLevel(E13,$B$10,M$10,$C$6,U13)</f>
        <v>0.98563387564422</v>
      </c>
      <c r="AD13" s="55">
        <f t="shared" si="3"/>
        <v>0.98800694457237348</v>
      </c>
      <c r="AE13" s="55">
        <f t="shared" si="3"/>
        <v>0.98627761088846444</v>
      </c>
      <c r="AF13" s="55">
        <f t="shared" si="3"/>
        <v>0.98528497563076445</v>
      </c>
      <c r="AG13" s="55">
        <f t="shared" si="3"/>
        <v>0.20502571176387074</v>
      </c>
      <c r="AI13" s="214">
        <f>S13-K13</f>
        <v>0</v>
      </c>
      <c r="AJ13" s="214">
        <f t="shared" ref="AJ13:AO28" si="4">T13-L13</f>
        <v>0</v>
      </c>
      <c r="AK13" s="214">
        <f t="shared" si="4"/>
        <v>0</v>
      </c>
      <c r="AL13" s="214">
        <f t="shared" si="4"/>
        <v>0</v>
      </c>
      <c r="AM13" s="214">
        <f t="shared" si="4"/>
        <v>0</v>
      </c>
      <c r="AN13" s="214">
        <f t="shared" si="4"/>
        <v>0</v>
      </c>
      <c r="AO13" s="214">
        <f t="shared" si="4"/>
        <v>2</v>
      </c>
      <c r="AP13" s="206">
        <f>B13</f>
        <v>0</v>
      </c>
      <c r="AQ13" s="213">
        <f>S13/K13-1</f>
        <v>0</v>
      </c>
      <c r="AR13" s="213">
        <f t="shared" ref="AR13:AW28" si="5">T13/L13-1</f>
        <v>0</v>
      </c>
      <c r="AS13" s="213">
        <f t="shared" si="5"/>
        <v>0</v>
      </c>
      <c r="AT13" s="213">
        <f t="shared" si="5"/>
        <v>0</v>
      </c>
      <c r="AU13" s="213">
        <f t="shared" si="5"/>
        <v>0</v>
      </c>
      <c r="AV13" s="213">
        <f t="shared" si="5"/>
        <v>0</v>
      </c>
      <c r="AW13" s="213" t="e">
        <f t="shared" si="5"/>
        <v>#DIV/0!</v>
      </c>
      <c r="AY13" s="162">
        <f>AA13*C13</f>
        <v>0.7748655901714141</v>
      </c>
      <c r="AZ13" s="162">
        <f t="shared" ref="AZ13:BE28" si="6">AB13*D13</f>
        <v>1.0464433367257799</v>
      </c>
      <c r="BA13" s="162">
        <f t="shared" si="6"/>
        <v>0.72279817547242486</v>
      </c>
      <c r="BB13" s="162">
        <f t="shared" si="6"/>
        <v>0.74100520842927931</v>
      </c>
      <c r="BC13" s="162">
        <f t="shared" si="6"/>
        <v>0.60694006823905233</v>
      </c>
      <c r="BD13" s="162">
        <f t="shared" si="6"/>
        <v>1.0556624738901024</v>
      </c>
      <c r="BE13" s="162">
        <f t="shared" si="6"/>
        <v>9.4627251583324704E-2</v>
      </c>
    </row>
    <row r="14" spans="1:57" x14ac:dyDescent="0.2">
      <c r="A14" s="143">
        <f t="shared" ref="A14:A36" si="7">AVERAGE(C14:I14)</f>
        <v>0.60540947148089885</v>
      </c>
      <c r="B14" s="147">
        <f>B13+TIME(0,$B$10,0)</f>
        <v>4.1666666666666664E-2</v>
      </c>
      <c r="C14" s="135">
        <v>0.57142857142857117</v>
      </c>
      <c r="D14" s="135">
        <v>0.68749999999999944</v>
      </c>
      <c r="E14" s="135">
        <v>0.66666666666666374</v>
      </c>
      <c r="F14" s="135">
        <v>0.41666666666666591</v>
      </c>
      <c r="G14" s="135">
        <v>0.99999999999999756</v>
      </c>
      <c r="H14" s="135">
        <v>0.35714285714285621</v>
      </c>
      <c r="I14" s="135">
        <v>0.53846153846153766</v>
      </c>
      <c r="J14" s="165">
        <v>2</v>
      </c>
      <c r="K14" s="43">
        <f t="shared" ref="K14:K36" si="8">AgentsRequired(C14,$B$10,K$10,$C$4,$C$6,$C$2,$C$8)</f>
        <v>2</v>
      </c>
      <c r="L14" s="43">
        <f t="shared" ref="L14:L36" si="9">AgentsRequired(D14,$B$10,L$10,$C$4,$C$6,$C$2,$D$8)</f>
        <v>2</v>
      </c>
      <c r="M14" s="43">
        <f t="shared" ref="M14:M36" si="10">AgentsRequired(E14,$B$10,M$10,$C$4,$C$6,$C$2,$E$8)</f>
        <v>2</v>
      </c>
      <c r="N14" s="43">
        <f t="shared" ref="N14:N36" si="11">AgentsRequired(F14,$B$10,N$10,$C$4,$C$6,$C$2,$F$8)</f>
        <v>0</v>
      </c>
      <c r="O14" s="43">
        <f t="shared" ref="O14:O36" si="12">AgentsRequired(G14,$B$10,O$10,$C$4,$C$6,$C$2,$G$8)</f>
        <v>2</v>
      </c>
      <c r="P14" s="43">
        <f t="shared" ref="P14:P36" si="13">AgentsRequired(H14,$B$10,P$10,$C$4,$C$6,$C$2,$H$8)</f>
        <v>0</v>
      </c>
      <c r="Q14" s="43">
        <f t="shared" ref="Q14:Q36" si="14">AgentsRequired(I14,$B$10,Q$10,$C$4,$C$6,$C$2,$I$8)</f>
        <v>2</v>
      </c>
      <c r="R14" s="165">
        <v>2</v>
      </c>
      <c r="S14" s="135">
        <v>1</v>
      </c>
      <c r="T14" s="135">
        <v>1</v>
      </c>
      <c r="U14" s="135">
        <v>1</v>
      </c>
      <c r="V14" s="135">
        <v>1</v>
      </c>
      <c r="W14" s="135">
        <v>1</v>
      </c>
      <c r="X14" s="135">
        <v>1</v>
      </c>
      <c r="Y14" s="135">
        <v>1</v>
      </c>
      <c r="AA14" s="55">
        <f t="shared" ref="AA14:AG36" si="15">ServiceLevel(C14,$B$10,K$10,$C$6,S14)</f>
        <v>0.82472002828378366</v>
      </c>
      <c r="AB14" s="55">
        <f t="shared" si="15"/>
        <v>0.8162766392291142</v>
      </c>
      <c r="AC14" s="55">
        <f t="shared" si="3"/>
        <v>0.82106153696647022</v>
      </c>
      <c r="AD14" s="55">
        <f t="shared" si="3"/>
        <v>9.0297106986238385E-2</v>
      </c>
      <c r="AE14" s="55">
        <f t="shared" si="3"/>
        <v>0.82528282900117289</v>
      </c>
      <c r="AF14" s="55">
        <f t="shared" si="3"/>
        <v>8.225610601460609E-2</v>
      </c>
      <c r="AG14" s="55">
        <f t="shared" si="3"/>
        <v>0.8682914493403916</v>
      </c>
      <c r="AI14" s="214">
        <f t="shared" ref="AI14:AO36" si="16">S14-K14</f>
        <v>-1</v>
      </c>
      <c r="AJ14" s="214">
        <f t="shared" si="4"/>
        <v>-1</v>
      </c>
      <c r="AK14" s="214">
        <f t="shared" si="4"/>
        <v>-1</v>
      </c>
      <c r="AL14" s="214">
        <f t="shared" si="4"/>
        <v>1</v>
      </c>
      <c r="AM14" s="214">
        <f t="shared" si="4"/>
        <v>-1</v>
      </c>
      <c r="AN14" s="214">
        <f t="shared" si="4"/>
        <v>1</v>
      </c>
      <c r="AO14" s="214">
        <f t="shared" si="4"/>
        <v>-1</v>
      </c>
      <c r="AP14" s="206">
        <f t="shared" ref="AP14:AP36" si="17">B14</f>
        <v>4.1666666666666664E-2</v>
      </c>
      <c r="AQ14" s="213">
        <f t="shared" ref="AQ14:AW36" si="18">S14/K14-1</f>
        <v>-0.5</v>
      </c>
      <c r="AR14" s="213">
        <f t="shared" si="5"/>
        <v>-0.5</v>
      </c>
      <c r="AS14" s="213">
        <f t="shared" si="5"/>
        <v>-0.5</v>
      </c>
      <c r="AT14" s="213" t="e">
        <f t="shared" si="5"/>
        <v>#DIV/0!</v>
      </c>
      <c r="AU14" s="213">
        <f t="shared" si="5"/>
        <v>-0.5</v>
      </c>
      <c r="AV14" s="213" t="e">
        <f t="shared" si="5"/>
        <v>#DIV/0!</v>
      </c>
      <c r="AW14" s="213">
        <f t="shared" si="5"/>
        <v>-0.5</v>
      </c>
      <c r="AY14" s="162">
        <f t="shared" ref="AY14:BE36" si="19">AA14*C14</f>
        <v>0.47126858759073331</v>
      </c>
      <c r="AZ14" s="162">
        <f t="shared" si="6"/>
        <v>0.56119018947001553</v>
      </c>
      <c r="BA14" s="162">
        <f t="shared" si="6"/>
        <v>0.54737435797764444</v>
      </c>
      <c r="BB14" s="162">
        <f t="shared" si="6"/>
        <v>3.7623794577599255E-2</v>
      </c>
      <c r="BC14" s="162">
        <f t="shared" si="6"/>
        <v>0.82528282900117089</v>
      </c>
      <c r="BD14" s="162">
        <f t="shared" si="6"/>
        <v>2.93771807195021E-2</v>
      </c>
      <c r="BE14" s="162">
        <f t="shared" si="6"/>
        <v>0.46754154964482553</v>
      </c>
    </row>
    <row r="15" spans="1:57" x14ac:dyDescent="0.2">
      <c r="A15" s="143">
        <f t="shared" si="7"/>
        <v>0.37354133961276681</v>
      </c>
      <c r="B15" s="147">
        <f t="shared" ref="B15:B36" si="20">B14+TIME(0,$B$10,0)</f>
        <v>8.3333333333333329E-2</v>
      </c>
      <c r="C15" s="135">
        <v>0.28571428571428559</v>
      </c>
      <c r="D15" s="135">
        <v>0.437499999999997</v>
      </c>
      <c r="E15" s="135">
        <v>0.13333333333333269</v>
      </c>
      <c r="F15" s="135">
        <v>0.49999999999999839</v>
      </c>
      <c r="G15" s="135">
        <v>0.30769230769230471</v>
      </c>
      <c r="H15" s="135">
        <v>0.64285714285714179</v>
      </c>
      <c r="I15" s="135">
        <v>0.3076923076923076</v>
      </c>
      <c r="J15" s="165">
        <v>3</v>
      </c>
      <c r="K15" s="43">
        <f t="shared" si="8"/>
        <v>0</v>
      </c>
      <c r="L15" s="43">
        <f t="shared" si="9"/>
        <v>0</v>
      </c>
      <c r="M15" s="43">
        <f t="shared" si="10"/>
        <v>0</v>
      </c>
      <c r="N15" s="43">
        <f t="shared" si="11"/>
        <v>0</v>
      </c>
      <c r="O15" s="43">
        <f t="shared" si="12"/>
        <v>0</v>
      </c>
      <c r="P15" s="43">
        <f t="shared" si="13"/>
        <v>2</v>
      </c>
      <c r="Q15" s="43">
        <f t="shared" si="14"/>
        <v>0</v>
      </c>
      <c r="R15" s="165">
        <v>3</v>
      </c>
      <c r="S15" s="135">
        <v>1</v>
      </c>
      <c r="T15" s="135">
        <v>1</v>
      </c>
      <c r="U15" s="135">
        <v>1</v>
      </c>
      <c r="V15" s="135">
        <v>1</v>
      </c>
      <c r="W15" s="135">
        <v>1</v>
      </c>
      <c r="X15" s="135">
        <v>1</v>
      </c>
      <c r="Y15" s="135">
        <v>1</v>
      </c>
      <c r="AA15" s="55">
        <f t="shared" si="15"/>
        <v>8.4692839241277906E-2</v>
      </c>
      <c r="AB15" s="55">
        <f t="shared" si="15"/>
        <v>8.1254165838966386E-2</v>
      </c>
      <c r="AC15" s="55">
        <f t="shared" si="3"/>
        <v>8.3167679619263635E-2</v>
      </c>
      <c r="AD15" s="55">
        <f t="shared" si="3"/>
        <v>9.0297106986238385E-2</v>
      </c>
      <c r="AE15" s="55">
        <f t="shared" si="3"/>
        <v>8.4932454716952765E-2</v>
      </c>
      <c r="AF15" s="55">
        <f t="shared" si="3"/>
        <v>0.81880991862408259</v>
      </c>
      <c r="AG15" s="55">
        <f t="shared" si="3"/>
        <v>0.10838669355144248</v>
      </c>
      <c r="AI15" s="214">
        <f t="shared" si="16"/>
        <v>1</v>
      </c>
      <c r="AJ15" s="214">
        <f t="shared" si="4"/>
        <v>1</v>
      </c>
      <c r="AK15" s="214">
        <f t="shared" si="4"/>
        <v>1</v>
      </c>
      <c r="AL15" s="214">
        <f t="shared" si="4"/>
        <v>1</v>
      </c>
      <c r="AM15" s="214">
        <f t="shared" si="4"/>
        <v>1</v>
      </c>
      <c r="AN15" s="214">
        <f t="shared" si="4"/>
        <v>-1</v>
      </c>
      <c r="AO15" s="214">
        <f t="shared" si="4"/>
        <v>1</v>
      </c>
      <c r="AP15" s="206">
        <f t="shared" si="17"/>
        <v>8.3333333333333329E-2</v>
      </c>
      <c r="AQ15" s="213" t="e">
        <f t="shared" si="18"/>
        <v>#DIV/0!</v>
      </c>
      <c r="AR15" s="213" t="e">
        <f t="shared" si="5"/>
        <v>#DIV/0!</v>
      </c>
      <c r="AS15" s="213" t="e">
        <f t="shared" si="5"/>
        <v>#DIV/0!</v>
      </c>
      <c r="AT15" s="213" t="e">
        <f t="shared" si="5"/>
        <v>#DIV/0!</v>
      </c>
      <c r="AU15" s="213" t="e">
        <f t="shared" si="5"/>
        <v>#DIV/0!</v>
      </c>
      <c r="AV15" s="213">
        <f t="shared" si="5"/>
        <v>-0.5</v>
      </c>
      <c r="AW15" s="213" t="e">
        <f t="shared" si="5"/>
        <v>#DIV/0!</v>
      </c>
      <c r="AY15" s="162">
        <f t="shared" si="19"/>
        <v>2.4197954068936534E-2</v>
      </c>
      <c r="AZ15" s="162">
        <f t="shared" si="6"/>
        <v>3.5548697554547551E-2</v>
      </c>
      <c r="BA15" s="162">
        <f t="shared" si="6"/>
        <v>1.1089023949235098E-2</v>
      </c>
      <c r="BB15" s="162">
        <f t="shared" si="6"/>
        <v>4.5148553493119047E-2</v>
      </c>
      <c r="BC15" s="162">
        <f t="shared" si="6"/>
        <v>2.6133062989831368E-2</v>
      </c>
      <c r="BD15" s="162">
        <f t="shared" si="6"/>
        <v>0.52637780482976648</v>
      </c>
      <c r="BE15" s="162">
        <f t="shared" si="6"/>
        <v>3.3349751861982295E-2</v>
      </c>
    </row>
    <row r="16" spans="1:57" x14ac:dyDescent="0.2">
      <c r="A16" s="143">
        <f t="shared" si="7"/>
        <v>0.31468472004186104</v>
      </c>
      <c r="B16" s="147">
        <f t="shared" si="20"/>
        <v>0.125</v>
      </c>
      <c r="C16" s="135">
        <v>0.42857142857142683</v>
      </c>
      <c r="D16" s="135">
        <v>0.31249999999999739</v>
      </c>
      <c r="E16" s="135">
        <v>0.2666666666666655</v>
      </c>
      <c r="F16" s="135">
        <v>0.2499999999999975</v>
      </c>
      <c r="G16" s="135">
        <v>0.2307692307692277</v>
      </c>
      <c r="H16" s="135">
        <v>0.71428571428571241</v>
      </c>
      <c r="I16" s="135">
        <v>0</v>
      </c>
      <c r="J16" s="165">
        <v>4</v>
      </c>
      <c r="K16" s="43">
        <f t="shared" si="8"/>
        <v>0</v>
      </c>
      <c r="L16" s="43">
        <f t="shared" si="9"/>
        <v>0</v>
      </c>
      <c r="M16" s="43">
        <f t="shared" si="10"/>
        <v>0</v>
      </c>
      <c r="N16" s="43">
        <f t="shared" si="11"/>
        <v>0</v>
      </c>
      <c r="O16" s="43">
        <f t="shared" si="12"/>
        <v>0</v>
      </c>
      <c r="P16" s="43">
        <f t="shared" si="13"/>
        <v>2</v>
      </c>
      <c r="Q16" s="43">
        <f t="shared" si="14"/>
        <v>0</v>
      </c>
      <c r="R16" s="165">
        <v>4</v>
      </c>
      <c r="S16" s="135">
        <v>1</v>
      </c>
      <c r="T16" s="135">
        <v>1</v>
      </c>
      <c r="U16" s="135">
        <v>1</v>
      </c>
      <c r="V16" s="135">
        <v>1</v>
      </c>
      <c r="W16" s="135">
        <v>1</v>
      </c>
      <c r="X16" s="135">
        <v>1</v>
      </c>
      <c r="Y16" s="135">
        <v>1</v>
      </c>
      <c r="AA16" s="55">
        <f t="shared" si="15"/>
        <v>8.4692839241277906E-2</v>
      </c>
      <c r="AB16" s="55">
        <f t="shared" si="15"/>
        <v>8.1254165838966386E-2</v>
      </c>
      <c r="AC16" s="55">
        <f t="shared" si="3"/>
        <v>8.3167679619263635E-2</v>
      </c>
      <c r="AD16" s="55">
        <f t="shared" si="3"/>
        <v>9.0297106986238385E-2</v>
      </c>
      <c r="AE16" s="55">
        <f t="shared" si="3"/>
        <v>8.4932454716952765E-2</v>
      </c>
      <c r="AF16" s="55">
        <f t="shared" si="3"/>
        <v>0.81880991862408259</v>
      </c>
      <c r="AG16" s="55">
        <f t="shared" si="3"/>
        <v>0.10838669355144248</v>
      </c>
      <c r="AI16" s="214">
        <f t="shared" si="16"/>
        <v>1</v>
      </c>
      <c r="AJ16" s="214">
        <f t="shared" si="4"/>
        <v>1</v>
      </c>
      <c r="AK16" s="214">
        <f t="shared" si="4"/>
        <v>1</v>
      </c>
      <c r="AL16" s="214">
        <f t="shared" si="4"/>
        <v>1</v>
      </c>
      <c r="AM16" s="214">
        <f t="shared" si="4"/>
        <v>1</v>
      </c>
      <c r="AN16" s="214">
        <f t="shared" si="4"/>
        <v>-1</v>
      </c>
      <c r="AO16" s="214">
        <f t="shared" si="4"/>
        <v>1</v>
      </c>
      <c r="AP16" s="206">
        <f t="shared" si="17"/>
        <v>0.125</v>
      </c>
      <c r="AQ16" s="213" t="e">
        <f t="shared" si="18"/>
        <v>#DIV/0!</v>
      </c>
      <c r="AR16" s="213" t="e">
        <f t="shared" si="5"/>
        <v>#DIV/0!</v>
      </c>
      <c r="AS16" s="213" t="e">
        <f t="shared" si="5"/>
        <v>#DIV/0!</v>
      </c>
      <c r="AT16" s="213" t="e">
        <f t="shared" si="5"/>
        <v>#DIV/0!</v>
      </c>
      <c r="AU16" s="213" t="e">
        <f t="shared" si="5"/>
        <v>#DIV/0!</v>
      </c>
      <c r="AV16" s="213">
        <f t="shared" si="5"/>
        <v>-0.5</v>
      </c>
      <c r="AW16" s="213" t="e">
        <f t="shared" si="5"/>
        <v>#DIV/0!</v>
      </c>
      <c r="AY16" s="162">
        <f t="shared" si="19"/>
        <v>3.6296931103404671E-2</v>
      </c>
      <c r="AZ16" s="162">
        <f t="shared" si="6"/>
        <v>2.5391926824676784E-2</v>
      </c>
      <c r="BA16" s="162">
        <f t="shared" si="6"/>
        <v>2.2178047898470204E-2</v>
      </c>
      <c r="BB16" s="162">
        <f t="shared" si="6"/>
        <v>2.2574276746559371E-2</v>
      </c>
      <c r="BC16" s="162">
        <f t="shared" si="6"/>
        <v>1.9599797242373453E-2</v>
      </c>
      <c r="BD16" s="162">
        <f t="shared" si="6"/>
        <v>0.58486422758862888</v>
      </c>
      <c r="BE16" s="162">
        <f t="shared" si="6"/>
        <v>0</v>
      </c>
    </row>
    <row r="17" spans="1:57" x14ac:dyDescent="0.2">
      <c r="A17" s="143">
        <f t="shared" si="7"/>
        <v>0.34218341182626727</v>
      </c>
      <c r="B17" s="147">
        <f t="shared" si="20"/>
        <v>0.16666666666666666</v>
      </c>
      <c r="C17" s="135">
        <v>0.28571428571428559</v>
      </c>
      <c r="D17" s="135">
        <v>0.31249999999999739</v>
      </c>
      <c r="E17" s="135">
        <v>0.53333333333333099</v>
      </c>
      <c r="F17" s="135">
        <v>0.49999999999999839</v>
      </c>
      <c r="G17" s="135">
        <v>0.15384615384615069</v>
      </c>
      <c r="H17" s="135">
        <v>7.1428571428570606E-2</v>
      </c>
      <c r="I17" s="135">
        <v>0.53846153846153766</v>
      </c>
      <c r="J17" s="165">
        <v>5</v>
      </c>
      <c r="K17" s="43">
        <f t="shared" si="8"/>
        <v>0</v>
      </c>
      <c r="L17" s="43">
        <f t="shared" si="9"/>
        <v>0</v>
      </c>
      <c r="M17" s="43">
        <f t="shared" si="10"/>
        <v>2</v>
      </c>
      <c r="N17" s="43">
        <f t="shared" si="11"/>
        <v>0</v>
      </c>
      <c r="O17" s="43">
        <f t="shared" si="12"/>
        <v>0</v>
      </c>
      <c r="P17" s="43">
        <f t="shared" si="13"/>
        <v>0</v>
      </c>
      <c r="Q17" s="43">
        <f t="shared" si="14"/>
        <v>2</v>
      </c>
      <c r="R17" s="165">
        <v>5</v>
      </c>
      <c r="S17" s="135">
        <v>1</v>
      </c>
      <c r="T17" s="135">
        <v>1</v>
      </c>
      <c r="U17" s="135">
        <v>1</v>
      </c>
      <c r="V17" s="135">
        <v>1</v>
      </c>
      <c r="W17" s="135">
        <v>1</v>
      </c>
      <c r="X17" s="135">
        <v>1</v>
      </c>
      <c r="Y17" s="135">
        <v>1</v>
      </c>
      <c r="AA17" s="55">
        <f t="shared" si="15"/>
        <v>8.4692839241277906E-2</v>
      </c>
      <c r="AB17" s="55">
        <f t="shared" si="15"/>
        <v>8.1254165838966386E-2</v>
      </c>
      <c r="AC17" s="55">
        <f t="shared" si="3"/>
        <v>0.82106153696647022</v>
      </c>
      <c r="AD17" s="55">
        <f t="shared" si="3"/>
        <v>9.0297106986238385E-2</v>
      </c>
      <c r="AE17" s="55">
        <f t="shared" si="3"/>
        <v>8.4932454716952765E-2</v>
      </c>
      <c r="AF17" s="55">
        <f t="shared" si="3"/>
        <v>8.225610601460609E-2</v>
      </c>
      <c r="AG17" s="55">
        <f t="shared" si="3"/>
        <v>0.8682914493403916</v>
      </c>
      <c r="AI17" s="214">
        <f t="shared" si="16"/>
        <v>1</v>
      </c>
      <c r="AJ17" s="214">
        <f t="shared" si="4"/>
        <v>1</v>
      </c>
      <c r="AK17" s="214">
        <f t="shared" si="4"/>
        <v>-1</v>
      </c>
      <c r="AL17" s="214">
        <f t="shared" si="4"/>
        <v>1</v>
      </c>
      <c r="AM17" s="214">
        <f t="shared" si="4"/>
        <v>1</v>
      </c>
      <c r="AN17" s="214">
        <f t="shared" si="4"/>
        <v>1</v>
      </c>
      <c r="AO17" s="214">
        <f t="shared" si="4"/>
        <v>-1</v>
      </c>
      <c r="AP17" s="206">
        <f t="shared" si="17"/>
        <v>0.16666666666666666</v>
      </c>
      <c r="AQ17" s="213" t="e">
        <f t="shared" si="18"/>
        <v>#DIV/0!</v>
      </c>
      <c r="AR17" s="213" t="e">
        <f t="shared" si="5"/>
        <v>#DIV/0!</v>
      </c>
      <c r="AS17" s="213">
        <f t="shared" si="5"/>
        <v>-0.5</v>
      </c>
      <c r="AT17" s="213" t="e">
        <f t="shared" si="5"/>
        <v>#DIV/0!</v>
      </c>
      <c r="AU17" s="213" t="e">
        <f t="shared" si="5"/>
        <v>#DIV/0!</v>
      </c>
      <c r="AV17" s="213" t="e">
        <f t="shared" si="5"/>
        <v>#DIV/0!</v>
      </c>
      <c r="AW17" s="213">
        <f t="shared" si="5"/>
        <v>-0.5</v>
      </c>
      <c r="AY17" s="162">
        <f t="shared" si="19"/>
        <v>2.4197954068936534E-2</v>
      </c>
      <c r="AZ17" s="162">
        <f t="shared" si="6"/>
        <v>2.5391926824676784E-2</v>
      </c>
      <c r="BA17" s="162">
        <f t="shared" si="6"/>
        <v>0.43789948638211551</v>
      </c>
      <c r="BB17" s="162">
        <f t="shared" si="6"/>
        <v>4.5148553493119047E-2</v>
      </c>
      <c r="BC17" s="162">
        <f t="shared" si="6"/>
        <v>1.3066531494915542E-2</v>
      </c>
      <c r="BD17" s="162">
        <f t="shared" si="6"/>
        <v>5.8754361439003677E-3</v>
      </c>
      <c r="BE17" s="162">
        <f t="shared" si="6"/>
        <v>0.46754154964482553</v>
      </c>
    </row>
    <row r="18" spans="1:57" x14ac:dyDescent="0.2">
      <c r="A18" s="143">
        <f t="shared" si="7"/>
        <v>0.3994309262166385</v>
      </c>
      <c r="B18" s="147">
        <f t="shared" si="20"/>
        <v>0.20833333333333331</v>
      </c>
      <c r="C18" s="135">
        <v>0.28571428571428559</v>
      </c>
      <c r="D18" s="135">
        <v>0.31249999999999739</v>
      </c>
      <c r="E18" s="135">
        <v>0.33333333333333182</v>
      </c>
      <c r="F18" s="135">
        <v>0.66666666666666341</v>
      </c>
      <c r="G18" s="135">
        <v>0.38461538461538169</v>
      </c>
      <c r="H18" s="135">
        <v>0.42857142857142688</v>
      </c>
      <c r="I18" s="135">
        <v>0.3846153846153828</v>
      </c>
      <c r="J18" s="165">
        <v>6</v>
      </c>
      <c r="K18" s="43">
        <f t="shared" si="8"/>
        <v>0</v>
      </c>
      <c r="L18" s="43">
        <f t="shared" si="9"/>
        <v>0</v>
      </c>
      <c r="M18" s="43">
        <f t="shared" si="10"/>
        <v>0</v>
      </c>
      <c r="N18" s="43">
        <f t="shared" si="11"/>
        <v>2</v>
      </c>
      <c r="O18" s="43">
        <f t="shared" si="12"/>
        <v>0</v>
      </c>
      <c r="P18" s="43">
        <f t="shared" si="13"/>
        <v>0</v>
      </c>
      <c r="Q18" s="43">
        <f t="shared" si="14"/>
        <v>0</v>
      </c>
      <c r="R18" s="165">
        <v>6</v>
      </c>
      <c r="S18" s="135">
        <v>2</v>
      </c>
      <c r="T18" s="135">
        <v>2</v>
      </c>
      <c r="U18" s="135">
        <v>2</v>
      </c>
      <c r="V18" s="135">
        <v>2</v>
      </c>
      <c r="W18" s="135">
        <v>2</v>
      </c>
      <c r="X18" s="135">
        <v>2</v>
      </c>
      <c r="Y18" s="135">
        <v>2</v>
      </c>
      <c r="AA18" s="55">
        <f t="shared" si="15"/>
        <v>0.16221280146380679</v>
      </c>
      <c r="AB18" s="55">
        <f t="shared" si="15"/>
        <v>0.15590609221174656</v>
      </c>
      <c r="AC18" s="55">
        <f t="shared" si="3"/>
        <v>0.15941849630527483</v>
      </c>
      <c r="AD18" s="55">
        <f t="shared" si="3"/>
        <v>0.98800694457237348</v>
      </c>
      <c r="AE18" s="55">
        <f t="shared" si="3"/>
        <v>0.16265138756965836</v>
      </c>
      <c r="AF18" s="55">
        <f t="shared" si="3"/>
        <v>0.15774614505252604</v>
      </c>
      <c r="AG18" s="55">
        <f t="shared" si="3"/>
        <v>0.20502571176387074</v>
      </c>
      <c r="AI18" s="214">
        <f t="shared" si="16"/>
        <v>2</v>
      </c>
      <c r="AJ18" s="214">
        <f t="shared" si="4"/>
        <v>2</v>
      </c>
      <c r="AK18" s="214">
        <f t="shared" si="4"/>
        <v>2</v>
      </c>
      <c r="AL18" s="214">
        <f t="shared" si="4"/>
        <v>0</v>
      </c>
      <c r="AM18" s="214">
        <f t="shared" si="4"/>
        <v>2</v>
      </c>
      <c r="AN18" s="214">
        <f t="shared" si="4"/>
        <v>2</v>
      </c>
      <c r="AO18" s="214">
        <f t="shared" si="4"/>
        <v>2</v>
      </c>
      <c r="AP18" s="206">
        <f t="shared" si="17"/>
        <v>0.20833333333333331</v>
      </c>
      <c r="AQ18" s="213" t="e">
        <f t="shared" si="18"/>
        <v>#DIV/0!</v>
      </c>
      <c r="AR18" s="213" t="e">
        <f t="shared" si="5"/>
        <v>#DIV/0!</v>
      </c>
      <c r="AS18" s="213" t="e">
        <f t="shared" si="5"/>
        <v>#DIV/0!</v>
      </c>
      <c r="AT18" s="213">
        <f t="shared" si="5"/>
        <v>0</v>
      </c>
      <c r="AU18" s="213" t="e">
        <f t="shared" si="5"/>
        <v>#DIV/0!</v>
      </c>
      <c r="AV18" s="213" t="e">
        <f t="shared" si="5"/>
        <v>#DIV/0!</v>
      </c>
      <c r="AW18" s="213" t="e">
        <f t="shared" si="5"/>
        <v>#DIV/0!</v>
      </c>
      <c r="AY18" s="162">
        <f t="shared" si="19"/>
        <v>4.6346514703944776E-2</v>
      </c>
      <c r="AZ18" s="162">
        <f t="shared" si="6"/>
        <v>4.8720653816170391E-2</v>
      </c>
      <c r="BA18" s="162">
        <f t="shared" si="6"/>
        <v>5.3139498768424699E-2</v>
      </c>
      <c r="BB18" s="162">
        <f t="shared" si="6"/>
        <v>0.65867129638157906</v>
      </c>
      <c r="BC18" s="162">
        <f t="shared" si="6"/>
        <v>6.2558225988329663E-2</v>
      </c>
      <c r="BD18" s="162">
        <f t="shared" si="6"/>
        <v>6.7605490736796614E-2</v>
      </c>
      <c r="BE18" s="162">
        <f t="shared" si="6"/>
        <v>7.8856042986103755E-2</v>
      </c>
    </row>
    <row r="19" spans="1:57" x14ac:dyDescent="0.2">
      <c r="A19" s="143">
        <f t="shared" si="7"/>
        <v>0.65822213500784732</v>
      </c>
      <c r="B19" s="147">
        <f t="shared" si="20"/>
        <v>0.24999999999999997</v>
      </c>
      <c r="C19" s="135">
        <v>0.3571428571428546</v>
      </c>
      <c r="D19" s="135">
        <v>0.56249999999999978</v>
      </c>
      <c r="E19" s="135">
        <v>0.59999999999999742</v>
      </c>
      <c r="F19" s="135">
        <v>0.99999999999999678</v>
      </c>
      <c r="G19" s="135">
        <v>0.53846153846153577</v>
      </c>
      <c r="H19" s="135">
        <v>0.85714285714285665</v>
      </c>
      <c r="I19" s="135">
        <v>0.6923076923076904</v>
      </c>
      <c r="J19" s="165">
        <v>7</v>
      </c>
      <c r="K19" s="43">
        <f t="shared" si="8"/>
        <v>0</v>
      </c>
      <c r="L19" s="43">
        <f t="shared" si="9"/>
        <v>2</v>
      </c>
      <c r="M19" s="43">
        <f t="shared" si="10"/>
        <v>2</v>
      </c>
      <c r="N19" s="43">
        <f t="shared" si="11"/>
        <v>2</v>
      </c>
      <c r="O19" s="43">
        <f t="shared" si="12"/>
        <v>2</v>
      </c>
      <c r="P19" s="43">
        <f t="shared" si="13"/>
        <v>2</v>
      </c>
      <c r="Q19" s="43">
        <f t="shared" si="14"/>
        <v>2</v>
      </c>
      <c r="R19" s="165">
        <v>7</v>
      </c>
      <c r="S19" s="135">
        <v>2</v>
      </c>
      <c r="T19" s="135">
        <v>2</v>
      </c>
      <c r="U19" s="135">
        <v>2</v>
      </c>
      <c r="V19" s="135">
        <v>2</v>
      </c>
      <c r="W19" s="135">
        <v>2</v>
      </c>
      <c r="X19" s="135">
        <v>2</v>
      </c>
      <c r="Y19" s="135">
        <v>2</v>
      </c>
      <c r="AA19" s="55">
        <f t="shared" si="15"/>
        <v>0.16221280146380679</v>
      </c>
      <c r="AB19" s="55">
        <f t="shared" si="15"/>
        <v>0.9848878463301477</v>
      </c>
      <c r="AC19" s="55">
        <f t="shared" si="3"/>
        <v>0.98563387564422</v>
      </c>
      <c r="AD19" s="55">
        <f t="shared" si="3"/>
        <v>0.98800694457237348</v>
      </c>
      <c r="AE19" s="55">
        <f t="shared" si="3"/>
        <v>0.98627761088846444</v>
      </c>
      <c r="AF19" s="55">
        <f t="shared" si="3"/>
        <v>0.98528497563076445</v>
      </c>
      <c r="AG19" s="55">
        <f t="shared" si="3"/>
        <v>0.99204745443656261</v>
      </c>
      <c r="AI19" s="214">
        <f t="shared" si="16"/>
        <v>2</v>
      </c>
      <c r="AJ19" s="214">
        <f t="shared" si="4"/>
        <v>0</v>
      </c>
      <c r="AK19" s="214">
        <f t="shared" si="4"/>
        <v>0</v>
      </c>
      <c r="AL19" s="214">
        <f t="shared" si="4"/>
        <v>0</v>
      </c>
      <c r="AM19" s="214">
        <f t="shared" si="4"/>
        <v>0</v>
      </c>
      <c r="AN19" s="214">
        <f t="shared" si="4"/>
        <v>0</v>
      </c>
      <c r="AO19" s="214">
        <f t="shared" si="4"/>
        <v>0</v>
      </c>
      <c r="AP19" s="206">
        <f t="shared" si="17"/>
        <v>0.24999999999999997</v>
      </c>
      <c r="AQ19" s="213" t="e">
        <f t="shared" si="18"/>
        <v>#DIV/0!</v>
      </c>
      <c r="AR19" s="213">
        <f t="shared" si="5"/>
        <v>0</v>
      </c>
      <c r="AS19" s="213">
        <f t="shared" si="5"/>
        <v>0</v>
      </c>
      <c r="AT19" s="213">
        <f t="shared" si="5"/>
        <v>0</v>
      </c>
      <c r="AU19" s="213">
        <f t="shared" si="5"/>
        <v>0</v>
      </c>
      <c r="AV19" s="213">
        <f t="shared" si="5"/>
        <v>0</v>
      </c>
      <c r="AW19" s="213">
        <f t="shared" si="5"/>
        <v>0</v>
      </c>
      <c r="AY19" s="162">
        <f t="shared" si="19"/>
        <v>5.7933143379930579E-2</v>
      </c>
      <c r="AZ19" s="162">
        <f t="shared" si="6"/>
        <v>0.55399941356070781</v>
      </c>
      <c r="BA19" s="162">
        <f t="shared" si="6"/>
        <v>0.59138032538652952</v>
      </c>
      <c r="BB19" s="162">
        <f t="shared" si="6"/>
        <v>0.98800694457237026</v>
      </c>
      <c r="BC19" s="162">
        <f t="shared" si="6"/>
        <v>0.53107255970917056</v>
      </c>
      <c r="BD19" s="162">
        <f t="shared" si="6"/>
        <v>0.84452997911208327</v>
      </c>
      <c r="BE19" s="162">
        <f t="shared" si="6"/>
        <v>0.6868020838406953</v>
      </c>
    </row>
    <row r="20" spans="1:57" x14ac:dyDescent="0.2">
      <c r="A20" s="143">
        <f t="shared" si="7"/>
        <v>1.2152537938252215</v>
      </c>
      <c r="B20" s="147">
        <f t="shared" si="20"/>
        <v>0.29166666666666663</v>
      </c>
      <c r="C20" s="135">
        <v>0.85714285714285676</v>
      </c>
      <c r="D20" s="135">
        <v>1.2499999999999989</v>
      </c>
      <c r="E20" s="135">
        <v>1.199999999999998</v>
      </c>
      <c r="F20" s="135">
        <v>1.666666666666667</v>
      </c>
      <c r="G20" s="135">
        <v>1.538461538461537</v>
      </c>
      <c r="H20" s="135">
        <v>1.071428571428569</v>
      </c>
      <c r="I20" s="135">
        <v>0.9230769230769228</v>
      </c>
      <c r="J20" s="165">
        <v>8</v>
      </c>
      <c r="K20" s="43">
        <f t="shared" si="8"/>
        <v>2</v>
      </c>
      <c r="L20" s="43">
        <f t="shared" si="9"/>
        <v>2</v>
      </c>
      <c r="M20" s="43">
        <f t="shared" si="10"/>
        <v>2</v>
      </c>
      <c r="N20" s="43">
        <f t="shared" si="11"/>
        <v>2</v>
      </c>
      <c r="O20" s="43">
        <f t="shared" si="12"/>
        <v>3</v>
      </c>
      <c r="P20" s="43">
        <f t="shared" si="13"/>
        <v>2</v>
      </c>
      <c r="Q20" s="43">
        <f t="shared" si="14"/>
        <v>2</v>
      </c>
      <c r="R20" s="165">
        <v>8</v>
      </c>
      <c r="S20" s="135">
        <v>4</v>
      </c>
      <c r="T20" s="135">
        <v>6</v>
      </c>
      <c r="U20" s="135">
        <v>5</v>
      </c>
      <c r="V20" s="135">
        <v>6</v>
      </c>
      <c r="W20" s="135">
        <v>5</v>
      </c>
      <c r="X20" s="135">
        <v>5</v>
      </c>
      <c r="Y20" s="135">
        <v>4</v>
      </c>
      <c r="AA20" s="55">
        <f t="shared" si="15"/>
        <v>0.99996747959367516</v>
      </c>
      <c r="AB20" s="55">
        <f t="shared" si="15"/>
        <v>0.99999995826263099</v>
      </c>
      <c r="AC20" s="55">
        <f t="shared" si="3"/>
        <v>0.99999877249177538</v>
      </c>
      <c r="AD20" s="55">
        <f t="shared" si="3"/>
        <v>0.99999883922663901</v>
      </c>
      <c r="AE20" s="55">
        <f t="shared" si="3"/>
        <v>0.99996932811936179</v>
      </c>
      <c r="AF20" s="55">
        <f t="shared" si="3"/>
        <v>0.99999869559135057</v>
      </c>
      <c r="AG20" s="55">
        <f t="shared" si="3"/>
        <v>0.9999892970516765</v>
      </c>
      <c r="AI20" s="214">
        <f t="shared" si="16"/>
        <v>2</v>
      </c>
      <c r="AJ20" s="214">
        <f t="shared" si="4"/>
        <v>4</v>
      </c>
      <c r="AK20" s="214">
        <f t="shared" si="4"/>
        <v>3</v>
      </c>
      <c r="AL20" s="214">
        <f t="shared" si="4"/>
        <v>4</v>
      </c>
      <c r="AM20" s="214">
        <f t="shared" si="4"/>
        <v>2</v>
      </c>
      <c r="AN20" s="214">
        <f t="shared" si="4"/>
        <v>3</v>
      </c>
      <c r="AO20" s="214">
        <f t="shared" si="4"/>
        <v>2</v>
      </c>
      <c r="AP20" s="206">
        <f t="shared" si="17"/>
        <v>0.29166666666666663</v>
      </c>
      <c r="AQ20" s="213">
        <f t="shared" si="18"/>
        <v>1</v>
      </c>
      <c r="AR20" s="213">
        <f t="shared" si="5"/>
        <v>2</v>
      </c>
      <c r="AS20" s="213">
        <f t="shared" si="5"/>
        <v>1.5</v>
      </c>
      <c r="AT20" s="213">
        <f t="shared" si="5"/>
        <v>2</v>
      </c>
      <c r="AU20" s="213">
        <f t="shared" si="5"/>
        <v>0.66666666666666674</v>
      </c>
      <c r="AV20" s="213">
        <f t="shared" si="5"/>
        <v>1.5</v>
      </c>
      <c r="AW20" s="213">
        <f t="shared" si="5"/>
        <v>1</v>
      </c>
      <c r="AY20" s="162">
        <f t="shared" si="19"/>
        <v>0.85711498250886409</v>
      </c>
      <c r="AZ20" s="162">
        <f t="shared" si="6"/>
        <v>1.2499999478282877</v>
      </c>
      <c r="BA20" s="162">
        <f t="shared" si="6"/>
        <v>1.1999985269901283</v>
      </c>
      <c r="BB20" s="162">
        <f t="shared" si="6"/>
        <v>1.6666647320443986</v>
      </c>
      <c r="BC20" s="162">
        <f t="shared" si="6"/>
        <v>1.5384143509528627</v>
      </c>
      <c r="BD20" s="162">
        <f t="shared" si="6"/>
        <v>1.0714271738478731</v>
      </c>
      <c r="BE20" s="162">
        <f t="shared" si="6"/>
        <v>0.92306704343231649</v>
      </c>
    </row>
    <row r="21" spans="1:57" x14ac:dyDescent="0.2">
      <c r="A21" s="143">
        <f t="shared" si="7"/>
        <v>1.501995028780742</v>
      </c>
      <c r="B21" s="147">
        <f t="shared" si="20"/>
        <v>0.33333333333333331</v>
      </c>
      <c r="C21" s="135">
        <v>1.9999999999999989</v>
      </c>
      <c r="D21" s="135">
        <v>1.312499999999998</v>
      </c>
      <c r="E21" s="135">
        <v>1.6666666666666661</v>
      </c>
      <c r="F21" s="135">
        <v>1.166666666666665</v>
      </c>
      <c r="G21" s="135">
        <v>1.538461538461537</v>
      </c>
      <c r="H21" s="135">
        <v>1.2142857142857131</v>
      </c>
      <c r="I21" s="135">
        <v>1.615384615384615</v>
      </c>
      <c r="J21" s="165">
        <v>9</v>
      </c>
      <c r="K21" s="43">
        <f t="shared" si="8"/>
        <v>3</v>
      </c>
      <c r="L21" s="43">
        <f t="shared" si="9"/>
        <v>2</v>
      </c>
      <c r="M21" s="43">
        <f t="shared" si="10"/>
        <v>3</v>
      </c>
      <c r="N21" s="43">
        <f t="shared" si="11"/>
        <v>2</v>
      </c>
      <c r="O21" s="43">
        <f t="shared" si="12"/>
        <v>3</v>
      </c>
      <c r="P21" s="43">
        <f t="shared" si="13"/>
        <v>2</v>
      </c>
      <c r="Q21" s="43">
        <f t="shared" si="14"/>
        <v>2</v>
      </c>
      <c r="R21" s="165">
        <v>9</v>
      </c>
      <c r="S21" s="135">
        <v>5</v>
      </c>
      <c r="T21" s="135">
        <v>7</v>
      </c>
      <c r="U21" s="135">
        <v>5</v>
      </c>
      <c r="V21" s="135">
        <v>6</v>
      </c>
      <c r="W21" s="135">
        <v>5</v>
      </c>
      <c r="X21" s="135">
        <v>6</v>
      </c>
      <c r="Y21" s="135">
        <v>5</v>
      </c>
      <c r="AA21" s="55">
        <f t="shared" si="15"/>
        <v>0.99996885805463476</v>
      </c>
      <c r="AB21" s="55">
        <f t="shared" si="15"/>
        <v>0.99999999892784952</v>
      </c>
      <c r="AC21" s="55">
        <f t="shared" si="3"/>
        <v>0.9999656643615239</v>
      </c>
      <c r="AD21" s="55">
        <f t="shared" si="3"/>
        <v>0.99999997937101648</v>
      </c>
      <c r="AE21" s="55">
        <f t="shared" si="3"/>
        <v>0.99996932811936179</v>
      </c>
      <c r="AF21" s="55">
        <f t="shared" si="3"/>
        <v>0.999999961519209</v>
      </c>
      <c r="AG21" s="55">
        <f t="shared" si="3"/>
        <v>0.9999920175271334</v>
      </c>
      <c r="AI21" s="214">
        <f t="shared" si="16"/>
        <v>2</v>
      </c>
      <c r="AJ21" s="214">
        <f t="shared" si="4"/>
        <v>5</v>
      </c>
      <c r="AK21" s="214">
        <f t="shared" si="4"/>
        <v>2</v>
      </c>
      <c r="AL21" s="214">
        <f t="shared" si="4"/>
        <v>4</v>
      </c>
      <c r="AM21" s="214">
        <f t="shared" si="4"/>
        <v>2</v>
      </c>
      <c r="AN21" s="214">
        <f t="shared" si="4"/>
        <v>4</v>
      </c>
      <c r="AO21" s="214">
        <f t="shared" si="4"/>
        <v>3</v>
      </c>
      <c r="AP21" s="206">
        <f t="shared" si="17"/>
        <v>0.33333333333333331</v>
      </c>
      <c r="AQ21" s="213">
        <f t="shared" si="18"/>
        <v>0.66666666666666674</v>
      </c>
      <c r="AR21" s="213">
        <f t="shared" si="5"/>
        <v>2.5</v>
      </c>
      <c r="AS21" s="213">
        <f t="shared" si="5"/>
        <v>0.66666666666666674</v>
      </c>
      <c r="AT21" s="213">
        <f t="shared" si="5"/>
        <v>2</v>
      </c>
      <c r="AU21" s="213">
        <f t="shared" si="5"/>
        <v>0.66666666666666674</v>
      </c>
      <c r="AV21" s="213">
        <f t="shared" si="5"/>
        <v>2</v>
      </c>
      <c r="AW21" s="213">
        <f t="shared" si="5"/>
        <v>1.5</v>
      </c>
      <c r="AY21" s="162">
        <f t="shared" si="19"/>
        <v>1.9999377161092684</v>
      </c>
      <c r="AZ21" s="162">
        <f t="shared" si="6"/>
        <v>1.3124999985928005</v>
      </c>
      <c r="BA21" s="162">
        <f t="shared" si="6"/>
        <v>1.6666094406025391</v>
      </c>
      <c r="BB21" s="162">
        <f t="shared" si="6"/>
        <v>1.1666666425995176</v>
      </c>
      <c r="BC21" s="162">
        <f t="shared" si="6"/>
        <v>1.5384143509528627</v>
      </c>
      <c r="BD21" s="162">
        <f t="shared" si="6"/>
        <v>1.2142856675590383</v>
      </c>
      <c r="BE21" s="162">
        <f t="shared" si="6"/>
        <v>1.6153717206207536</v>
      </c>
    </row>
    <row r="22" spans="1:57" x14ac:dyDescent="0.2">
      <c r="A22" s="143">
        <f t="shared" si="7"/>
        <v>1.8211473050758751</v>
      </c>
      <c r="B22" s="147">
        <f t="shared" si="20"/>
        <v>0.375</v>
      </c>
      <c r="C22" s="135">
        <v>1.5</v>
      </c>
      <c r="D22" s="135">
        <v>1.312499999999998</v>
      </c>
      <c r="E22" s="135">
        <v>2.1333333333333302</v>
      </c>
      <c r="F22" s="135">
        <v>2.4999999999999991</v>
      </c>
      <c r="G22" s="135">
        <v>1.8461538461538449</v>
      </c>
      <c r="H22" s="135">
        <v>2.0714285714285698</v>
      </c>
      <c r="I22" s="135">
        <v>1.384615384615383</v>
      </c>
      <c r="J22" s="165">
        <v>10</v>
      </c>
      <c r="K22" s="43">
        <f t="shared" si="8"/>
        <v>3</v>
      </c>
      <c r="L22" s="43">
        <f t="shared" si="9"/>
        <v>2</v>
      </c>
      <c r="M22" s="43">
        <f t="shared" si="10"/>
        <v>3</v>
      </c>
      <c r="N22" s="43">
        <f t="shared" si="11"/>
        <v>2</v>
      </c>
      <c r="O22" s="43">
        <f t="shared" si="12"/>
        <v>3</v>
      </c>
      <c r="P22" s="43">
        <f t="shared" si="13"/>
        <v>3</v>
      </c>
      <c r="Q22" s="43">
        <f t="shared" si="14"/>
        <v>2</v>
      </c>
      <c r="R22" s="165">
        <v>10</v>
      </c>
      <c r="S22" s="135">
        <v>5</v>
      </c>
      <c r="T22" s="135">
        <v>8</v>
      </c>
      <c r="U22" s="135">
        <v>7</v>
      </c>
      <c r="V22" s="135">
        <v>7</v>
      </c>
      <c r="W22" s="135">
        <v>6</v>
      </c>
      <c r="X22" s="135">
        <v>7</v>
      </c>
      <c r="Y22" s="135">
        <v>5</v>
      </c>
      <c r="AA22" s="55">
        <f t="shared" si="15"/>
        <v>0.99996885805463476</v>
      </c>
      <c r="AB22" s="55">
        <f t="shared" si="15"/>
        <v>0.99999999997587175</v>
      </c>
      <c r="AC22" s="55">
        <f t="shared" si="3"/>
        <v>0.99999990107898395</v>
      </c>
      <c r="AD22" s="55">
        <f t="shared" si="3"/>
        <v>0.99999994733602626</v>
      </c>
      <c r="AE22" s="55">
        <f t="shared" si="3"/>
        <v>0.99999826668319491</v>
      </c>
      <c r="AF22" s="55">
        <f t="shared" si="3"/>
        <v>0.99999989243642395</v>
      </c>
      <c r="AG22" s="55">
        <f t="shared" si="3"/>
        <v>0.99999972480032118</v>
      </c>
      <c r="AI22" s="214">
        <f t="shared" si="16"/>
        <v>2</v>
      </c>
      <c r="AJ22" s="214">
        <f t="shared" si="4"/>
        <v>6</v>
      </c>
      <c r="AK22" s="214">
        <f t="shared" si="4"/>
        <v>4</v>
      </c>
      <c r="AL22" s="214">
        <f t="shared" si="4"/>
        <v>5</v>
      </c>
      <c r="AM22" s="214">
        <f t="shared" si="4"/>
        <v>3</v>
      </c>
      <c r="AN22" s="214">
        <f t="shared" si="4"/>
        <v>4</v>
      </c>
      <c r="AO22" s="214">
        <f t="shared" si="4"/>
        <v>3</v>
      </c>
      <c r="AP22" s="206">
        <f t="shared" si="17"/>
        <v>0.375</v>
      </c>
      <c r="AQ22" s="213">
        <f t="shared" si="18"/>
        <v>0.66666666666666674</v>
      </c>
      <c r="AR22" s="213">
        <f t="shared" si="5"/>
        <v>3</v>
      </c>
      <c r="AS22" s="213">
        <f t="shared" si="5"/>
        <v>1.3333333333333335</v>
      </c>
      <c r="AT22" s="213">
        <f t="shared" si="5"/>
        <v>2.5</v>
      </c>
      <c r="AU22" s="213">
        <f t="shared" si="5"/>
        <v>1</v>
      </c>
      <c r="AV22" s="213">
        <f t="shared" si="5"/>
        <v>1.3333333333333335</v>
      </c>
      <c r="AW22" s="213">
        <f t="shared" si="5"/>
        <v>1.5</v>
      </c>
      <c r="AY22" s="162">
        <f t="shared" si="19"/>
        <v>1.4999532870819521</v>
      </c>
      <c r="AZ22" s="162">
        <f t="shared" si="6"/>
        <v>1.3124999999683298</v>
      </c>
      <c r="BA22" s="162">
        <f t="shared" si="6"/>
        <v>2.1333331223018295</v>
      </c>
      <c r="BB22" s="162">
        <f t="shared" si="6"/>
        <v>2.4999998683400646</v>
      </c>
      <c r="BC22" s="162">
        <f t="shared" si="6"/>
        <v>1.8461506461843586</v>
      </c>
      <c r="BD22" s="162">
        <f t="shared" si="6"/>
        <v>2.0714283486183054</v>
      </c>
      <c r="BE22" s="162">
        <f t="shared" si="6"/>
        <v>1.3846150035696738</v>
      </c>
    </row>
    <row r="23" spans="1:57" x14ac:dyDescent="0.2">
      <c r="A23" s="143">
        <f t="shared" si="7"/>
        <v>1.7937401883830442</v>
      </c>
      <c r="B23" s="147">
        <f t="shared" si="20"/>
        <v>0.41666666666666669</v>
      </c>
      <c r="C23" s="135">
        <v>1.428571428571427</v>
      </c>
      <c r="D23" s="135">
        <v>1.9374999999999989</v>
      </c>
      <c r="E23" s="135">
        <v>2.4666666666666659</v>
      </c>
      <c r="F23" s="135">
        <v>2.3333333333333299</v>
      </c>
      <c r="G23" s="135">
        <v>1.4615384615384599</v>
      </c>
      <c r="H23" s="135">
        <v>1.9285714285714279</v>
      </c>
      <c r="I23" s="135">
        <v>0.999999999999998</v>
      </c>
      <c r="J23" s="165">
        <v>11</v>
      </c>
      <c r="K23" s="43">
        <f>AgentsRequired(C23,$B$10,K$10,$C$4,$C$6,$C$2,$C$8)</f>
        <v>2</v>
      </c>
      <c r="L23" s="43">
        <f t="shared" si="9"/>
        <v>3</v>
      </c>
      <c r="M23" s="43">
        <f t="shared" si="10"/>
        <v>3</v>
      </c>
      <c r="N23" s="43">
        <f t="shared" si="11"/>
        <v>2</v>
      </c>
      <c r="O23" s="43">
        <f t="shared" si="12"/>
        <v>2</v>
      </c>
      <c r="P23" s="43">
        <f t="shared" si="13"/>
        <v>3</v>
      </c>
      <c r="Q23" s="43">
        <f t="shared" si="14"/>
        <v>2</v>
      </c>
      <c r="R23" s="165">
        <v>11</v>
      </c>
      <c r="S23" s="135">
        <v>6</v>
      </c>
      <c r="T23" s="135">
        <v>8</v>
      </c>
      <c r="U23" s="135">
        <v>7</v>
      </c>
      <c r="V23" s="135">
        <v>7</v>
      </c>
      <c r="W23" s="135">
        <v>7</v>
      </c>
      <c r="X23" s="135">
        <v>7</v>
      </c>
      <c r="Y23" s="135">
        <v>6</v>
      </c>
      <c r="AA23" s="55">
        <f t="shared" si="15"/>
        <v>0.99999996830954396</v>
      </c>
      <c r="AB23" s="55">
        <f t="shared" si="15"/>
        <v>0.9999999947072894</v>
      </c>
      <c r="AC23" s="55">
        <f t="shared" si="3"/>
        <v>0.99999990107898395</v>
      </c>
      <c r="AD23" s="55">
        <f t="shared" si="3"/>
        <v>0.99999994733602626</v>
      </c>
      <c r="AE23" s="55">
        <f t="shared" si="3"/>
        <v>0.99999999924011562</v>
      </c>
      <c r="AF23" s="55">
        <f t="shared" si="3"/>
        <v>0.99999989243642395</v>
      </c>
      <c r="AG23" s="55">
        <f t="shared" si="3"/>
        <v>0.99999999408830886</v>
      </c>
      <c r="AI23" s="214">
        <f t="shared" si="16"/>
        <v>4</v>
      </c>
      <c r="AJ23" s="214">
        <f t="shared" si="4"/>
        <v>5</v>
      </c>
      <c r="AK23" s="214">
        <f t="shared" si="4"/>
        <v>4</v>
      </c>
      <c r="AL23" s="214">
        <f t="shared" si="4"/>
        <v>5</v>
      </c>
      <c r="AM23" s="214">
        <f t="shared" si="4"/>
        <v>5</v>
      </c>
      <c r="AN23" s="214">
        <f t="shared" si="4"/>
        <v>4</v>
      </c>
      <c r="AO23" s="214">
        <f t="shared" si="4"/>
        <v>4</v>
      </c>
      <c r="AP23" s="206">
        <f t="shared" si="17"/>
        <v>0.41666666666666669</v>
      </c>
      <c r="AQ23" s="213">
        <f t="shared" si="18"/>
        <v>2</v>
      </c>
      <c r="AR23" s="213">
        <f t="shared" si="5"/>
        <v>1.6666666666666665</v>
      </c>
      <c r="AS23" s="213">
        <f t="shared" si="5"/>
        <v>1.3333333333333335</v>
      </c>
      <c r="AT23" s="213">
        <f t="shared" si="5"/>
        <v>2.5</v>
      </c>
      <c r="AU23" s="213">
        <f t="shared" si="5"/>
        <v>2.5</v>
      </c>
      <c r="AV23" s="213">
        <f t="shared" si="5"/>
        <v>1.3333333333333335</v>
      </c>
      <c r="AW23" s="213">
        <f t="shared" si="5"/>
        <v>2</v>
      </c>
      <c r="AY23" s="162">
        <f t="shared" si="19"/>
        <v>1.428571383299347</v>
      </c>
      <c r="AZ23" s="162">
        <f t="shared" si="6"/>
        <v>1.9374999897453722</v>
      </c>
      <c r="BA23" s="162">
        <f t="shared" si="6"/>
        <v>2.4666664226614929</v>
      </c>
      <c r="BB23" s="162">
        <f t="shared" si="6"/>
        <v>2.3333332104507245</v>
      </c>
      <c r="BC23" s="162">
        <f t="shared" si="6"/>
        <v>1.4615384604278596</v>
      </c>
      <c r="BD23" s="162">
        <f t="shared" si="6"/>
        <v>1.9285712211273884</v>
      </c>
      <c r="BE23" s="162">
        <f t="shared" si="6"/>
        <v>0.99999999408830686</v>
      </c>
    </row>
    <row r="24" spans="1:57" x14ac:dyDescent="0.2">
      <c r="A24" s="143">
        <f t="shared" si="7"/>
        <v>1.8248037676609099</v>
      </c>
      <c r="B24" s="147">
        <f t="shared" si="20"/>
        <v>0.45833333333333337</v>
      </c>
      <c r="C24" s="135">
        <v>1.428571428571427</v>
      </c>
      <c r="D24" s="135">
        <v>1.4999999999999989</v>
      </c>
      <c r="E24" s="135">
        <v>1.7333333333333329</v>
      </c>
      <c r="F24" s="135">
        <v>1.666666666666667</v>
      </c>
      <c r="G24" s="135">
        <v>2.153846153846152</v>
      </c>
      <c r="H24" s="135">
        <v>2.214285714285714</v>
      </c>
      <c r="I24" s="135">
        <v>2.0769230769230762</v>
      </c>
      <c r="J24" s="165">
        <v>12</v>
      </c>
      <c r="K24" s="43">
        <f t="shared" si="8"/>
        <v>2</v>
      </c>
      <c r="L24" s="43">
        <f t="shared" si="9"/>
        <v>2</v>
      </c>
      <c r="M24" s="43">
        <f t="shared" si="10"/>
        <v>3</v>
      </c>
      <c r="N24" s="43">
        <f t="shared" si="11"/>
        <v>2</v>
      </c>
      <c r="O24" s="43">
        <f t="shared" si="12"/>
        <v>3</v>
      </c>
      <c r="P24" s="43">
        <f t="shared" si="13"/>
        <v>3</v>
      </c>
      <c r="Q24" s="43">
        <f t="shared" si="14"/>
        <v>2</v>
      </c>
      <c r="R24" s="165">
        <v>12</v>
      </c>
      <c r="S24" s="135">
        <v>6</v>
      </c>
      <c r="T24" s="135">
        <v>8</v>
      </c>
      <c r="U24" s="135">
        <v>7</v>
      </c>
      <c r="V24" s="135">
        <v>7</v>
      </c>
      <c r="W24" s="135">
        <v>7</v>
      </c>
      <c r="X24" s="135">
        <v>7</v>
      </c>
      <c r="Y24" s="135">
        <v>6</v>
      </c>
      <c r="AA24" s="55">
        <f t="shared" si="15"/>
        <v>0.99999996830954396</v>
      </c>
      <c r="AB24" s="55">
        <f t="shared" si="15"/>
        <v>0.99999999997587175</v>
      </c>
      <c r="AC24" s="55">
        <f t="shared" si="3"/>
        <v>0.99999990107898395</v>
      </c>
      <c r="AD24" s="55">
        <f t="shared" si="3"/>
        <v>0.99999994733602626</v>
      </c>
      <c r="AE24" s="55">
        <f t="shared" si="3"/>
        <v>0.99999991570841473</v>
      </c>
      <c r="AF24" s="55">
        <f t="shared" si="3"/>
        <v>0.99999989243642395</v>
      </c>
      <c r="AG24" s="55">
        <f t="shared" si="3"/>
        <v>0.99999965884710662</v>
      </c>
      <c r="AI24" s="214">
        <f t="shared" si="16"/>
        <v>4</v>
      </c>
      <c r="AJ24" s="214">
        <f t="shared" si="4"/>
        <v>6</v>
      </c>
      <c r="AK24" s="214">
        <f t="shared" si="4"/>
        <v>4</v>
      </c>
      <c r="AL24" s="214">
        <f t="shared" si="4"/>
        <v>5</v>
      </c>
      <c r="AM24" s="214">
        <f t="shared" si="4"/>
        <v>4</v>
      </c>
      <c r="AN24" s="214">
        <f t="shared" si="4"/>
        <v>4</v>
      </c>
      <c r="AO24" s="214">
        <f t="shared" si="4"/>
        <v>4</v>
      </c>
      <c r="AP24" s="206">
        <f t="shared" si="17"/>
        <v>0.45833333333333337</v>
      </c>
      <c r="AQ24" s="213">
        <f t="shared" si="18"/>
        <v>2</v>
      </c>
      <c r="AR24" s="213">
        <f t="shared" si="5"/>
        <v>3</v>
      </c>
      <c r="AS24" s="213">
        <f t="shared" si="5"/>
        <v>1.3333333333333335</v>
      </c>
      <c r="AT24" s="213">
        <f t="shared" si="5"/>
        <v>2.5</v>
      </c>
      <c r="AU24" s="213">
        <f t="shared" si="5"/>
        <v>1.3333333333333335</v>
      </c>
      <c r="AV24" s="213">
        <f t="shared" si="5"/>
        <v>1.3333333333333335</v>
      </c>
      <c r="AW24" s="213">
        <f t="shared" si="5"/>
        <v>2</v>
      </c>
      <c r="AY24" s="162">
        <f t="shared" si="19"/>
        <v>1.428571383299347</v>
      </c>
      <c r="AZ24" s="162">
        <f t="shared" si="6"/>
        <v>1.4999999999638065</v>
      </c>
      <c r="BA24" s="162">
        <f t="shared" si="6"/>
        <v>1.7333331618702386</v>
      </c>
      <c r="BB24" s="162">
        <f t="shared" si="6"/>
        <v>1.6666665788933774</v>
      </c>
      <c r="BC24" s="162">
        <f t="shared" si="6"/>
        <v>2.1538459722950454</v>
      </c>
      <c r="BD24" s="162">
        <f t="shared" si="6"/>
        <v>2.2142854761092243</v>
      </c>
      <c r="BE24" s="162">
        <f t="shared" si="6"/>
        <v>2.0769223683747593</v>
      </c>
    </row>
    <row r="25" spans="1:57" x14ac:dyDescent="0.2">
      <c r="A25" s="143">
        <f t="shared" si="7"/>
        <v>2.2987702773417054</v>
      </c>
      <c r="B25" s="147">
        <f t="shared" si="20"/>
        <v>0.5</v>
      </c>
      <c r="C25" s="135">
        <v>3.2142857142857131</v>
      </c>
      <c r="D25" s="135">
        <v>2.2499999999999991</v>
      </c>
      <c r="E25" s="135">
        <v>2.399999999999999</v>
      </c>
      <c r="F25" s="135">
        <v>1.666666666666667</v>
      </c>
      <c r="G25" s="135">
        <v>2.8461538461538458</v>
      </c>
      <c r="H25" s="135">
        <v>1.7142857142857131</v>
      </c>
      <c r="I25" s="135">
        <v>1.999999999999998</v>
      </c>
      <c r="J25" s="165">
        <v>13</v>
      </c>
      <c r="K25" s="43">
        <f t="shared" si="8"/>
        <v>3</v>
      </c>
      <c r="L25" s="43">
        <f t="shared" si="9"/>
        <v>3</v>
      </c>
      <c r="M25" s="43">
        <f t="shared" si="10"/>
        <v>3</v>
      </c>
      <c r="N25" s="43">
        <f t="shared" si="11"/>
        <v>2</v>
      </c>
      <c r="O25" s="43">
        <f t="shared" si="12"/>
        <v>3</v>
      </c>
      <c r="P25" s="43">
        <f t="shared" si="13"/>
        <v>3</v>
      </c>
      <c r="Q25" s="43">
        <f t="shared" si="14"/>
        <v>2</v>
      </c>
      <c r="R25" s="165">
        <v>13</v>
      </c>
      <c r="S25" s="135">
        <v>8</v>
      </c>
      <c r="T25" s="135">
        <v>8</v>
      </c>
      <c r="U25" s="135">
        <v>7</v>
      </c>
      <c r="V25" s="135">
        <v>8</v>
      </c>
      <c r="W25" s="135">
        <v>6</v>
      </c>
      <c r="X25" s="135">
        <v>8</v>
      </c>
      <c r="Y25" s="135">
        <v>7</v>
      </c>
      <c r="AA25" s="55">
        <f t="shared" si="15"/>
        <v>0.99999991842646285</v>
      </c>
      <c r="AB25" s="55">
        <f t="shared" si="15"/>
        <v>0.9999999947072894</v>
      </c>
      <c r="AC25" s="55">
        <f t="shared" si="3"/>
        <v>0.99999990107898395</v>
      </c>
      <c r="AD25" s="55">
        <f t="shared" si="3"/>
        <v>0.99999999790457006</v>
      </c>
      <c r="AE25" s="55">
        <f t="shared" si="3"/>
        <v>0.99998278687826214</v>
      </c>
      <c r="AF25" s="55">
        <f t="shared" si="3"/>
        <v>0.99999999524309413</v>
      </c>
      <c r="AG25" s="55">
        <f t="shared" si="3"/>
        <v>0.99999998746538998</v>
      </c>
      <c r="AI25" s="214">
        <f t="shared" si="16"/>
        <v>5</v>
      </c>
      <c r="AJ25" s="214">
        <f t="shared" si="4"/>
        <v>5</v>
      </c>
      <c r="AK25" s="214">
        <f t="shared" si="4"/>
        <v>4</v>
      </c>
      <c r="AL25" s="214">
        <f t="shared" si="4"/>
        <v>6</v>
      </c>
      <c r="AM25" s="214">
        <f t="shared" si="4"/>
        <v>3</v>
      </c>
      <c r="AN25" s="214">
        <f t="shared" si="4"/>
        <v>5</v>
      </c>
      <c r="AO25" s="214">
        <f t="shared" si="4"/>
        <v>5</v>
      </c>
      <c r="AP25" s="206">
        <f t="shared" si="17"/>
        <v>0.5</v>
      </c>
      <c r="AQ25" s="213">
        <f t="shared" si="18"/>
        <v>1.6666666666666665</v>
      </c>
      <c r="AR25" s="213">
        <f t="shared" si="5"/>
        <v>1.6666666666666665</v>
      </c>
      <c r="AS25" s="213">
        <f t="shared" si="5"/>
        <v>1.3333333333333335</v>
      </c>
      <c r="AT25" s="213">
        <f t="shared" si="5"/>
        <v>3</v>
      </c>
      <c r="AU25" s="213">
        <f t="shared" si="5"/>
        <v>1</v>
      </c>
      <c r="AV25" s="213">
        <f t="shared" si="5"/>
        <v>1.6666666666666665</v>
      </c>
      <c r="AW25" s="213">
        <f t="shared" si="5"/>
        <v>2.5</v>
      </c>
      <c r="AY25" s="162">
        <f t="shared" si="19"/>
        <v>3.2142854520850581</v>
      </c>
      <c r="AZ25" s="162">
        <f t="shared" si="6"/>
        <v>2.2499999880914001</v>
      </c>
      <c r="BA25" s="162">
        <f t="shared" si="6"/>
        <v>2.3999997625895606</v>
      </c>
      <c r="BB25" s="162">
        <f t="shared" si="6"/>
        <v>1.6666666631742837</v>
      </c>
      <c r="BC25" s="162">
        <f t="shared" si="6"/>
        <v>2.8461048549612071</v>
      </c>
      <c r="BD25" s="162">
        <f t="shared" si="6"/>
        <v>1.7142857061310173</v>
      </c>
      <c r="BE25" s="162">
        <f t="shared" si="6"/>
        <v>1.999999974930778</v>
      </c>
    </row>
    <row r="26" spans="1:57" x14ac:dyDescent="0.2">
      <c r="A26" s="143">
        <f t="shared" si="7"/>
        <v>1.7684262166405011</v>
      </c>
      <c r="B26" s="147">
        <f t="shared" si="20"/>
        <v>0.54166666666666663</v>
      </c>
      <c r="C26" s="135">
        <v>2.5714285714285698</v>
      </c>
      <c r="D26" s="135">
        <v>2.0624999999999978</v>
      </c>
      <c r="E26" s="135">
        <v>2.1333333333333302</v>
      </c>
      <c r="F26" s="135">
        <v>1.666666666666667</v>
      </c>
      <c r="G26" s="135">
        <v>1.6153846153846141</v>
      </c>
      <c r="H26" s="135">
        <v>1.7142857142857131</v>
      </c>
      <c r="I26" s="135">
        <v>0.6153846153846152</v>
      </c>
      <c r="J26" s="165">
        <v>14</v>
      </c>
      <c r="K26" s="43">
        <f t="shared" si="8"/>
        <v>3</v>
      </c>
      <c r="L26" s="43">
        <f t="shared" si="9"/>
        <v>3</v>
      </c>
      <c r="M26" s="43">
        <f t="shared" si="10"/>
        <v>3</v>
      </c>
      <c r="N26" s="43">
        <f t="shared" si="11"/>
        <v>2</v>
      </c>
      <c r="O26" s="43">
        <f t="shared" si="12"/>
        <v>3</v>
      </c>
      <c r="P26" s="43">
        <f t="shared" si="13"/>
        <v>3</v>
      </c>
      <c r="Q26" s="43">
        <f t="shared" si="14"/>
        <v>2</v>
      </c>
      <c r="R26" s="165">
        <v>14</v>
      </c>
      <c r="S26" s="135">
        <v>9</v>
      </c>
      <c r="T26" s="135">
        <v>9</v>
      </c>
      <c r="U26" s="135">
        <v>10</v>
      </c>
      <c r="V26" s="135">
        <v>9</v>
      </c>
      <c r="W26" s="135">
        <v>9</v>
      </c>
      <c r="X26" s="135">
        <v>8</v>
      </c>
      <c r="Y26" s="135">
        <v>9</v>
      </c>
      <c r="AA26" s="55">
        <f t="shared" si="15"/>
        <v>0.99999999535195305</v>
      </c>
      <c r="AB26" s="55">
        <f t="shared" si="15"/>
        <v>0.99999999978869791</v>
      </c>
      <c r="AC26" s="55">
        <f t="shared" si="3"/>
        <v>0.99999999999411227</v>
      </c>
      <c r="AD26" s="55">
        <f t="shared" si="3"/>
        <v>0.99999999992577837</v>
      </c>
      <c r="AE26" s="55">
        <f t="shared" si="3"/>
        <v>0.99999999986345711</v>
      </c>
      <c r="AF26" s="55">
        <f t="shared" si="3"/>
        <v>0.99999999524309413</v>
      </c>
      <c r="AG26" s="55">
        <f t="shared" si="3"/>
        <v>0.99999999999997469</v>
      </c>
      <c r="AI26" s="214">
        <f t="shared" si="16"/>
        <v>6</v>
      </c>
      <c r="AJ26" s="214">
        <f t="shared" si="4"/>
        <v>6</v>
      </c>
      <c r="AK26" s="214">
        <f t="shared" si="4"/>
        <v>7</v>
      </c>
      <c r="AL26" s="214">
        <f t="shared" si="4"/>
        <v>7</v>
      </c>
      <c r="AM26" s="214">
        <f t="shared" si="4"/>
        <v>6</v>
      </c>
      <c r="AN26" s="214">
        <f t="shared" si="4"/>
        <v>5</v>
      </c>
      <c r="AO26" s="214">
        <f t="shared" si="4"/>
        <v>7</v>
      </c>
      <c r="AP26" s="206">
        <f t="shared" si="17"/>
        <v>0.54166666666666663</v>
      </c>
      <c r="AQ26" s="213">
        <f t="shared" si="18"/>
        <v>2</v>
      </c>
      <c r="AR26" s="213">
        <f t="shared" si="5"/>
        <v>2</v>
      </c>
      <c r="AS26" s="213">
        <f t="shared" si="5"/>
        <v>2.3333333333333335</v>
      </c>
      <c r="AT26" s="213">
        <f t="shared" si="5"/>
        <v>3.5</v>
      </c>
      <c r="AU26" s="213">
        <f t="shared" si="5"/>
        <v>2</v>
      </c>
      <c r="AV26" s="213">
        <f t="shared" si="5"/>
        <v>1.6666666666666665</v>
      </c>
      <c r="AW26" s="213">
        <f t="shared" si="5"/>
        <v>3.5</v>
      </c>
      <c r="AY26" s="162">
        <f t="shared" si="19"/>
        <v>2.5714285594764492</v>
      </c>
      <c r="AZ26" s="162">
        <f t="shared" si="6"/>
        <v>2.0624999995641873</v>
      </c>
      <c r="BA26" s="162">
        <f t="shared" si="6"/>
        <v>2.1333333333207696</v>
      </c>
      <c r="BB26" s="162">
        <f t="shared" si="6"/>
        <v>1.6666666665429641</v>
      </c>
      <c r="BC26" s="162">
        <f t="shared" si="6"/>
        <v>1.6153846151640447</v>
      </c>
      <c r="BD26" s="162">
        <f t="shared" si="6"/>
        <v>1.7142857061310173</v>
      </c>
      <c r="BE26" s="162">
        <f t="shared" si="6"/>
        <v>0.61538461538459965</v>
      </c>
    </row>
    <row r="27" spans="1:57" x14ac:dyDescent="0.2">
      <c r="A27" s="143">
        <f t="shared" si="7"/>
        <v>1.716071428571428</v>
      </c>
      <c r="B27" s="147">
        <f t="shared" si="20"/>
        <v>0.58333333333333326</v>
      </c>
      <c r="C27" s="135">
        <v>1.714285714285714</v>
      </c>
      <c r="D27" s="135">
        <v>2.3124999999999978</v>
      </c>
      <c r="E27" s="135">
        <v>1.533333333333333</v>
      </c>
      <c r="F27" s="135">
        <v>2.1666666666666661</v>
      </c>
      <c r="G27" s="135">
        <v>2.0769230769230762</v>
      </c>
      <c r="H27" s="135">
        <v>1.285714285714284</v>
      </c>
      <c r="I27" s="135">
        <v>0.9230769230769228</v>
      </c>
      <c r="J27" s="165">
        <v>15</v>
      </c>
      <c r="K27" s="43">
        <f t="shared" si="8"/>
        <v>3</v>
      </c>
      <c r="L27" s="43">
        <f t="shared" si="9"/>
        <v>3</v>
      </c>
      <c r="M27" s="43">
        <f t="shared" si="10"/>
        <v>3</v>
      </c>
      <c r="N27" s="43">
        <f t="shared" si="11"/>
        <v>2</v>
      </c>
      <c r="O27" s="43">
        <f t="shared" si="12"/>
        <v>3</v>
      </c>
      <c r="P27" s="43">
        <f t="shared" si="13"/>
        <v>2</v>
      </c>
      <c r="Q27" s="43">
        <f t="shared" si="14"/>
        <v>2</v>
      </c>
      <c r="R27" s="165">
        <v>15</v>
      </c>
      <c r="S27" s="135">
        <v>9</v>
      </c>
      <c r="T27" s="135">
        <v>12</v>
      </c>
      <c r="U27" s="135">
        <v>12</v>
      </c>
      <c r="V27" s="135">
        <v>11</v>
      </c>
      <c r="W27" s="135">
        <v>11</v>
      </c>
      <c r="X27" s="135">
        <v>9</v>
      </c>
      <c r="Y27" s="135">
        <v>9</v>
      </c>
      <c r="AA27" s="55">
        <f t="shared" si="15"/>
        <v>0.99999999985958521</v>
      </c>
      <c r="AB27" s="55">
        <f t="shared" si="15"/>
        <v>0.99999999999999256</v>
      </c>
      <c r="AC27" s="55">
        <f t="shared" si="3"/>
        <v>0.99999999999999456</v>
      </c>
      <c r="AD27" s="55">
        <f t="shared" si="3"/>
        <v>0.99999999999993128</v>
      </c>
      <c r="AE27" s="55">
        <f t="shared" si="3"/>
        <v>0.99999999999985456</v>
      </c>
      <c r="AF27" s="55">
        <f t="shared" si="3"/>
        <v>0.99999999999957279</v>
      </c>
      <c r="AG27" s="55">
        <f t="shared" si="3"/>
        <v>0.99999999999997469</v>
      </c>
      <c r="AI27" s="214">
        <f t="shared" si="16"/>
        <v>6</v>
      </c>
      <c r="AJ27" s="214">
        <f t="shared" si="4"/>
        <v>9</v>
      </c>
      <c r="AK27" s="214">
        <f t="shared" si="4"/>
        <v>9</v>
      </c>
      <c r="AL27" s="214">
        <f t="shared" si="4"/>
        <v>9</v>
      </c>
      <c r="AM27" s="214">
        <f t="shared" si="4"/>
        <v>8</v>
      </c>
      <c r="AN27" s="214">
        <f t="shared" si="4"/>
        <v>7</v>
      </c>
      <c r="AO27" s="214">
        <f t="shared" si="4"/>
        <v>7</v>
      </c>
      <c r="AP27" s="206">
        <f t="shared" si="17"/>
        <v>0.58333333333333326</v>
      </c>
      <c r="AQ27" s="213">
        <f t="shared" si="18"/>
        <v>2</v>
      </c>
      <c r="AR27" s="213">
        <f t="shared" si="5"/>
        <v>3</v>
      </c>
      <c r="AS27" s="213">
        <f t="shared" si="5"/>
        <v>3</v>
      </c>
      <c r="AT27" s="213">
        <f t="shared" si="5"/>
        <v>4.5</v>
      </c>
      <c r="AU27" s="213">
        <f t="shared" si="5"/>
        <v>2.6666666666666665</v>
      </c>
      <c r="AV27" s="213">
        <f t="shared" si="5"/>
        <v>3.5</v>
      </c>
      <c r="AW27" s="213">
        <f t="shared" si="5"/>
        <v>3.5</v>
      </c>
      <c r="AY27" s="162">
        <f t="shared" si="19"/>
        <v>1.714285714045003</v>
      </c>
      <c r="AZ27" s="162">
        <f t="shared" si="6"/>
        <v>2.3124999999999805</v>
      </c>
      <c r="BA27" s="162">
        <f t="shared" si="6"/>
        <v>1.5333333333333246</v>
      </c>
      <c r="BB27" s="162">
        <f t="shared" si="6"/>
        <v>2.1666666666665173</v>
      </c>
      <c r="BC27" s="162">
        <f t="shared" si="6"/>
        <v>2.0769230769227742</v>
      </c>
      <c r="BD27" s="162">
        <f t="shared" si="6"/>
        <v>1.2857142857137347</v>
      </c>
      <c r="BE27" s="162">
        <f t="shared" si="6"/>
        <v>0.92307692307689948</v>
      </c>
    </row>
    <row r="28" spans="1:57" x14ac:dyDescent="0.2">
      <c r="A28" s="143">
        <f t="shared" si="7"/>
        <v>1.7490188383045513</v>
      </c>
      <c r="B28" s="147">
        <f t="shared" si="20"/>
        <v>0.62499999999999989</v>
      </c>
      <c r="C28" s="135">
        <v>1.2857142857142829</v>
      </c>
      <c r="D28" s="135">
        <v>2.125</v>
      </c>
      <c r="E28" s="135">
        <v>2.333333333333333</v>
      </c>
      <c r="F28" s="135">
        <v>1.9166666666666641</v>
      </c>
      <c r="G28" s="135">
        <v>2.0769230769230762</v>
      </c>
      <c r="H28" s="135">
        <v>1.4285714285714279</v>
      </c>
      <c r="I28" s="135">
        <v>1.0769230769230751</v>
      </c>
      <c r="J28" s="165">
        <v>16</v>
      </c>
      <c r="K28" s="43">
        <f t="shared" si="8"/>
        <v>2</v>
      </c>
      <c r="L28" s="43">
        <f t="shared" si="9"/>
        <v>3</v>
      </c>
      <c r="M28" s="43">
        <f t="shared" si="10"/>
        <v>3</v>
      </c>
      <c r="N28" s="43">
        <f t="shared" si="11"/>
        <v>2</v>
      </c>
      <c r="O28" s="43">
        <f t="shared" si="12"/>
        <v>3</v>
      </c>
      <c r="P28" s="43">
        <f t="shared" si="13"/>
        <v>2</v>
      </c>
      <c r="Q28" s="43">
        <f t="shared" si="14"/>
        <v>2</v>
      </c>
      <c r="R28" s="165">
        <v>16</v>
      </c>
      <c r="S28" s="135">
        <v>9</v>
      </c>
      <c r="T28" s="135">
        <v>10</v>
      </c>
      <c r="U28" s="135">
        <v>11</v>
      </c>
      <c r="V28" s="135">
        <v>12</v>
      </c>
      <c r="W28" s="135">
        <v>10</v>
      </c>
      <c r="X28" s="135">
        <v>8</v>
      </c>
      <c r="Y28" s="135">
        <v>8</v>
      </c>
      <c r="AA28" s="55">
        <f t="shared" si="15"/>
        <v>0.99999999999968137</v>
      </c>
      <c r="AB28" s="55">
        <f t="shared" si="15"/>
        <v>0.99999999999239886</v>
      </c>
      <c r="AC28" s="55">
        <f t="shared" si="3"/>
        <v>0.99999999999981226</v>
      </c>
      <c r="AD28" s="55">
        <f t="shared" si="3"/>
        <v>0.99999999999999822</v>
      </c>
      <c r="AE28" s="55">
        <f t="shared" si="3"/>
        <v>0.99999999999532796</v>
      </c>
      <c r="AF28" s="55">
        <f t="shared" si="3"/>
        <v>0.9999999999783612</v>
      </c>
      <c r="AG28" s="55">
        <f t="shared" si="3"/>
        <v>0.99999999999823974</v>
      </c>
      <c r="AI28" s="214">
        <f t="shared" si="16"/>
        <v>7</v>
      </c>
      <c r="AJ28" s="214">
        <f t="shared" si="4"/>
        <v>7</v>
      </c>
      <c r="AK28" s="214">
        <f t="shared" si="4"/>
        <v>8</v>
      </c>
      <c r="AL28" s="214">
        <f t="shared" si="4"/>
        <v>10</v>
      </c>
      <c r="AM28" s="214">
        <f t="shared" si="4"/>
        <v>7</v>
      </c>
      <c r="AN28" s="214">
        <f t="shared" si="4"/>
        <v>6</v>
      </c>
      <c r="AO28" s="214">
        <f t="shared" si="4"/>
        <v>6</v>
      </c>
      <c r="AP28" s="206">
        <f t="shared" si="17"/>
        <v>0.62499999999999989</v>
      </c>
      <c r="AQ28" s="213">
        <f t="shared" si="18"/>
        <v>3.5</v>
      </c>
      <c r="AR28" s="213">
        <f t="shared" si="5"/>
        <v>2.3333333333333335</v>
      </c>
      <c r="AS28" s="213">
        <f t="shared" si="5"/>
        <v>2.6666666666666665</v>
      </c>
      <c r="AT28" s="213">
        <f t="shared" si="5"/>
        <v>5</v>
      </c>
      <c r="AU28" s="213">
        <f t="shared" si="5"/>
        <v>2.3333333333333335</v>
      </c>
      <c r="AV28" s="213">
        <f t="shared" si="5"/>
        <v>3</v>
      </c>
      <c r="AW28" s="213">
        <f t="shared" si="5"/>
        <v>3</v>
      </c>
      <c r="AY28" s="162">
        <f t="shared" si="19"/>
        <v>1.2857142857138733</v>
      </c>
      <c r="AZ28" s="162">
        <f t="shared" si="6"/>
        <v>2.1249999999838476</v>
      </c>
      <c r="BA28" s="162">
        <f t="shared" si="6"/>
        <v>2.3333333333328952</v>
      </c>
      <c r="BB28" s="162">
        <f t="shared" si="6"/>
        <v>1.9166666666666607</v>
      </c>
      <c r="BC28" s="162">
        <f t="shared" si="6"/>
        <v>2.0769230769133729</v>
      </c>
      <c r="BD28" s="162">
        <f t="shared" si="6"/>
        <v>1.4285714285405153</v>
      </c>
      <c r="BE28" s="162">
        <f t="shared" si="6"/>
        <v>1.0769230769211795</v>
      </c>
    </row>
    <row r="29" spans="1:57" x14ac:dyDescent="0.2">
      <c r="A29" s="143">
        <f t="shared" si="7"/>
        <v>1.700588697017267</v>
      </c>
      <c r="B29" s="147">
        <f t="shared" si="20"/>
        <v>0.66666666666666652</v>
      </c>
      <c r="C29" s="135">
        <v>1.785714285714286</v>
      </c>
      <c r="D29" s="135">
        <v>1.8749999999999969</v>
      </c>
      <c r="E29" s="135">
        <v>1.399999999999997</v>
      </c>
      <c r="F29" s="135">
        <v>2.2499999999999978</v>
      </c>
      <c r="G29" s="135">
        <v>1.4615384615384599</v>
      </c>
      <c r="H29" s="135">
        <v>1.285714285714284</v>
      </c>
      <c r="I29" s="135">
        <v>1.846153846153846</v>
      </c>
      <c r="J29" s="165">
        <v>17</v>
      </c>
      <c r="K29" s="43">
        <f t="shared" si="8"/>
        <v>3</v>
      </c>
      <c r="L29" s="43">
        <f t="shared" si="9"/>
        <v>3</v>
      </c>
      <c r="M29" s="43">
        <f t="shared" si="10"/>
        <v>2</v>
      </c>
      <c r="N29" s="43">
        <f t="shared" si="11"/>
        <v>2</v>
      </c>
      <c r="O29" s="43">
        <f t="shared" si="12"/>
        <v>2</v>
      </c>
      <c r="P29" s="43">
        <f t="shared" si="13"/>
        <v>2</v>
      </c>
      <c r="Q29" s="43">
        <f t="shared" si="14"/>
        <v>2</v>
      </c>
      <c r="R29" s="165">
        <v>17</v>
      </c>
      <c r="S29" s="135">
        <v>8</v>
      </c>
      <c r="T29" s="135">
        <v>11</v>
      </c>
      <c r="U29" s="135">
        <v>9</v>
      </c>
      <c r="V29" s="135">
        <v>9</v>
      </c>
      <c r="W29" s="135">
        <v>9</v>
      </c>
      <c r="X29" s="135">
        <v>10</v>
      </c>
      <c r="Y29" s="135">
        <v>9</v>
      </c>
      <c r="AA29" s="55">
        <f t="shared" si="15"/>
        <v>0.99999999631439174</v>
      </c>
      <c r="AB29" s="55">
        <f t="shared" si="15"/>
        <v>0.9999999999997512</v>
      </c>
      <c r="AC29" s="55">
        <f t="shared" si="15"/>
        <v>0.99999999999961742</v>
      </c>
      <c r="AD29" s="55">
        <f t="shared" si="15"/>
        <v>0.99999999992577837</v>
      </c>
      <c r="AE29" s="55">
        <f t="shared" si="15"/>
        <v>0.99999999999969025</v>
      </c>
      <c r="AF29" s="55">
        <f t="shared" si="15"/>
        <v>0.99999999999999245</v>
      </c>
      <c r="AG29" s="55">
        <f t="shared" si="15"/>
        <v>0.99999999998842737</v>
      </c>
      <c r="AI29" s="214">
        <f t="shared" si="16"/>
        <v>5</v>
      </c>
      <c r="AJ29" s="214">
        <f t="shared" si="16"/>
        <v>8</v>
      </c>
      <c r="AK29" s="214">
        <f t="shared" si="16"/>
        <v>7</v>
      </c>
      <c r="AL29" s="214">
        <f t="shared" si="16"/>
        <v>7</v>
      </c>
      <c r="AM29" s="214">
        <f t="shared" si="16"/>
        <v>7</v>
      </c>
      <c r="AN29" s="214">
        <f t="shared" si="16"/>
        <v>8</v>
      </c>
      <c r="AO29" s="214">
        <f t="shared" si="16"/>
        <v>7</v>
      </c>
      <c r="AP29" s="206">
        <f t="shared" si="17"/>
        <v>0.66666666666666652</v>
      </c>
      <c r="AQ29" s="213">
        <f t="shared" si="18"/>
        <v>1.6666666666666665</v>
      </c>
      <c r="AR29" s="213">
        <f t="shared" si="18"/>
        <v>2.6666666666666665</v>
      </c>
      <c r="AS29" s="213">
        <f t="shared" si="18"/>
        <v>3.5</v>
      </c>
      <c r="AT29" s="213">
        <f t="shared" si="18"/>
        <v>3.5</v>
      </c>
      <c r="AU29" s="213">
        <f t="shared" si="18"/>
        <v>3.5</v>
      </c>
      <c r="AV29" s="213">
        <f t="shared" si="18"/>
        <v>4</v>
      </c>
      <c r="AW29" s="213">
        <f t="shared" si="18"/>
        <v>3.5</v>
      </c>
      <c r="AY29" s="162">
        <f t="shared" si="19"/>
        <v>1.7857142791328426</v>
      </c>
      <c r="AZ29" s="162">
        <f t="shared" si="19"/>
        <v>1.8749999999995304</v>
      </c>
      <c r="BA29" s="162">
        <f t="shared" si="19"/>
        <v>1.3999999999994615</v>
      </c>
      <c r="BB29" s="162">
        <f t="shared" si="19"/>
        <v>2.2499999998329989</v>
      </c>
      <c r="BC29" s="162">
        <f t="shared" si="19"/>
        <v>1.4615384615380071</v>
      </c>
      <c r="BD29" s="162">
        <f t="shared" si="19"/>
        <v>1.2857142857142743</v>
      </c>
      <c r="BE29" s="162">
        <f t="shared" si="19"/>
        <v>1.8461538461324811</v>
      </c>
    </row>
    <row r="30" spans="1:57" x14ac:dyDescent="0.2">
      <c r="A30" s="143">
        <f t="shared" si="7"/>
        <v>1.6293759811616939</v>
      </c>
      <c r="B30" s="147">
        <f t="shared" si="20"/>
        <v>0.70833333333333315</v>
      </c>
      <c r="C30" s="135">
        <v>1.9285714285714259</v>
      </c>
      <c r="D30" s="135">
        <v>1.6874999999999989</v>
      </c>
      <c r="E30" s="135">
        <v>1.933333333333332</v>
      </c>
      <c r="F30" s="135">
        <v>1.4166666666666661</v>
      </c>
      <c r="G30" s="135">
        <v>1.4615384615384599</v>
      </c>
      <c r="H30" s="135">
        <v>1.285714285714284</v>
      </c>
      <c r="I30" s="135">
        <v>1.6923076923076901</v>
      </c>
      <c r="J30" s="165">
        <v>18</v>
      </c>
      <c r="K30" s="43">
        <f t="shared" si="8"/>
        <v>3</v>
      </c>
      <c r="L30" s="43">
        <f t="shared" si="9"/>
        <v>3</v>
      </c>
      <c r="M30" s="43">
        <f t="shared" si="10"/>
        <v>3</v>
      </c>
      <c r="N30" s="43">
        <f t="shared" si="11"/>
        <v>2</v>
      </c>
      <c r="O30" s="43">
        <f t="shared" si="12"/>
        <v>2</v>
      </c>
      <c r="P30" s="43">
        <f t="shared" si="13"/>
        <v>2</v>
      </c>
      <c r="Q30" s="43">
        <f t="shared" si="14"/>
        <v>2</v>
      </c>
      <c r="R30" s="165">
        <v>18</v>
      </c>
      <c r="S30" s="135">
        <v>8</v>
      </c>
      <c r="T30" s="135">
        <v>9</v>
      </c>
      <c r="U30" s="135">
        <v>10</v>
      </c>
      <c r="V30" s="135">
        <v>9</v>
      </c>
      <c r="W30" s="135">
        <v>9</v>
      </c>
      <c r="X30" s="135">
        <v>8</v>
      </c>
      <c r="Y30" s="135">
        <v>9</v>
      </c>
      <c r="AA30" s="55">
        <f>ServiceLevel(C30,$B$10,K$10,$C$6,S30)</f>
        <v>0.99999999631439174</v>
      </c>
      <c r="AB30" s="55">
        <f t="shared" si="15"/>
        <v>0.99999999978869791</v>
      </c>
      <c r="AC30" s="55">
        <f t="shared" si="15"/>
        <v>0.99999999999411227</v>
      </c>
      <c r="AD30" s="55">
        <f t="shared" si="15"/>
        <v>0.99999999999983336</v>
      </c>
      <c r="AE30" s="55">
        <f t="shared" si="15"/>
        <v>0.99999999999969025</v>
      </c>
      <c r="AF30" s="55">
        <f t="shared" si="15"/>
        <v>0.9999999999783612</v>
      </c>
      <c r="AG30" s="55">
        <f t="shared" si="15"/>
        <v>0.99999999998842737</v>
      </c>
      <c r="AI30" s="214">
        <f t="shared" si="16"/>
        <v>5</v>
      </c>
      <c r="AJ30" s="214">
        <f t="shared" si="16"/>
        <v>6</v>
      </c>
      <c r="AK30" s="214">
        <f t="shared" si="16"/>
        <v>7</v>
      </c>
      <c r="AL30" s="214">
        <f t="shared" si="16"/>
        <v>7</v>
      </c>
      <c r="AM30" s="214">
        <f t="shared" si="16"/>
        <v>7</v>
      </c>
      <c r="AN30" s="214">
        <f t="shared" si="16"/>
        <v>6</v>
      </c>
      <c r="AO30" s="214">
        <f t="shared" si="16"/>
        <v>7</v>
      </c>
      <c r="AP30" s="206">
        <f t="shared" si="17"/>
        <v>0.70833333333333315</v>
      </c>
      <c r="AQ30" s="213">
        <f t="shared" si="18"/>
        <v>1.6666666666666665</v>
      </c>
      <c r="AR30" s="213">
        <f t="shared" si="18"/>
        <v>2</v>
      </c>
      <c r="AS30" s="213">
        <f t="shared" si="18"/>
        <v>2.3333333333333335</v>
      </c>
      <c r="AT30" s="213">
        <f t="shared" si="18"/>
        <v>3.5</v>
      </c>
      <c r="AU30" s="213">
        <f t="shared" si="18"/>
        <v>3.5</v>
      </c>
      <c r="AV30" s="213">
        <f t="shared" si="18"/>
        <v>3</v>
      </c>
      <c r="AW30" s="213">
        <f t="shared" si="18"/>
        <v>3.5</v>
      </c>
      <c r="AY30" s="162">
        <f t="shared" si="19"/>
        <v>1.9285714214634671</v>
      </c>
      <c r="AZ30" s="162">
        <f t="shared" si="19"/>
        <v>1.6874999996434266</v>
      </c>
      <c r="BA30" s="162">
        <f t="shared" si="19"/>
        <v>1.9333333333219491</v>
      </c>
      <c r="BB30" s="162">
        <f t="shared" si="19"/>
        <v>1.41666666666643</v>
      </c>
      <c r="BC30" s="162">
        <f t="shared" si="19"/>
        <v>1.4615384615380071</v>
      </c>
      <c r="BD30" s="162">
        <f t="shared" si="19"/>
        <v>1.2857142856864627</v>
      </c>
      <c r="BE30" s="162">
        <f t="shared" si="19"/>
        <v>1.6923076922881055</v>
      </c>
    </row>
    <row r="31" spans="1:57" x14ac:dyDescent="0.2">
      <c r="A31" s="143">
        <f t="shared" si="7"/>
        <v>1.6824045002616417</v>
      </c>
      <c r="B31" s="147">
        <f t="shared" si="20"/>
        <v>0.74999999999999978</v>
      </c>
      <c r="C31" s="135">
        <v>1.642857142857141</v>
      </c>
      <c r="D31" s="135">
        <v>1.624999999999998</v>
      </c>
      <c r="E31" s="135">
        <v>1.7333333333333329</v>
      </c>
      <c r="F31" s="135">
        <v>2.083333333333333</v>
      </c>
      <c r="G31" s="135">
        <v>1.9999999999999989</v>
      </c>
      <c r="H31" s="135">
        <v>1.9999999999999989</v>
      </c>
      <c r="I31" s="135">
        <v>0.6923076923076904</v>
      </c>
      <c r="J31" s="165">
        <v>19</v>
      </c>
      <c r="K31" s="43">
        <f t="shared" si="8"/>
        <v>3</v>
      </c>
      <c r="L31" s="43">
        <f>AgentsRequired(D31,$B$10,L$10,$C$4,$C$6,$C$2,$D$8)</f>
        <v>3</v>
      </c>
      <c r="M31" s="43">
        <f t="shared" si="10"/>
        <v>3</v>
      </c>
      <c r="N31" s="43">
        <f t="shared" si="11"/>
        <v>2</v>
      </c>
      <c r="O31" s="43">
        <f t="shared" si="12"/>
        <v>3</v>
      </c>
      <c r="P31" s="43">
        <f t="shared" si="13"/>
        <v>3</v>
      </c>
      <c r="Q31" s="43">
        <f t="shared" si="14"/>
        <v>2</v>
      </c>
      <c r="R31" s="165">
        <v>19</v>
      </c>
      <c r="S31" s="135">
        <v>8</v>
      </c>
      <c r="T31" s="135">
        <v>7</v>
      </c>
      <c r="U31" s="135">
        <v>9</v>
      </c>
      <c r="V31" s="135">
        <v>8</v>
      </c>
      <c r="W31" s="135">
        <v>8</v>
      </c>
      <c r="X31" s="135">
        <v>6</v>
      </c>
      <c r="Y31" s="135">
        <v>8</v>
      </c>
      <c r="AA31" s="55">
        <f t="shared" si="15"/>
        <v>0.99999999631439174</v>
      </c>
      <c r="AB31" s="55">
        <f t="shared" si="15"/>
        <v>0.99999988195922773</v>
      </c>
      <c r="AC31" s="55">
        <f t="shared" si="15"/>
        <v>0.99999999983197152</v>
      </c>
      <c r="AD31" s="55">
        <f t="shared" si="15"/>
        <v>0.99999999790457006</v>
      </c>
      <c r="AE31" s="55">
        <f t="shared" si="15"/>
        <v>0.99999999640453729</v>
      </c>
      <c r="AF31" s="55">
        <f t="shared" si="15"/>
        <v>0.99999786641780919</v>
      </c>
      <c r="AG31" s="55">
        <f t="shared" si="15"/>
        <v>0.99999999999823974</v>
      </c>
      <c r="AI31" s="214">
        <f t="shared" si="16"/>
        <v>5</v>
      </c>
      <c r="AJ31" s="214">
        <f t="shared" si="16"/>
        <v>4</v>
      </c>
      <c r="AK31" s="214">
        <f t="shared" si="16"/>
        <v>6</v>
      </c>
      <c r="AL31" s="214">
        <f t="shared" si="16"/>
        <v>6</v>
      </c>
      <c r="AM31" s="214">
        <f t="shared" si="16"/>
        <v>5</v>
      </c>
      <c r="AN31" s="214">
        <f t="shared" si="16"/>
        <v>3</v>
      </c>
      <c r="AO31" s="214">
        <f t="shared" si="16"/>
        <v>6</v>
      </c>
      <c r="AP31" s="206">
        <f t="shared" si="17"/>
        <v>0.74999999999999978</v>
      </c>
      <c r="AQ31" s="213">
        <f t="shared" si="18"/>
        <v>1.6666666666666665</v>
      </c>
      <c r="AR31" s="213">
        <f t="shared" si="18"/>
        <v>1.3333333333333335</v>
      </c>
      <c r="AS31" s="213">
        <f t="shared" si="18"/>
        <v>2</v>
      </c>
      <c r="AT31" s="213">
        <f t="shared" si="18"/>
        <v>3</v>
      </c>
      <c r="AU31" s="213">
        <f t="shared" si="18"/>
        <v>1.6666666666666665</v>
      </c>
      <c r="AV31" s="213">
        <f t="shared" si="18"/>
        <v>1</v>
      </c>
      <c r="AW31" s="213">
        <f t="shared" si="18"/>
        <v>3</v>
      </c>
      <c r="AY31" s="162">
        <f t="shared" si="19"/>
        <v>1.6428571368022131</v>
      </c>
      <c r="AZ31" s="162">
        <f t="shared" si="19"/>
        <v>1.6249998081837431</v>
      </c>
      <c r="BA31" s="162">
        <f t="shared" si="19"/>
        <v>1.7333333330420835</v>
      </c>
      <c r="BB31" s="162">
        <f t="shared" si="19"/>
        <v>2.0833333289678539</v>
      </c>
      <c r="BC31" s="162">
        <f t="shared" si="19"/>
        <v>1.9999999928090735</v>
      </c>
      <c r="BD31" s="162">
        <f t="shared" si="19"/>
        <v>1.9999957328356173</v>
      </c>
      <c r="BE31" s="162">
        <f t="shared" si="19"/>
        <v>0.69230769230647171</v>
      </c>
    </row>
    <row r="32" spans="1:57" x14ac:dyDescent="0.2">
      <c r="A32" s="143">
        <f t="shared" si="7"/>
        <v>1.4875588697017252</v>
      </c>
      <c r="B32" s="147">
        <f t="shared" si="20"/>
        <v>0.79166666666666641</v>
      </c>
      <c r="C32" s="135">
        <v>1.642857142857141</v>
      </c>
      <c r="D32" s="135">
        <v>1.624999999999998</v>
      </c>
      <c r="E32" s="135">
        <v>2.1999999999999971</v>
      </c>
      <c r="F32" s="135">
        <v>1.499999999999998</v>
      </c>
      <c r="G32" s="135">
        <v>1.6153846153846141</v>
      </c>
      <c r="H32" s="135">
        <v>1.2142857142857131</v>
      </c>
      <c r="I32" s="135">
        <v>0.6153846153846152</v>
      </c>
      <c r="J32" s="165">
        <v>20</v>
      </c>
      <c r="K32" s="43">
        <f t="shared" si="8"/>
        <v>3</v>
      </c>
      <c r="L32" s="43">
        <f t="shared" si="9"/>
        <v>3</v>
      </c>
      <c r="M32" s="43">
        <f t="shared" si="10"/>
        <v>3</v>
      </c>
      <c r="N32" s="43">
        <f t="shared" si="11"/>
        <v>2</v>
      </c>
      <c r="O32" s="43">
        <f t="shared" si="12"/>
        <v>3</v>
      </c>
      <c r="P32" s="43">
        <f t="shared" si="13"/>
        <v>2</v>
      </c>
      <c r="Q32" s="43">
        <f t="shared" si="14"/>
        <v>2</v>
      </c>
      <c r="R32" s="165">
        <v>20</v>
      </c>
      <c r="S32" s="135">
        <v>8</v>
      </c>
      <c r="T32" s="135">
        <v>7</v>
      </c>
      <c r="U32" s="135">
        <v>8</v>
      </c>
      <c r="V32" s="135">
        <v>8</v>
      </c>
      <c r="W32" s="135">
        <v>8</v>
      </c>
      <c r="X32" s="135">
        <v>6</v>
      </c>
      <c r="Y32" s="135">
        <v>8</v>
      </c>
      <c r="AA32" s="55">
        <f t="shared" si="15"/>
        <v>0.99999999631439174</v>
      </c>
      <c r="AB32" s="55">
        <f t="shared" si="15"/>
        <v>0.99999988195922773</v>
      </c>
      <c r="AC32" s="55">
        <f t="shared" si="15"/>
        <v>0.9999999956792861</v>
      </c>
      <c r="AD32" s="55">
        <f t="shared" si="15"/>
        <v>0.99999999999061595</v>
      </c>
      <c r="AE32" s="55">
        <f t="shared" si="15"/>
        <v>0.99999999640453729</v>
      </c>
      <c r="AF32" s="55">
        <f t="shared" si="15"/>
        <v>0.999999961519209</v>
      </c>
      <c r="AG32" s="55">
        <f t="shared" si="15"/>
        <v>0.99999999999823974</v>
      </c>
      <c r="AI32" s="214">
        <f t="shared" si="16"/>
        <v>5</v>
      </c>
      <c r="AJ32" s="214">
        <f t="shared" si="16"/>
        <v>4</v>
      </c>
      <c r="AK32" s="214">
        <f t="shared" si="16"/>
        <v>5</v>
      </c>
      <c r="AL32" s="214">
        <f t="shared" si="16"/>
        <v>6</v>
      </c>
      <c r="AM32" s="214">
        <f t="shared" si="16"/>
        <v>5</v>
      </c>
      <c r="AN32" s="214">
        <f t="shared" si="16"/>
        <v>4</v>
      </c>
      <c r="AO32" s="214">
        <f t="shared" si="16"/>
        <v>6</v>
      </c>
      <c r="AP32" s="206">
        <f t="shared" si="17"/>
        <v>0.79166666666666641</v>
      </c>
      <c r="AQ32" s="213">
        <f t="shared" si="18"/>
        <v>1.6666666666666665</v>
      </c>
      <c r="AR32" s="213">
        <f t="shared" si="18"/>
        <v>1.3333333333333335</v>
      </c>
      <c r="AS32" s="213">
        <f t="shared" si="18"/>
        <v>1.6666666666666665</v>
      </c>
      <c r="AT32" s="213">
        <f t="shared" si="18"/>
        <v>3</v>
      </c>
      <c r="AU32" s="213">
        <f t="shared" si="18"/>
        <v>1.6666666666666665</v>
      </c>
      <c r="AV32" s="213">
        <f t="shared" si="18"/>
        <v>2</v>
      </c>
      <c r="AW32" s="213">
        <f t="shared" si="18"/>
        <v>3</v>
      </c>
      <c r="AY32" s="162">
        <f t="shared" si="19"/>
        <v>1.6428571368022131</v>
      </c>
      <c r="AZ32" s="162">
        <f t="shared" si="19"/>
        <v>1.6249998081837431</v>
      </c>
      <c r="BA32" s="162">
        <f t="shared" si="19"/>
        <v>2.1999999904944265</v>
      </c>
      <c r="BB32" s="162">
        <f t="shared" si="19"/>
        <v>1.4999999999859219</v>
      </c>
      <c r="BC32" s="162">
        <f t="shared" si="19"/>
        <v>1.6153846095765589</v>
      </c>
      <c r="BD32" s="162">
        <f t="shared" si="19"/>
        <v>1.2142856675590383</v>
      </c>
      <c r="BE32" s="162">
        <f t="shared" si="19"/>
        <v>0.61538461538353195</v>
      </c>
    </row>
    <row r="33" spans="1:57" x14ac:dyDescent="0.2">
      <c r="A33" s="143">
        <f t="shared" si="7"/>
        <v>1.1433215593929862</v>
      </c>
      <c r="B33" s="147">
        <f t="shared" si="20"/>
        <v>0.83333333333333304</v>
      </c>
      <c r="C33" s="135">
        <v>1.428571428571427</v>
      </c>
      <c r="D33" s="135">
        <v>0.68749999999999944</v>
      </c>
      <c r="E33" s="135">
        <v>1.399999999999997</v>
      </c>
      <c r="F33" s="135">
        <v>1.3333333333333299</v>
      </c>
      <c r="G33" s="135">
        <v>1.538461538461537</v>
      </c>
      <c r="H33" s="135">
        <v>0.999999999999998</v>
      </c>
      <c r="I33" s="135">
        <v>0.6153846153846152</v>
      </c>
      <c r="J33" s="165">
        <v>21</v>
      </c>
      <c r="K33" s="43">
        <f t="shared" si="8"/>
        <v>2</v>
      </c>
      <c r="L33" s="43">
        <f t="shared" si="9"/>
        <v>2</v>
      </c>
      <c r="M33" s="43">
        <f t="shared" si="10"/>
        <v>2</v>
      </c>
      <c r="N33" s="43">
        <f t="shared" si="11"/>
        <v>2</v>
      </c>
      <c r="O33" s="43">
        <f t="shared" si="12"/>
        <v>3</v>
      </c>
      <c r="P33" s="43">
        <f t="shared" si="13"/>
        <v>2</v>
      </c>
      <c r="Q33" s="43">
        <f t="shared" si="14"/>
        <v>2</v>
      </c>
      <c r="R33" s="165">
        <v>21</v>
      </c>
      <c r="S33" s="135">
        <v>7</v>
      </c>
      <c r="T33" s="135">
        <v>7</v>
      </c>
      <c r="U33" s="135">
        <v>8</v>
      </c>
      <c r="V33" s="135">
        <v>8</v>
      </c>
      <c r="W33" s="135">
        <v>7</v>
      </c>
      <c r="X33" s="135">
        <v>6</v>
      </c>
      <c r="Y33" s="135">
        <v>7</v>
      </c>
      <c r="AA33" s="55">
        <f t="shared" si="15"/>
        <v>0.99999999922318317</v>
      </c>
      <c r="AB33" s="55">
        <f t="shared" si="15"/>
        <v>0.99999999892784952</v>
      </c>
      <c r="AC33" s="55">
        <f t="shared" si="15"/>
        <v>0.99999999998038325</v>
      </c>
      <c r="AD33" s="55">
        <f t="shared" si="15"/>
        <v>0.99999999999061595</v>
      </c>
      <c r="AE33" s="55">
        <f t="shared" si="15"/>
        <v>0.99999991570841473</v>
      </c>
      <c r="AF33" s="55">
        <f t="shared" si="15"/>
        <v>0.999999961519209</v>
      </c>
      <c r="AG33" s="55">
        <f t="shared" si="15"/>
        <v>0.99999999989099342</v>
      </c>
      <c r="AI33" s="214">
        <f t="shared" si="16"/>
        <v>5</v>
      </c>
      <c r="AJ33" s="214">
        <f t="shared" si="16"/>
        <v>5</v>
      </c>
      <c r="AK33" s="214">
        <f t="shared" si="16"/>
        <v>6</v>
      </c>
      <c r="AL33" s="214">
        <f t="shared" si="16"/>
        <v>6</v>
      </c>
      <c r="AM33" s="214">
        <f t="shared" si="16"/>
        <v>4</v>
      </c>
      <c r="AN33" s="214">
        <f t="shared" si="16"/>
        <v>4</v>
      </c>
      <c r="AO33" s="214">
        <f t="shared" si="16"/>
        <v>5</v>
      </c>
      <c r="AP33" s="206">
        <f t="shared" si="17"/>
        <v>0.83333333333333304</v>
      </c>
      <c r="AQ33" s="213">
        <f t="shared" si="18"/>
        <v>2.5</v>
      </c>
      <c r="AR33" s="213">
        <f t="shared" si="18"/>
        <v>2.5</v>
      </c>
      <c r="AS33" s="213">
        <f t="shared" si="18"/>
        <v>3</v>
      </c>
      <c r="AT33" s="213">
        <f t="shared" si="18"/>
        <v>3</v>
      </c>
      <c r="AU33" s="213">
        <f t="shared" si="18"/>
        <v>1.3333333333333335</v>
      </c>
      <c r="AV33" s="213">
        <f t="shared" si="18"/>
        <v>2</v>
      </c>
      <c r="AW33" s="213">
        <f t="shared" si="18"/>
        <v>2.5</v>
      </c>
      <c r="AY33" s="162">
        <f t="shared" si="19"/>
        <v>1.4285714274616887</v>
      </c>
      <c r="AZ33" s="162">
        <f t="shared" si="19"/>
        <v>0.68749999926289596</v>
      </c>
      <c r="BA33" s="162">
        <f t="shared" si="19"/>
        <v>1.3999999999725337</v>
      </c>
      <c r="BB33" s="162">
        <f t="shared" si="19"/>
        <v>1.3333333333208179</v>
      </c>
      <c r="BC33" s="162">
        <f t="shared" si="19"/>
        <v>1.5384614087821751</v>
      </c>
      <c r="BD33" s="162">
        <f t="shared" si="19"/>
        <v>0.999999961519207</v>
      </c>
      <c r="BE33" s="162">
        <f t="shared" si="19"/>
        <v>0.61538461531753419</v>
      </c>
    </row>
    <row r="34" spans="1:57" x14ac:dyDescent="0.2">
      <c r="A34" s="143">
        <f t="shared" si="7"/>
        <v>1.2907116692830962</v>
      </c>
      <c r="B34" s="147">
        <f t="shared" si="20"/>
        <v>0.87499999999999967</v>
      </c>
      <c r="C34" s="135">
        <v>1.2857142857142829</v>
      </c>
      <c r="D34" s="135">
        <v>1.4999999999999989</v>
      </c>
      <c r="E34" s="135">
        <v>1.2666666666666651</v>
      </c>
      <c r="F34" s="135">
        <v>1.9166666666666641</v>
      </c>
      <c r="G34" s="135">
        <v>1.0769230769230751</v>
      </c>
      <c r="H34" s="135">
        <v>1.1428571428571419</v>
      </c>
      <c r="I34" s="135">
        <v>0.84615384615384526</v>
      </c>
      <c r="J34" s="165">
        <v>22</v>
      </c>
      <c r="K34" s="43">
        <f t="shared" si="8"/>
        <v>2</v>
      </c>
      <c r="L34" s="43">
        <f t="shared" si="9"/>
        <v>2</v>
      </c>
      <c r="M34" s="43">
        <f t="shared" si="10"/>
        <v>2</v>
      </c>
      <c r="N34" s="43">
        <f t="shared" si="11"/>
        <v>2</v>
      </c>
      <c r="O34" s="43">
        <f t="shared" si="12"/>
        <v>2</v>
      </c>
      <c r="P34" s="43">
        <f t="shared" si="13"/>
        <v>2</v>
      </c>
      <c r="Q34" s="43">
        <f t="shared" si="14"/>
        <v>2</v>
      </c>
      <c r="R34" s="165">
        <v>22</v>
      </c>
      <c r="S34" s="135">
        <v>6</v>
      </c>
      <c r="T34" s="135">
        <v>5</v>
      </c>
      <c r="U34" s="135">
        <v>7</v>
      </c>
      <c r="V34" s="135">
        <v>7</v>
      </c>
      <c r="W34" s="135">
        <v>7</v>
      </c>
      <c r="X34" s="135">
        <v>5</v>
      </c>
      <c r="Y34" s="135">
        <v>6</v>
      </c>
      <c r="AA34" s="55">
        <f t="shared" si="15"/>
        <v>0.99999996830954396</v>
      </c>
      <c r="AB34" s="55">
        <f t="shared" si="15"/>
        <v>0.99999860458393619</v>
      </c>
      <c r="AC34" s="55">
        <f t="shared" si="15"/>
        <v>0.99999999910508774</v>
      </c>
      <c r="AD34" s="55">
        <f t="shared" si="15"/>
        <v>0.99999994733602626</v>
      </c>
      <c r="AE34" s="55">
        <f t="shared" si="15"/>
        <v>0.99999999924011562</v>
      </c>
      <c r="AF34" s="55">
        <f t="shared" si="15"/>
        <v>0.99999869559135057</v>
      </c>
      <c r="AG34" s="55">
        <f t="shared" si="15"/>
        <v>0.99999999408830886</v>
      </c>
      <c r="AI34" s="214">
        <f t="shared" si="16"/>
        <v>4</v>
      </c>
      <c r="AJ34" s="214">
        <f t="shared" si="16"/>
        <v>3</v>
      </c>
      <c r="AK34" s="214">
        <f t="shared" si="16"/>
        <v>5</v>
      </c>
      <c r="AL34" s="214">
        <f t="shared" si="16"/>
        <v>5</v>
      </c>
      <c r="AM34" s="214">
        <f t="shared" si="16"/>
        <v>5</v>
      </c>
      <c r="AN34" s="214">
        <f t="shared" si="16"/>
        <v>3</v>
      </c>
      <c r="AO34" s="214">
        <f t="shared" si="16"/>
        <v>4</v>
      </c>
      <c r="AP34" s="206">
        <f t="shared" si="17"/>
        <v>0.87499999999999967</v>
      </c>
      <c r="AQ34" s="213">
        <f t="shared" si="18"/>
        <v>2</v>
      </c>
      <c r="AR34" s="213">
        <f t="shared" si="18"/>
        <v>1.5</v>
      </c>
      <c r="AS34" s="213">
        <f t="shared" si="18"/>
        <v>2.5</v>
      </c>
      <c r="AT34" s="213">
        <f t="shared" si="18"/>
        <v>2.5</v>
      </c>
      <c r="AU34" s="213">
        <f t="shared" si="18"/>
        <v>2.5</v>
      </c>
      <c r="AV34" s="213">
        <f t="shared" si="18"/>
        <v>1.5</v>
      </c>
      <c r="AW34" s="213">
        <f t="shared" si="18"/>
        <v>2</v>
      </c>
      <c r="AY34" s="162">
        <f t="shared" si="19"/>
        <v>1.2857142449694108</v>
      </c>
      <c r="AZ34" s="162">
        <f t="shared" si="19"/>
        <v>1.4999979068759033</v>
      </c>
      <c r="BA34" s="162">
        <f t="shared" si="19"/>
        <v>1.2666666655331096</v>
      </c>
      <c r="BB34" s="162">
        <f t="shared" si="19"/>
        <v>1.9166665657273811</v>
      </c>
      <c r="BC34" s="162">
        <f t="shared" si="19"/>
        <v>1.0769230761047381</v>
      </c>
      <c r="BD34" s="162">
        <f t="shared" si="19"/>
        <v>1.1428556521043998</v>
      </c>
      <c r="BE34" s="162">
        <f t="shared" si="19"/>
        <v>0.84615384115164505</v>
      </c>
    </row>
    <row r="35" spans="1:57" x14ac:dyDescent="0.2">
      <c r="A35" s="143">
        <f t="shared" si="7"/>
        <v>1.1084183673469374</v>
      </c>
      <c r="B35" s="147">
        <f t="shared" si="20"/>
        <v>0.9166666666666663</v>
      </c>
      <c r="C35" s="135">
        <v>1.428571428571427</v>
      </c>
      <c r="D35" s="135">
        <v>0.93749999999999878</v>
      </c>
      <c r="E35" s="135">
        <v>0.99999999999999878</v>
      </c>
      <c r="F35" s="135">
        <v>1.249999999999998</v>
      </c>
      <c r="G35" s="135">
        <v>1.2307692307692291</v>
      </c>
      <c r="H35" s="135">
        <v>1.1428571428571419</v>
      </c>
      <c r="I35" s="135">
        <v>0.76923076923076783</v>
      </c>
      <c r="J35" s="165">
        <v>23</v>
      </c>
      <c r="K35" s="43">
        <f t="shared" si="8"/>
        <v>2</v>
      </c>
      <c r="L35" s="43">
        <f t="shared" si="9"/>
        <v>2</v>
      </c>
      <c r="M35" s="43">
        <f t="shared" si="10"/>
        <v>2</v>
      </c>
      <c r="N35" s="43">
        <f t="shared" si="11"/>
        <v>2</v>
      </c>
      <c r="O35" s="43">
        <f t="shared" si="12"/>
        <v>2</v>
      </c>
      <c r="P35" s="43">
        <f t="shared" si="13"/>
        <v>2</v>
      </c>
      <c r="Q35" s="43">
        <f t="shared" si="14"/>
        <v>2</v>
      </c>
      <c r="R35" s="165">
        <v>23</v>
      </c>
      <c r="S35" s="135">
        <v>2</v>
      </c>
      <c r="T35" s="135">
        <v>2</v>
      </c>
      <c r="U35" s="135">
        <v>2</v>
      </c>
      <c r="V35" s="135">
        <v>2</v>
      </c>
      <c r="W35" s="135">
        <v>2</v>
      </c>
      <c r="X35" s="135">
        <v>2</v>
      </c>
      <c r="Y35" s="135">
        <v>2</v>
      </c>
      <c r="AA35" s="55">
        <f t="shared" si="15"/>
        <v>0.9861925693090734</v>
      </c>
      <c r="AB35" s="55">
        <f t="shared" si="15"/>
        <v>0.9848878463301477</v>
      </c>
      <c r="AC35" s="55">
        <f t="shared" si="15"/>
        <v>0.98563387564422</v>
      </c>
      <c r="AD35" s="55">
        <f t="shared" si="15"/>
        <v>0.98800694457237348</v>
      </c>
      <c r="AE35" s="55">
        <f t="shared" si="15"/>
        <v>0.98627761088846444</v>
      </c>
      <c r="AF35" s="55">
        <f t="shared" si="15"/>
        <v>0.98528497563076445</v>
      </c>
      <c r="AG35" s="55">
        <f t="shared" si="15"/>
        <v>0.99204745443656261</v>
      </c>
      <c r="AI35" s="214">
        <f t="shared" si="16"/>
        <v>0</v>
      </c>
      <c r="AJ35" s="214">
        <f t="shared" si="16"/>
        <v>0</v>
      </c>
      <c r="AK35" s="214">
        <f t="shared" si="16"/>
        <v>0</v>
      </c>
      <c r="AL35" s="214">
        <f t="shared" si="16"/>
        <v>0</v>
      </c>
      <c r="AM35" s="214">
        <f t="shared" si="16"/>
        <v>0</v>
      </c>
      <c r="AN35" s="214">
        <f t="shared" si="16"/>
        <v>0</v>
      </c>
      <c r="AO35" s="214">
        <f t="shared" si="16"/>
        <v>0</v>
      </c>
      <c r="AP35" s="206">
        <f t="shared" si="17"/>
        <v>0.9166666666666663</v>
      </c>
      <c r="AQ35" s="213">
        <f t="shared" si="18"/>
        <v>0</v>
      </c>
      <c r="AR35" s="213">
        <f t="shared" si="18"/>
        <v>0</v>
      </c>
      <c r="AS35" s="213">
        <f t="shared" si="18"/>
        <v>0</v>
      </c>
      <c r="AT35" s="213">
        <f t="shared" si="18"/>
        <v>0</v>
      </c>
      <c r="AU35" s="213">
        <f t="shared" si="18"/>
        <v>0</v>
      </c>
      <c r="AV35" s="213">
        <f t="shared" si="18"/>
        <v>0</v>
      </c>
      <c r="AW35" s="213">
        <f t="shared" si="18"/>
        <v>0</v>
      </c>
      <c r="AY35" s="162">
        <f t="shared" si="19"/>
        <v>1.4088465275843891</v>
      </c>
      <c r="AZ35" s="162">
        <f t="shared" si="19"/>
        <v>0.92333235593451224</v>
      </c>
      <c r="BA35" s="162">
        <f t="shared" si="19"/>
        <v>0.98563387564421878</v>
      </c>
      <c r="BB35" s="162">
        <f t="shared" si="19"/>
        <v>1.2350086807154648</v>
      </c>
      <c r="BC35" s="162">
        <f t="shared" si="19"/>
        <v>1.2138801364781084</v>
      </c>
      <c r="BD35" s="162">
        <f t="shared" si="19"/>
        <v>1.1260399721494441</v>
      </c>
      <c r="BE35" s="162">
        <f t="shared" si="19"/>
        <v>0.76311342648966218</v>
      </c>
    </row>
    <row r="36" spans="1:57" ht="13.5" thickBot="1" x14ac:dyDescent="0.25">
      <c r="A36" s="143">
        <f t="shared" si="7"/>
        <v>1.2424581371009926</v>
      </c>
      <c r="B36" s="147">
        <f t="shared" si="20"/>
        <v>0.95833333333333293</v>
      </c>
      <c r="C36" s="135">
        <v>0.999999999999998</v>
      </c>
      <c r="D36" s="135">
        <v>1.4374999999999969</v>
      </c>
      <c r="E36" s="135">
        <v>1.133333333333332</v>
      </c>
      <c r="F36" s="135">
        <v>1.499999999999998</v>
      </c>
      <c r="G36" s="135">
        <v>1.692307692307691</v>
      </c>
      <c r="H36" s="135">
        <v>0.85714285714285665</v>
      </c>
      <c r="I36" s="135">
        <v>1.0769230769230751</v>
      </c>
      <c r="J36" s="165">
        <v>24</v>
      </c>
      <c r="K36" s="43">
        <f t="shared" si="8"/>
        <v>2</v>
      </c>
      <c r="L36" s="43">
        <f t="shared" si="9"/>
        <v>2</v>
      </c>
      <c r="M36" s="43">
        <f t="shared" si="10"/>
        <v>2</v>
      </c>
      <c r="N36" s="43">
        <f t="shared" si="11"/>
        <v>2</v>
      </c>
      <c r="O36" s="43">
        <f t="shared" si="12"/>
        <v>3</v>
      </c>
      <c r="P36" s="43">
        <f t="shared" si="13"/>
        <v>2</v>
      </c>
      <c r="Q36" s="43">
        <f t="shared" si="14"/>
        <v>2</v>
      </c>
      <c r="R36" s="165">
        <v>24</v>
      </c>
      <c r="S36" s="135">
        <v>2</v>
      </c>
      <c r="T36" s="135">
        <v>2</v>
      </c>
      <c r="U36" s="135">
        <v>2</v>
      </c>
      <c r="V36" s="135">
        <v>2</v>
      </c>
      <c r="W36" s="135">
        <v>2</v>
      </c>
      <c r="X36" s="135">
        <v>2</v>
      </c>
      <c r="Y36" s="135">
        <v>2</v>
      </c>
      <c r="AA36" s="55">
        <f t="shared" si="15"/>
        <v>0.9861925693090734</v>
      </c>
      <c r="AB36" s="55">
        <f t="shared" si="15"/>
        <v>0.9848878463301477</v>
      </c>
      <c r="AC36" s="55">
        <f t="shared" si="15"/>
        <v>0.98563387564422</v>
      </c>
      <c r="AD36" s="55">
        <f t="shared" si="15"/>
        <v>0.98800694457237348</v>
      </c>
      <c r="AE36" s="55">
        <f t="shared" si="15"/>
        <v>0.94859966163208598</v>
      </c>
      <c r="AF36" s="55">
        <f t="shared" si="15"/>
        <v>0.98528497563076445</v>
      </c>
      <c r="AG36" s="55">
        <f t="shared" si="15"/>
        <v>0.99204745443656261</v>
      </c>
      <c r="AI36" s="214">
        <f t="shared" si="16"/>
        <v>0</v>
      </c>
      <c r="AJ36" s="214">
        <f t="shared" si="16"/>
        <v>0</v>
      </c>
      <c r="AK36" s="214">
        <f t="shared" si="16"/>
        <v>0</v>
      </c>
      <c r="AL36" s="214">
        <f t="shared" si="16"/>
        <v>0</v>
      </c>
      <c r="AM36" s="214">
        <f t="shared" si="16"/>
        <v>-1</v>
      </c>
      <c r="AN36" s="214">
        <f t="shared" si="16"/>
        <v>0</v>
      </c>
      <c r="AO36" s="214">
        <f t="shared" si="16"/>
        <v>0</v>
      </c>
      <c r="AP36" s="206">
        <f t="shared" si="17"/>
        <v>0.95833333333333293</v>
      </c>
      <c r="AQ36" s="213">
        <f t="shared" si="18"/>
        <v>0</v>
      </c>
      <c r="AR36" s="213">
        <f t="shared" si="18"/>
        <v>0</v>
      </c>
      <c r="AS36" s="213">
        <f t="shared" si="18"/>
        <v>0</v>
      </c>
      <c r="AT36" s="213">
        <f t="shared" si="18"/>
        <v>0</v>
      </c>
      <c r="AU36" s="213">
        <f t="shared" si="18"/>
        <v>-0.33333333333333337</v>
      </c>
      <c r="AV36" s="213">
        <f t="shared" si="18"/>
        <v>0</v>
      </c>
      <c r="AW36" s="213">
        <f t="shared" si="18"/>
        <v>0</v>
      </c>
      <c r="AY36" s="162">
        <f t="shared" si="19"/>
        <v>0.9861925693090714</v>
      </c>
      <c r="AZ36" s="162">
        <f t="shared" si="19"/>
        <v>1.4157762790995843</v>
      </c>
      <c r="BA36" s="162">
        <f t="shared" si="19"/>
        <v>1.1170517257301147</v>
      </c>
      <c r="BB36" s="162">
        <f t="shared" si="19"/>
        <v>1.4820104168585582</v>
      </c>
      <c r="BC36" s="162">
        <f t="shared" si="19"/>
        <v>1.605322504300452</v>
      </c>
      <c r="BD36" s="162">
        <f t="shared" si="19"/>
        <v>0.84452997911208327</v>
      </c>
      <c r="BE36" s="162">
        <f t="shared" si="19"/>
        <v>1.0683587970855271</v>
      </c>
    </row>
    <row r="37" spans="1:57" ht="13.5" thickBot="1" x14ac:dyDescent="0.25">
      <c r="A37" s="152">
        <f>SUM(K37:Q37)</f>
        <v>329</v>
      </c>
      <c r="B37" s="153">
        <f>SUM(C37:I37)</f>
        <v>213.15265567765547</v>
      </c>
      <c r="C37" s="135">
        <f t="shared" ref="C37:I37" si="21">SUM(C13:C36)</f>
        <v>31.142857142857117</v>
      </c>
      <c r="D37" s="135">
        <f t="shared" si="21"/>
        <v>31.124999999999961</v>
      </c>
      <c r="E37" s="135">
        <f t="shared" si="21"/>
        <v>32.933333333333294</v>
      </c>
      <c r="F37" s="135">
        <f t="shared" si="21"/>
        <v>34.0833333333333</v>
      </c>
      <c r="G37" s="135">
        <f t="shared" si="21"/>
        <v>32.461538461538417</v>
      </c>
      <c r="H37" s="135">
        <f t="shared" si="21"/>
        <v>28.714285714285683</v>
      </c>
      <c r="I37" s="135">
        <f t="shared" si="21"/>
        <v>22.692307692307672</v>
      </c>
      <c r="K37" s="148">
        <f>SUM(K13:K36)</f>
        <v>47</v>
      </c>
      <c r="L37" s="148">
        <f t="shared" ref="L37:Q37" si="22">SUM(L13:L36)</f>
        <v>49</v>
      </c>
      <c r="M37" s="148">
        <f t="shared" si="22"/>
        <v>53</v>
      </c>
      <c r="N37" s="148">
        <f t="shared" si="22"/>
        <v>40</v>
      </c>
      <c r="O37" s="148">
        <f t="shared" si="22"/>
        <v>52</v>
      </c>
      <c r="P37" s="148">
        <f t="shared" si="22"/>
        <v>48</v>
      </c>
      <c r="Q37" s="148">
        <f t="shared" si="22"/>
        <v>40</v>
      </c>
      <c r="S37" s="148">
        <f>SUM(S13:S36)</f>
        <v>120</v>
      </c>
      <c r="T37" s="148">
        <f t="shared" ref="T37:Y37" si="23">SUM(T13:T36)</f>
        <v>136</v>
      </c>
      <c r="U37" s="148">
        <f t="shared" si="23"/>
        <v>136</v>
      </c>
      <c r="V37" s="148">
        <f t="shared" si="23"/>
        <v>136</v>
      </c>
      <c r="W37" s="148">
        <f t="shared" si="23"/>
        <v>128</v>
      </c>
      <c r="X37" s="148">
        <f t="shared" si="23"/>
        <v>120</v>
      </c>
      <c r="Y37" s="148">
        <f t="shared" si="23"/>
        <v>120</v>
      </c>
      <c r="AP37" s="21" t="s">
        <v>161</v>
      </c>
      <c r="AQ37" s="212">
        <f t="shared" ref="AQ37:AW37" si="24">COUNTIF(AQ13:AQ36,$AP$37)/48</f>
        <v>2.0833333333333332E-2</v>
      </c>
      <c r="AR37" s="212">
        <f t="shared" si="24"/>
        <v>2.0833333333333332E-2</v>
      </c>
      <c r="AS37" s="212">
        <f t="shared" si="24"/>
        <v>4.1666666666666664E-2</v>
      </c>
      <c r="AT37" s="212">
        <f t="shared" si="24"/>
        <v>0</v>
      </c>
      <c r="AU37" s="212">
        <f t="shared" si="24"/>
        <v>4.1666666666666664E-2</v>
      </c>
      <c r="AV37" s="212">
        <f t="shared" si="24"/>
        <v>4.1666666666666664E-2</v>
      </c>
      <c r="AW37" s="212">
        <f t="shared" si="24"/>
        <v>4.1666666666666664E-2</v>
      </c>
    </row>
    <row r="38" spans="1:57" x14ac:dyDescent="0.2">
      <c r="A38" s="152">
        <f>SUM(S37:Y37)</f>
        <v>896</v>
      </c>
    </row>
    <row r="39" spans="1:57" x14ac:dyDescent="0.2">
      <c r="C39" s="151">
        <f>C37/$B$37</f>
        <v>0.14610588380354758</v>
      </c>
      <c r="D39" s="151">
        <f t="shared" ref="D39:I39" si="25">D37/$B$37</f>
        <v>0.14602210749402714</v>
      </c>
      <c r="E39" s="151">
        <f t="shared" si="25"/>
        <v>0.15450585510479123</v>
      </c>
      <c r="F39" s="151">
        <f t="shared" si="25"/>
        <v>0.15990104943790392</v>
      </c>
      <c r="G39" s="151">
        <f t="shared" si="25"/>
        <v>0.15229244204505268</v>
      </c>
      <c r="H39" s="151">
        <f t="shared" si="25"/>
        <v>0.13471230570877549</v>
      </c>
      <c r="I39" s="151">
        <f t="shared" si="25"/>
        <v>0.10646035640590182</v>
      </c>
      <c r="K39" s="151">
        <f>K37/$A$37</f>
        <v>0.14285714285714285</v>
      </c>
      <c r="L39" s="151">
        <f t="shared" ref="L39:Q39" si="26">L37/$A$37</f>
        <v>0.14893617021276595</v>
      </c>
      <c r="M39" s="151">
        <f t="shared" si="26"/>
        <v>0.16109422492401215</v>
      </c>
      <c r="N39" s="151">
        <f t="shared" si="26"/>
        <v>0.12158054711246201</v>
      </c>
      <c r="O39" s="151">
        <f t="shared" si="26"/>
        <v>0.1580547112462006</v>
      </c>
      <c r="P39" s="151">
        <f t="shared" si="26"/>
        <v>0.1458966565349544</v>
      </c>
      <c r="Q39" s="151">
        <f t="shared" si="26"/>
        <v>0.12158054711246201</v>
      </c>
      <c r="S39" s="151">
        <f>S37/$A$38</f>
        <v>0.13392857142857142</v>
      </c>
      <c r="T39" s="151">
        <f t="shared" ref="T39:Y39" si="27">T37/$A$38</f>
        <v>0.15178571428571427</v>
      </c>
      <c r="U39" s="151">
        <f t="shared" si="27"/>
        <v>0.15178571428571427</v>
      </c>
      <c r="V39" s="151">
        <f t="shared" si="27"/>
        <v>0.15178571428571427</v>
      </c>
      <c r="W39" s="151">
        <f t="shared" si="27"/>
        <v>0.14285714285714285</v>
      </c>
      <c r="X39" s="151">
        <f t="shared" si="27"/>
        <v>0.13392857142857142</v>
      </c>
      <c r="Y39" s="151">
        <f t="shared" si="27"/>
        <v>0.13392857142857142</v>
      </c>
    </row>
    <row r="40" spans="1:57" x14ac:dyDescent="0.2">
      <c r="AQ40" s="322" t="s">
        <v>147</v>
      </c>
      <c r="AR40" s="322"/>
    </row>
    <row r="41" spans="1:57" x14ac:dyDescent="0.2">
      <c r="K41" s="314" t="str">
        <f>"ETP HEBDO =  "&amp;A37/40</f>
        <v>ETP HEBDO =  8,225</v>
      </c>
      <c r="L41" s="314"/>
      <c r="M41" s="314"/>
      <c r="N41" s="314"/>
      <c r="O41" s="314"/>
      <c r="P41" s="314"/>
      <c r="Q41" s="314"/>
      <c r="S41" s="315" t="str">
        <f>"ETP HEBDO =  "&amp;A38/40</f>
        <v>ETP HEBDO =  22,4</v>
      </c>
      <c r="T41" s="315"/>
      <c r="U41" s="315"/>
      <c r="V41" s="315"/>
      <c r="W41" s="315"/>
      <c r="X41" s="315"/>
      <c r="Y41" s="315"/>
      <c r="AP41" s="21" t="s">
        <v>162</v>
      </c>
      <c r="AQ41" s="316" t="s">
        <v>149</v>
      </c>
      <c r="AR41" s="316"/>
      <c r="AS41" s="156">
        <f>COUNTIF(AI13:AO36, AP41)</f>
        <v>0</v>
      </c>
    </row>
    <row r="43" spans="1:57" x14ac:dyDescent="0.2">
      <c r="AQ43" s="320" t="s">
        <v>150</v>
      </c>
      <c r="AR43" s="320"/>
    </row>
    <row r="44" spans="1:57" x14ac:dyDescent="0.2">
      <c r="AP44" s="21" t="s">
        <v>163</v>
      </c>
      <c r="AQ44" s="321" t="s">
        <v>152</v>
      </c>
      <c r="AR44" s="321"/>
      <c r="AS44" s="156">
        <f>COUNTIF(AI13:AO36, AP44)</f>
        <v>0</v>
      </c>
    </row>
    <row r="46" spans="1:57" x14ac:dyDescent="0.2">
      <c r="AP46" s="21" t="s">
        <v>161</v>
      </c>
      <c r="AQ46" s="221">
        <f>COUNTIF(AQ13:AW36, AP46)/336</f>
        <v>2.976190476190476E-2</v>
      </c>
      <c r="AR46" s="21" t="s">
        <v>153</v>
      </c>
    </row>
  </sheetData>
  <mergeCells count="17">
    <mergeCell ref="AQ44:AR44"/>
    <mergeCell ref="AQ11:AW11"/>
    <mergeCell ref="AQ40:AR40"/>
    <mergeCell ref="K41:Q41"/>
    <mergeCell ref="S41:Y41"/>
    <mergeCell ref="AQ41:AR41"/>
    <mergeCell ref="AQ43:AR43"/>
    <mergeCell ref="A4:B4"/>
    <mergeCell ref="A6:B6"/>
    <mergeCell ref="S7:Y7"/>
    <mergeCell ref="A8:B8"/>
    <mergeCell ref="AQ10:AW10"/>
    <mergeCell ref="C11:I11"/>
    <mergeCell ref="K11:Q11"/>
    <mergeCell ref="S11:Y11"/>
    <mergeCell ref="AA11:AG11"/>
    <mergeCell ref="AI11:AO11"/>
  </mergeCells>
  <conditionalFormatting sqref="AA13:AG36">
    <cfRule type="cellIs" dxfId="24" priority="22" operator="lessThan">
      <formula>0.8</formula>
    </cfRule>
    <cfRule type="cellIs" dxfId="23" priority="23" operator="greaterThan">
      <formula>0.9</formula>
    </cfRule>
    <cfRule type="cellIs" dxfId="22" priority="24" operator="between">
      <formula>0.8</formula>
      <formula>0.9</formula>
    </cfRule>
  </conditionalFormatting>
  <conditionalFormatting sqref="S13:Y36">
    <cfRule type="cellIs" dxfId="21" priority="9" operator="greaterThan">
      <formula>3</formula>
    </cfRule>
    <cfRule type="cellIs" dxfId="20" priority="20" operator="lessThan">
      <formula>30</formula>
    </cfRule>
    <cfRule type="cellIs" dxfId="19" priority="21" operator="greaterThan">
      <formula>50</formula>
    </cfRule>
  </conditionalFormatting>
  <conditionalFormatting sqref="AQ10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Q37:AW37">
    <cfRule type="cellIs" dxfId="18" priority="18" operator="greaterThan">
      <formula>0.15</formula>
    </cfRule>
  </conditionalFormatting>
  <conditionalFormatting sqref="AS44">
    <cfRule type="cellIs" dxfId="17" priority="17" operator="greaterThan">
      <formula>0</formula>
    </cfRule>
  </conditionalFormatting>
  <conditionalFormatting sqref="AQ46">
    <cfRule type="cellIs" dxfId="16" priority="16" operator="greaterThan">
      <formula>0.1</formula>
    </cfRule>
  </conditionalFormatting>
  <conditionalFormatting sqref="AS41">
    <cfRule type="cellIs" dxfId="15" priority="15" operator="greaterThan">
      <formula>0</formula>
    </cfRule>
  </conditionalFormatting>
  <conditionalFormatting sqref="AY13:BE36">
    <cfRule type="cellIs" dxfId="14" priority="11" operator="between">
      <formula>-9</formula>
      <formula>-1</formula>
    </cfRule>
    <cfRule type="cellIs" dxfId="13" priority="12" operator="between">
      <formula>1</formula>
      <formula>9</formula>
    </cfRule>
    <cfRule type="cellIs" dxfId="12" priority="13" operator="lessThan">
      <formula>-9</formula>
    </cfRule>
    <cfRule type="cellIs" dxfId="11" priority="14" operator="greaterThan">
      <formula>9</formula>
    </cfRule>
  </conditionalFormatting>
  <conditionalFormatting sqref="AA10:AG10">
    <cfRule type="cellIs" dxfId="10" priority="10" operator="lessThan">
      <formula>0.8</formula>
    </cfRule>
  </conditionalFormatting>
  <conditionalFormatting sqref="AQ13:AW36">
    <cfRule type="cellIs" dxfId="9" priority="5" operator="between">
      <formula>-9</formula>
      <formula>-1</formula>
    </cfRule>
    <cfRule type="cellIs" dxfId="8" priority="6" operator="between">
      <formula>1</formula>
      <formula>9</formula>
    </cfRule>
    <cfRule type="cellIs" dxfId="7" priority="7" operator="lessThan">
      <formula>-9</formula>
    </cfRule>
    <cfRule type="cellIs" dxfId="6" priority="8" operator="greaterThan">
      <formula>9</formula>
    </cfRule>
  </conditionalFormatting>
  <conditionalFormatting sqref="AQ13:AW36">
    <cfRule type="cellIs" dxfId="5" priority="4" operator="lessThan">
      <formula>-0.1</formula>
    </cfRule>
  </conditionalFormatting>
  <conditionalFormatting sqref="AI13:AO36">
    <cfRule type="cellIs" dxfId="4" priority="1" operator="greaterThan">
      <formula>10</formula>
    </cfRule>
    <cfRule type="cellIs" dxfId="3" priority="2" operator="lessThan">
      <formula>-10</formula>
    </cfRule>
    <cfRule type="cellIs" dxfId="2" priority="3" operator="lessThan">
      <formula>0</formula>
    </cfRule>
  </conditionalFormatting>
  <conditionalFormatting sqref="K13:Q36">
    <cfRule type="cellIs" dxfId="1" priority="25" operator="greaterThan">
      <formula>50</formula>
    </cfRule>
    <cfRule type="cellIs" dxfId="0" priority="26" operator="greaterThan">
      <formula>69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C13:I3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34357-7024-43AC-893D-1B0863EE6074}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B1:K9984"/>
  <sheetViews>
    <sheetView showGridLines="0" zoomScale="80" zoomScaleNormal="80" workbookViewId="0">
      <selection activeCell="J39" sqref="J39"/>
    </sheetView>
  </sheetViews>
  <sheetFormatPr baseColWidth="10" defaultColWidth="9.140625" defaultRowHeight="12.75" x14ac:dyDescent="0.2"/>
  <cols>
    <col min="2" max="2" width="9.42578125" customWidth="1"/>
    <col min="3" max="3" width="24.140625" customWidth="1"/>
    <col min="4" max="4" width="14.42578125" customWidth="1"/>
    <col min="5" max="5" width="16" customWidth="1"/>
    <col min="8" max="8" width="10.85546875" customWidth="1"/>
    <col min="9" max="9" width="13.42578125" customWidth="1"/>
    <col min="10" max="10" width="14.85546875" customWidth="1"/>
  </cols>
  <sheetData>
    <row r="1" spans="2:11" ht="13.5" thickBot="1" x14ac:dyDescent="0.25"/>
    <row r="2" spans="2:11" ht="15.75" x14ac:dyDescent="0.25">
      <c r="B2" s="39"/>
      <c r="C2" s="75"/>
      <c r="D2" s="40"/>
      <c r="E2" s="41"/>
      <c r="F2" s="44"/>
      <c r="G2" s="44"/>
      <c r="H2" s="44"/>
      <c r="I2" s="44"/>
      <c r="J2" s="44"/>
      <c r="K2" s="45"/>
    </row>
    <row r="3" spans="2:11" ht="15.75" x14ac:dyDescent="0.25">
      <c r="B3" s="10"/>
      <c r="C3" s="78" t="s">
        <v>86</v>
      </c>
      <c r="D3" s="4"/>
      <c r="E3" s="3"/>
      <c r="F3" s="46"/>
      <c r="G3" s="46"/>
      <c r="H3" s="46"/>
      <c r="I3" s="46"/>
      <c r="J3" s="46"/>
      <c r="K3" s="47"/>
    </row>
    <row r="4" spans="2:11" ht="15.75" x14ac:dyDescent="0.25">
      <c r="B4" s="10"/>
      <c r="C4" s="78"/>
      <c r="D4" s="4"/>
      <c r="E4" s="3"/>
      <c r="F4" s="46"/>
      <c r="G4" s="46"/>
      <c r="H4" s="46"/>
      <c r="I4" s="46"/>
      <c r="J4" s="46"/>
      <c r="K4" s="47"/>
    </row>
    <row r="5" spans="2:11" x14ac:dyDescent="0.2">
      <c r="B5" s="10"/>
      <c r="C5" s="57" t="s">
        <v>87</v>
      </c>
      <c r="D5" s="4"/>
      <c r="E5" s="3"/>
      <c r="F5" s="46"/>
      <c r="G5" s="46"/>
      <c r="H5" s="46"/>
      <c r="I5" s="46"/>
      <c r="J5" s="46"/>
      <c r="K5" s="47"/>
    </row>
    <row r="6" spans="2:11" ht="13.5" thickBot="1" x14ac:dyDescent="0.25">
      <c r="B6" s="10"/>
      <c r="C6" s="57"/>
      <c r="D6" s="57"/>
      <c r="E6" s="57"/>
      <c r="F6" s="46"/>
      <c r="G6" s="46"/>
      <c r="H6" s="46"/>
      <c r="I6" s="46"/>
      <c r="J6" s="46"/>
      <c r="K6" s="47"/>
    </row>
    <row r="7" spans="2:11" ht="21" customHeight="1" thickTop="1" thickBot="1" x14ac:dyDescent="0.25">
      <c r="B7" s="10"/>
      <c r="C7" s="57"/>
      <c r="D7" s="57"/>
      <c r="E7" s="57"/>
      <c r="F7" s="48"/>
      <c r="G7" s="48"/>
      <c r="H7" s="48"/>
      <c r="I7" s="48"/>
      <c r="J7" s="58" t="s">
        <v>46</v>
      </c>
      <c r="K7" s="50"/>
    </row>
    <row r="8" spans="2:11" ht="13.5" thickTop="1" x14ac:dyDescent="0.2">
      <c r="B8" s="10"/>
      <c r="C8" s="57"/>
      <c r="D8" s="57"/>
      <c r="E8" s="57"/>
      <c r="F8" s="48"/>
      <c r="G8" s="48"/>
      <c r="H8" s="48"/>
      <c r="I8" s="49"/>
      <c r="J8" s="49"/>
      <c r="K8" s="50"/>
    </row>
    <row r="9" spans="2:11" ht="15.75" x14ac:dyDescent="0.25">
      <c r="B9" s="10"/>
      <c r="C9" s="78" t="s">
        <v>88</v>
      </c>
      <c r="D9" s="57"/>
      <c r="E9" s="57"/>
      <c r="F9" s="48"/>
      <c r="G9" s="48"/>
      <c r="H9" s="48"/>
      <c r="I9" s="49"/>
      <c r="J9" s="49"/>
      <c r="K9" s="50"/>
    </row>
    <row r="10" spans="2:11" x14ac:dyDescent="0.2">
      <c r="B10" s="10"/>
      <c r="C10" s="57"/>
      <c r="D10" s="57"/>
      <c r="E10" s="57"/>
      <c r="F10" s="48"/>
      <c r="G10" s="48"/>
      <c r="H10" s="48"/>
      <c r="I10" s="49"/>
      <c r="J10" s="49"/>
      <c r="K10" s="50"/>
    </row>
    <row r="11" spans="2:11" x14ac:dyDescent="0.2">
      <c r="B11" s="10"/>
      <c r="C11" s="3" t="s">
        <v>98</v>
      </c>
      <c r="D11" s="57"/>
      <c r="E11" s="57"/>
      <c r="F11" s="57"/>
      <c r="G11" s="57"/>
      <c r="H11" s="57"/>
      <c r="I11" s="57"/>
      <c r="J11" s="49"/>
      <c r="K11" s="50"/>
    </row>
    <row r="12" spans="2:11" x14ac:dyDescent="0.2">
      <c r="B12" s="10"/>
      <c r="C12" s="80" t="s">
        <v>118</v>
      </c>
      <c r="D12" s="57"/>
      <c r="E12" s="57"/>
      <c r="F12" s="57"/>
      <c r="G12" s="57"/>
      <c r="H12" s="57"/>
      <c r="I12" s="57"/>
      <c r="J12" s="49"/>
      <c r="K12" s="50"/>
    </row>
    <row r="13" spans="2:11" x14ac:dyDescent="0.2">
      <c r="B13" s="10"/>
      <c r="C13" s="80"/>
      <c r="D13" s="57"/>
      <c r="E13" s="57"/>
      <c r="F13" s="57"/>
      <c r="G13" s="57"/>
      <c r="H13" s="57"/>
      <c r="I13" s="57"/>
      <c r="J13" s="49"/>
      <c r="K13" s="50"/>
    </row>
    <row r="14" spans="2:11" x14ac:dyDescent="0.2">
      <c r="B14" s="10"/>
      <c r="C14" s="80"/>
      <c r="D14" s="57"/>
      <c r="E14" s="57"/>
      <c r="F14" s="57"/>
      <c r="G14" s="57"/>
      <c r="H14" s="57"/>
      <c r="I14" s="57"/>
      <c r="J14" s="49"/>
      <c r="K14" s="50"/>
    </row>
    <row r="15" spans="2:11" ht="15.75" x14ac:dyDescent="0.25">
      <c r="B15" s="10"/>
      <c r="C15" s="78" t="s">
        <v>94</v>
      </c>
      <c r="D15" s="57"/>
      <c r="E15" s="57"/>
      <c r="F15" s="57"/>
      <c r="G15" s="57"/>
      <c r="H15" s="57"/>
      <c r="I15" s="57"/>
      <c r="J15" s="49"/>
      <c r="K15" s="50"/>
    </row>
    <row r="16" spans="2:11" x14ac:dyDescent="0.2">
      <c r="B16" s="10"/>
      <c r="C16" s="57"/>
      <c r="D16" s="57"/>
      <c r="E16" s="57"/>
      <c r="F16" s="57"/>
      <c r="G16" s="57"/>
      <c r="H16" s="57"/>
      <c r="I16" s="57"/>
      <c r="J16" s="49"/>
      <c r="K16" s="50"/>
    </row>
    <row r="17" spans="2:11" x14ac:dyDescent="0.2">
      <c r="B17" s="10"/>
      <c r="C17" s="3" t="s">
        <v>99</v>
      </c>
      <c r="D17" s="57"/>
      <c r="E17" s="57"/>
      <c r="F17" s="57"/>
      <c r="G17" s="57"/>
      <c r="H17" s="57"/>
      <c r="I17" s="57"/>
      <c r="J17" s="49"/>
      <c r="K17" s="50"/>
    </row>
    <row r="18" spans="2:11" x14ac:dyDescent="0.2">
      <c r="B18" s="10"/>
      <c r="C18" s="80" t="s">
        <v>91</v>
      </c>
      <c r="D18" s="57"/>
      <c r="E18" s="57"/>
      <c r="F18" s="57"/>
      <c r="G18" s="57"/>
      <c r="H18" s="57"/>
      <c r="I18" s="57"/>
      <c r="J18" s="49"/>
      <c r="K18" s="50"/>
    </row>
    <row r="19" spans="2:11" x14ac:dyDescent="0.2">
      <c r="B19" s="10"/>
      <c r="C19" s="80"/>
      <c r="D19" s="57"/>
      <c r="E19" s="57"/>
      <c r="F19" s="57"/>
      <c r="G19" s="57"/>
      <c r="H19" s="57"/>
      <c r="I19" s="57"/>
      <c r="J19" s="49"/>
      <c r="K19" s="50"/>
    </row>
    <row r="20" spans="2:11" x14ac:dyDescent="0.2">
      <c r="B20" s="10"/>
      <c r="C20" s="80"/>
      <c r="D20" s="57"/>
      <c r="E20" s="57"/>
      <c r="F20" s="57"/>
      <c r="G20" s="57"/>
      <c r="H20" s="57"/>
      <c r="I20" s="57"/>
      <c r="J20" s="49"/>
      <c r="K20" s="50"/>
    </row>
    <row r="21" spans="2:11" ht="15.75" x14ac:dyDescent="0.25">
      <c r="B21" s="10"/>
      <c r="C21" s="78" t="s">
        <v>95</v>
      </c>
      <c r="D21" s="57"/>
      <c r="E21" s="57"/>
      <c r="F21" s="57"/>
      <c r="G21" s="57"/>
      <c r="H21" s="57"/>
      <c r="I21" s="57"/>
      <c r="J21" s="49"/>
      <c r="K21" s="50"/>
    </row>
    <row r="22" spans="2:11" x14ac:dyDescent="0.2">
      <c r="B22" s="10"/>
      <c r="C22" s="57"/>
      <c r="D22" s="57"/>
      <c r="E22" s="57"/>
      <c r="F22" s="57"/>
      <c r="G22" s="57"/>
      <c r="H22" s="57"/>
      <c r="I22" s="57"/>
      <c r="J22" s="49"/>
      <c r="K22" s="50"/>
    </row>
    <row r="23" spans="2:11" x14ac:dyDescent="0.2">
      <c r="B23" s="10"/>
      <c r="C23" s="3" t="s">
        <v>89</v>
      </c>
      <c r="D23" s="57"/>
      <c r="E23" s="57"/>
      <c r="F23" s="57"/>
      <c r="G23" s="57"/>
      <c r="H23" s="57"/>
      <c r="I23" s="57"/>
      <c r="J23" s="49"/>
      <c r="K23" s="50"/>
    </row>
    <row r="24" spans="2:11" x14ac:dyDescent="0.2">
      <c r="B24" s="10"/>
      <c r="C24" s="80" t="s">
        <v>90</v>
      </c>
      <c r="D24" s="57"/>
      <c r="E24" s="57"/>
      <c r="F24" s="57"/>
      <c r="G24" s="57"/>
      <c r="H24" s="57"/>
      <c r="I24" s="57"/>
      <c r="J24" s="49"/>
      <c r="K24" s="50"/>
    </row>
    <row r="25" spans="2:11" x14ac:dyDescent="0.2">
      <c r="B25" s="10"/>
      <c r="C25" s="80"/>
      <c r="D25" s="57"/>
      <c r="E25" s="57"/>
      <c r="F25" s="57"/>
      <c r="G25" s="57"/>
      <c r="H25" s="57"/>
      <c r="I25" s="57"/>
      <c r="J25" s="49"/>
      <c r="K25" s="50"/>
    </row>
    <row r="26" spans="2:11" x14ac:dyDescent="0.2">
      <c r="B26" s="10"/>
      <c r="C26" s="80"/>
      <c r="D26" s="57"/>
      <c r="E26" s="57"/>
      <c r="F26" s="57"/>
      <c r="G26" s="57"/>
      <c r="H26" s="57"/>
      <c r="I26" s="57"/>
      <c r="J26" s="49"/>
      <c r="K26" s="50"/>
    </row>
    <row r="27" spans="2:11" ht="15.75" x14ac:dyDescent="0.25">
      <c r="B27" s="10"/>
      <c r="C27" s="78" t="s">
        <v>93</v>
      </c>
      <c r="D27" s="57"/>
      <c r="E27" s="57"/>
      <c r="F27" s="57"/>
      <c r="G27" s="57"/>
      <c r="H27" s="57"/>
      <c r="I27" s="57"/>
      <c r="J27" s="49"/>
      <c r="K27" s="50"/>
    </row>
    <row r="28" spans="2:11" x14ac:dyDescent="0.2">
      <c r="B28" s="10"/>
      <c r="C28" s="57"/>
      <c r="D28" s="57"/>
      <c r="E28" s="57"/>
      <c r="F28" s="57"/>
      <c r="G28" s="57"/>
      <c r="H28" s="57"/>
      <c r="I28" s="57"/>
      <c r="J28" s="49"/>
      <c r="K28" s="50"/>
    </row>
    <row r="29" spans="2:11" x14ac:dyDescent="0.2">
      <c r="B29" s="10"/>
      <c r="C29" s="3" t="s">
        <v>100</v>
      </c>
      <c r="D29" s="57"/>
      <c r="E29" s="57"/>
      <c r="F29" s="57"/>
      <c r="G29" s="57"/>
      <c r="H29" s="57"/>
      <c r="I29" s="57"/>
      <c r="J29" s="49"/>
      <c r="K29" s="50"/>
    </row>
    <row r="30" spans="2:11" x14ac:dyDescent="0.2">
      <c r="B30" s="10"/>
      <c r="C30" s="80" t="s">
        <v>92</v>
      </c>
      <c r="D30" s="57"/>
      <c r="E30" s="57"/>
      <c r="F30" s="57"/>
      <c r="G30" s="57"/>
      <c r="H30" s="57"/>
      <c r="I30" s="57"/>
      <c r="J30" s="49"/>
      <c r="K30" s="50"/>
    </row>
    <row r="31" spans="2:11" x14ac:dyDescent="0.2">
      <c r="B31" s="10"/>
      <c r="C31" s="3"/>
      <c r="D31" s="4"/>
      <c r="E31" s="3"/>
      <c r="F31" s="57"/>
      <c r="G31" s="57"/>
      <c r="H31" s="57"/>
      <c r="I31" s="57"/>
      <c r="J31" s="49"/>
      <c r="K31" s="50"/>
    </row>
    <row r="32" spans="2:11" ht="13.5" thickBot="1" x14ac:dyDescent="0.25">
      <c r="B32" s="6"/>
      <c r="C32" s="7"/>
      <c r="D32" s="8"/>
      <c r="E32" s="7"/>
      <c r="F32" s="52"/>
      <c r="G32" s="52"/>
      <c r="H32" s="53"/>
      <c r="I32" s="53"/>
      <c r="J32" s="53"/>
      <c r="K32" s="54"/>
    </row>
    <row r="33" spans="2:10" ht="13.5" thickBot="1" x14ac:dyDescent="0.25"/>
    <row r="34" spans="2:10" ht="18" customHeight="1" thickTop="1" thickBot="1" x14ac:dyDescent="0.25">
      <c r="J34" s="58" t="s">
        <v>46</v>
      </c>
    </row>
    <row r="35" spans="2:10" ht="13.5" thickTop="1" x14ac:dyDescent="0.2">
      <c r="B35" s="46"/>
      <c r="C35" s="46"/>
      <c r="D35" s="65"/>
    </row>
    <row r="36" spans="2:10" x14ac:dyDescent="0.2">
      <c r="B36" s="46"/>
      <c r="C36" s="46"/>
      <c r="D36" s="65"/>
    </row>
    <row r="9983" spans="2:4" x14ac:dyDescent="0.2">
      <c r="B9983" s="46"/>
      <c r="C9983" s="46"/>
      <c r="D9983" s="65"/>
    </row>
    <row r="9984" spans="2:4" x14ac:dyDescent="0.2">
      <c r="B9984" s="46"/>
      <c r="C9984" s="46"/>
      <c r="D9984" s="65"/>
    </row>
  </sheetData>
  <dataValidations count="1">
    <dataValidation type="decimal" allowBlank="1" showInputMessage="1" showErrorMessage="1" errorTitle="Service Level" error="Please enter a value greater than zero and less than 100%" sqref="D10" xr:uid="{00000000-0002-0000-0F00-000000000000}">
      <formula1>0.00001</formula1>
      <formula2>0.999</formula2>
    </dataValidation>
  </dataValidations>
  <hyperlinks>
    <hyperlink ref="J7" location="Changelog!A1" display="Next Page &gt;&gt;" xr:uid="{00000000-0004-0000-0F00-000000000000}"/>
    <hyperlink ref="J34" location="Changelog!A1" display="Next Page &gt;&gt;" xr:uid="{00000000-0004-0000-0F00-000001000000}"/>
    <hyperlink ref="C12" r:id="rId1" xr:uid="{00000000-0004-0000-0F00-000002000000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1:K50"/>
  <sheetViews>
    <sheetView zoomScale="80" zoomScaleNormal="80" workbookViewId="0">
      <selection activeCell="P30" sqref="P30"/>
    </sheetView>
  </sheetViews>
  <sheetFormatPr baseColWidth="10" defaultColWidth="9.140625" defaultRowHeight="12.75" x14ac:dyDescent="0.2"/>
  <cols>
    <col min="1" max="1" width="19.28515625" customWidth="1"/>
    <col min="2" max="2" width="16.28515625" customWidth="1"/>
    <col min="11" max="11" width="14.5703125" customWidth="1"/>
  </cols>
  <sheetData>
    <row r="1" spans="1:11" ht="21" thickBot="1" x14ac:dyDescent="0.35">
      <c r="A1" s="77" t="s">
        <v>97</v>
      </c>
    </row>
    <row r="2" spans="1:11" ht="18.75" customHeight="1" thickTop="1" thickBot="1" x14ac:dyDescent="0.25">
      <c r="K2" s="79" t="s">
        <v>46</v>
      </c>
    </row>
    <row r="3" spans="1:11" ht="13.5" thickTop="1" x14ac:dyDescent="0.2"/>
    <row r="4" spans="1:11" x14ac:dyDescent="0.2">
      <c r="A4" s="22"/>
      <c r="B4" s="22" t="s">
        <v>66</v>
      </c>
      <c r="C4" s="22" t="s">
        <v>67</v>
      </c>
    </row>
    <row r="5" spans="1:11" x14ac:dyDescent="0.2">
      <c r="A5" s="22"/>
      <c r="B5" s="22"/>
      <c r="C5" s="22"/>
    </row>
    <row r="6" spans="1:11" x14ac:dyDescent="0.2">
      <c r="A6" s="22" t="s">
        <v>122</v>
      </c>
      <c r="B6" s="76">
        <v>44608</v>
      </c>
      <c r="C6" s="21" t="s">
        <v>128</v>
      </c>
    </row>
    <row r="7" spans="1:11" x14ac:dyDescent="0.2">
      <c r="A7" s="22"/>
      <c r="B7" s="76"/>
      <c r="C7" s="21" t="s">
        <v>131</v>
      </c>
    </row>
    <row r="8" spans="1:11" x14ac:dyDescent="0.2">
      <c r="A8" s="22"/>
      <c r="B8" s="22"/>
      <c r="C8" s="22"/>
    </row>
    <row r="9" spans="1:11" x14ac:dyDescent="0.2">
      <c r="A9" s="22" t="s">
        <v>113</v>
      </c>
      <c r="B9" s="76">
        <v>44376</v>
      </c>
      <c r="C9" s="21" t="s">
        <v>115</v>
      </c>
    </row>
    <row r="10" spans="1:11" x14ac:dyDescent="0.2">
      <c r="A10" s="22"/>
      <c r="B10" s="22"/>
      <c r="C10" s="22"/>
    </row>
    <row r="11" spans="1:11" x14ac:dyDescent="0.2">
      <c r="A11" s="22" t="s">
        <v>112</v>
      </c>
      <c r="B11" s="76">
        <v>43609</v>
      </c>
      <c r="C11" s="21" t="s">
        <v>114</v>
      </c>
    </row>
    <row r="12" spans="1:11" x14ac:dyDescent="0.2">
      <c r="A12" s="22"/>
      <c r="B12" s="22"/>
      <c r="C12" s="22"/>
    </row>
    <row r="13" spans="1:11" x14ac:dyDescent="0.2">
      <c r="A13" s="22" t="s">
        <v>110</v>
      </c>
      <c r="B13" s="76">
        <v>42893</v>
      </c>
      <c r="C13" s="21" t="s">
        <v>109</v>
      </c>
    </row>
    <row r="14" spans="1:11" x14ac:dyDescent="0.2">
      <c r="A14" s="22"/>
      <c r="B14" s="22"/>
      <c r="C14" s="22"/>
    </row>
    <row r="15" spans="1:11" x14ac:dyDescent="0.2">
      <c r="A15" s="22" t="s">
        <v>105</v>
      </c>
      <c r="B15" s="76">
        <v>42831</v>
      </c>
      <c r="C15" s="21" t="s">
        <v>107</v>
      </c>
    </row>
    <row r="16" spans="1:11" x14ac:dyDescent="0.2">
      <c r="A16" s="22"/>
      <c r="B16" s="76"/>
      <c r="C16" s="21" t="s">
        <v>101</v>
      </c>
    </row>
    <row r="17" spans="1:3" x14ac:dyDescent="0.2">
      <c r="A17" s="22"/>
      <c r="B17" s="76"/>
    </row>
    <row r="18" spans="1:3" x14ac:dyDescent="0.2">
      <c r="A18" s="22" t="s">
        <v>104</v>
      </c>
      <c r="B18" s="76">
        <v>42796</v>
      </c>
      <c r="C18" s="21" t="s">
        <v>130</v>
      </c>
    </row>
    <row r="19" spans="1:3" x14ac:dyDescent="0.2">
      <c r="A19" s="81"/>
      <c r="B19" s="22"/>
      <c r="C19" s="21"/>
    </row>
    <row r="20" spans="1:3" x14ac:dyDescent="0.2">
      <c r="A20" s="82" t="s">
        <v>106</v>
      </c>
      <c r="B20" s="76">
        <v>42781</v>
      </c>
      <c r="C20" s="21" t="s">
        <v>82</v>
      </c>
    </row>
    <row r="21" spans="1:3" x14ac:dyDescent="0.2">
      <c r="C21" s="21" t="s">
        <v>83</v>
      </c>
    </row>
    <row r="22" spans="1:3" x14ac:dyDescent="0.2">
      <c r="C22" s="27" t="s">
        <v>85</v>
      </c>
    </row>
    <row r="23" spans="1:3" x14ac:dyDescent="0.2">
      <c r="C23" s="21" t="s">
        <v>96</v>
      </c>
    </row>
    <row r="25" spans="1:3" x14ac:dyDescent="0.2">
      <c r="A25" s="22" t="s">
        <v>65</v>
      </c>
      <c r="B25" s="22" t="s">
        <v>66</v>
      </c>
      <c r="C25" s="22" t="s">
        <v>67</v>
      </c>
    </row>
    <row r="26" spans="1:3" x14ac:dyDescent="0.2">
      <c r="A26" s="22"/>
      <c r="B26" s="76">
        <v>42704</v>
      </c>
      <c r="C26" s="21" t="s">
        <v>77</v>
      </c>
    </row>
    <row r="27" spans="1:3" x14ac:dyDescent="0.2">
      <c r="A27" s="22"/>
      <c r="B27" s="22"/>
      <c r="C27" s="21" t="s">
        <v>68</v>
      </c>
    </row>
    <row r="28" spans="1:3" x14ac:dyDescent="0.2">
      <c r="A28" s="22"/>
      <c r="B28" s="22"/>
      <c r="C28" s="21" t="s">
        <v>76</v>
      </c>
    </row>
    <row r="29" spans="1:3" x14ac:dyDescent="0.2">
      <c r="A29" s="22"/>
      <c r="B29" s="22"/>
      <c r="C29" s="21" t="s">
        <v>75</v>
      </c>
    </row>
    <row r="30" spans="1:3" x14ac:dyDescent="0.2">
      <c r="C30" s="21"/>
    </row>
    <row r="31" spans="1:3" x14ac:dyDescent="0.2">
      <c r="C31" s="21"/>
    </row>
    <row r="32" spans="1:3" x14ac:dyDescent="0.2">
      <c r="A32" s="22" t="s">
        <v>54</v>
      </c>
      <c r="B32" s="22" t="s">
        <v>66</v>
      </c>
      <c r="C32" s="22" t="s">
        <v>67</v>
      </c>
    </row>
    <row r="33" spans="2:3" x14ac:dyDescent="0.2">
      <c r="B33" s="76">
        <v>42686</v>
      </c>
      <c r="C33" s="21" t="s">
        <v>55</v>
      </c>
    </row>
    <row r="34" spans="2:3" x14ac:dyDescent="0.2">
      <c r="C34" s="21" t="s">
        <v>56</v>
      </c>
    </row>
    <row r="35" spans="2:3" x14ac:dyDescent="0.2">
      <c r="C35" s="21" t="s">
        <v>78</v>
      </c>
    </row>
    <row r="36" spans="2:3" x14ac:dyDescent="0.2">
      <c r="C36" s="21" t="s">
        <v>57</v>
      </c>
    </row>
    <row r="37" spans="2:3" x14ac:dyDescent="0.2">
      <c r="C37" s="21" t="s">
        <v>79</v>
      </c>
    </row>
    <row r="38" spans="2:3" x14ac:dyDescent="0.2">
      <c r="C38" s="21" t="s">
        <v>58</v>
      </c>
    </row>
    <row r="39" spans="2:3" x14ac:dyDescent="0.2">
      <c r="C39" s="21" t="s">
        <v>80</v>
      </c>
    </row>
    <row r="40" spans="2:3" x14ac:dyDescent="0.2">
      <c r="C40" s="21" t="s">
        <v>59</v>
      </c>
    </row>
    <row r="41" spans="2:3" x14ac:dyDescent="0.2">
      <c r="C41" s="21" t="s">
        <v>81</v>
      </c>
    </row>
    <row r="42" spans="2:3" x14ac:dyDescent="0.2">
      <c r="C42" s="21" t="s">
        <v>60</v>
      </c>
    </row>
    <row r="43" spans="2:3" x14ac:dyDescent="0.2">
      <c r="C43" s="21" t="s">
        <v>61</v>
      </c>
    </row>
    <row r="44" spans="2:3" x14ac:dyDescent="0.2">
      <c r="C44" s="21" t="s">
        <v>62</v>
      </c>
    </row>
    <row r="45" spans="2:3" x14ac:dyDescent="0.2">
      <c r="C45" s="21" t="s">
        <v>64</v>
      </c>
    </row>
    <row r="46" spans="2:3" x14ac:dyDescent="0.2">
      <c r="C46" s="21" t="s">
        <v>63</v>
      </c>
    </row>
    <row r="48" spans="2:3" ht="13.5" thickBot="1" x14ac:dyDescent="0.25"/>
    <row r="49" spans="11:11" ht="14.25" thickTop="1" thickBot="1" x14ac:dyDescent="0.25">
      <c r="K49" s="79" t="s">
        <v>46</v>
      </c>
    </row>
    <row r="50" spans="11:11" ht="13.5" thickTop="1" x14ac:dyDescent="0.2"/>
  </sheetData>
  <hyperlinks>
    <hyperlink ref="K2" location="AgentCalculator!A1" display="Next Page &gt;&gt;" xr:uid="{00000000-0004-0000-1000-000000000000}"/>
    <hyperlink ref="K49" location="AgentCalculator!A1" display="Next Page &gt;&gt;" xr:uid="{00000000-0004-0000-1000-000001000000}"/>
    <hyperlink ref="C22" r:id="rId1" xr:uid="{00000000-0004-0000-1000-000002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1</vt:i4>
      </vt:variant>
    </vt:vector>
  </HeadingPairs>
  <TitlesOfParts>
    <vt:vector size="26" baseType="lpstr">
      <vt:lpstr>AgentCalculator</vt:lpstr>
      <vt:lpstr>How to Use</vt:lpstr>
      <vt:lpstr>Day Planner</vt:lpstr>
      <vt:lpstr>Expected Service Level</vt:lpstr>
      <vt:lpstr>d</vt:lpstr>
      <vt:lpstr>FR</vt:lpstr>
      <vt:lpstr>PIG</vt:lpstr>
      <vt:lpstr>EN</vt:lpstr>
      <vt:lpstr>FFD</vt:lpstr>
      <vt:lpstr>i</vt:lpstr>
      <vt:lpstr>8911</vt:lpstr>
      <vt:lpstr>f</vt:lpstr>
      <vt:lpstr>Global LMT</vt:lpstr>
      <vt:lpstr>8900</vt:lpstr>
      <vt:lpstr>EN_PIG</vt:lpstr>
      <vt:lpstr>EMAIL</vt:lpstr>
      <vt:lpstr>KAABU</vt:lpstr>
      <vt:lpstr>DA TD</vt:lpstr>
      <vt:lpstr>DA TR</vt:lpstr>
      <vt:lpstr>planing NOMNATIF </vt:lpstr>
      <vt:lpstr>DA</vt:lpstr>
      <vt:lpstr>DA Chat C</vt:lpstr>
      <vt:lpstr>Feuil1</vt:lpstr>
      <vt:lpstr>Other Tools</vt:lpstr>
      <vt:lpstr>Changelog</vt:lpstr>
      <vt:lpstr>ServLevel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Sparkes</dc:creator>
  <cp:lastModifiedBy>DXVD0696</cp:lastModifiedBy>
  <dcterms:created xsi:type="dcterms:W3CDTF">2008-11-17T21:44:12Z</dcterms:created>
  <dcterms:modified xsi:type="dcterms:W3CDTF">2026-05-10T20:06:57Z</dcterms:modified>
</cp:coreProperties>
</file>