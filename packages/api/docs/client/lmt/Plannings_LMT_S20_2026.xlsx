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9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1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IZ\PLANNINGS\"/>
    </mc:Choice>
  </mc:AlternateContent>
  <xr:revisionPtr revIDLastSave="0" documentId="13_ncr:1_{FEC49B55-0401-400F-B395-67DBFAF34389}" xr6:coauthVersionLast="47" xr6:coauthVersionMax="47" xr10:uidLastSave="{00000000-0000-0000-0000-000000000000}"/>
  <bookViews>
    <workbookView xWindow="-120" yWindow="-120" windowWidth="29040" windowHeight="15840" tabRatio="459" activeTab="4" xr2:uid="{00000000-000D-0000-FFFF-FFFF00000000}"/>
  </bookViews>
  <sheets>
    <sheet name="S&amp;E" sheetId="5" r:id="rId1"/>
    <sheet name="At_Réu" sheetId="10" state="hidden" r:id="rId2"/>
    <sheet name="AE" sheetId="44" r:id="rId3"/>
    <sheet name="DA" sheetId="25" r:id="rId4"/>
    <sheet name="BO" sheetId="43" r:id="rId5"/>
    <sheet name="CBC " sheetId="4" r:id="rId6"/>
    <sheet name="ENEO_PADESCE" sheetId="6" r:id="rId7"/>
    <sheet name="BUCREP" sheetId="42" r:id="rId8"/>
    <sheet name="AS_OCM" sheetId="22" r:id="rId9"/>
    <sheet name="UPOWA" sheetId="36" r:id="rId10"/>
    <sheet name="PAM" sheetId="37" r:id="rId11"/>
    <sheet name="VERICAM" sheetId="39" r:id="rId12"/>
    <sheet name="F(x)" sheetId="40" state="hidden" r:id="rId13"/>
  </sheets>
  <externalReferences>
    <externalReference r:id="rId14"/>
    <externalReference r:id="rId15"/>
  </externalReferences>
  <definedNames>
    <definedName name="_xlnm._FilterDatabase" localSheetId="2" hidden="1">AE!$A$3:$BT$190</definedName>
    <definedName name="_xlnm._FilterDatabase" localSheetId="8" hidden="1">AS_OCM!$A$3:$BR$28</definedName>
    <definedName name="_xlnm._FilterDatabase" localSheetId="4" hidden="1">BO!$A$3:$BO$77</definedName>
    <definedName name="_xlnm._FilterDatabase" localSheetId="5" hidden="1">'CBC '!$F$3:$AN$10</definedName>
    <definedName name="_xlnm._FilterDatabase" localSheetId="3" hidden="1">DA!$B$3:$BT$36</definedName>
    <definedName name="_xlnm._FilterDatabase" localSheetId="6" hidden="1">ENEO_PADESCE!$A$2:$BT$17</definedName>
    <definedName name="_xlnm._FilterDatabase" localSheetId="10" hidden="1">PAM!$A$3:$BT$13</definedName>
    <definedName name="_xlnm._FilterDatabase" localSheetId="9" hidden="1">UPOWA!$A$3:$BT$34</definedName>
    <definedName name="_xlnm._FilterDatabase" localSheetId="11" hidden="1">VERICAM!$A$3:$BO$11</definedName>
    <definedName name="AgentsRequired">OFFSET('[1]Day Planner'!$E$15,1,0,COUNT('[1]Day Planner'!$D$16:$D$63))</definedName>
    <definedName name="ESLAgentsAvailable">OFFSET('[1]Expected Service Level'!$E$15,1,0,COUNT('[1]Expected Service Level'!$D$16:$D$47))</definedName>
    <definedName name="ESLIncomingCalls">OFFSET('[1]Expected Service Level'!$D$15,1,0,COUNT('[1]Expected Service Level'!$D$16:$D$47))</definedName>
    <definedName name="ESLReqAgents">OFFSET('[1]Expected Service Level'!$G$15,1,0,COUNT('[1]Expected Service Level'!$D$16:$D$47))</definedName>
    <definedName name="ESLTimeRange">OFFSET('[1]Expected Service Level'!$C$15,1,0,COUNT('[1]Expected Service Level'!$D$16:$D$47))</definedName>
    <definedName name="IncomingCalls">OFFSET('[1]Day Planner'!$D$15,1,0,COUNT('[1]Day Planner'!$D$16:$D$63))</definedName>
    <definedName name="TimeRange">OFFSET('[1]Day Planner'!$C$15,1,0,COUNT('[1]Day Planner'!$D$16:$D$63))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6" i="43" l="1"/>
  <c r="E266" i="43" s="1"/>
  <c r="F266" i="43" s="1"/>
  <c r="G266" i="43" s="1"/>
  <c r="H266" i="43" s="1"/>
  <c r="I266" i="43" s="1"/>
  <c r="J266" i="43" s="1"/>
  <c r="H265" i="43"/>
  <c r="J264" i="43"/>
  <c r="I264" i="43"/>
  <c r="H264" i="43"/>
  <c r="G264" i="43"/>
  <c r="F264" i="43"/>
  <c r="E264" i="43"/>
  <c r="D264" i="43"/>
  <c r="J262" i="43"/>
  <c r="I262" i="43"/>
  <c r="H262" i="43"/>
  <c r="G262" i="43"/>
  <c r="F262" i="43"/>
  <c r="E262" i="43"/>
  <c r="D262" i="43"/>
  <c r="J260" i="43"/>
  <c r="I260" i="43"/>
  <c r="H260" i="43"/>
  <c r="G260" i="43"/>
  <c r="F260" i="43"/>
  <c r="E260" i="43"/>
  <c r="D260" i="43"/>
  <c r="J253" i="43"/>
  <c r="I253" i="43"/>
  <c r="H253" i="43"/>
  <c r="G253" i="43"/>
  <c r="F253" i="43"/>
  <c r="E253" i="43"/>
  <c r="D253" i="43"/>
  <c r="J251" i="43"/>
  <c r="I251" i="43"/>
  <c r="H251" i="43"/>
  <c r="G251" i="43"/>
  <c r="F251" i="43"/>
  <c r="E251" i="43"/>
  <c r="D251" i="43"/>
  <c r="J250" i="43"/>
  <c r="I250" i="43"/>
  <c r="H250" i="43"/>
  <c r="G250" i="43"/>
  <c r="F250" i="43"/>
  <c r="E250" i="43"/>
  <c r="D250" i="43"/>
  <c r="D250" i="25"/>
  <c r="D266" i="25"/>
  <c r="E266" i="25" s="1"/>
  <c r="F266" i="25" s="1"/>
  <c r="G266" i="25" s="1"/>
  <c r="H266" i="25" s="1"/>
  <c r="I266" i="25" s="1"/>
  <c r="J266" i="25" s="1"/>
  <c r="J265" i="25"/>
  <c r="I265" i="25"/>
  <c r="H265" i="25"/>
  <c r="G265" i="25"/>
  <c r="F265" i="25"/>
  <c r="E265" i="25"/>
  <c r="D265" i="25"/>
  <c r="J264" i="25"/>
  <c r="I264" i="25"/>
  <c r="H264" i="25"/>
  <c r="G264" i="25"/>
  <c r="F264" i="25"/>
  <c r="E264" i="25"/>
  <c r="D264" i="25"/>
  <c r="J262" i="25"/>
  <c r="I262" i="25"/>
  <c r="H262" i="25"/>
  <c r="G262" i="25"/>
  <c r="F262" i="25"/>
  <c r="E262" i="25"/>
  <c r="D262" i="25"/>
  <c r="J260" i="25"/>
  <c r="I260" i="25"/>
  <c r="H260" i="25"/>
  <c r="G260" i="25"/>
  <c r="F260" i="25"/>
  <c r="E260" i="25"/>
  <c r="D260" i="25"/>
  <c r="J253" i="25"/>
  <c r="I253" i="25"/>
  <c r="H253" i="25"/>
  <c r="G253" i="25"/>
  <c r="F253" i="25"/>
  <c r="E253" i="25"/>
  <c r="D253" i="25"/>
  <c r="J252" i="25"/>
  <c r="I252" i="25"/>
  <c r="H252" i="25"/>
  <c r="G252" i="25"/>
  <c r="F252" i="25"/>
  <c r="E252" i="25"/>
  <c r="D252" i="25"/>
  <c r="J251" i="25"/>
  <c r="I251" i="25"/>
  <c r="H251" i="25"/>
  <c r="G251" i="25"/>
  <c r="F251" i="25"/>
  <c r="E251" i="25"/>
  <c r="D251" i="25"/>
  <c r="J250" i="25"/>
  <c r="I250" i="25"/>
  <c r="H250" i="25"/>
  <c r="G250" i="25"/>
  <c r="F250" i="25"/>
  <c r="E250" i="25"/>
  <c r="D266" i="44"/>
  <c r="E266" i="44" s="1"/>
  <c r="F266" i="44" s="1"/>
  <c r="G266" i="44" s="1"/>
  <c r="H266" i="44" s="1"/>
  <c r="I266" i="44" s="1"/>
  <c r="J266" i="44" s="1"/>
  <c r="J265" i="44"/>
  <c r="I265" i="44"/>
  <c r="H265" i="44"/>
  <c r="G265" i="44"/>
  <c r="J264" i="44"/>
  <c r="I264" i="44"/>
  <c r="H264" i="44"/>
  <c r="G264" i="44"/>
  <c r="F264" i="44"/>
  <c r="E264" i="44"/>
  <c r="D264" i="44"/>
  <c r="J262" i="44"/>
  <c r="I262" i="44"/>
  <c r="H262" i="44"/>
  <c r="G262" i="44"/>
  <c r="F262" i="44"/>
  <c r="E262" i="44"/>
  <c r="D262" i="44"/>
  <c r="J260" i="44"/>
  <c r="I260" i="44"/>
  <c r="H260" i="44"/>
  <c r="G260" i="44"/>
  <c r="F260" i="44"/>
  <c r="E260" i="44"/>
  <c r="D260" i="44"/>
  <c r="E253" i="44"/>
  <c r="J253" i="44"/>
  <c r="I253" i="44"/>
  <c r="H253" i="44"/>
  <c r="G253" i="44"/>
  <c r="F253" i="44"/>
  <c r="D253" i="44"/>
  <c r="J252" i="44"/>
  <c r="I252" i="44"/>
  <c r="H252" i="44"/>
  <c r="G252" i="44"/>
  <c r="F252" i="44"/>
  <c r="E252" i="44"/>
  <c r="D252" i="44"/>
  <c r="J251" i="44" l="1"/>
  <c r="J250" i="44"/>
  <c r="I251" i="44"/>
  <c r="I250" i="44"/>
  <c r="H251" i="44"/>
  <c r="H250" i="44"/>
  <c r="G251" i="44"/>
  <c r="G250" i="44"/>
  <c r="F251" i="44"/>
  <c r="F250" i="44"/>
  <c r="E251" i="44"/>
  <c r="E250" i="44"/>
  <c r="D251" i="44"/>
  <c r="D250" i="44"/>
  <c r="AI36" i="43" l="1"/>
  <c r="Y42" i="43"/>
  <c r="AN34" i="43"/>
  <c r="AI34" i="43"/>
  <c r="AD34" i="43"/>
  <c r="Y34" i="43"/>
  <c r="T34" i="43"/>
  <c r="O34" i="43"/>
  <c r="Y24" i="43"/>
  <c r="T24" i="43"/>
  <c r="O24" i="43"/>
  <c r="AN24" i="43"/>
  <c r="AI24" i="43"/>
  <c r="AN36" i="43"/>
  <c r="Y21" i="43"/>
  <c r="AD21" i="43"/>
  <c r="AI21" i="43"/>
  <c r="AN21" i="43"/>
  <c r="AN22" i="43"/>
  <c r="AI22" i="43"/>
  <c r="AD22" i="43"/>
  <c r="Y22" i="43"/>
  <c r="T22" i="43"/>
  <c r="O22" i="43"/>
  <c r="J22" i="43"/>
  <c r="J153" i="44" l="1"/>
  <c r="AN77" i="44" l="1"/>
  <c r="AI77" i="44"/>
  <c r="AD77" i="44"/>
  <c r="Y77" i="44"/>
  <c r="T77" i="44"/>
  <c r="O77" i="44"/>
  <c r="J77" i="44"/>
  <c r="AN76" i="44"/>
  <c r="AI76" i="44"/>
  <c r="AD76" i="44"/>
  <c r="Y76" i="44"/>
  <c r="T76" i="44"/>
  <c r="O76" i="44"/>
  <c r="J76" i="44"/>
  <c r="AN75" i="44"/>
  <c r="AI75" i="44"/>
  <c r="AD75" i="44"/>
  <c r="Y75" i="44"/>
  <c r="T75" i="44"/>
  <c r="O75" i="44"/>
  <c r="J75" i="44"/>
  <c r="AN74" i="44"/>
  <c r="AI74" i="44"/>
  <c r="AD74" i="44"/>
  <c r="Y74" i="44"/>
  <c r="T74" i="44"/>
  <c r="O74" i="44"/>
  <c r="J74" i="44"/>
  <c r="AN73" i="44"/>
  <c r="AI73" i="44"/>
  <c r="AD73" i="44"/>
  <c r="Y73" i="44"/>
  <c r="T73" i="44"/>
  <c r="O73" i="44"/>
  <c r="J73" i="44"/>
  <c r="AN72" i="44"/>
  <c r="AI72" i="44"/>
  <c r="AD72" i="44"/>
  <c r="Y72" i="44"/>
  <c r="T72" i="44"/>
  <c r="O72" i="44"/>
  <c r="J72" i="44"/>
  <c r="AN71" i="44"/>
  <c r="AI71" i="44"/>
  <c r="AD71" i="44"/>
  <c r="Y71" i="44"/>
  <c r="T71" i="44"/>
  <c r="O71" i="44"/>
  <c r="J71" i="44"/>
  <c r="AN70" i="44"/>
  <c r="AI70" i="44"/>
  <c r="AD70" i="44"/>
  <c r="Y70" i="44"/>
  <c r="T70" i="44"/>
  <c r="O70" i="44"/>
  <c r="J70" i="44"/>
  <c r="AN69" i="44"/>
  <c r="AI69" i="44"/>
  <c r="AD69" i="44"/>
  <c r="Y69" i="44"/>
  <c r="T69" i="44"/>
  <c r="O69" i="44"/>
  <c r="J69" i="44"/>
  <c r="AN68" i="44"/>
  <c r="AI68" i="44"/>
  <c r="AD68" i="44"/>
  <c r="Y68" i="44"/>
  <c r="T68" i="44"/>
  <c r="O68" i="44"/>
  <c r="J68" i="44"/>
  <c r="AN176" i="44"/>
  <c r="AI176" i="44"/>
  <c r="AD176" i="44"/>
  <c r="Y176" i="44"/>
  <c r="T176" i="44"/>
  <c r="O176" i="44"/>
  <c r="J176" i="44"/>
  <c r="AN175" i="44"/>
  <c r="AI175" i="44"/>
  <c r="AD175" i="44"/>
  <c r="Y175" i="44"/>
  <c r="T175" i="44"/>
  <c r="O175" i="44"/>
  <c r="J175" i="44"/>
  <c r="AN114" i="44"/>
  <c r="AI114" i="44"/>
  <c r="AD114" i="44"/>
  <c r="Y114" i="44"/>
  <c r="T114" i="44"/>
  <c r="O114" i="44"/>
  <c r="J114" i="44"/>
  <c r="AN102" i="44"/>
  <c r="AI102" i="44"/>
  <c r="AD102" i="44"/>
  <c r="Y102" i="44"/>
  <c r="T102" i="44"/>
  <c r="O102" i="44"/>
  <c r="J102" i="44"/>
  <c r="AN89" i="44"/>
  <c r="AI89" i="44"/>
  <c r="AD89" i="44"/>
  <c r="Y89" i="44"/>
  <c r="T89" i="44"/>
  <c r="O89" i="44"/>
  <c r="J89" i="44"/>
  <c r="AN88" i="44"/>
  <c r="AI88" i="44"/>
  <c r="AD88" i="44"/>
  <c r="Y88" i="44"/>
  <c r="T88" i="44"/>
  <c r="O88" i="44"/>
  <c r="J88" i="44"/>
  <c r="AN67" i="44"/>
  <c r="AI67" i="44"/>
  <c r="AD67" i="44"/>
  <c r="Y67" i="44"/>
  <c r="O67" i="44"/>
  <c r="J67" i="44"/>
  <c r="AN42" i="44"/>
  <c r="AI42" i="44"/>
  <c r="AD42" i="44"/>
  <c r="Y42" i="44"/>
  <c r="T42" i="44"/>
  <c r="O42" i="44"/>
  <c r="J42" i="44"/>
  <c r="AN41" i="44"/>
  <c r="AI41" i="44"/>
  <c r="AD41" i="44"/>
  <c r="Y41" i="44"/>
  <c r="T41" i="44"/>
  <c r="O41" i="44"/>
  <c r="J41" i="44"/>
  <c r="AN29" i="44"/>
  <c r="AI29" i="44"/>
  <c r="AD29" i="44"/>
  <c r="Y29" i="44"/>
  <c r="T29" i="44"/>
  <c r="O29" i="44"/>
  <c r="J29" i="44"/>
  <c r="AN125" i="44"/>
  <c r="AI125" i="44"/>
  <c r="AD125" i="44"/>
  <c r="Y125" i="44"/>
  <c r="T125" i="44"/>
  <c r="O125" i="44"/>
  <c r="J125" i="44"/>
  <c r="AN124" i="44"/>
  <c r="AI124" i="44"/>
  <c r="AD124" i="44"/>
  <c r="Y124" i="44"/>
  <c r="T124" i="44"/>
  <c r="O124" i="44"/>
  <c r="J124" i="44"/>
  <c r="AN123" i="44"/>
  <c r="AI123" i="44"/>
  <c r="AD123" i="44"/>
  <c r="Y123" i="44"/>
  <c r="T123" i="44"/>
  <c r="O123" i="44"/>
  <c r="J123" i="44"/>
  <c r="AN122" i="44"/>
  <c r="AI122" i="44"/>
  <c r="AD122" i="44"/>
  <c r="Y122" i="44"/>
  <c r="T122" i="44"/>
  <c r="O122" i="44"/>
  <c r="J122" i="44"/>
  <c r="AN121" i="44"/>
  <c r="AI121" i="44"/>
  <c r="AD121" i="44"/>
  <c r="Y121" i="44"/>
  <c r="T121" i="44"/>
  <c r="O121" i="44"/>
  <c r="J121" i="44"/>
  <c r="AN120" i="44"/>
  <c r="AI120" i="44"/>
  <c r="AD120" i="44"/>
  <c r="Y120" i="44"/>
  <c r="T120" i="44"/>
  <c r="O120" i="44"/>
  <c r="J120" i="44"/>
  <c r="AN119" i="44"/>
  <c r="AI119" i="44"/>
  <c r="AD119" i="44"/>
  <c r="Y119" i="44"/>
  <c r="T119" i="44"/>
  <c r="O119" i="44"/>
  <c r="J119" i="44"/>
  <c r="AN118" i="44"/>
  <c r="AI118" i="44"/>
  <c r="AD118" i="44"/>
  <c r="Y118" i="44"/>
  <c r="T118" i="44"/>
  <c r="O118" i="44"/>
  <c r="J118" i="44"/>
  <c r="AN117" i="44"/>
  <c r="AI117" i="44"/>
  <c r="AD117" i="44"/>
  <c r="Y117" i="44"/>
  <c r="T117" i="44"/>
  <c r="O117" i="44"/>
  <c r="J117" i="44"/>
  <c r="AN116" i="44"/>
  <c r="AI116" i="44"/>
  <c r="AD116" i="44"/>
  <c r="Y116" i="44"/>
  <c r="T116" i="44"/>
  <c r="O116" i="44"/>
  <c r="J116" i="44"/>
  <c r="AN115" i="44"/>
  <c r="AI115" i="44"/>
  <c r="AD115" i="44"/>
  <c r="Y115" i="44"/>
  <c r="T115" i="44"/>
  <c r="O115" i="44"/>
  <c r="J115" i="44"/>
  <c r="AN190" i="44"/>
  <c r="AI190" i="44"/>
  <c r="AD190" i="44"/>
  <c r="Y190" i="44"/>
  <c r="T190" i="44"/>
  <c r="O190" i="44"/>
  <c r="J190" i="44"/>
  <c r="AN189" i="44"/>
  <c r="AI189" i="44"/>
  <c r="AD189" i="44"/>
  <c r="Y189" i="44"/>
  <c r="T189" i="44"/>
  <c r="O189" i="44"/>
  <c r="J189" i="44"/>
  <c r="AN188" i="44"/>
  <c r="AI188" i="44"/>
  <c r="AD188" i="44"/>
  <c r="Y188" i="44"/>
  <c r="T188" i="44"/>
  <c r="O188" i="44"/>
  <c r="J188" i="44"/>
  <c r="AN187" i="44"/>
  <c r="AI187" i="44"/>
  <c r="AD187" i="44"/>
  <c r="Y187" i="44"/>
  <c r="T187" i="44"/>
  <c r="O187" i="44"/>
  <c r="J187" i="44"/>
  <c r="AN186" i="44"/>
  <c r="AI186" i="44"/>
  <c r="AD186" i="44"/>
  <c r="Y186" i="44"/>
  <c r="T186" i="44"/>
  <c r="O186" i="44"/>
  <c r="J186" i="44"/>
  <c r="AN185" i="44"/>
  <c r="AI185" i="44"/>
  <c r="AD185" i="44"/>
  <c r="Y185" i="44"/>
  <c r="O185" i="44"/>
  <c r="J185" i="44"/>
  <c r="AI184" i="44"/>
  <c r="AD184" i="44"/>
  <c r="Y184" i="44"/>
  <c r="T184" i="44"/>
  <c r="O184" i="44"/>
  <c r="J184" i="44"/>
  <c r="AN183" i="44"/>
  <c r="AI183" i="44"/>
  <c r="AD183" i="44"/>
  <c r="Y183" i="44"/>
  <c r="T183" i="44"/>
  <c r="O183" i="44"/>
  <c r="J183" i="44"/>
  <c r="AN182" i="44"/>
  <c r="AI182" i="44"/>
  <c r="AD182" i="44"/>
  <c r="Y182" i="44"/>
  <c r="T182" i="44"/>
  <c r="O182" i="44"/>
  <c r="J182" i="44"/>
  <c r="AN181" i="44"/>
  <c r="AI181" i="44"/>
  <c r="AD181" i="44"/>
  <c r="Y181" i="44"/>
  <c r="T181" i="44"/>
  <c r="O181" i="44"/>
  <c r="J181" i="44"/>
  <c r="AN180" i="44"/>
  <c r="AI180" i="44"/>
  <c r="AD180" i="44"/>
  <c r="Y180" i="44"/>
  <c r="T180" i="44"/>
  <c r="O180" i="44"/>
  <c r="J180" i="44"/>
  <c r="AN179" i="44"/>
  <c r="AI179" i="44"/>
  <c r="AD179" i="44"/>
  <c r="Y179" i="44"/>
  <c r="T179" i="44"/>
  <c r="O179" i="44"/>
  <c r="J179" i="44"/>
  <c r="AN178" i="44"/>
  <c r="AI178" i="44"/>
  <c r="AD178" i="44"/>
  <c r="Y178" i="44"/>
  <c r="T178" i="44"/>
  <c r="O178" i="44"/>
  <c r="J178" i="44"/>
  <c r="AN177" i="44"/>
  <c r="AI177" i="44"/>
  <c r="AD177" i="44"/>
  <c r="Y177" i="44"/>
  <c r="T177" i="44"/>
  <c r="O177" i="44"/>
  <c r="J177" i="44"/>
  <c r="AI152" i="44"/>
  <c r="T152" i="44"/>
  <c r="O152" i="44"/>
  <c r="AD151" i="44"/>
  <c r="Y151" i="44"/>
  <c r="O151" i="44"/>
  <c r="J151" i="44"/>
  <c r="AN55" i="44"/>
  <c r="AI55" i="44"/>
  <c r="AD55" i="44"/>
  <c r="Y55" i="44"/>
  <c r="T55" i="44"/>
  <c r="O55" i="44"/>
  <c r="J55" i="44"/>
  <c r="AN54" i="44"/>
  <c r="AI54" i="44"/>
  <c r="AD54" i="44"/>
  <c r="Y54" i="44"/>
  <c r="T54" i="44"/>
  <c r="O54" i="44"/>
  <c r="J54" i="44"/>
  <c r="AN53" i="44"/>
  <c r="AI53" i="44"/>
  <c r="AD53" i="44"/>
  <c r="Y53" i="44"/>
  <c r="T53" i="44"/>
  <c r="O53" i="44"/>
  <c r="J53" i="44"/>
  <c r="AN52" i="44"/>
  <c r="AI52" i="44"/>
  <c r="AD52" i="44"/>
  <c r="Y52" i="44"/>
  <c r="T52" i="44"/>
  <c r="O52" i="44"/>
  <c r="J52" i="44"/>
  <c r="AN51" i="44"/>
  <c r="AI51" i="44"/>
  <c r="AD51" i="44"/>
  <c r="Y51" i="44"/>
  <c r="T51" i="44"/>
  <c r="O51" i="44"/>
  <c r="J51" i="44"/>
  <c r="AN50" i="44"/>
  <c r="AI50" i="44"/>
  <c r="AD50" i="44"/>
  <c r="Y50" i="44"/>
  <c r="T50" i="44"/>
  <c r="O50" i="44"/>
  <c r="J50" i="44"/>
  <c r="AN49" i="44"/>
  <c r="AI49" i="44"/>
  <c r="AD49" i="44"/>
  <c r="Y49" i="44"/>
  <c r="T49" i="44"/>
  <c r="O49" i="44"/>
  <c r="J49" i="44"/>
  <c r="AN48" i="44"/>
  <c r="AI48" i="44"/>
  <c r="AD48" i="44"/>
  <c r="Y48" i="44"/>
  <c r="T48" i="44"/>
  <c r="O48" i="44"/>
  <c r="J48" i="44"/>
  <c r="AN47" i="44"/>
  <c r="AI47" i="44"/>
  <c r="AD47" i="44"/>
  <c r="Y47" i="44"/>
  <c r="T47" i="44"/>
  <c r="O47" i="44"/>
  <c r="J47" i="44"/>
  <c r="AN46" i="44"/>
  <c r="AI46" i="44"/>
  <c r="AD46" i="44"/>
  <c r="Y46" i="44"/>
  <c r="T46" i="44"/>
  <c r="O46" i="44"/>
  <c r="J46" i="44"/>
  <c r="AN45" i="44"/>
  <c r="AI45" i="44"/>
  <c r="AD45" i="44"/>
  <c r="Y45" i="44"/>
  <c r="T45" i="44"/>
  <c r="O45" i="44"/>
  <c r="J45" i="44"/>
  <c r="AN44" i="44"/>
  <c r="AI44" i="44"/>
  <c r="AD44" i="44"/>
  <c r="Y44" i="44"/>
  <c r="T44" i="44"/>
  <c r="O44" i="44"/>
  <c r="J44" i="44"/>
  <c r="AN43" i="44"/>
  <c r="AI43" i="44"/>
  <c r="AD43" i="44"/>
  <c r="Y43" i="44"/>
  <c r="T43" i="44"/>
  <c r="O43" i="44"/>
  <c r="J43" i="44"/>
  <c r="AN16" i="44"/>
  <c r="AI16" i="44"/>
  <c r="AD16" i="44"/>
  <c r="Y16" i="44"/>
  <c r="T16" i="44"/>
  <c r="O16" i="44"/>
  <c r="J16" i="44"/>
  <c r="AN15" i="44"/>
  <c r="AI15" i="44"/>
  <c r="AD15" i="44"/>
  <c r="Y15" i="44"/>
  <c r="T15" i="44"/>
  <c r="O15" i="44"/>
  <c r="J15" i="44"/>
  <c r="AN14" i="44"/>
  <c r="AI14" i="44"/>
  <c r="AD14" i="44"/>
  <c r="Y14" i="44"/>
  <c r="T14" i="44"/>
  <c r="O14" i="44"/>
  <c r="J14" i="44"/>
  <c r="AN13" i="44"/>
  <c r="AI13" i="44"/>
  <c r="AD13" i="44"/>
  <c r="Y13" i="44"/>
  <c r="T13" i="44"/>
  <c r="O13" i="44"/>
  <c r="J13" i="44"/>
  <c r="AN12" i="44"/>
  <c r="AI12" i="44"/>
  <c r="AD12" i="44"/>
  <c r="Y12" i="44"/>
  <c r="T12" i="44"/>
  <c r="O12" i="44"/>
  <c r="J12" i="44"/>
  <c r="AN11" i="44"/>
  <c r="AI11" i="44"/>
  <c r="AD11" i="44"/>
  <c r="Y11" i="44"/>
  <c r="T11" i="44"/>
  <c r="O11" i="44"/>
  <c r="J11" i="44"/>
  <c r="AN10" i="44"/>
  <c r="AI10" i="44"/>
  <c r="AD10" i="44"/>
  <c r="Y10" i="44"/>
  <c r="T10" i="44"/>
  <c r="O10" i="44"/>
  <c r="J10" i="44"/>
  <c r="AN9" i="44"/>
  <c r="AI9" i="44"/>
  <c r="AD9" i="44"/>
  <c r="Y9" i="44"/>
  <c r="T9" i="44"/>
  <c r="O9" i="44"/>
  <c r="J9" i="44"/>
  <c r="AN8" i="44"/>
  <c r="AI8" i="44"/>
  <c r="AD8" i="44"/>
  <c r="Y8" i="44"/>
  <c r="T8" i="44"/>
  <c r="O8" i="44"/>
  <c r="J8" i="44"/>
  <c r="AN7" i="44"/>
  <c r="AI7" i="44"/>
  <c r="AD7" i="44"/>
  <c r="Y7" i="44"/>
  <c r="T7" i="44"/>
  <c r="O7" i="44"/>
  <c r="J7" i="44"/>
  <c r="AN6" i="44"/>
  <c r="AI6" i="44"/>
  <c r="AD6" i="44"/>
  <c r="Y6" i="44"/>
  <c r="T6" i="44"/>
  <c r="O6" i="44"/>
  <c r="J6" i="44"/>
  <c r="AI5" i="44"/>
  <c r="AD5" i="44"/>
  <c r="Y5" i="44"/>
  <c r="T5" i="44"/>
  <c r="O5" i="44"/>
  <c r="J5" i="44"/>
  <c r="AN4" i="44"/>
  <c r="AI4" i="44"/>
  <c r="AD4" i="44"/>
  <c r="Y4" i="44"/>
  <c r="T4" i="44"/>
  <c r="O4" i="44"/>
  <c r="J4" i="44"/>
  <c r="AO177" i="44" l="1"/>
  <c r="AO115" i="44"/>
  <c r="AO123" i="44"/>
  <c r="AO89" i="44"/>
  <c r="AO122" i="44"/>
  <c r="AO67" i="44"/>
  <c r="AO190" i="44"/>
  <c r="AO68" i="44"/>
  <c r="AO76" i="44"/>
  <c r="AO152" i="44"/>
  <c r="AO151" i="44"/>
  <c r="AO184" i="44"/>
  <c r="AO88" i="44"/>
  <c r="AO69" i="44"/>
  <c r="AO77" i="44"/>
  <c r="AO189" i="44"/>
  <c r="AO121" i="44"/>
  <c r="AO188" i="44"/>
  <c r="AO120" i="44"/>
  <c r="AO42" i="44"/>
  <c r="AO183" i="44"/>
  <c r="AO181" i="44"/>
  <c r="AO187" i="44"/>
  <c r="AO119" i="44"/>
  <c r="AO41" i="44"/>
  <c r="AO175" i="44"/>
  <c r="AO176" i="44"/>
  <c r="AO70" i="44"/>
  <c r="AO74" i="44"/>
  <c r="AO75" i="44"/>
  <c r="AO118" i="44"/>
  <c r="AO29" i="44"/>
  <c r="AO179" i="44"/>
  <c r="AO102" i="44"/>
  <c r="AO114" i="44"/>
  <c r="AO72" i="44"/>
  <c r="AO180" i="44"/>
  <c r="AO186" i="44"/>
  <c r="AO178" i="44"/>
  <c r="AO182" i="44"/>
  <c r="AO185" i="44"/>
  <c r="AO116" i="44"/>
  <c r="AO117" i="44"/>
  <c r="AO124" i="44"/>
  <c r="AO125" i="44"/>
  <c r="AO71" i="44"/>
  <c r="AO73" i="44"/>
  <c r="AN146" i="44"/>
  <c r="AI146" i="44"/>
  <c r="AD146" i="44"/>
  <c r="Y146" i="44"/>
  <c r="T146" i="44"/>
  <c r="O146" i="44"/>
  <c r="J146" i="44"/>
  <c r="AN145" i="44"/>
  <c r="AI145" i="44"/>
  <c r="AD145" i="44"/>
  <c r="Y145" i="44"/>
  <c r="T145" i="44"/>
  <c r="O145" i="44"/>
  <c r="J145" i="44"/>
  <c r="AN144" i="44"/>
  <c r="AI144" i="44"/>
  <c r="AD144" i="44"/>
  <c r="Y144" i="44"/>
  <c r="T144" i="44"/>
  <c r="O144" i="44"/>
  <c r="J144" i="44"/>
  <c r="AN143" i="44"/>
  <c r="AI143" i="44"/>
  <c r="AD143" i="44"/>
  <c r="Y143" i="44"/>
  <c r="T143" i="44"/>
  <c r="O143" i="44"/>
  <c r="J143" i="44"/>
  <c r="AN142" i="44"/>
  <c r="AI142" i="44"/>
  <c r="AD142" i="44"/>
  <c r="Y142" i="44"/>
  <c r="T142" i="44"/>
  <c r="O142" i="44"/>
  <c r="J142" i="44"/>
  <c r="AN141" i="44"/>
  <c r="AI141" i="44"/>
  <c r="AD141" i="44"/>
  <c r="Y141" i="44"/>
  <c r="T141" i="44"/>
  <c r="O141" i="44"/>
  <c r="J141" i="44"/>
  <c r="AN140" i="44"/>
  <c r="AI140" i="44"/>
  <c r="AD140" i="44"/>
  <c r="Y140" i="44"/>
  <c r="T140" i="44"/>
  <c r="O140" i="44"/>
  <c r="J140" i="44"/>
  <c r="AN139" i="44"/>
  <c r="AI139" i="44"/>
  <c r="AD139" i="44"/>
  <c r="Y139" i="44"/>
  <c r="T139" i="44"/>
  <c r="O139" i="44"/>
  <c r="J139" i="44"/>
  <c r="AN138" i="44"/>
  <c r="AI138" i="44"/>
  <c r="AD138" i="44"/>
  <c r="Y138" i="44"/>
  <c r="T138" i="44"/>
  <c r="O138" i="44"/>
  <c r="J138" i="44"/>
  <c r="AN137" i="44"/>
  <c r="AI137" i="44"/>
  <c r="AD137" i="44"/>
  <c r="Y137" i="44"/>
  <c r="T137" i="44"/>
  <c r="O137" i="44"/>
  <c r="J137" i="44"/>
  <c r="AN136" i="44"/>
  <c r="AI136" i="44"/>
  <c r="AD136" i="44"/>
  <c r="Y136" i="44"/>
  <c r="T136" i="44"/>
  <c r="O136" i="44"/>
  <c r="J136" i="44"/>
  <c r="AN135" i="44"/>
  <c r="AI135" i="44"/>
  <c r="AD135" i="44"/>
  <c r="Y135" i="44"/>
  <c r="T135" i="44"/>
  <c r="O135" i="44"/>
  <c r="J135" i="44"/>
  <c r="AN134" i="44"/>
  <c r="AI134" i="44"/>
  <c r="AD134" i="44"/>
  <c r="Y134" i="44"/>
  <c r="T134" i="44"/>
  <c r="O134" i="44"/>
  <c r="J134" i="44"/>
  <c r="AN133" i="44"/>
  <c r="AI133" i="44"/>
  <c r="AD133" i="44"/>
  <c r="Y133" i="44"/>
  <c r="T133" i="44"/>
  <c r="O133" i="44"/>
  <c r="J133" i="44"/>
  <c r="AN132" i="44"/>
  <c r="AI132" i="44"/>
  <c r="AD132" i="44"/>
  <c r="Y132" i="44"/>
  <c r="T132" i="44"/>
  <c r="O132" i="44"/>
  <c r="J132" i="44"/>
  <c r="AN131" i="44"/>
  <c r="AI131" i="44"/>
  <c r="AD131" i="44"/>
  <c r="Y131" i="44"/>
  <c r="T131" i="44"/>
  <c r="O131" i="44"/>
  <c r="J131" i="44"/>
  <c r="AN130" i="44"/>
  <c r="AI130" i="44"/>
  <c r="AD130" i="44"/>
  <c r="Y130" i="44"/>
  <c r="T130" i="44"/>
  <c r="O130" i="44"/>
  <c r="J130" i="44"/>
  <c r="AN129" i="44"/>
  <c r="AI129" i="44"/>
  <c r="AD129" i="44"/>
  <c r="Y129" i="44"/>
  <c r="T129" i="44"/>
  <c r="O129" i="44"/>
  <c r="J129" i="44"/>
  <c r="AN128" i="44"/>
  <c r="AI128" i="44"/>
  <c r="AD128" i="44"/>
  <c r="Y128" i="44"/>
  <c r="T128" i="44"/>
  <c r="O128" i="44"/>
  <c r="J128" i="44"/>
  <c r="AN127" i="44"/>
  <c r="AI127" i="44"/>
  <c r="AD127" i="44"/>
  <c r="Y127" i="44"/>
  <c r="T127" i="44"/>
  <c r="O127" i="44"/>
  <c r="J127" i="44"/>
  <c r="AN126" i="44"/>
  <c r="AI126" i="44"/>
  <c r="AD126" i="44"/>
  <c r="Y126" i="44"/>
  <c r="T126" i="44"/>
  <c r="O126" i="44"/>
  <c r="J126" i="44"/>
  <c r="AN174" i="44"/>
  <c r="AI174" i="44"/>
  <c r="AD174" i="44"/>
  <c r="Y174" i="44"/>
  <c r="T174" i="44"/>
  <c r="O174" i="44"/>
  <c r="J174" i="44"/>
  <c r="AN173" i="44"/>
  <c r="AI173" i="44"/>
  <c r="AD173" i="44"/>
  <c r="Y173" i="44"/>
  <c r="T173" i="44"/>
  <c r="O173" i="44"/>
  <c r="J173" i="44"/>
  <c r="AN172" i="44"/>
  <c r="AI172" i="44"/>
  <c r="AD172" i="44"/>
  <c r="Y172" i="44"/>
  <c r="T172" i="44"/>
  <c r="O172" i="44"/>
  <c r="J172" i="44"/>
  <c r="AN171" i="44"/>
  <c r="AI171" i="44"/>
  <c r="AD171" i="44"/>
  <c r="Y171" i="44"/>
  <c r="T171" i="44"/>
  <c r="O171" i="44"/>
  <c r="J171" i="44"/>
  <c r="AN170" i="44"/>
  <c r="AI170" i="44"/>
  <c r="AD170" i="44"/>
  <c r="Y170" i="44"/>
  <c r="T170" i="44"/>
  <c r="O170" i="44"/>
  <c r="J170" i="44"/>
  <c r="AN169" i="44"/>
  <c r="AI169" i="44"/>
  <c r="AD169" i="44"/>
  <c r="Y169" i="44"/>
  <c r="T169" i="44"/>
  <c r="O169" i="44"/>
  <c r="J169" i="44"/>
  <c r="AN168" i="44"/>
  <c r="AI168" i="44"/>
  <c r="AD168" i="44"/>
  <c r="Y168" i="44"/>
  <c r="T168" i="44"/>
  <c r="O168" i="44"/>
  <c r="J168" i="44"/>
  <c r="AN167" i="44"/>
  <c r="AI167" i="44"/>
  <c r="AD167" i="44"/>
  <c r="Y167" i="44"/>
  <c r="T167" i="44"/>
  <c r="O167" i="44"/>
  <c r="J167" i="44"/>
  <c r="AN166" i="44"/>
  <c r="AI166" i="44"/>
  <c r="AD166" i="44"/>
  <c r="Y166" i="44"/>
  <c r="T166" i="44"/>
  <c r="O166" i="44"/>
  <c r="J166" i="44"/>
  <c r="AN165" i="44"/>
  <c r="AI165" i="44"/>
  <c r="AD165" i="44"/>
  <c r="Y165" i="44"/>
  <c r="T165" i="44"/>
  <c r="O165" i="44"/>
  <c r="J165" i="44"/>
  <c r="AN164" i="44"/>
  <c r="AI164" i="44"/>
  <c r="AD164" i="44"/>
  <c r="Y164" i="44"/>
  <c r="T164" i="44"/>
  <c r="O164" i="44"/>
  <c r="J164" i="44"/>
  <c r="AN163" i="44"/>
  <c r="AI163" i="44"/>
  <c r="AD163" i="44"/>
  <c r="Y163" i="44"/>
  <c r="T163" i="44"/>
  <c r="O163" i="44"/>
  <c r="J163" i="44"/>
  <c r="AN162" i="44"/>
  <c r="AI162" i="44"/>
  <c r="AD162" i="44"/>
  <c r="Y162" i="44"/>
  <c r="T162" i="44"/>
  <c r="O162" i="44"/>
  <c r="J162" i="44"/>
  <c r="AN161" i="44"/>
  <c r="AI161" i="44"/>
  <c r="AD161" i="44"/>
  <c r="Y161" i="44"/>
  <c r="T161" i="44"/>
  <c r="O161" i="44"/>
  <c r="J161" i="44"/>
  <c r="AN160" i="44"/>
  <c r="AI160" i="44"/>
  <c r="AD160" i="44"/>
  <c r="Y160" i="44"/>
  <c r="T160" i="44"/>
  <c r="O160" i="44"/>
  <c r="J160" i="44"/>
  <c r="AN159" i="44"/>
  <c r="AI159" i="44"/>
  <c r="AD159" i="44"/>
  <c r="Y159" i="44"/>
  <c r="T159" i="44"/>
  <c r="O159" i="44"/>
  <c r="J159" i="44"/>
  <c r="AN158" i="44"/>
  <c r="AI158" i="44"/>
  <c r="AD158" i="44"/>
  <c r="Y158" i="44"/>
  <c r="T158" i="44"/>
  <c r="O158" i="44"/>
  <c r="J158" i="44"/>
  <c r="AN157" i="44"/>
  <c r="AI157" i="44"/>
  <c r="AD157" i="44"/>
  <c r="Y157" i="44"/>
  <c r="T157" i="44"/>
  <c r="O157" i="44"/>
  <c r="J157" i="44"/>
  <c r="AN156" i="44"/>
  <c r="AI156" i="44"/>
  <c r="AD156" i="44"/>
  <c r="Y156" i="44"/>
  <c r="T156" i="44"/>
  <c r="O156" i="44"/>
  <c r="J156" i="44"/>
  <c r="AN155" i="44"/>
  <c r="AI155" i="44"/>
  <c r="AD155" i="44"/>
  <c r="Y155" i="44"/>
  <c r="T155" i="44"/>
  <c r="O155" i="44"/>
  <c r="J155" i="44"/>
  <c r="AN154" i="44"/>
  <c r="AI154" i="44"/>
  <c r="AD154" i="44"/>
  <c r="Y154" i="44"/>
  <c r="T154" i="44"/>
  <c r="O154" i="44"/>
  <c r="J154" i="44"/>
  <c r="AN153" i="44"/>
  <c r="AI153" i="44"/>
  <c r="AD153" i="44"/>
  <c r="Y153" i="44"/>
  <c r="T153" i="44"/>
  <c r="O153" i="44"/>
  <c r="AN150" i="44"/>
  <c r="AI150" i="44"/>
  <c r="AD150" i="44"/>
  <c r="Y150" i="44"/>
  <c r="T150" i="44"/>
  <c r="O150" i="44"/>
  <c r="J150" i="44"/>
  <c r="AI149" i="44"/>
  <c r="AD149" i="44"/>
  <c r="T149" i="44"/>
  <c r="O149" i="44"/>
  <c r="AD148" i="44"/>
  <c r="Y148" i="44"/>
  <c r="O148" i="44"/>
  <c r="J148" i="44"/>
  <c r="AN147" i="44"/>
  <c r="AI147" i="44"/>
  <c r="AD147" i="44"/>
  <c r="Y147" i="44"/>
  <c r="T147" i="44"/>
  <c r="O147" i="44"/>
  <c r="J147" i="44"/>
  <c r="AN113" i="44"/>
  <c r="AI113" i="44"/>
  <c r="AD113" i="44"/>
  <c r="Y113" i="44"/>
  <c r="T113" i="44"/>
  <c r="O113" i="44"/>
  <c r="J113" i="44"/>
  <c r="AN112" i="44"/>
  <c r="AI112" i="44"/>
  <c r="AD112" i="44"/>
  <c r="Y112" i="44"/>
  <c r="T112" i="44"/>
  <c r="O112" i="44"/>
  <c r="J112" i="44"/>
  <c r="AN111" i="44"/>
  <c r="AI111" i="44"/>
  <c r="AD111" i="44"/>
  <c r="Y111" i="44"/>
  <c r="T111" i="44"/>
  <c r="O111" i="44"/>
  <c r="J111" i="44"/>
  <c r="AN110" i="44"/>
  <c r="AI110" i="44"/>
  <c r="AD110" i="44"/>
  <c r="Y110" i="44"/>
  <c r="J110" i="44"/>
  <c r="AN109" i="44"/>
  <c r="AI109" i="44"/>
  <c r="AD109" i="44"/>
  <c r="Y109" i="44"/>
  <c r="T109" i="44"/>
  <c r="O109" i="44"/>
  <c r="J109" i="44"/>
  <c r="AN108" i="44"/>
  <c r="AI108" i="44"/>
  <c r="AD108" i="44"/>
  <c r="Y108" i="44"/>
  <c r="T108" i="44"/>
  <c r="O108" i="44"/>
  <c r="J108" i="44"/>
  <c r="AN107" i="44"/>
  <c r="AI107" i="44"/>
  <c r="AD107" i="44"/>
  <c r="Y107" i="44"/>
  <c r="T107" i="44"/>
  <c r="O107" i="44"/>
  <c r="J107" i="44"/>
  <c r="AN106" i="44"/>
  <c r="AI106" i="44"/>
  <c r="AD106" i="44"/>
  <c r="Y106" i="44"/>
  <c r="T106" i="44"/>
  <c r="O106" i="44"/>
  <c r="J106" i="44"/>
  <c r="AN105" i="44"/>
  <c r="AI105" i="44"/>
  <c r="AD105" i="44"/>
  <c r="Y105" i="44"/>
  <c r="T105" i="44"/>
  <c r="O105" i="44"/>
  <c r="J105" i="44"/>
  <c r="AN104" i="44"/>
  <c r="AI104" i="44"/>
  <c r="AD104" i="44"/>
  <c r="Y104" i="44"/>
  <c r="T104" i="44"/>
  <c r="O104" i="44"/>
  <c r="J104" i="44"/>
  <c r="AN103" i="44"/>
  <c r="AI103" i="44"/>
  <c r="AD103" i="44"/>
  <c r="Y103" i="44"/>
  <c r="T103" i="44"/>
  <c r="O103" i="44"/>
  <c r="J103" i="44"/>
  <c r="AN101" i="44"/>
  <c r="AI101" i="44"/>
  <c r="AD101" i="44"/>
  <c r="T101" i="44"/>
  <c r="O101" i="44"/>
  <c r="J101" i="44"/>
  <c r="AN100" i="44"/>
  <c r="AI100" i="44"/>
  <c r="AD100" i="44"/>
  <c r="Y100" i="44"/>
  <c r="T100" i="44"/>
  <c r="O100" i="44"/>
  <c r="J100" i="44"/>
  <c r="AN99" i="44"/>
  <c r="AI99" i="44"/>
  <c r="AD99" i="44"/>
  <c r="Y99" i="44"/>
  <c r="T99" i="44"/>
  <c r="O99" i="44"/>
  <c r="J99" i="44"/>
  <c r="AN98" i="44"/>
  <c r="AI98" i="44"/>
  <c r="Y98" i="44"/>
  <c r="T98" i="44"/>
  <c r="O98" i="44"/>
  <c r="J98" i="44"/>
  <c r="AN97" i="44"/>
  <c r="AI97" i="44"/>
  <c r="AD97" i="44"/>
  <c r="Y97" i="44"/>
  <c r="T97" i="44"/>
  <c r="O97" i="44"/>
  <c r="J97" i="44"/>
  <c r="AN96" i="44"/>
  <c r="AI96" i="44"/>
  <c r="AD96" i="44"/>
  <c r="Y96" i="44"/>
  <c r="T96" i="44"/>
  <c r="O96" i="44"/>
  <c r="J96" i="44"/>
  <c r="AN95" i="44"/>
  <c r="AI95" i="44"/>
  <c r="AD95" i="44"/>
  <c r="Y95" i="44"/>
  <c r="T95" i="44"/>
  <c r="O95" i="44"/>
  <c r="J95" i="44"/>
  <c r="AN94" i="44"/>
  <c r="AI94" i="44"/>
  <c r="AD94" i="44"/>
  <c r="Y94" i="44"/>
  <c r="T94" i="44"/>
  <c r="O94" i="44"/>
  <c r="J94" i="44"/>
  <c r="AN93" i="44"/>
  <c r="AI93" i="44"/>
  <c r="AD93" i="44"/>
  <c r="Y93" i="44"/>
  <c r="T93" i="44"/>
  <c r="O93" i="44"/>
  <c r="J93" i="44"/>
  <c r="AN92" i="44"/>
  <c r="AI92" i="44"/>
  <c r="AD92" i="44"/>
  <c r="Y92" i="44"/>
  <c r="O92" i="44"/>
  <c r="J92" i="44"/>
  <c r="AN91" i="44"/>
  <c r="AI91" i="44"/>
  <c r="AD91" i="44"/>
  <c r="Y91" i="44"/>
  <c r="T91" i="44"/>
  <c r="O91" i="44"/>
  <c r="J91" i="44"/>
  <c r="AN90" i="44"/>
  <c r="AI90" i="44"/>
  <c r="AD90" i="44"/>
  <c r="Y90" i="44"/>
  <c r="T90" i="44"/>
  <c r="O90" i="44"/>
  <c r="J90" i="44"/>
  <c r="AN87" i="44"/>
  <c r="AI87" i="44"/>
  <c r="AD87" i="44"/>
  <c r="Y87" i="44"/>
  <c r="T87" i="44"/>
  <c r="O87" i="44"/>
  <c r="J87" i="44"/>
  <c r="AN86" i="44"/>
  <c r="AI86" i="44"/>
  <c r="AD86" i="44"/>
  <c r="Y86" i="44"/>
  <c r="T86" i="44"/>
  <c r="O86" i="44"/>
  <c r="J86" i="44"/>
  <c r="AN85" i="44"/>
  <c r="AI85" i="44"/>
  <c r="AD85" i="44"/>
  <c r="Y85" i="44"/>
  <c r="T85" i="44"/>
  <c r="O85" i="44"/>
  <c r="J85" i="44"/>
  <c r="AN84" i="44"/>
  <c r="AD84" i="44"/>
  <c r="Y84" i="44"/>
  <c r="T84" i="44"/>
  <c r="O84" i="44"/>
  <c r="J84" i="44"/>
  <c r="AI83" i="44"/>
  <c r="AD83" i="44"/>
  <c r="T83" i="44"/>
  <c r="O83" i="44"/>
  <c r="AN82" i="44"/>
  <c r="AI82" i="44"/>
  <c r="AD82" i="44"/>
  <c r="Y82" i="44"/>
  <c r="T82" i="44"/>
  <c r="O82" i="44"/>
  <c r="J82" i="44"/>
  <c r="AN81" i="44"/>
  <c r="AI81" i="44"/>
  <c r="AD81" i="44"/>
  <c r="Y81" i="44"/>
  <c r="T81" i="44"/>
  <c r="O81" i="44"/>
  <c r="J81" i="44"/>
  <c r="AN80" i="44"/>
  <c r="AI80" i="44"/>
  <c r="AD80" i="44"/>
  <c r="Y80" i="44"/>
  <c r="T80" i="44"/>
  <c r="O80" i="44"/>
  <c r="J80" i="44"/>
  <c r="AN79" i="44"/>
  <c r="AI79" i="44"/>
  <c r="AD79" i="44"/>
  <c r="Y79" i="44"/>
  <c r="T79" i="44"/>
  <c r="O79" i="44"/>
  <c r="J79" i="44"/>
  <c r="AN78" i="44"/>
  <c r="AI78" i="44"/>
  <c r="AD78" i="44"/>
  <c r="Y78" i="44"/>
  <c r="T78" i="44"/>
  <c r="O78" i="44"/>
  <c r="AN66" i="44"/>
  <c r="AI66" i="44"/>
  <c r="AD66" i="44"/>
  <c r="Y66" i="44"/>
  <c r="T66" i="44"/>
  <c r="O66" i="44"/>
  <c r="J66" i="44"/>
  <c r="AN65" i="44"/>
  <c r="AI65" i="44"/>
  <c r="AD65" i="44"/>
  <c r="Y65" i="44"/>
  <c r="T65" i="44"/>
  <c r="O65" i="44"/>
  <c r="J65" i="44"/>
  <c r="AN64" i="44"/>
  <c r="AI64" i="44"/>
  <c r="AD64" i="44"/>
  <c r="Y64" i="44"/>
  <c r="T64" i="44"/>
  <c r="O64" i="44"/>
  <c r="J64" i="44"/>
  <c r="AN63" i="44"/>
  <c r="AI63" i="44"/>
  <c r="AD63" i="44"/>
  <c r="Y63" i="44"/>
  <c r="T63" i="44"/>
  <c r="O63" i="44"/>
  <c r="J63" i="44"/>
  <c r="AN62" i="44"/>
  <c r="AI62" i="44"/>
  <c r="AD62" i="44"/>
  <c r="Y62" i="44"/>
  <c r="T62" i="44"/>
  <c r="O62" i="44"/>
  <c r="J62" i="44"/>
  <c r="AN61" i="44"/>
  <c r="AI61" i="44"/>
  <c r="AD61" i="44"/>
  <c r="Y61" i="44"/>
  <c r="T61" i="44"/>
  <c r="O61" i="44"/>
  <c r="J61" i="44"/>
  <c r="AN60" i="44"/>
  <c r="AI60" i="44"/>
  <c r="AD60" i="44"/>
  <c r="Y60" i="44"/>
  <c r="T60" i="44"/>
  <c r="O60" i="44"/>
  <c r="J60" i="44"/>
  <c r="AN59" i="44"/>
  <c r="AI59" i="44"/>
  <c r="AD59" i="44"/>
  <c r="Y59" i="44"/>
  <c r="T59" i="44"/>
  <c r="O59" i="44"/>
  <c r="J59" i="44"/>
  <c r="AN58" i="44"/>
  <c r="AI58" i="44"/>
  <c r="AD58" i="44"/>
  <c r="Y58" i="44"/>
  <c r="T58" i="44"/>
  <c r="O58" i="44"/>
  <c r="J58" i="44"/>
  <c r="AN57" i="44"/>
  <c r="AI57" i="44"/>
  <c r="AD57" i="44"/>
  <c r="Y57" i="44"/>
  <c r="T57" i="44"/>
  <c r="O57" i="44"/>
  <c r="J57" i="44"/>
  <c r="AN56" i="44"/>
  <c r="AI56" i="44"/>
  <c r="AD56" i="44"/>
  <c r="Y56" i="44"/>
  <c r="T56" i="44"/>
  <c r="O56" i="44"/>
  <c r="J56" i="44"/>
  <c r="AN40" i="44"/>
  <c r="AI40" i="44"/>
  <c r="AD40" i="44"/>
  <c r="Y40" i="44"/>
  <c r="T40" i="44"/>
  <c r="O40" i="44"/>
  <c r="J40" i="44"/>
  <c r="AN39" i="44"/>
  <c r="AI39" i="44"/>
  <c r="AD39" i="44"/>
  <c r="Y39" i="44"/>
  <c r="T39" i="44"/>
  <c r="O39" i="44"/>
  <c r="J39" i="44"/>
  <c r="AN38" i="44"/>
  <c r="AI38" i="44"/>
  <c r="AD38" i="44"/>
  <c r="Y38" i="44"/>
  <c r="T38" i="44"/>
  <c r="O38" i="44"/>
  <c r="J38" i="44"/>
  <c r="AN37" i="44"/>
  <c r="AI37" i="44"/>
  <c r="AD37" i="44"/>
  <c r="Y37" i="44"/>
  <c r="T37" i="44"/>
  <c r="O37" i="44"/>
  <c r="J37" i="44"/>
  <c r="AN36" i="44"/>
  <c r="AI36" i="44"/>
  <c r="AD36" i="44"/>
  <c r="Y36" i="44"/>
  <c r="T36" i="44"/>
  <c r="O36" i="44"/>
  <c r="J36" i="44"/>
  <c r="AN35" i="44"/>
  <c r="AI35" i="44"/>
  <c r="AD35" i="44"/>
  <c r="Y35" i="44"/>
  <c r="T35" i="44"/>
  <c r="O35" i="44"/>
  <c r="J35" i="44"/>
  <c r="AN34" i="44"/>
  <c r="AI34" i="44"/>
  <c r="AD34" i="44"/>
  <c r="Y34" i="44"/>
  <c r="T34" i="44"/>
  <c r="O34" i="44"/>
  <c r="J34" i="44"/>
  <c r="AN33" i="44"/>
  <c r="AI33" i="44"/>
  <c r="AD33" i="44"/>
  <c r="Y33" i="44"/>
  <c r="T33" i="44"/>
  <c r="O33" i="44"/>
  <c r="J33" i="44"/>
  <c r="AN32" i="44"/>
  <c r="AI32" i="44"/>
  <c r="AD32" i="44"/>
  <c r="Y32" i="44"/>
  <c r="T32" i="44"/>
  <c r="O32" i="44"/>
  <c r="J32" i="44"/>
  <c r="AN31" i="44"/>
  <c r="AI31" i="44"/>
  <c r="AD31" i="44"/>
  <c r="Y31" i="44"/>
  <c r="T31" i="44"/>
  <c r="O31" i="44"/>
  <c r="J31" i="44"/>
  <c r="AN30" i="44"/>
  <c r="AI30" i="44"/>
  <c r="AD30" i="44"/>
  <c r="Y30" i="44"/>
  <c r="T30" i="44"/>
  <c r="O30" i="44"/>
  <c r="J30" i="44"/>
  <c r="AN28" i="44"/>
  <c r="AI28" i="44"/>
  <c r="AD28" i="44"/>
  <c r="Y28" i="44"/>
  <c r="T28" i="44"/>
  <c r="O28" i="44"/>
  <c r="J28" i="44"/>
  <c r="AN27" i="44"/>
  <c r="AI27" i="44"/>
  <c r="AD27" i="44"/>
  <c r="Y27" i="44"/>
  <c r="T27" i="44"/>
  <c r="O27" i="44"/>
  <c r="J27" i="44"/>
  <c r="AN26" i="44"/>
  <c r="AI26" i="44"/>
  <c r="AD26" i="44"/>
  <c r="Y26" i="44"/>
  <c r="T26" i="44"/>
  <c r="O26" i="44"/>
  <c r="J26" i="44"/>
  <c r="AN25" i="44"/>
  <c r="AI25" i="44"/>
  <c r="AD25" i="44"/>
  <c r="Y25" i="44"/>
  <c r="T25" i="44"/>
  <c r="O25" i="44"/>
  <c r="J25" i="44"/>
  <c r="AN24" i="44"/>
  <c r="AI24" i="44"/>
  <c r="AD24" i="44"/>
  <c r="Y24" i="44"/>
  <c r="T24" i="44"/>
  <c r="O24" i="44"/>
  <c r="J24" i="44"/>
  <c r="AN23" i="44"/>
  <c r="AI23" i="44"/>
  <c r="AD23" i="44"/>
  <c r="Y23" i="44"/>
  <c r="T23" i="44"/>
  <c r="O23" i="44"/>
  <c r="J23" i="44"/>
  <c r="AN22" i="44"/>
  <c r="AI22" i="44"/>
  <c r="Y22" i="44"/>
  <c r="T22" i="44"/>
  <c r="O22" i="44"/>
  <c r="J22" i="44"/>
  <c r="AN21" i="44"/>
  <c r="AI21" i="44"/>
  <c r="AD21" i="44"/>
  <c r="Y21" i="44"/>
  <c r="T21" i="44"/>
  <c r="O21" i="44"/>
  <c r="J21" i="44"/>
  <c r="AN20" i="44"/>
  <c r="AI20" i="44"/>
  <c r="AD20" i="44"/>
  <c r="Y20" i="44"/>
  <c r="O20" i="44"/>
  <c r="J20" i="44"/>
  <c r="AN19" i="44"/>
  <c r="AI19" i="44"/>
  <c r="AD19" i="44"/>
  <c r="Y19" i="44"/>
  <c r="T19" i="44"/>
  <c r="O19" i="44"/>
  <c r="J19" i="44"/>
  <c r="AN18" i="44"/>
  <c r="AI18" i="44"/>
  <c r="AD18" i="44"/>
  <c r="Y18" i="44"/>
  <c r="T18" i="44"/>
  <c r="O18" i="44"/>
  <c r="J18" i="44"/>
  <c r="AN17" i="44"/>
  <c r="AI17" i="44"/>
  <c r="AD17" i="44"/>
  <c r="Y17" i="44"/>
  <c r="T17" i="44"/>
  <c r="F265" i="44" s="1"/>
  <c r="J17" i="44"/>
  <c r="C89" i="5"/>
  <c r="E89" i="5"/>
  <c r="F89" i="5"/>
  <c r="G89" i="5"/>
  <c r="H89" i="5"/>
  <c r="I89" i="5"/>
  <c r="J89" i="5"/>
  <c r="D89" i="5"/>
  <c r="AN9" i="39"/>
  <c r="AI9" i="39"/>
  <c r="AD9" i="39"/>
  <c r="Y9" i="39"/>
  <c r="T9" i="39"/>
  <c r="O9" i="39"/>
  <c r="J9" i="39"/>
  <c r="AN8" i="39"/>
  <c r="AI8" i="39"/>
  <c r="AD8" i="39"/>
  <c r="Y8" i="39"/>
  <c r="T8" i="39"/>
  <c r="O8" i="39"/>
  <c r="J8" i="39"/>
  <c r="AN7" i="39"/>
  <c r="AI7" i="39"/>
  <c r="AD7" i="39"/>
  <c r="Y7" i="39"/>
  <c r="T7" i="39"/>
  <c r="O7" i="39"/>
  <c r="J7" i="39"/>
  <c r="AN6" i="39"/>
  <c r="AI6" i="39"/>
  <c r="AD6" i="39"/>
  <c r="Y6" i="39"/>
  <c r="T6" i="39"/>
  <c r="O6" i="39"/>
  <c r="J6" i="39"/>
  <c r="AN5" i="39"/>
  <c r="AI5" i="39"/>
  <c r="AD5" i="39"/>
  <c r="Y5" i="39"/>
  <c r="T5" i="39"/>
  <c r="O5" i="39"/>
  <c r="J5" i="39"/>
  <c r="AN4" i="39"/>
  <c r="AI4" i="39"/>
  <c r="AD4" i="39"/>
  <c r="Y4" i="39"/>
  <c r="T4" i="39"/>
  <c r="O4" i="39"/>
  <c r="J4" i="39"/>
  <c r="E265" i="44" l="1"/>
  <c r="D265" i="44"/>
  <c r="J2" i="44"/>
  <c r="AN17" i="22"/>
  <c r="AN18" i="22"/>
  <c r="F52" i="36"/>
  <c r="F51" i="36"/>
  <c r="AN29" i="36"/>
  <c r="AI29" i="36"/>
  <c r="AD29" i="36"/>
  <c r="Y29" i="36"/>
  <c r="T29" i="36"/>
  <c r="O29" i="36"/>
  <c r="J29" i="36"/>
  <c r="AI4" i="37"/>
  <c r="AI11" i="37"/>
  <c r="AD7" i="37"/>
  <c r="Y12" i="37"/>
  <c r="Y6" i="37"/>
  <c r="Y11" i="37"/>
  <c r="T13" i="37"/>
  <c r="O12" i="37"/>
  <c r="O8" i="37"/>
  <c r="J10" i="37"/>
  <c r="J5" i="37"/>
  <c r="J13" i="37"/>
  <c r="O6" i="37"/>
  <c r="T7" i="37"/>
  <c r="AI10" i="37"/>
  <c r="Y4" i="37"/>
  <c r="AI5" i="37"/>
  <c r="AN8" i="37"/>
  <c r="AN9" i="37"/>
  <c r="AD9" i="37"/>
  <c r="AN13" i="37"/>
  <c r="AI13" i="37"/>
  <c r="AD13" i="37"/>
  <c r="Y13" i="37"/>
  <c r="O13" i="37"/>
  <c r="AN12" i="37"/>
  <c r="AI12" i="37"/>
  <c r="AD12" i="37"/>
  <c r="T12" i="37"/>
  <c r="J12" i="37"/>
  <c r="AN11" i="37"/>
  <c r="AD11" i="37"/>
  <c r="T11" i="37"/>
  <c r="O11" i="37"/>
  <c r="J11" i="37"/>
  <c r="AN10" i="37"/>
  <c r="AD10" i="37"/>
  <c r="Y10" i="37"/>
  <c r="T10" i="37"/>
  <c r="O10" i="37"/>
  <c r="AI9" i="37"/>
  <c r="Y9" i="37"/>
  <c r="T9" i="37"/>
  <c r="O9" i="37"/>
  <c r="J9" i="37"/>
  <c r="AI8" i="37"/>
  <c r="AD8" i="37"/>
  <c r="Y8" i="37"/>
  <c r="T8" i="37"/>
  <c r="J8" i="37"/>
  <c r="AN7" i="37"/>
  <c r="AI7" i="37"/>
  <c r="Y7" i="37"/>
  <c r="O7" i="37"/>
  <c r="J7" i="37"/>
  <c r="AN6" i="37"/>
  <c r="AI6" i="37"/>
  <c r="AD6" i="37"/>
  <c r="T6" i="37"/>
  <c r="J6" i="37"/>
  <c r="AN5" i="37"/>
  <c r="AD5" i="37"/>
  <c r="Y5" i="37"/>
  <c r="T5" i="37"/>
  <c r="O5" i="37"/>
  <c r="AN4" i="37"/>
  <c r="AD4" i="37"/>
  <c r="T4" i="37"/>
  <c r="O4" i="37"/>
  <c r="J4" i="37"/>
  <c r="AN36" i="36"/>
  <c r="AI36" i="36"/>
  <c r="AD36" i="36"/>
  <c r="Y36" i="36"/>
  <c r="T36" i="36"/>
  <c r="O36" i="36"/>
  <c r="J36" i="36"/>
  <c r="AN35" i="36"/>
  <c r="AI35" i="36"/>
  <c r="AD35" i="36"/>
  <c r="Y35" i="36"/>
  <c r="T35" i="36"/>
  <c r="O35" i="36"/>
  <c r="J35" i="36"/>
  <c r="AN33" i="36"/>
  <c r="AI33" i="36"/>
  <c r="AD33" i="36"/>
  <c r="Y33" i="36"/>
  <c r="T33" i="36"/>
  <c r="O33" i="36"/>
  <c r="J33" i="36"/>
  <c r="AN32" i="36"/>
  <c r="AI32" i="36"/>
  <c r="AD32" i="36"/>
  <c r="Y32" i="36"/>
  <c r="T32" i="36"/>
  <c r="O32" i="36"/>
  <c r="J32" i="36"/>
  <c r="AN31" i="36"/>
  <c r="AI31" i="36"/>
  <c r="AD31" i="36"/>
  <c r="Y31" i="36"/>
  <c r="T31" i="36"/>
  <c r="O31" i="36"/>
  <c r="J31" i="36"/>
  <c r="AN30" i="36"/>
  <c r="AI30" i="36"/>
  <c r="AD30" i="36"/>
  <c r="Y30" i="36"/>
  <c r="T30" i="36"/>
  <c r="O30" i="36"/>
  <c r="J30" i="36"/>
  <c r="AN28" i="36"/>
  <c r="AI28" i="36"/>
  <c r="AD28" i="36"/>
  <c r="Y28" i="36"/>
  <c r="T28" i="36"/>
  <c r="O28" i="36"/>
  <c r="J28" i="36"/>
  <c r="AN27" i="36"/>
  <c r="AI27" i="36"/>
  <c r="AD27" i="36"/>
  <c r="Y27" i="36"/>
  <c r="T27" i="36"/>
  <c r="O27" i="36"/>
  <c r="J27" i="36"/>
  <c r="AN26" i="36"/>
  <c r="AI26" i="36"/>
  <c r="AD26" i="36"/>
  <c r="Y26" i="36"/>
  <c r="T26" i="36"/>
  <c r="O26" i="36"/>
  <c r="J26" i="36"/>
  <c r="AN25" i="36"/>
  <c r="AI25" i="36"/>
  <c r="AD25" i="36"/>
  <c r="Y25" i="36"/>
  <c r="T25" i="36"/>
  <c r="O25" i="36"/>
  <c r="J25" i="36"/>
  <c r="AN24" i="36"/>
  <c r="AI24" i="36"/>
  <c r="AD24" i="36"/>
  <c r="Y24" i="36"/>
  <c r="T24" i="36"/>
  <c r="O24" i="36"/>
  <c r="J24" i="36"/>
  <c r="AN23" i="36"/>
  <c r="AI23" i="36"/>
  <c r="AD23" i="36"/>
  <c r="Y23" i="36"/>
  <c r="T23" i="36"/>
  <c r="O23" i="36"/>
  <c r="J23" i="36"/>
  <c r="AN22" i="36"/>
  <c r="AI22" i="36"/>
  <c r="AD22" i="36"/>
  <c r="Y22" i="36"/>
  <c r="T22" i="36"/>
  <c r="O22" i="36"/>
  <c r="J22" i="36"/>
  <c r="AN21" i="36"/>
  <c r="AI21" i="36"/>
  <c r="AD21" i="36"/>
  <c r="Y21" i="36"/>
  <c r="T21" i="36"/>
  <c r="O21" i="36"/>
  <c r="J21" i="36"/>
  <c r="AN20" i="36"/>
  <c r="AI20" i="36"/>
  <c r="AD20" i="36"/>
  <c r="Y20" i="36"/>
  <c r="T20" i="36"/>
  <c r="O20" i="36"/>
  <c r="J20" i="36"/>
  <c r="AN19" i="36"/>
  <c r="AI19" i="36"/>
  <c r="AD19" i="36"/>
  <c r="Y19" i="36"/>
  <c r="T19" i="36"/>
  <c r="O19" i="36"/>
  <c r="J19" i="36"/>
  <c r="AN18" i="36"/>
  <c r="AI18" i="36"/>
  <c r="AD18" i="36"/>
  <c r="Y18" i="36"/>
  <c r="T18" i="36"/>
  <c r="O18" i="36"/>
  <c r="J18" i="36"/>
  <c r="AN17" i="36"/>
  <c r="AI17" i="36"/>
  <c r="AD17" i="36"/>
  <c r="Y17" i="36"/>
  <c r="T17" i="36"/>
  <c r="O17" i="36"/>
  <c r="J17" i="36"/>
  <c r="AN16" i="36"/>
  <c r="AI16" i="36"/>
  <c r="AD16" i="36"/>
  <c r="Y16" i="36"/>
  <c r="T16" i="36"/>
  <c r="O16" i="36"/>
  <c r="J16" i="36"/>
  <c r="AN15" i="36"/>
  <c r="AI15" i="36"/>
  <c r="AD15" i="36"/>
  <c r="Y15" i="36"/>
  <c r="T15" i="36"/>
  <c r="O15" i="36"/>
  <c r="J15" i="36"/>
  <c r="AN14" i="36"/>
  <c r="AI14" i="36"/>
  <c r="AD14" i="36"/>
  <c r="Y14" i="36"/>
  <c r="T14" i="36"/>
  <c r="O14" i="36"/>
  <c r="J14" i="36"/>
  <c r="AN13" i="36"/>
  <c r="AI13" i="36"/>
  <c r="AD13" i="36"/>
  <c r="Y13" i="36"/>
  <c r="T13" i="36"/>
  <c r="O13" i="36"/>
  <c r="J13" i="36"/>
  <c r="AN12" i="36"/>
  <c r="AI12" i="36"/>
  <c r="AD12" i="36"/>
  <c r="Y12" i="36"/>
  <c r="T12" i="36"/>
  <c r="O12" i="36"/>
  <c r="J12" i="36"/>
  <c r="AN11" i="36"/>
  <c r="AI11" i="36"/>
  <c r="AD11" i="36"/>
  <c r="Y11" i="36"/>
  <c r="T11" i="36"/>
  <c r="O11" i="36"/>
  <c r="J11" i="36"/>
  <c r="AN10" i="36"/>
  <c r="AI10" i="36"/>
  <c r="AD10" i="36"/>
  <c r="Y10" i="36"/>
  <c r="T10" i="36"/>
  <c r="O10" i="36"/>
  <c r="J10" i="36"/>
  <c r="AN9" i="36"/>
  <c r="AI9" i="36"/>
  <c r="AD9" i="36"/>
  <c r="Y9" i="36"/>
  <c r="T9" i="36"/>
  <c r="O9" i="36"/>
  <c r="J9" i="36"/>
  <c r="AN8" i="36"/>
  <c r="AI8" i="36"/>
  <c r="AD8" i="36"/>
  <c r="Y8" i="36"/>
  <c r="T8" i="36"/>
  <c r="O8" i="36"/>
  <c r="J8" i="36"/>
  <c r="AN7" i="36"/>
  <c r="AI7" i="36"/>
  <c r="AD7" i="36"/>
  <c r="Y7" i="36"/>
  <c r="T7" i="36"/>
  <c r="O7" i="36"/>
  <c r="J7" i="36"/>
  <c r="AN6" i="36"/>
  <c r="AI6" i="36"/>
  <c r="AD6" i="36"/>
  <c r="Y6" i="36"/>
  <c r="T6" i="36"/>
  <c r="O6" i="36"/>
  <c r="J6" i="36"/>
  <c r="AN5" i="36"/>
  <c r="AI5" i="36"/>
  <c r="AD5" i="36"/>
  <c r="Y5" i="36"/>
  <c r="T5" i="36"/>
  <c r="O5" i="36"/>
  <c r="J5" i="36"/>
  <c r="AN4" i="36"/>
  <c r="AI4" i="36"/>
  <c r="AD4" i="36"/>
  <c r="Y4" i="36"/>
  <c r="T4" i="36"/>
  <c r="O4" i="36"/>
  <c r="J4" i="36"/>
  <c r="AI18" i="22"/>
  <c r="AD18" i="22"/>
  <c r="Y18" i="22"/>
  <c r="T18" i="22"/>
  <c r="O18" i="22"/>
  <c r="J18" i="22"/>
  <c r="AI17" i="22"/>
  <c r="AD17" i="22"/>
  <c r="Y17" i="22"/>
  <c r="T17" i="22"/>
  <c r="O17" i="22"/>
  <c r="J17" i="22"/>
  <c r="AN16" i="22"/>
  <c r="AI16" i="22"/>
  <c r="AD16" i="22"/>
  <c r="Y16" i="22"/>
  <c r="T16" i="22"/>
  <c r="O16" i="22"/>
  <c r="J16" i="22"/>
  <c r="AN15" i="22"/>
  <c r="AI15" i="22"/>
  <c r="AD15" i="22"/>
  <c r="Y15" i="22"/>
  <c r="T15" i="22"/>
  <c r="O15" i="22"/>
  <c r="J15" i="22"/>
  <c r="AN14" i="22"/>
  <c r="AI14" i="22"/>
  <c r="AD14" i="22"/>
  <c r="Y14" i="22"/>
  <c r="T14" i="22"/>
  <c r="O14" i="22"/>
  <c r="J14" i="22"/>
  <c r="AN13" i="22"/>
  <c r="AI13" i="22"/>
  <c r="AD13" i="22"/>
  <c r="Y13" i="22"/>
  <c r="T13" i="22"/>
  <c r="O13" i="22"/>
  <c r="J13" i="22"/>
  <c r="AN12" i="22"/>
  <c r="AI12" i="22"/>
  <c r="AD12" i="22"/>
  <c r="Y12" i="22"/>
  <c r="T12" i="22"/>
  <c r="O12" i="22"/>
  <c r="J12" i="22"/>
  <c r="AN11" i="22"/>
  <c r="AI11" i="22"/>
  <c r="AD11" i="22"/>
  <c r="Y11" i="22"/>
  <c r="T11" i="22"/>
  <c r="O11" i="22"/>
  <c r="J11" i="22"/>
  <c r="AN10" i="22"/>
  <c r="AI10" i="22"/>
  <c r="AD10" i="22"/>
  <c r="Y10" i="22"/>
  <c r="T10" i="22"/>
  <c r="O10" i="22"/>
  <c r="J10" i="22"/>
  <c r="AN9" i="22"/>
  <c r="AI9" i="22"/>
  <c r="AD9" i="22"/>
  <c r="Y9" i="22"/>
  <c r="T9" i="22"/>
  <c r="O9" i="22"/>
  <c r="J9" i="22"/>
  <c r="AN8" i="22"/>
  <c r="AI8" i="22"/>
  <c r="AD8" i="22"/>
  <c r="Y8" i="22"/>
  <c r="T8" i="22"/>
  <c r="O8" i="22"/>
  <c r="J8" i="22"/>
  <c r="AN7" i="22"/>
  <c r="AI7" i="22"/>
  <c r="AD7" i="22"/>
  <c r="Y7" i="22"/>
  <c r="T7" i="22"/>
  <c r="O7" i="22"/>
  <c r="J7" i="22"/>
  <c r="AN6" i="22"/>
  <c r="AI6" i="22"/>
  <c r="AD6" i="22"/>
  <c r="Y6" i="22"/>
  <c r="T6" i="22"/>
  <c r="O6" i="22"/>
  <c r="J6" i="22"/>
  <c r="AN5" i="22"/>
  <c r="AI5" i="22"/>
  <c r="AD5" i="22"/>
  <c r="Y5" i="22"/>
  <c r="T5" i="22"/>
  <c r="O5" i="22"/>
  <c r="J5" i="22"/>
  <c r="AN4" i="22"/>
  <c r="AI4" i="22"/>
  <c r="AD4" i="22"/>
  <c r="Y4" i="22"/>
  <c r="T4" i="22"/>
  <c r="O4" i="22"/>
  <c r="J4" i="22"/>
  <c r="F34" i="42"/>
  <c r="AN14" i="42"/>
  <c r="AI14" i="42"/>
  <c r="AD14" i="42"/>
  <c r="Y14" i="42"/>
  <c r="T14" i="42"/>
  <c r="O14" i="42"/>
  <c r="J14" i="42"/>
  <c r="AN13" i="42"/>
  <c r="AI13" i="42"/>
  <c r="AD13" i="42"/>
  <c r="Y13" i="42"/>
  <c r="T13" i="42"/>
  <c r="O13" i="42"/>
  <c r="J13" i="42"/>
  <c r="AN12" i="42"/>
  <c r="AI12" i="42"/>
  <c r="AD12" i="42"/>
  <c r="Y12" i="42"/>
  <c r="T12" i="42"/>
  <c r="O12" i="42"/>
  <c r="J12" i="42"/>
  <c r="AN11" i="42"/>
  <c r="AI11" i="42"/>
  <c r="AD11" i="42"/>
  <c r="Y11" i="42"/>
  <c r="T11" i="42"/>
  <c r="O11" i="42"/>
  <c r="J11" i="42"/>
  <c r="AN10" i="42"/>
  <c r="AI10" i="42"/>
  <c r="AD10" i="42"/>
  <c r="Y10" i="42"/>
  <c r="T10" i="42"/>
  <c r="O10" i="42"/>
  <c r="J10" i="42"/>
  <c r="AN9" i="42"/>
  <c r="AI9" i="42"/>
  <c r="AD9" i="42"/>
  <c r="Y9" i="42"/>
  <c r="T9" i="42"/>
  <c r="O9" i="42"/>
  <c r="J9" i="42"/>
  <c r="AN8" i="42"/>
  <c r="AI8" i="42"/>
  <c r="AD8" i="42"/>
  <c r="Y8" i="42"/>
  <c r="T8" i="42"/>
  <c r="O8" i="42"/>
  <c r="J8" i="42"/>
  <c r="AN7" i="42"/>
  <c r="AI7" i="42"/>
  <c r="AD7" i="42"/>
  <c r="Y7" i="42"/>
  <c r="T7" i="42"/>
  <c r="O7" i="42"/>
  <c r="J7" i="42"/>
  <c r="AN6" i="42"/>
  <c r="AI6" i="42"/>
  <c r="AD6" i="42"/>
  <c r="Y6" i="42"/>
  <c r="T6" i="42"/>
  <c r="O6" i="42"/>
  <c r="J6" i="42"/>
  <c r="AN5" i="42"/>
  <c r="AI5" i="42"/>
  <c r="AD5" i="42"/>
  <c r="Y5" i="42"/>
  <c r="T5" i="42"/>
  <c r="O5" i="42"/>
  <c r="J5" i="42"/>
  <c r="AN4" i="42"/>
  <c r="AI4" i="42"/>
  <c r="AD4" i="42"/>
  <c r="Y4" i="42"/>
  <c r="T4" i="42"/>
  <c r="O4" i="42"/>
  <c r="J4" i="42"/>
  <c r="O4" i="6"/>
  <c r="AD4" i="6"/>
  <c r="AN4" i="6"/>
  <c r="J8" i="6"/>
  <c r="J12" i="6"/>
  <c r="Y12" i="6"/>
  <c r="O12" i="6"/>
  <c r="AD7" i="6"/>
  <c r="AD9" i="6"/>
  <c r="AN12" i="6"/>
  <c r="O8" i="6"/>
  <c r="AD16" i="6"/>
  <c r="T16" i="6"/>
  <c r="AI16" i="6"/>
  <c r="Y16" i="6"/>
  <c r="O16" i="6"/>
  <c r="J16" i="6"/>
  <c r="F30" i="6"/>
  <c r="J14" i="6"/>
  <c r="AN14" i="6"/>
  <c r="AI14" i="6"/>
  <c r="Y15" i="6"/>
  <c r="T15" i="6"/>
  <c r="O15" i="6"/>
  <c r="J15" i="6"/>
  <c r="AD15" i="6"/>
  <c r="AI15" i="6"/>
  <c r="AN15" i="6"/>
  <c r="AK35" i="6"/>
  <c r="AF35" i="6"/>
  <c r="AA35" i="6"/>
  <c r="V35" i="6"/>
  <c r="Q35" i="6"/>
  <c r="L35" i="6"/>
  <c r="G35" i="6"/>
  <c r="AD14" i="6"/>
  <c r="Y14" i="6"/>
  <c r="T14" i="6"/>
  <c r="O14" i="6"/>
  <c r="T10" i="6"/>
  <c r="AN17" i="6"/>
  <c r="AN16" i="6"/>
  <c r="AN13" i="6"/>
  <c r="AN11" i="6"/>
  <c r="AN10" i="6"/>
  <c r="AN9" i="6"/>
  <c r="AN8" i="6"/>
  <c r="AN7" i="6"/>
  <c r="AN6" i="6"/>
  <c r="AN5" i="6"/>
  <c r="AI17" i="6"/>
  <c r="AD17" i="6"/>
  <c r="Y17" i="6"/>
  <c r="T17" i="6"/>
  <c r="O17" i="6"/>
  <c r="J17" i="6"/>
  <c r="AI13" i="6"/>
  <c r="AD13" i="6"/>
  <c r="Y13" i="6"/>
  <c r="T13" i="6"/>
  <c r="O13" i="6"/>
  <c r="J13" i="6"/>
  <c r="AI12" i="6"/>
  <c r="AD12" i="6"/>
  <c r="T12" i="6"/>
  <c r="AI11" i="6"/>
  <c r="AD11" i="6"/>
  <c r="Y11" i="6"/>
  <c r="T11" i="6"/>
  <c r="O11" i="6"/>
  <c r="J11" i="6"/>
  <c r="AI10" i="6"/>
  <c r="Y10" i="6"/>
  <c r="AI9" i="6"/>
  <c r="Y9" i="6"/>
  <c r="T9" i="6"/>
  <c r="O9" i="6"/>
  <c r="J9" i="6"/>
  <c r="AI8" i="6"/>
  <c r="AD8" i="6"/>
  <c r="Y8" i="6"/>
  <c r="T8" i="6"/>
  <c r="AI7" i="6"/>
  <c r="Y7" i="6"/>
  <c r="T7" i="6"/>
  <c r="O7" i="6"/>
  <c r="J7" i="6"/>
  <c r="AI6" i="6"/>
  <c r="AD6" i="6"/>
  <c r="Y6" i="6"/>
  <c r="T6" i="6"/>
  <c r="O6" i="6"/>
  <c r="J6" i="6"/>
  <c r="AI5" i="6"/>
  <c r="AD5" i="6"/>
  <c r="Y5" i="6"/>
  <c r="T5" i="6"/>
  <c r="O5" i="6"/>
  <c r="J5" i="6"/>
  <c r="AI4" i="6"/>
  <c r="Y4" i="6"/>
  <c r="T4" i="6"/>
  <c r="J4" i="6"/>
  <c r="T8" i="4"/>
  <c r="O6" i="4"/>
  <c r="T6" i="4"/>
  <c r="J5" i="4"/>
  <c r="AN5" i="4"/>
  <c r="AD5" i="4"/>
  <c r="AI5" i="4"/>
  <c r="Y7" i="4"/>
  <c r="T7" i="4"/>
  <c r="Y5" i="4" l="1"/>
  <c r="T5" i="4"/>
  <c r="AI7" i="4"/>
  <c r="AN7" i="4"/>
  <c r="AN6" i="4"/>
  <c r="AI6" i="4"/>
  <c r="J8" i="4"/>
  <c r="AN8" i="4"/>
  <c r="AK21" i="4"/>
  <c r="AF21" i="4"/>
  <c r="AA21" i="4"/>
  <c r="V21" i="4"/>
  <c r="Q21" i="4"/>
  <c r="L21" i="4"/>
  <c r="G21" i="4"/>
  <c r="F21" i="4"/>
  <c r="J10" i="4"/>
  <c r="J9" i="4"/>
  <c r="AN9" i="4"/>
  <c r="O9" i="4"/>
  <c r="AN10" i="4"/>
  <c r="AI10" i="4"/>
  <c r="AD10" i="4"/>
  <c r="Y10" i="4"/>
  <c r="T10" i="4"/>
  <c r="O10" i="4"/>
  <c r="AI9" i="4"/>
  <c r="AD9" i="4"/>
  <c r="AI8" i="4"/>
  <c r="AD8" i="4"/>
  <c r="Y8" i="4"/>
  <c r="AD7" i="4"/>
  <c r="O7" i="4"/>
  <c r="J7" i="4"/>
  <c r="AD6" i="4"/>
  <c r="Y6" i="4"/>
  <c r="O5" i="4"/>
  <c r="AK106" i="43" l="1"/>
  <c r="AF106" i="43"/>
  <c r="AA106" i="43"/>
  <c r="V106" i="43"/>
  <c r="Q106" i="43"/>
  <c r="L106" i="43"/>
  <c r="G106" i="43"/>
  <c r="Y11" i="43"/>
  <c r="AN46" i="43"/>
  <c r="AN45" i="43"/>
  <c r="AN44" i="43"/>
  <c r="AN43" i="43"/>
  <c r="AN42" i="43"/>
  <c r="AN41" i="43"/>
  <c r="AN40" i="43"/>
  <c r="AN39" i="43"/>
  <c r="AN38" i="43"/>
  <c r="AN37" i="43"/>
  <c r="AN35" i="43"/>
  <c r="AN33" i="43"/>
  <c r="AN32" i="43"/>
  <c r="AN31" i="43"/>
  <c r="AN30" i="43"/>
  <c r="AN29" i="43"/>
  <c r="AN28" i="43"/>
  <c r="AN27" i="43"/>
  <c r="AN26" i="43"/>
  <c r="AN25" i="43"/>
  <c r="AN23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N6" i="43"/>
  <c r="AN5" i="43"/>
  <c r="AN4" i="43"/>
  <c r="AI46" i="43"/>
  <c r="AD46" i="43"/>
  <c r="Y46" i="43"/>
  <c r="T46" i="43"/>
  <c r="O46" i="43"/>
  <c r="J46" i="43"/>
  <c r="AI45" i="43"/>
  <c r="AD45" i="43"/>
  <c r="Y45" i="43"/>
  <c r="T45" i="43"/>
  <c r="O45" i="43"/>
  <c r="J45" i="43"/>
  <c r="AI44" i="43"/>
  <c r="AD44" i="43"/>
  <c r="Y44" i="43"/>
  <c r="T44" i="43"/>
  <c r="O44" i="43"/>
  <c r="J44" i="43"/>
  <c r="AI43" i="43"/>
  <c r="AD43" i="43"/>
  <c r="Y43" i="43"/>
  <c r="T43" i="43"/>
  <c r="O43" i="43"/>
  <c r="J43" i="43"/>
  <c r="AI42" i="43"/>
  <c r="AD42" i="43"/>
  <c r="T42" i="43"/>
  <c r="O42" i="43"/>
  <c r="J42" i="43"/>
  <c r="AI41" i="43"/>
  <c r="AD41" i="43"/>
  <c r="Y41" i="43"/>
  <c r="T41" i="43"/>
  <c r="O41" i="43"/>
  <c r="J41" i="43"/>
  <c r="AI40" i="43"/>
  <c r="AD40" i="43"/>
  <c r="Y40" i="43"/>
  <c r="T40" i="43"/>
  <c r="O40" i="43"/>
  <c r="J40" i="43"/>
  <c r="AI39" i="43"/>
  <c r="AD39" i="43"/>
  <c r="Y39" i="43"/>
  <c r="T39" i="43"/>
  <c r="O39" i="43"/>
  <c r="J39" i="43"/>
  <c r="AI38" i="43"/>
  <c r="AD38" i="43"/>
  <c r="Y38" i="43"/>
  <c r="T38" i="43"/>
  <c r="O38" i="43"/>
  <c r="J38" i="43"/>
  <c r="AI37" i="43"/>
  <c r="AD37" i="43"/>
  <c r="Y37" i="43"/>
  <c r="T37" i="43"/>
  <c r="O37" i="43"/>
  <c r="J37" i="43"/>
  <c r="AD36" i="43"/>
  <c r="Y36" i="43"/>
  <c r="T36" i="43"/>
  <c r="O36" i="43"/>
  <c r="J36" i="43"/>
  <c r="AI35" i="43"/>
  <c r="AD35" i="43"/>
  <c r="Y35" i="43"/>
  <c r="T35" i="43"/>
  <c r="O35" i="43"/>
  <c r="J35" i="43"/>
  <c r="J34" i="43"/>
  <c r="AI33" i="43"/>
  <c r="AD33" i="43"/>
  <c r="Y33" i="43"/>
  <c r="T33" i="43"/>
  <c r="O33" i="43"/>
  <c r="J33" i="43"/>
  <c r="AI32" i="43"/>
  <c r="AD32" i="43"/>
  <c r="Y32" i="43"/>
  <c r="T32" i="43"/>
  <c r="O32" i="43"/>
  <c r="J32" i="43"/>
  <c r="AI31" i="43"/>
  <c r="AD31" i="43"/>
  <c r="Y31" i="43"/>
  <c r="T31" i="43"/>
  <c r="O31" i="43"/>
  <c r="J31" i="43"/>
  <c r="AD30" i="43"/>
  <c r="Y30" i="43"/>
  <c r="O30" i="43"/>
  <c r="J30" i="43"/>
  <c r="AI29" i="43"/>
  <c r="AD29" i="43"/>
  <c r="Y29" i="43"/>
  <c r="T29" i="43"/>
  <c r="O29" i="43"/>
  <c r="J29" i="43"/>
  <c r="AI28" i="43"/>
  <c r="AD28" i="43"/>
  <c r="Y28" i="43"/>
  <c r="T28" i="43"/>
  <c r="O28" i="43"/>
  <c r="J28" i="43"/>
  <c r="AI27" i="43"/>
  <c r="AD27" i="43"/>
  <c r="Y27" i="43"/>
  <c r="T27" i="43"/>
  <c r="O27" i="43"/>
  <c r="J27" i="43"/>
  <c r="AI26" i="43"/>
  <c r="AD26" i="43"/>
  <c r="Y26" i="43"/>
  <c r="T26" i="43"/>
  <c r="O26" i="43"/>
  <c r="J26" i="43"/>
  <c r="AI25" i="43"/>
  <c r="AD25" i="43"/>
  <c r="Y25" i="43"/>
  <c r="T25" i="43"/>
  <c r="O25" i="43"/>
  <c r="J25" i="43"/>
  <c r="AD24" i="43"/>
  <c r="J24" i="43"/>
  <c r="AD23" i="43"/>
  <c r="Y23" i="43"/>
  <c r="O23" i="43"/>
  <c r="J23" i="43"/>
  <c r="T21" i="43"/>
  <c r="O21" i="43"/>
  <c r="J21" i="43"/>
  <c r="AI20" i="43"/>
  <c r="AD20" i="43"/>
  <c r="Y20" i="43"/>
  <c r="T20" i="43"/>
  <c r="O20" i="43"/>
  <c r="J20" i="43"/>
  <c r="AI19" i="43"/>
  <c r="AD19" i="43"/>
  <c r="Y19" i="43"/>
  <c r="T19" i="43"/>
  <c r="O19" i="43"/>
  <c r="J19" i="43"/>
  <c r="AI18" i="43"/>
  <c r="AD18" i="43"/>
  <c r="Y18" i="43"/>
  <c r="T18" i="43"/>
  <c r="O18" i="43"/>
  <c r="J18" i="43"/>
  <c r="AI17" i="43"/>
  <c r="AD17" i="43"/>
  <c r="Y17" i="43"/>
  <c r="T17" i="43"/>
  <c r="O17" i="43"/>
  <c r="J17" i="43"/>
  <c r="AI16" i="43"/>
  <c r="AD16" i="43"/>
  <c r="Y16" i="43"/>
  <c r="T16" i="43"/>
  <c r="O16" i="43"/>
  <c r="J16" i="43"/>
  <c r="AI15" i="43"/>
  <c r="AD15" i="43"/>
  <c r="Y15" i="43"/>
  <c r="T15" i="43"/>
  <c r="O15" i="43"/>
  <c r="J15" i="43"/>
  <c r="AI14" i="43"/>
  <c r="AD14" i="43"/>
  <c r="Y14" i="43"/>
  <c r="T14" i="43"/>
  <c r="O14" i="43"/>
  <c r="J14" i="43"/>
  <c r="AI13" i="43"/>
  <c r="AD13" i="43"/>
  <c r="Y13" i="43"/>
  <c r="T13" i="43"/>
  <c r="O13" i="43"/>
  <c r="J13" i="43"/>
  <c r="AI12" i="43"/>
  <c r="AD12" i="43"/>
  <c r="Y12" i="43"/>
  <c r="T12" i="43"/>
  <c r="O12" i="43"/>
  <c r="J12" i="43"/>
  <c r="AI11" i="43"/>
  <c r="AD11" i="43"/>
  <c r="T11" i="43"/>
  <c r="O11" i="43"/>
  <c r="J11" i="43"/>
  <c r="AI10" i="43"/>
  <c r="AD10" i="43"/>
  <c r="Y10" i="43"/>
  <c r="T10" i="43"/>
  <c r="O10" i="43"/>
  <c r="J10" i="43"/>
  <c r="AI9" i="43"/>
  <c r="AD9" i="43"/>
  <c r="Y9" i="43"/>
  <c r="T9" i="43"/>
  <c r="O9" i="43"/>
  <c r="J9" i="43"/>
  <c r="AI8" i="43"/>
  <c r="AD8" i="43"/>
  <c r="Y8" i="43"/>
  <c r="T8" i="43"/>
  <c r="O8" i="43"/>
  <c r="J8" i="43"/>
  <c r="AI7" i="43"/>
  <c r="AD7" i="43"/>
  <c r="Y7" i="43"/>
  <c r="T7" i="43"/>
  <c r="O7" i="43"/>
  <c r="J7" i="43"/>
  <c r="AI6" i="43"/>
  <c r="AD6" i="43"/>
  <c r="Y6" i="43"/>
  <c r="T6" i="43"/>
  <c r="O6" i="43"/>
  <c r="J6" i="43"/>
  <c r="AI5" i="43"/>
  <c r="AD5" i="43"/>
  <c r="Y5" i="43"/>
  <c r="T5" i="43"/>
  <c r="O5" i="43"/>
  <c r="J5" i="43"/>
  <c r="AI4" i="43"/>
  <c r="AD4" i="43"/>
  <c r="Y4" i="43"/>
  <c r="T4" i="43"/>
  <c r="O4" i="43"/>
  <c r="J4" i="43"/>
  <c r="O8" i="25"/>
  <c r="AI33" i="25"/>
  <c r="O32" i="25"/>
  <c r="Y31" i="25"/>
  <c r="AI31" i="25"/>
  <c r="AD31" i="25"/>
  <c r="O28" i="25"/>
  <c r="T27" i="25"/>
  <c r="Y27" i="25"/>
  <c r="AD27" i="25"/>
  <c r="AN26" i="25"/>
  <c r="AD24" i="25"/>
  <c r="AN23" i="25"/>
  <c r="Y22" i="25"/>
  <c r="T22" i="25"/>
  <c r="O22" i="25"/>
  <c r="J22" i="25"/>
  <c r="AN22" i="25"/>
  <c r="T19" i="25"/>
  <c r="O19" i="25"/>
  <c r="J19" i="25"/>
  <c r="AN19" i="25"/>
  <c r="AI19" i="25"/>
  <c r="T17" i="25"/>
  <c r="Y17" i="25"/>
  <c r="AD17" i="25"/>
  <c r="AI17" i="25"/>
  <c r="O13" i="25"/>
  <c r="O9" i="25"/>
  <c r="AI9" i="25"/>
  <c r="AN9" i="25"/>
  <c r="AD5" i="25"/>
  <c r="Y4" i="25"/>
  <c r="AN7" i="25"/>
  <c r="Y7" i="25"/>
  <c r="T7" i="25"/>
  <c r="O7" i="25"/>
  <c r="O5" i="25"/>
  <c r="T5" i="25"/>
  <c r="Y5" i="25"/>
  <c r="AI5" i="25"/>
  <c r="J5" i="25"/>
  <c r="J24" i="25"/>
  <c r="AD7" i="25"/>
  <c r="AI7" i="25"/>
  <c r="J23" i="25"/>
  <c r="O23" i="25"/>
  <c r="Y23" i="25"/>
  <c r="AD23" i="25"/>
  <c r="AI23" i="25"/>
  <c r="AA50" i="25"/>
  <c r="AD12" i="25"/>
  <c r="AI12" i="25"/>
  <c r="Y12" i="25"/>
  <c r="J12" i="25"/>
  <c r="AN31" i="25"/>
  <c r="J31" i="25"/>
  <c r="Y15" i="25"/>
  <c r="T15" i="25"/>
  <c r="AD15" i="25"/>
  <c r="AN36" i="25"/>
  <c r="AN35" i="25"/>
  <c r="AN34" i="25"/>
  <c r="AN33" i="25"/>
  <c r="AN32" i="25"/>
  <c r="AN30" i="25"/>
  <c r="AN29" i="25"/>
  <c r="AN28" i="25"/>
  <c r="AN27" i="25"/>
  <c r="AN25" i="25"/>
  <c r="AN24" i="25"/>
  <c r="AN21" i="25"/>
  <c r="AN20" i="25"/>
  <c r="AN18" i="25"/>
  <c r="AN17" i="25"/>
  <c r="AN16" i="25"/>
  <c r="AN14" i="25"/>
  <c r="AN13" i="25"/>
  <c r="AN12" i="25"/>
  <c r="AN11" i="25"/>
  <c r="AN10" i="25"/>
  <c r="AN8" i="25"/>
  <c r="AN6" i="25"/>
  <c r="AN5" i="25"/>
  <c r="AN4" i="25"/>
  <c r="AI36" i="25"/>
  <c r="AI35" i="25"/>
  <c r="AI34" i="25"/>
  <c r="AI32" i="25"/>
  <c r="AI30" i="25"/>
  <c r="AI29" i="25"/>
  <c r="AI28" i="25"/>
  <c r="AI27" i="25"/>
  <c r="AI26" i="25"/>
  <c r="AI25" i="25"/>
  <c r="AI24" i="25"/>
  <c r="AI22" i="25"/>
  <c r="AI21" i="25"/>
  <c r="AI20" i="25"/>
  <c r="AI18" i="25"/>
  <c r="AI16" i="25"/>
  <c r="AI14" i="25"/>
  <c r="AI13" i="25"/>
  <c r="AI11" i="25"/>
  <c r="AI10" i="25"/>
  <c r="AI8" i="25"/>
  <c r="AI6" i="25"/>
  <c r="AI4" i="25"/>
  <c r="AD36" i="25"/>
  <c r="AD35" i="25"/>
  <c r="AD34" i="25"/>
  <c r="AD33" i="25"/>
  <c r="AD32" i="25"/>
  <c r="AD30" i="25"/>
  <c r="AD29" i="25"/>
  <c r="AD28" i="25"/>
  <c r="AD26" i="25"/>
  <c r="AD25" i="25"/>
  <c r="AD22" i="25"/>
  <c r="AD21" i="25"/>
  <c r="AD20" i="25"/>
  <c r="AD19" i="25"/>
  <c r="AD18" i="25"/>
  <c r="AD16" i="25"/>
  <c r="AD14" i="25"/>
  <c r="AD13" i="25"/>
  <c r="AD11" i="25"/>
  <c r="AD9" i="25"/>
  <c r="AD6" i="25"/>
  <c r="AD4" i="25"/>
  <c r="Y36" i="25"/>
  <c r="Y35" i="25"/>
  <c r="Y34" i="25"/>
  <c r="Y33" i="25"/>
  <c r="Y32" i="25"/>
  <c r="Y30" i="25"/>
  <c r="Y29" i="25"/>
  <c r="Y28" i="25"/>
  <c r="Y26" i="25"/>
  <c r="Y25" i="25"/>
  <c r="Y24" i="25"/>
  <c r="Y21" i="25"/>
  <c r="Y20" i="25"/>
  <c r="Y19" i="25"/>
  <c r="Y18" i="25"/>
  <c r="Y16" i="25"/>
  <c r="Y14" i="25"/>
  <c r="Y13" i="25"/>
  <c r="Y11" i="25"/>
  <c r="Y10" i="25"/>
  <c r="Y9" i="25"/>
  <c r="Y8" i="25"/>
  <c r="Y6" i="25"/>
  <c r="T36" i="25"/>
  <c r="T35" i="25"/>
  <c r="T34" i="25"/>
  <c r="T33" i="25"/>
  <c r="T32" i="25"/>
  <c r="T31" i="25"/>
  <c r="T30" i="25"/>
  <c r="T29" i="25"/>
  <c r="T28" i="25"/>
  <c r="T26" i="25"/>
  <c r="T25" i="25"/>
  <c r="T24" i="25"/>
  <c r="T21" i="25"/>
  <c r="T20" i="25"/>
  <c r="T18" i="25"/>
  <c r="T16" i="25"/>
  <c r="T14" i="25"/>
  <c r="T13" i="25"/>
  <c r="T11" i="25"/>
  <c r="T10" i="25"/>
  <c r="T9" i="25"/>
  <c r="T8" i="25"/>
  <c r="T6" i="25"/>
  <c r="T4" i="25"/>
  <c r="O36" i="25"/>
  <c r="O35" i="25"/>
  <c r="O34" i="25"/>
  <c r="O33" i="25"/>
  <c r="O31" i="25"/>
  <c r="O30" i="25"/>
  <c r="O29" i="25"/>
  <c r="O27" i="25"/>
  <c r="O26" i="25"/>
  <c r="O25" i="25"/>
  <c r="O24" i="25"/>
  <c r="O21" i="25"/>
  <c r="O20" i="25"/>
  <c r="O18" i="25"/>
  <c r="O17" i="25"/>
  <c r="O16" i="25"/>
  <c r="O15" i="25"/>
  <c r="O14" i="25"/>
  <c r="O11" i="25"/>
  <c r="O10" i="25"/>
  <c r="O6" i="25"/>
  <c r="O4" i="25"/>
  <c r="J6" i="25"/>
  <c r="J7" i="25"/>
  <c r="J8" i="25"/>
  <c r="J9" i="25"/>
  <c r="J10" i="25"/>
  <c r="J11" i="25"/>
  <c r="J13" i="25"/>
  <c r="J14" i="25"/>
  <c r="J16" i="25"/>
  <c r="J17" i="25"/>
  <c r="J18" i="25"/>
  <c r="J20" i="25"/>
  <c r="J21" i="25"/>
  <c r="J25" i="25"/>
  <c r="J26" i="25"/>
  <c r="J27" i="25"/>
  <c r="J28" i="25"/>
  <c r="J29" i="25"/>
  <c r="J30" i="25"/>
  <c r="J32" i="25"/>
  <c r="J33" i="25"/>
  <c r="J34" i="25"/>
  <c r="J35" i="25"/>
  <c r="J36" i="25"/>
  <c r="J4" i="25"/>
  <c r="D265" i="43" l="1"/>
  <c r="J265" i="43"/>
  <c r="F265" i="43"/>
  <c r="E265" i="43"/>
  <c r="G265" i="43"/>
  <c r="I265" i="43"/>
  <c r="AM2" i="44"/>
  <c r="AH2" i="44"/>
  <c r="AC2" i="44"/>
  <c r="X2" i="44"/>
  <c r="S2" i="44"/>
  <c r="N2" i="44"/>
  <c r="I2" i="44"/>
  <c r="AK50" i="25" l="1"/>
  <c r="AF50" i="25"/>
  <c r="V50" i="25"/>
  <c r="Q50" i="25"/>
  <c r="L50" i="25"/>
  <c r="G50" i="25"/>
  <c r="F50" i="25"/>
  <c r="F1" i="4"/>
  <c r="AO139" i="44" l="1"/>
  <c r="AO174" i="44" l="1"/>
  <c r="F158" i="42"/>
  <c r="G158" i="42" s="1"/>
  <c r="H158" i="42" s="1"/>
  <c r="I158" i="42" s="1"/>
  <c r="J158" i="42" s="1"/>
  <c r="K158" i="42" s="1"/>
  <c r="L158" i="42" s="1"/>
  <c r="L156" i="42"/>
  <c r="K156" i="42"/>
  <c r="J156" i="42"/>
  <c r="I156" i="42"/>
  <c r="H156" i="42"/>
  <c r="G156" i="42"/>
  <c r="F156" i="42"/>
  <c r="F27" i="42"/>
  <c r="O2" i="42"/>
  <c r="L2" i="42" s="1"/>
  <c r="AO10" i="42"/>
  <c r="AO9" i="42"/>
  <c r="AD2" i="42"/>
  <c r="AO4" i="42"/>
  <c r="F1" i="42"/>
  <c r="K1" i="42" s="1"/>
  <c r="P1" i="42" s="1"/>
  <c r="U1" i="42" s="1"/>
  <c r="Z1" i="42" s="1"/>
  <c r="AE1" i="42" s="1"/>
  <c r="AJ1" i="42" s="1"/>
  <c r="F159" i="4"/>
  <c r="G159" i="4" s="1"/>
  <c r="H159" i="4" s="1"/>
  <c r="I159" i="4" s="1"/>
  <c r="J159" i="4" s="1"/>
  <c r="K159" i="4" s="1"/>
  <c r="L159" i="4" s="1"/>
  <c r="AJ21" i="4"/>
  <c r="AE21" i="4"/>
  <c r="Z21" i="4"/>
  <c r="U21" i="4"/>
  <c r="P21" i="4"/>
  <c r="K21" i="4"/>
  <c r="AJ20" i="4"/>
  <c r="AJ25" i="4" s="1"/>
  <c r="AE20" i="4"/>
  <c r="AE25" i="4" s="1"/>
  <c r="Z20" i="4"/>
  <c r="Z25" i="4" s="1"/>
  <c r="U20" i="4"/>
  <c r="U25" i="4" s="1"/>
  <c r="P20" i="4"/>
  <c r="P25" i="4" s="1"/>
  <c r="K20" i="4"/>
  <c r="F20" i="4"/>
  <c r="F25" i="4" s="1"/>
  <c r="AJ19" i="4"/>
  <c r="AE19" i="4"/>
  <c r="Z19" i="4"/>
  <c r="U19" i="4"/>
  <c r="P19" i="4"/>
  <c r="K19" i="4"/>
  <c r="F19" i="4"/>
  <c r="AJ18" i="4"/>
  <c r="AE18" i="4"/>
  <c r="Z18" i="4"/>
  <c r="U18" i="4"/>
  <c r="P18" i="4"/>
  <c r="K18" i="4"/>
  <c r="F18" i="4"/>
  <c r="AJ17" i="4"/>
  <c r="AE17" i="4"/>
  <c r="Z17" i="4"/>
  <c r="U17" i="4"/>
  <c r="P17" i="4"/>
  <c r="K17" i="4"/>
  <c r="F17" i="4"/>
  <c r="AJ16" i="4"/>
  <c r="AE16" i="4"/>
  <c r="Z16" i="4"/>
  <c r="U16" i="4"/>
  <c r="P16" i="4"/>
  <c r="K16" i="4"/>
  <c r="F16" i="4"/>
  <c r="AJ15" i="4"/>
  <c r="AE15" i="4"/>
  <c r="Z15" i="4"/>
  <c r="U15" i="4"/>
  <c r="P15" i="4"/>
  <c r="K15" i="4"/>
  <c r="F15" i="4"/>
  <c r="L157" i="4"/>
  <c r="AN4" i="4"/>
  <c r="AI4" i="4"/>
  <c r="AD4" i="4"/>
  <c r="Y4" i="4"/>
  <c r="T4" i="4"/>
  <c r="H157" i="4" s="1"/>
  <c r="O4" i="4"/>
  <c r="J4" i="4"/>
  <c r="K1" i="4"/>
  <c r="P1" i="4" s="1"/>
  <c r="U1" i="4" s="1"/>
  <c r="Z1" i="4" s="1"/>
  <c r="AE1" i="4" s="1"/>
  <c r="AJ1" i="4" s="1"/>
  <c r="F161" i="6"/>
  <c r="G161" i="6" s="1"/>
  <c r="H161" i="6" s="1"/>
  <c r="I161" i="6" s="1"/>
  <c r="J161" i="6" s="1"/>
  <c r="K161" i="6" s="1"/>
  <c r="L161" i="6" s="1"/>
  <c r="F1" i="6"/>
  <c r="B1" i="6" s="1"/>
  <c r="K25" i="4" l="1"/>
  <c r="K24" i="4"/>
  <c r="AE24" i="4"/>
  <c r="T2" i="6"/>
  <c r="Q2" i="6" s="1"/>
  <c r="AD2" i="6"/>
  <c r="AA2" i="6" s="1"/>
  <c r="AO10" i="6"/>
  <c r="AO9" i="6"/>
  <c r="AO17" i="6"/>
  <c r="F31" i="6"/>
  <c r="AJ24" i="4"/>
  <c r="Z24" i="4"/>
  <c r="U24" i="4"/>
  <c r="U23" i="4"/>
  <c r="F24" i="4"/>
  <c r="AO16" i="6"/>
  <c r="AO15" i="6"/>
  <c r="K157" i="4"/>
  <c r="AO8" i="4"/>
  <c r="P24" i="4"/>
  <c r="AN2" i="42"/>
  <c r="AO7" i="42"/>
  <c r="AQ7" i="42" s="1"/>
  <c r="Y2" i="42"/>
  <c r="V2" i="42" s="1"/>
  <c r="AI2" i="6"/>
  <c r="AF2" i="6" s="1"/>
  <c r="J157" i="4"/>
  <c r="AO5" i="6"/>
  <c r="AQ5" i="6" s="1"/>
  <c r="AO13" i="6"/>
  <c r="AI2" i="4"/>
  <c r="AF2" i="4" s="1"/>
  <c r="AO5" i="4"/>
  <c r="AO6" i="4"/>
  <c r="AO6" i="42"/>
  <c r="AQ6" i="42" s="1"/>
  <c r="AO14" i="42"/>
  <c r="Y2" i="6"/>
  <c r="V2" i="6" s="1"/>
  <c r="I157" i="4"/>
  <c r="AI2" i="42"/>
  <c r="AO6" i="6"/>
  <c r="AQ6" i="6" s="1"/>
  <c r="AO14" i="6"/>
  <c r="J2" i="6"/>
  <c r="G2" i="6" s="1"/>
  <c r="AO7" i="6"/>
  <c r="AQ7" i="6" s="1"/>
  <c r="AO12" i="6"/>
  <c r="AO4" i="4"/>
  <c r="AO10" i="4"/>
  <c r="J2" i="42"/>
  <c r="G2" i="42" s="1"/>
  <c r="AO8" i="42"/>
  <c r="AQ8" i="42" s="1"/>
  <c r="AO13" i="42"/>
  <c r="T2" i="42"/>
  <c r="Q2" i="42" s="1"/>
  <c r="O2" i="4"/>
  <c r="L2" i="4" s="1"/>
  <c r="J159" i="6"/>
  <c r="AN2" i="6"/>
  <c r="AK2" i="6" s="1"/>
  <c r="AO8" i="6"/>
  <c r="AQ8" i="6" s="1"/>
  <c r="AN2" i="4"/>
  <c r="AK2" i="4" s="1"/>
  <c r="AD2" i="4"/>
  <c r="AA2" i="4" s="1"/>
  <c r="G159" i="6"/>
  <c r="AO11" i="6"/>
  <c r="G157" i="4"/>
  <c r="T2" i="4"/>
  <c r="Q2" i="4" s="1"/>
  <c r="AO9" i="4"/>
  <c r="AO12" i="42"/>
  <c r="AO11" i="42"/>
  <c r="AA2" i="42"/>
  <c r="AF2" i="42"/>
  <c r="AK2" i="42"/>
  <c r="F28" i="42"/>
  <c r="AQ4" i="42"/>
  <c r="AO5" i="42"/>
  <c r="AQ5" i="42" s="1"/>
  <c r="F26" i="42"/>
  <c r="B1" i="42"/>
  <c r="F32" i="42"/>
  <c r="F36" i="42" s="1"/>
  <c r="F33" i="42"/>
  <c r="F31" i="42"/>
  <c r="F30" i="42"/>
  <c r="U33" i="42"/>
  <c r="Z26" i="42"/>
  <c r="F29" i="42"/>
  <c r="I164" i="4"/>
  <c r="B1" i="4"/>
  <c r="P23" i="4"/>
  <c r="H160" i="4" s="1"/>
  <c r="J2" i="4"/>
  <c r="Z23" i="4"/>
  <c r="Y2" i="4"/>
  <c r="AE23" i="4"/>
  <c r="K164" i="4" s="1"/>
  <c r="F157" i="4"/>
  <c r="K162" i="4"/>
  <c r="AJ23" i="4"/>
  <c r="L160" i="4" s="1"/>
  <c r="AO7" i="4"/>
  <c r="F23" i="4"/>
  <c r="K23" i="4"/>
  <c r="G162" i="4" s="1"/>
  <c r="K159" i="6"/>
  <c r="O2" i="6"/>
  <c r="AO4" i="6"/>
  <c r="Z34" i="6"/>
  <c r="L159" i="6"/>
  <c r="F29" i="6"/>
  <c r="F159" i="6"/>
  <c r="F35" i="6"/>
  <c r="F39" i="6" s="1"/>
  <c r="F36" i="6"/>
  <c r="K1" i="6"/>
  <c r="P1" i="6" s="1"/>
  <c r="U1" i="6" s="1"/>
  <c r="Z1" i="6" s="1"/>
  <c r="AE1" i="6" s="1"/>
  <c r="AJ1" i="6" s="1"/>
  <c r="F34" i="6"/>
  <c r="H159" i="6"/>
  <c r="F33" i="6"/>
  <c r="I159" i="6"/>
  <c r="F32" i="6"/>
  <c r="F162" i="4" l="1"/>
  <c r="F161" i="4"/>
  <c r="I160" i="4"/>
  <c r="L166" i="4"/>
  <c r="H164" i="4"/>
  <c r="K160" i="4"/>
  <c r="J166" i="4"/>
  <c r="H158" i="4"/>
  <c r="I158" i="4"/>
  <c r="K165" i="4"/>
  <c r="Z27" i="42"/>
  <c r="U31" i="6"/>
  <c r="L161" i="4"/>
  <c r="L164" i="4"/>
  <c r="K166" i="4"/>
  <c r="K158" i="4"/>
  <c r="K163" i="4"/>
  <c r="K161" i="4"/>
  <c r="J158" i="4"/>
  <c r="I166" i="4"/>
  <c r="I162" i="4"/>
  <c r="I161" i="4"/>
  <c r="I165" i="4"/>
  <c r="I163" i="4"/>
  <c r="U32" i="6"/>
  <c r="G163" i="4"/>
  <c r="J161" i="4"/>
  <c r="J162" i="4"/>
  <c r="J164" i="4"/>
  <c r="P31" i="42"/>
  <c r="U29" i="6"/>
  <c r="AO2" i="4"/>
  <c r="AQ5" i="4" s="1"/>
  <c r="L162" i="4"/>
  <c r="G158" i="4"/>
  <c r="L158" i="4"/>
  <c r="J165" i="4"/>
  <c r="H165" i="4"/>
  <c r="U35" i="6"/>
  <c r="U39" i="6" s="1"/>
  <c r="J163" i="4"/>
  <c r="J160" i="4"/>
  <c r="U30" i="6"/>
  <c r="U33" i="6"/>
  <c r="F163" i="4"/>
  <c r="G160" i="4"/>
  <c r="U31" i="42"/>
  <c r="P26" i="42"/>
  <c r="U32" i="42"/>
  <c r="U36" i="42" s="1"/>
  <c r="U26" i="42"/>
  <c r="U27" i="42"/>
  <c r="AJ33" i="42"/>
  <c r="U30" i="42"/>
  <c r="Z31" i="42"/>
  <c r="K29" i="42"/>
  <c r="K33" i="42"/>
  <c r="K32" i="42"/>
  <c r="K36" i="42" s="1"/>
  <c r="AJ26" i="42"/>
  <c r="Z29" i="42"/>
  <c r="Z30" i="42"/>
  <c r="K30" i="42"/>
  <c r="F35" i="42"/>
  <c r="F161" i="42" s="1"/>
  <c r="AJ29" i="42"/>
  <c r="U28" i="42"/>
  <c r="U29" i="42"/>
  <c r="Z33" i="42"/>
  <c r="AO2" i="42"/>
  <c r="Z32" i="42"/>
  <c r="Z36" i="42" s="1"/>
  <c r="K28" i="42"/>
  <c r="Z28" i="42"/>
  <c r="K26" i="42"/>
  <c r="K27" i="42"/>
  <c r="H161" i="4"/>
  <c r="H163" i="4"/>
  <c r="H166" i="4"/>
  <c r="G166" i="4"/>
  <c r="F158" i="4"/>
  <c r="H162" i="4"/>
  <c r="G165" i="4"/>
  <c r="F165" i="4"/>
  <c r="V2" i="4"/>
  <c r="G161" i="4"/>
  <c r="L165" i="4"/>
  <c r="G164" i="4"/>
  <c r="F164" i="4"/>
  <c r="L163" i="4"/>
  <c r="F166" i="4"/>
  <c r="G2" i="4"/>
  <c r="F160" i="4"/>
  <c r="L2" i="6"/>
  <c r="P32" i="6"/>
  <c r="K33" i="6"/>
  <c r="F38" i="6"/>
  <c r="F37" i="6"/>
  <c r="AJ29" i="6"/>
  <c r="U34" i="6"/>
  <c r="AE36" i="6"/>
  <c r="Z29" i="6"/>
  <c r="Z32" i="6"/>
  <c r="Z36" i="6"/>
  <c r="Z35" i="6"/>
  <c r="Z39" i="6" s="1"/>
  <c r="U36" i="6"/>
  <c r="Z30" i="6"/>
  <c r="Z31" i="6"/>
  <c r="Z33" i="6"/>
  <c r="AQ4" i="6"/>
  <c r="AO2" i="6"/>
  <c r="P28" i="42" l="1"/>
  <c r="K168" i="4"/>
  <c r="F168" i="4"/>
  <c r="U37" i="6"/>
  <c r="AE35" i="6"/>
  <c r="AE39" i="6" s="1"/>
  <c r="AJ31" i="42"/>
  <c r="AJ28" i="42"/>
  <c r="AJ30" i="42"/>
  <c r="AJ27" i="42"/>
  <c r="P29" i="6"/>
  <c r="P30" i="6"/>
  <c r="P31" i="6"/>
  <c r="K32" i="6"/>
  <c r="Z38" i="6"/>
  <c r="K31" i="6"/>
  <c r="K30" i="6"/>
  <c r="P36" i="6"/>
  <c r="K36" i="6"/>
  <c r="K35" i="6"/>
  <c r="K39" i="6" s="1"/>
  <c r="P35" i="6"/>
  <c r="P39" i="6" s="1"/>
  <c r="F160" i="6"/>
  <c r="P34" i="6"/>
  <c r="P33" i="6"/>
  <c r="L168" i="4"/>
  <c r="J168" i="4"/>
  <c r="I168" i="4"/>
  <c r="AQ4" i="4"/>
  <c r="AB2" i="4"/>
  <c r="H2" i="4"/>
  <c r="W2" i="4"/>
  <c r="R2" i="4"/>
  <c r="AL2" i="4"/>
  <c r="AG2" i="4"/>
  <c r="M2" i="4"/>
  <c r="P27" i="42"/>
  <c r="P30" i="42"/>
  <c r="P32" i="42"/>
  <c r="P36" i="42" s="1"/>
  <c r="AJ36" i="6"/>
  <c r="F163" i="42"/>
  <c r="AJ35" i="6"/>
  <c r="AJ39" i="6" s="1"/>
  <c r="F168" i="6"/>
  <c r="F164" i="6"/>
  <c r="G168" i="4"/>
  <c r="F167" i="6"/>
  <c r="F163" i="6"/>
  <c r="H168" i="4"/>
  <c r="F165" i="6"/>
  <c r="AJ32" i="42"/>
  <c r="AJ36" i="42" s="1"/>
  <c r="P33" i="42"/>
  <c r="P29" i="42"/>
  <c r="K34" i="42"/>
  <c r="AP1" i="42"/>
  <c r="H2" i="42"/>
  <c r="W2" i="42"/>
  <c r="M2" i="42"/>
  <c r="AG2" i="42"/>
  <c r="R2" i="42"/>
  <c r="AB2" i="42"/>
  <c r="AL2" i="42"/>
  <c r="AE28" i="42"/>
  <c r="AE26" i="42"/>
  <c r="AE30" i="42"/>
  <c r="AE29" i="42"/>
  <c r="Z35" i="42"/>
  <c r="F159" i="42"/>
  <c r="F165" i="42"/>
  <c r="F157" i="42"/>
  <c r="AE27" i="42"/>
  <c r="AE34" i="42" s="1"/>
  <c r="P34" i="42"/>
  <c r="F164" i="42"/>
  <c r="K31" i="42"/>
  <c r="AE31" i="42"/>
  <c r="Z34" i="42"/>
  <c r="J157" i="42" s="1"/>
  <c r="AE33" i="42"/>
  <c r="U34" i="42"/>
  <c r="F160" i="42"/>
  <c r="U35" i="42"/>
  <c r="I165" i="42" s="1"/>
  <c r="I157" i="42"/>
  <c r="F162" i="42"/>
  <c r="AE32" i="42"/>
  <c r="AE36" i="42" s="1"/>
  <c r="K34" i="6"/>
  <c r="AJ30" i="6"/>
  <c r="AP1" i="6"/>
  <c r="H2" i="6"/>
  <c r="AB2" i="6"/>
  <c r="W2" i="6"/>
  <c r="AG2" i="6"/>
  <c r="AL2" i="6"/>
  <c r="R2" i="6"/>
  <c r="U38" i="6"/>
  <c r="I166" i="6" s="1"/>
  <c r="K29" i="6"/>
  <c r="F166" i="6"/>
  <c r="F162" i="6"/>
  <c r="AE34" i="6"/>
  <c r="AE32" i="6"/>
  <c r="AE31" i="6"/>
  <c r="AE33" i="6"/>
  <c r="AE30" i="6"/>
  <c r="AE29" i="6"/>
  <c r="AJ33" i="6"/>
  <c r="AJ32" i="6"/>
  <c r="AJ34" i="6"/>
  <c r="AJ31" i="6"/>
  <c r="Z37" i="6"/>
  <c r="M2" i="6"/>
  <c r="AJ34" i="42" l="1"/>
  <c r="AJ35" i="42"/>
  <c r="J164" i="6"/>
  <c r="K38" i="6"/>
  <c r="B33" i="42"/>
  <c r="J162" i="42"/>
  <c r="F170" i="6"/>
  <c r="P37" i="6"/>
  <c r="H164" i="6" s="1"/>
  <c r="B36" i="6"/>
  <c r="I164" i="6"/>
  <c r="I167" i="6"/>
  <c r="P38" i="6"/>
  <c r="I165" i="6"/>
  <c r="I160" i="6"/>
  <c r="I162" i="6"/>
  <c r="B39" i="6"/>
  <c r="J164" i="42"/>
  <c r="L162" i="42"/>
  <c r="J160" i="42"/>
  <c r="L163" i="42"/>
  <c r="L157" i="42"/>
  <c r="J162" i="6"/>
  <c r="I168" i="6"/>
  <c r="B36" i="42"/>
  <c r="L159" i="42"/>
  <c r="J159" i="42"/>
  <c r="L160" i="42"/>
  <c r="J163" i="42"/>
  <c r="AE37" i="6"/>
  <c r="J165" i="6"/>
  <c r="L161" i="42"/>
  <c r="L165" i="42"/>
  <c r="L164" i="42"/>
  <c r="J166" i="6"/>
  <c r="I162" i="42"/>
  <c r="F167" i="42"/>
  <c r="P35" i="42"/>
  <c r="J168" i="6"/>
  <c r="J167" i="6"/>
  <c r="H162" i="42"/>
  <c r="I159" i="42"/>
  <c r="J165" i="42"/>
  <c r="AE35" i="42"/>
  <c r="K165" i="42" s="1"/>
  <c r="I163" i="42"/>
  <c r="I161" i="42"/>
  <c r="I160" i="42"/>
  <c r="H159" i="42"/>
  <c r="I164" i="42"/>
  <c r="K35" i="42"/>
  <c r="G165" i="42" s="1"/>
  <c r="B34" i="42"/>
  <c r="J161" i="42"/>
  <c r="AJ37" i="6"/>
  <c r="I163" i="6"/>
  <c r="AJ38" i="6"/>
  <c r="AE38" i="6"/>
  <c r="K165" i="6" s="1"/>
  <c r="J163" i="6"/>
  <c r="J160" i="6"/>
  <c r="K37" i="6"/>
  <c r="G162" i="6" s="1"/>
  <c r="K163" i="42" l="1"/>
  <c r="K164" i="42"/>
  <c r="K157" i="42"/>
  <c r="K161" i="42"/>
  <c r="K162" i="42"/>
  <c r="K159" i="42"/>
  <c r="K160" i="42"/>
  <c r="L167" i="42"/>
  <c r="H168" i="6"/>
  <c r="H160" i="6"/>
  <c r="I170" i="6"/>
  <c r="H167" i="6"/>
  <c r="H165" i="6"/>
  <c r="K168" i="6"/>
  <c r="L168" i="6"/>
  <c r="K167" i="6"/>
  <c r="K166" i="6"/>
  <c r="L163" i="6"/>
  <c r="H163" i="6"/>
  <c r="H162" i="6"/>
  <c r="H166" i="6"/>
  <c r="J170" i="6"/>
  <c r="G166" i="6"/>
  <c r="G167" i="6"/>
  <c r="G163" i="6"/>
  <c r="L165" i="6"/>
  <c r="K160" i="6"/>
  <c r="K164" i="6"/>
  <c r="J167" i="42"/>
  <c r="I167" i="42"/>
  <c r="H165" i="42"/>
  <c r="H161" i="42"/>
  <c r="H163" i="42"/>
  <c r="H160" i="42"/>
  <c r="H157" i="42"/>
  <c r="H164" i="42"/>
  <c r="B35" i="42"/>
  <c r="G164" i="42"/>
  <c r="G159" i="42"/>
  <c r="G160" i="42"/>
  <c r="G157" i="42"/>
  <c r="G162" i="42"/>
  <c r="G163" i="42"/>
  <c r="K167" i="42"/>
  <c r="G161" i="42"/>
  <c r="L162" i="6"/>
  <c r="G165" i="6"/>
  <c r="L167" i="6"/>
  <c r="L160" i="6"/>
  <c r="L166" i="6"/>
  <c r="G168" i="6"/>
  <c r="B37" i="6"/>
  <c r="K162" i="6"/>
  <c r="G164" i="6"/>
  <c r="G160" i="6"/>
  <c r="K163" i="6"/>
  <c r="B38" i="6"/>
  <c r="L164" i="6"/>
  <c r="H170" i="6" l="1"/>
  <c r="G170" i="6"/>
  <c r="K170" i="6"/>
  <c r="L170" i="6"/>
  <c r="H167" i="42"/>
  <c r="G167" i="42"/>
  <c r="F41" i="25" l="1"/>
  <c r="AO111" i="44" l="1"/>
  <c r="AO154" i="44"/>
  <c r="AO155" i="44"/>
  <c r="AO153" i="44"/>
  <c r="AO150" i="44"/>
  <c r="AO112" i="44"/>
  <c r="AO149" i="44"/>
  <c r="AO113" i="44"/>
  <c r="AO147" i="44"/>
  <c r="AO148" i="44"/>
  <c r="AO45" i="44" l="1"/>
  <c r="AO21" i="44"/>
  <c r="AO144" i="44"/>
  <c r="AO96" i="44"/>
  <c r="AO132" i="44"/>
  <c r="AO26" i="44"/>
  <c r="AO157" i="44"/>
  <c r="AO93" i="44"/>
  <c r="AO91" i="44"/>
  <c r="AO18" i="44"/>
  <c r="AO59" i="44"/>
  <c r="AO85" i="44"/>
  <c r="AO98" i="44"/>
  <c r="AO27" i="44"/>
  <c r="AO46" i="44"/>
  <c r="AO20" i="44"/>
  <c r="AO28" i="44"/>
  <c r="AO169" i="44"/>
  <c r="AO23" i="44"/>
  <c r="AO30" i="44"/>
  <c r="AO94" i="44"/>
  <c r="AO87" i="44"/>
  <c r="AO24" i="44"/>
  <c r="AO97" i="44"/>
  <c r="AO156" i="44"/>
  <c r="AO82" i="44"/>
  <c r="AO84" i="44"/>
  <c r="AO86" i="44"/>
  <c r="AO31" i="44"/>
  <c r="AO83" i="44"/>
  <c r="AO25" i="44"/>
  <c r="AO17" i="44"/>
  <c r="AO22" i="44"/>
  <c r="AO92" i="44"/>
  <c r="AO95" i="44"/>
  <c r="AO90" i="44"/>
  <c r="AO19" i="44"/>
  <c r="AO145" i="44"/>
  <c r="AS1" i="44"/>
  <c r="AR1" i="44"/>
  <c r="K1" i="44"/>
  <c r="P1" i="44" s="1"/>
  <c r="U1" i="44" s="1"/>
  <c r="Z1" i="44" s="1"/>
  <c r="AE1" i="44" s="1"/>
  <c r="AJ1" i="44" s="1"/>
  <c r="B1" i="44"/>
  <c r="O2" i="44" l="1"/>
  <c r="Y2" i="44"/>
  <c r="AD2" i="44"/>
  <c r="T2" i="44"/>
  <c r="AI2" i="44"/>
  <c r="AN2" i="44"/>
  <c r="AK2" i="44" s="1"/>
  <c r="AO44" i="44"/>
  <c r="AO135" i="44"/>
  <c r="AO54" i="44"/>
  <c r="AO167" i="44"/>
  <c r="AO129" i="44"/>
  <c r="AO33" i="44"/>
  <c r="AO78" i="44"/>
  <c r="AO133" i="44"/>
  <c r="AO11" i="44"/>
  <c r="AO140" i="44"/>
  <c r="AO13" i="44"/>
  <c r="AO9" i="44"/>
  <c r="AO57" i="44"/>
  <c r="AO62" i="44"/>
  <c r="AO109" i="44"/>
  <c r="AO6" i="44"/>
  <c r="AO128" i="44"/>
  <c r="AO103" i="44"/>
  <c r="AO141" i="44"/>
  <c r="AO52" i="44"/>
  <c r="AO65" i="44"/>
  <c r="AO159" i="44"/>
  <c r="AO130" i="44"/>
  <c r="AO60" i="44"/>
  <c r="AO39" i="44"/>
  <c r="AO110" i="44"/>
  <c r="AO168" i="44"/>
  <c r="AO47" i="44"/>
  <c r="AO166" i="44"/>
  <c r="AO79" i="44"/>
  <c r="AO64" i="44"/>
  <c r="AO108" i="44"/>
  <c r="AO173" i="44"/>
  <c r="AO7" i="44"/>
  <c r="AO56" i="44"/>
  <c r="AO51" i="44"/>
  <c r="AO165" i="44"/>
  <c r="AO49" i="44"/>
  <c r="AO138" i="44"/>
  <c r="AO36" i="44"/>
  <c r="AO34" i="44"/>
  <c r="AO136" i="44"/>
  <c r="AO146" i="44"/>
  <c r="AO105" i="44"/>
  <c r="AO162" i="44"/>
  <c r="AO16" i="44"/>
  <c r="AO40" i="44"/>
  <c r="AO63" i="44"/>
  <c r="AO99" i="44"/>
  <c r="AO14" i="44"/>
  <c r="AO58" i="44"/>
  <c r="AO5" i="44"/>
  <c r="AO81" i="44"/>
  <c r="AO163" i="44"/>
  <c r="AO4" i="44"/>
  <c r="AO32" i="44"/>
  <c r="AO101" i="44"/>
  <c r="AO134" i="44"/>
  <c r="AO35" i="44"/>
  <c r="AO104" i="44"/>
  <c r="AO160" i="44"/>
  <c r="AO137" i="44"/>
  <c r="AO142" i="44"/>
  <c r="AO12" i="44"/>
  <c r="AO106" i="44"/>
  <c r="AO164" i="44"/>
  <c r="AO53" i="44"/>
  <c r="AO171" i="44"/>
  <c r="AO38" i="44"/>
  <c r="AO127" i="44"/>
  <c r="AO100" i="44"/>
  <c r="AO158" i="44"/>
  <c r="AO37" i="44"/>
  <c r="AO55" i="44"/>
  <c r="AO61" i="44"/>
  <c r="AO66" i="44"/>
  <c r="AO80" i="44"/>
  <c r="AO131" i="44"/>
  <c r="AO48" i="44"/>
  <c r="AO161" i="44"/>
  <c r="AO43" i="44"/>
  <c r="AO50" i="44"/>
  <c r="AO10" i="44"/>
  <c r="AO15" i="44"/>
  <c r="AO143" i="44"/>
  <c r="AO8" i="44"/>
  <c r="AO126" i="44"/>
  <c r="AO172" i="44"/>
  <c r="AO170" i="44"/>
  <c r="AO107" i="44"/>
  <c r="AO2" i="44" l="1"/>
  <c r="L2" i="44"/>
  <c r="G2" i="44"/>
  <c r="V2" i="44"/>
  <c r="AF2" i="44"/>
  <c r="AA2" i="44"/>
  <c r="Q2" i="44"/>
  <c r="AP1" i="44" l="1"/>
  <c r="AL2" i="44"/>
  <c r="M2" i="44"/>
  <c r="W2" i="44"/>
  <c r="AG2" i="44"/>
  <c r="H2" i="44"/>
  <c r="R2" i="44"/>
  <c r="AB2" i="44"/>
  <c r="F1" i="43" l="1"/>
  <c r="K1" i="43" s="1"/>
  <c r="P1" i="43" s="1"/>
  <c r="U1" i="43" s="1"/>
  <c r="Z1" i="43" s="1"/>
  <c r="AE1" i="43" s="1"/>
  <c r="AJ1" i="43" s="1"/>
  <c r="AJ106" i="43"/>
  <c r="AE106" i="43"/>
  <c r="Z106" i="43"/>
  <c r="U106" i="43"/>
  <c r="P106" i="43"/>
  <c r="K106" i="43"/>
  <c r="F106" i="43"/>
  <c r="AJ105" i="43"/>
  <c r="AE105" i="43"/>
  <c r="Z105" i="43"/>
  <c r="U105" i="43"/>
  <c r="P105" i="43"/>
  <c r="K105" i="43"/>
  <c r="F105" i="43"/>
  <c r="AJ104" i="43"/>
  <c r="AE104" i="43"/>
  <c r="Z104" i="43"/>
  <c r="U104" i="43"/>
  <c r="P104" i="43"/>
  <c r="K104" i="43"/>
  <c r="F104" i="43"/>
  <c r="AJ103" i="43"/>
  <c r="AE103" i="43"/>
  <c r="Z103" i="43"/>
  <c r="U103" i="43"/>
  <c r="P103" i="43"/>
  <c r="K103" i="43"/>
  <c r="F103" i="43"/>
  <c r="AJ102" i="43"/>
  <c r="AE102" i="43"/>
  <c r="Z102" i="43"/>
  <c r="U102" i="43"/>
  <c r="P102" i="43"/>
  <c r="K102" i="43"/>
  <c r="F102" i="43"/>
  <c r="AJ101" i="43"/>
  <c r="AE101" i="43"/>
  <c r="Z101" i="43"/>
  <c r="U101" i="43"/>
  <c r="P101" i="43"/>
  <c r="K101" i="43"/>
  <c r="F101" i="43"/>
  <c r="AJ100" i="43"/>
  <c r="AE100" i="43"/>
  <c r="Z100" i="43"/>
  <c r="U100" i="43"/>
  <c r="P100" i="43"/>
  <c r="K100" i="43"/>
  <c r="F100" i="43"/>
  <c r="AJ99" i="43"/>
  <c r="AE99" i="43"/>
  <c r="Z99" i="43"/>
  <c r="U99" i="43"/>
  <c r="P99" i="43"/>
  <c r="K99" i="43"/>
  <c r="F99" i="43"/>
  <c r="AJ98" i="43"/>
  <c r="AE98" i="43"/>
  <c r="Z98" i="43"/>
  <c r="U98" i="43"/>
  <c r="P98" i="43"/>
  <c r="K98" i="43"/>
  <c r="F98" i="43"/>
  <c r="AJ97" i="43"/>
  <c r="AE97" i="43"/>
  <c r="Z97" i="43"/>
  <c r="U97" i="43"/>
  <c r="P97" i="43"/>
  <c r="K97" i="43"/>
  <c r="F97" i="43"/>
  <c r="C97" i="43"/>
  <c r="AJ96" i="43"/>
  <c r="AE96" i="43"/>
  <c r="Z96" i="43"/>
  <c r="U96" i="43"/>
  <c r="P96" i="43"/>
  <c r="K96" i="43"/>
  <c r="F96" i="43"/>
  <c r="C96" i="43"/>
  <c r="AJ95" i="43"/>
  <c r="AE95" i="43"/>
  <c r="Z95" i="43"/>
  <c r="U95" i="43"/>
  <c r="P95" i="43"/>
  <c r="K95" i="43"/>
  <c r="F95" i="43"/>
  <c r="C95" i="43"/>
  <c r="AO77" i="43"/>
  <c r="AO76" i="43"/>
  <c r="AO75" i="43"/>
  <c r="AO74" i="43"/>
  <c r="AO73" i="43"/>
  <c r="AO72" i="43"/>
  <c r="AO71" i="43"/>
  <c r="AO70" i="43"/>
  <c r="AO69" i="43"/>
  <c r="AO68" i="43"/>
  <c r="AO67" i="43"/>
  <c r="AO66" i="43"/>
  <c r="AO65" i="43"/>
  <c r="AO64" i="43"/>
  <c r="AO63" i="43"/>
  <c r="AO62" i="43"/>
  <c r="AO61" i="43"/>
  <c r="AO60" i="43"/>
  <c r="AO59" i="43"/>
  <c r="AO58" i="43"/>
  <c r="AO57" i="43"/>
  <c r="AO56" i="43"/>
  <c r="AO55" i="43"/>
  <c r="AO54" i="43"/>
  <c r="AR53" i="43"/>
  <c r="AO53" i="43"/>
  <c r="AR52" i="43"/>
  <c r="AO52" i="43"/>
  <c r="AR51" i="43"/>
  <c r="AO51" i="43"/>
  <c r="AR50" i="43"/>
  <c r="AO50" i="43"/>
  <c r="AR49" i="43"/>
  <c r="AO49" i="43"/>
  <c r="AR48" i="43"/>
  <c r="AO48" i="43"/>
  <c r="AR47" i="43"/>
  <c r="AO47" i="43"/>
  <c r="AR43" i="43"/>
  <c r="AR37" i="43"/>
  <c r="AO24" i="43"/>
  <c r="AR7" i="43"/>
  <c r="AR6" i="43"/>
  <c r="AM2" i="43"/>
  <c r="AH2" i="43"/>
  <c r="AC2" i="43"/>
  <c r="X2" i="43"/>
  <c r="S2" i="43"/>
  <c r="N2" i="43"/>
  <c r="I2" i="43"/>
  <c r="J252" i="43" l="1"/>
  <c r="F252" i="43"/>
  <c r="G252" i="43"/>
  <c r="H252" i="43"/>
  <c r="I252" i="43"/>
  <c r="AR27" i="43"/>
  <c r="AR40" i="43"/>
  <c r="AR17" i="43"/>
  <c r="AO38" i="43"/>
  <c r="AR15" i="43"/>
  <c r="AR33" i="43"/>
  <c r="AR5" i="43"/>
  <c r="AR21" i="43"/>
  <c r="AO11" i="43"/>
  <c r="AR29" i="43"/>
  <c r="AR9" i="43"/>
  <c r="L103" i="43"/>
  <c r="T2" i="43"/>
  <c r="B133" i="43" s="1"/>
  <c r="AO27" i="43"/>
  <c r="AR19" i="43"/>
  <c r="AR45" i="43"/>
  <c r="AO43" i="43"/>
  <c r="AR23" i="43"/>
  <c r="AR35" i="43"/>
  <c r="AR8" i="43"/>
  <c r="AR41" i="43"/>
  <c r="AR13" i="43"/>
  <c r="AR25" i="43"/>
  <c r="AA96" i="43"/>
  <c r="AR31" i="43"/>
  <c r="AR11" i="43"/>
  <c r="AR39" i="43"/>
  <c r="AK96" i="43"/>
  <c r="AK103" i="43"/>
  <c r="AN2" i="43"/>
  <c r="AK2" i="43" s="1"/>
  <c r="AA99" i="43"/>
  <c r="B105" i="43"/>
  <c r="AR22" i="43"/>
  <c r="J2" i="43"/>
  <c r="B131" i="43" s="1"/>
  <c r="AO5" i="43"/>
  <c r="AO7" i="43"/>
  <c r="AR20" i="43"/>
  <c r="AO23" i="43"/>
  <c r="AR36" i="43"/>
  <c r="AO39" i="43"/>
  <c r="AO25" i="43"/>
  <c r="AF99" i="43"/>
  <c r="O2" i="43"/>
  <c r="L2" i="43" s="1"/>
  <c r="AR18" i="43"/>
  <c r="AO21" i="43"/>
  <c r="AR34" i="43"/>
  <c r="AO37" i="43"/>
  <c r="AK99" i="43"/>
  <c r="Q103" i="43"/>
  <c r="AR32" i="43"/>
  <c r="AO35" i="43"/>
  <c r="V103" i="43"/>
  <c r="G103" i="43"/>
  <c r="AO19" i="43"/>
  <c r="Y2" i="43"/>
  <c r="B134" i="43" s="1"/>
  <c r="AR14" i="43"/>
  <c r="AO17" i="43"/>
  <c r="AR30" i="43"/>
  <c r="AO33" i="43"/>
  <c r="AR46" i="43"/>
  <c r="G99" i="43"/>
  <c r="L99" i="43"/>
  <c r="AA103" i="43"/>
  <c r="B106" i="43"/>
  <c r="AO9" i="43"/>
  <c r="AO41" i="43"/>
  <c r="AD2" i="43"/>
  <c r="B135" i="43" s="1"/>
  <c r="AR12" i="43"/>
  <c r="AR28" i="43"/>
  <c r="AO31" i="43"/>
  <c r="AO44" i="43"/>
  <c r="L96" i="43"/>
  <c r="Q99" i="43"/>
  <c r="AF103" i="43"/>
  <c r="AO16" i="43"/>
  <c r="AO15" i="43"/>
  <c r="AI2" i="43"/>
  <c r="AF2" i="43" s="1"/>
  <c r="AR10" i="43"/>
  <c r="AO13" i="43"/>
  <c r="AR26" i="43"/>
  <c r="AO29" i="43"/>
  <c r="AR42" i="43"/>
  <c r="AO45" i="43"/>
  <c r="V99" i="43"/>
  <c r="A1" i="43"/>
  <c r="AF96" i="43"/>
  <c r="B1" i="43"/>
  <c r="AO20" i="43"/>
  <c r="AO42" i="43"/>
  <c r="G96" i="43"/>
  <c r="AO4" i="43"/>
  <c r="AO6" i="43"/>
  <c r="AO10" i="43"/>
  <c r="AO12" i="43"/>
  <c r="AO14" i="43"/>
  <c r="AO18" i="43"/>
  <c r="AO22" i="43"/>
  <c r="AO26" i="43"/>
  <c r="AO28" i="43"/>
  <c r="AO30" i="43"/>
  <c r="AO34" i="43"/>
  <c r="AO36" i="43"/>
  <c r="AO40" i="43"/>
  <c r="AO46" i="43"/>
  <c r="AR4" i="43"/>
  <c r="AR16" i="43"/>
  <c r="AR24" i="43"/>
  <c r="AR38" i="43"/>
  <c r="AR44" i="43"/>
  <c r="Q96" i="43"/>
  <c r="AO8" i="43"/>
  <c r="AO32" i="43"/>
  <c r="V96" i="43"/>
  <c r="D252" i="43" l="1"/>
  <c r="G107" i="43"/>
  <c r="AK107" i="43"/>
  <c r="Q2" i="43"/>
  <c r="B132" i="43"/>
  <c r="AA107" i="43"/>
  <c r="G2" i="43"/>
  <c r="Q107" i="43"/>
  <c r="V107" i="43"/>
  <c r="B137" i="43"/>
  <c r="B136" i="43"/>
  <c r="L107" i="43"/>
  <c r="AA2" i="43"/>
  <c r="V2" i="43"/>
  <c r="AF107" i="43"/>
  <c r="AO2" i="43"/>
  <c r="B107" i="43" l="1"/>
  <c r="AP1" i="43"/>
  <c r="R2" i="43"/>
  <c r="H2" i="43"/>
  <c r="AG2" i="43"/>
  <c r="M2" i="43"/>
  <c r="AB2" i="43"/>
  <c r="W2" i="43"/>
  <c r="AL2" i="43"/>
  <c r="E252" i="43" l="1"/>
  <c r="F1" i="22" l="1"/>
  <c r="K1" i="22" s="1"/>
  <c r="P1" i="22" s="1"/>
  <c r="U1" i="22" s="1"/>
  <c r="Z1" i="22" s="1"/>
  <c r="AE1" i="22" s="1"/>
  <c r="AJ1" i="22" s="1"/>
  <c r="F1" i="36"/>
  <c r="K1" i="36" s="1"/>
  <c r="P1" i="36" s="1"/>
  <c r="U1" i="36" s="1"/>
  <c r="Z1" i="36" s="1"/>
  <c r="AE1" i="36" s="1"/>
  <c r="AJ1" i="36" s="1"/>
  <c r="F1" i="37"/>
  <c r="B1" i="37" s="1"/>
  <c r="F1" i="39"/>
  <c r="B1" i="39" s="1"/>
  <c r="L97" i="39"/>
  <c r="K97" i="39"/>
  <c r="J97" i="39"/>
  <c r="I97" i="39"/>
  <c r="H97" i="39"/>
  <c r="G97" i="39"/>
  <c r="F97" i="39"/>
  <c r="F89" i="39"/>
  <c r="G89" i="39" s="1"/>
  <c r="L87" i="39"/>
  <c r="K87" i="39"/>
  <c r="J87" i="39"/>
  <c r="I87" i="39"/>
  <c r="H87" i="39"/>
  <c r="G87" i="39"/>
  <c r="F87" i="39"/>
  <c r="AJ32" i="39"/>
  <c r="AE32" i="39"/>
  <c r="Z32" i="39"/>
  <c r="U32" i="39"/>
  <c r="P32" i="39"/>
  <c r="K32" i="39"/>
  <c r="F32" i="39"/>
  <c r="AJ31" i="39"/>
  <c r="AE31" i="39"/>
  <c r="Z31" i="39"/>
  <c r="U31" i="39"/>
  <c r="P31" i="39"/>
  <c r="K31" i="39"/>
  <c r="F31" i="39"/>
  <c r="AJ30" i="39"/>
  <c r="AE30" i="39"/>
  <c r="Z30" i="39"/>
  <c r="U30" i="39"/>
  <c r="P30" i="39"/>
  <c r="K30" i="39"/>
  <c r="F30" i="39"/>
  <c r="AJ29" i="39"/>
  <c r="AE29" i="39"/>
  <c r="Z29" i="39"/>
  <c r="U29" i="39"/>
  <c r="P29" i="39"/>
  <c r="K29" i="39"/>
  <c r="F29" i="39"/>
  <c r="AJ28" i="39"/>
  <c r="AK29" i="39" s="1"/>
  <c r="AE28" i="39"/>
  <c r="Z28" i="39"/>
  <c r="U28" i="39"/>
  <c r="P28" i="39"/>
  <c r="K28" i="39"/>
  <c r="F28" i="39"/>
  <c r="AJ27" i="39"/>
  <c r="AE27" i="39"/>
  <c r="Z27" i="39"/>
  <c r="U27" i="39"/>
  <c r="P27" i="39"/>
  <c r="K27" i="39"/>
  <c r="F27" i="39"/>
  <c r="AJ26" i="39"/>
  <c r="AE26" i="39"/>
  <c r="Z26" i="39"/>
  <c r="U26" i="39"/>
  <c r="P26" i="39"/>
  <c r="K26" i="39"/>
  <c r="F26" i="39"/>
  <c r="AJ25" i="39"/>
  <c r="AE25" i="39"/>
  <c r="Z25" i="39"/>
  <c r="U25" i="39"/>
  <c r="P25" i="39"/>
  <c r="K25" i="39"/>
  <c r="F25" i="39"/>
  <c r="AJ24" i="39"/>
  <c r="AE24" i="39"/>
  <c r="Z24" i="39"/>
  <c r="U24" i="39"/>
  <c r="P24" i="39"/>
  <c r="K24" i="39"/>
  <c r="F24" i="39"/>
  <c r="AJ23" i="39"/>
  <c r="AE23" i="39"/>
  <c r="Z23" i="39"/>
  <c r="U23" i="39"/>
  <c r="P23" i="39"/>
  <c r="K23" i="39"/>
  <c r="F23" i="39"/>
  <c r="C23" i="39"/>
  <c r="AJ22" i="39"/>
  <c r="AE22" i="39"/>
  <c r="Z22" i="39"/>
  <c r="U22" i="39"/>
  <c r="P22" i="39"/>
  <c r="K22" i="39"/>
  <c r="F22" i="39"/>
  <c r="C22" i="39"/>
  <c r="AJ21" i="39"/>
  <c r="AE21" i="39"/>
  <c r="Z21" i="39"/>
  <c r="U21" i="39"/>
  <c r="P21" i="39"/>
  <c r="K21" i="39"/>
  <c r="F21" i="39"/>
  <c r="C21" i="39"/>
  <c r="AR11" i="39"/>
  <c r="AO11" i="39"/>
  <c r="AM2" i="39"/>
  <c r="AH2" i="39"/>
  <c r="AC2" i="39"/>
  <c r="X2" i="39"/>
  <c r="S2" i="39"/>
  <c r="N2" i="39"/>
  <c r="I2" i="39"/>
  <c r="F170" i="37"/>
  <c r="G170" i="37" s="1"/>
  <c r="H170" i="37" s="1"/>
  <c r="I170" i="37" s="1"/>
  <c r="J170" i="37" s="1"/>
  <c r="K170" i="37" s="1"/>
  <c r="L170" i="37" s="1"/>
  <c r="L168" i="37"/>
  <c r="K168" i="37"/>
  <c r="J168" i="37"/>
  <c r="I168" i="37"/>
  <c r="H168" i="37"/>
  <c r="G168" i="37"/>
  <c r="F168" i="37"/>
  <c r="AJ42" i="37"/>
  <c r="AE42" i="37"/>
  <c r="Z42" i="37"/>
  <c r="U42" i="37"/>
  <c r="P42" i="37"/>
  <c r="K42" i="37"/>
  <c r="F42" i="37"/>
  <c r="AJ41" i="37"/>
  <c r="AE41" i="37"/>
  <c r="Z41" i="37"/>
  <c r="U41" i="37"/>
  <c r="P41" i="37"/>
  <c r="K41" i="37"/>
  <c r="F41" i="37"/>
  <c r="AJ40" i="37"/>
  <c r="AE40" i="37"/>
  <c r="Z40" i="37"/>
  <c r="U40" i="37"/>
  <c r="P40" i="37"/>
  <c r="K40" i="37"/>
  <c r="F40" i="37"/>
  <c r="AJ39" i="37"/>
  <c r="AE39" i="37"/>
  <c r="Z39" i="37"/>
  <c r="U39" i="37"/>
  <c r="P39" i="37"/>
  <c r="K39" i="37"/>
  <c r="F39" i="37"/>
  <c r="AO13" i="37"/>
  <c r="AQ13" i="37" s="1"/>
  <c r="AD2" i="37"/>
  <c r="AO7" i="37"/>
  <c r="AQ7" i="37" s="1"/>
  <c r="AO5" i="37"/>
  <c r="AQ5" i="37" s="1"/>
  <c r="I153" i="36"/>
  <c r="F150" i="36"/>
  <c r="G150" i="36" s="1"/>
  <c r="H150" i="36" s="1"/>
  <c r="I150" i="36" s="1"/>
  <c r="J150" i="36" s="1"/>
  <c r="K150" i="36" s="1"/>
  <c r="L150" i="36" s="1"/>
  <c r="L148" i="36"/>
  <c r="K148" i="36"/>
  <c r="J148" i="36"/>
  <c r="I148" i="36"/>
  <c r="H148" i="36"/>
  <c r="G148" i="36"/>
  <c r="F148" i="36"/>
  <c r="AJ59" i="36"/>
  <c r="AE59" i="36"/>
  <c r="Z59" i="36"/>
  <c r="U59" i="36"/>
  <c r="P59" i="36"/>
  <c r="K59" i="36"/>
  <c r="F59" i="36"/>
  <c r="AJ58" i="36"/>
  <c r="AE58" i="36"/>
  <c r="Z58" i="36"/>
  <c r="U58" i="36"/>
  <c r="P58" i="36"/>
  <c r="K58" i="36"/>
  <c r="F58" i="36"/>
  <c r="AJ57" i="36"/>
  <c r="AE57" i="36"/>
  <c r="Z57" i="36"/>
  <c r="U57" i="36"/>
  <c r="P57" i="36"/>
  <c r="K57" i="36"/>
  <c r="F57" i="36"/>
  <c r="AJ56" i="36"/>
  <c r="AE56" i="36"/>
  <c r="Z56" i="36"/>
  <c r="U56" i="36"/>
  <c r="P56" i="36"/>
  <c r="K56" i="36"/>
  <c r="F56" i="36"/>
  <c r="AJ54" i="36"/>
  <c r="AE54" i="36"/>
  <c r="Z54" i="36"/>
  <c r="U54" i="36"/>
  <c r="P54" i="36"/>
  <c r="K54" i="36"/>
  <c r="F54" i="36"/>
  <c r="AJ53" i="36"/>
  <c r="AE53" i="36"/>
  <c r="Z53" i="36"/>
  <c r="U53" i="36"/>
  <c r="P53" i="36"/>
  <c r="K53" i="36"/>
  <c r="F53" i="36"/>
  <c r="B53" i="36" s="1"/>
  <c r="AJ52" i="36"/>
  <c r="AE52" i="36"/>
  <c r="Z52" i="36"/>
  <c r="U52" i="36"/>
  <c r="P52" i="36"/>
  <c r="K52" i="36"/>
  <c r="AJ51" i="36"/>
  <c r="AE51" i="36"/>
  <c r="Z51" i="36"/>
  <c r="U51" i="36"/>
  <c r="P51" i="36"/>
  <c r="K51" i="36"/>
  <c r="AO33" i="36"/>
  <c r="AO32" i="36"/>
  <c r="AO29" i="36"/>
  <c r="AO23" i="36"/>
  <c r="AO22" i="36"/>
  <c r="AO15" i="36"/>
  <c r="AO11" i="36"/>
  <c r="AO6" i="36"/>
  <c r="AQ6" i="36" s="1"/>
  <c r="AO5" i="36"/>
  <c r="AD2" i="36"/>
  <c r="AA2" i="36" s="1"/>
  <c r="B1" i="36"/>
  <c r="I134" i="22"/>
  <c r="I133" i="22"/>
  <c r="F131" i="22"/>
  <c r="G131" i="22" s="1"/>
  <c r="H131" i="22" s="1"/>
  <c r="I131" i="22" s="1"/>
  <c r="J131" i="22" s="1"/>
  <c r="K131" i="22" s="1"/>
  <c r="L131" i="22" s="1"/>
  <c r="AJ43" i="22"/>
  <c r="AE43" i="22"/>
  <c r="Z43" i="22"/>
  <c r="U43" i="22"/>
  <c r="P43" i="22"/>
  <c r="K43" i="22"/>
  <c r="F43" i="22"/>
  <c r="AJ42" i="22"/>
  <c r="AE42" i="22"/>
  <c r="Z42" i="22"/>
  <c r="U42" i="22"/>
  <c r="P42" i="22"/>
  <c r="K42" i="22"/>
  <c r="F42" i="22"/>
  <c r="AJ41" i="22"/>
  <c r="AE41" i="22"/>
  <c r="Z41" i="22"/>
  <c r="U41" i="22"/>
  <c r="P41" i="22"/>
  <c r="K41" i="22"/>
  <c r="F41" i="22"/>
  <c r="AJ40" i="22"/>
  <c r="AE40" i="22"/>
  <c r="Z40" i="22"/>
  <c r="U40" i="22"/>
  <c r="P40" i="22"/>
  <c r="K40" i="22"/>
  <c r="F40" i="22"/>
  <c r="AJ38" i="22"/>
  <c r="AE38" i="22"/>
  <c r="Z38" i="22"/>
  <c r="U38" i="22"/>
  <c r="P38" i="22"/>
  <c r="K38" i="22"/>
  <c r="F38" i="22"/>
  <c r="AJ37" i="22"/>
  <c r="AE37" i="22"/>
  <c r="Z37" i="22"/>
  <c r="U37" i="22"/>
  <c r="P37" i="22"/>
  <c r="K37" i="22"/>
  <c r="F37" i="22"/>
  <c r="AJ36" i="22"/>
  <c r="AE36" i="22"/>
  <c r="Z36" i="22"/>
  <c r="U36" i="22"/>
  <c r="P36" i="22"/>
  <c r="K36" i="22"/>
  <c r="F36" i="22"/>
  <c r="AJ35" i="22"/>
  <c r="AE35" i="22"/>
  <c r="Z35" i="22"/>
  <c r="U35" i="22"/>
  <c r="P35" i="22"/>
  <c r="K35" i="22"/>
  <c r="F35" i="22"/>
  <c r="AO26" i="22"/>
  <c r="AN25" i="22"/>
  <c r="AI25" i="22"/>
  <c r="AD25" i="22"/>
  <c r="Y25" i="22"/>
  <c r="T25" i="22"/>
  <c r="O25" i="22"/>
  <c r="J25" i="22"/>
  <c r="AN24" i="22"/>
  <c r="AI24" i="22"/>
  <c r="AD24" i="22"/>
  <c r="Y24" i="22"/>
  <c r="T24" i="22"/>
  <c r="O24" i="22"/>
  <c r="J24" i="22"/>
  <c r="AN23" i="22"/>
  <c r="AI23" i="22"/>
  <c r="AD23" i="22"/>
  <c r="Y23" i="22"/>
  <c r="T23" i="22"/>
  <c r="O23" i="22"/>
  <c r="J23" i="22"/>
  <c r="AN22" i="22"/>
  <c r="AI22" i="22"/>
  <c r="AD22" i="22"/>
  <c r="Y22" i="22"/>
  <c r="T22" i="22"/>
  <c r="O22" i="22"/>
  <c r="J22" i="22"/>
  <c r="AN21" i="22"/>
  <c r="AI21" i="22"/>
  <c r="AD21" i="22"/>
  <c r="Y21" i="22"/>
  <c r="T21" i="22"/>
  <c r="O21" i="22"/>
  <c r="J21" i="22"/>
  <c r="AN20" i="22"/>
  <c r="AI20" i="22"/>
  <c r="AD20" i="22"/>
  <c r="Y20" i="22"/>
  <c r="T20" i="22"/>
  <c r="O20" i="22"/>
  <c r="J20" i="22"/>
  <c r="AN19" i="22"/>
  <c r="AI19" i="22"/>
  <c r="AD19" i="22"/>
  <c r="Y19" i="22"/>
  <c r="T19" i="22"/>
  <c r="O19" i="22"/>
  <c r="O2" i="22" s="1"/>
  <c r="J19" i="22"/>
  <c r="D5" i="5"/>
  <c r="J3" i="5"/>
  <c r="F3" i="5"/>
  <c r="C85" i="5" s="1"/>
  <c r="N87" i="39" l="1"/>
  <c r="J2" i="22"/>
  <c r="L130" i="22"/>
  <c r="K1" i="37"/>
  <c r="P1" i="37" s="1"/>
  <c r="U1" i="37" s="1"/>
  <c r="Z1" i="37" s="1"/>
  <c r="AE1" i="37" s="1"/>
  <c r="AJ1" i="37" s="1"/>
  <c r="AO17" i="22"/>
  <c r="G171" i="37"/>
  <c r="AI2" i="39"/>
  <c r="B62" i="39" s="1"/>
  <c r="L22" i="39"/>
  <c r="G29" i="39"/>
  <c r="AO36" i="36"/>
  <c r="AO7" i="39"/>
  <c r="L29" i="39"/>
  <c r="H171" i="37"/>
  <c r="AO9" i="22"/>
  <c r="O2" i="39"/>
  <c r="B58" i="39" s="1"/>
  <c r="AR6" i="39"/>
  <c r="K90" i="39"/>
  <c r="AR10" i="39"/>
  <c r="L171" i="37"/>
  <c r="B41" i="37"/>
  <c r="Y2" i="39"/>
  <c r="AD2" i="39"/>
  <c r="B61" i="39" s="1"/>
  <c r="AA29" i="39"/>
  <c r="L129" i="22"/>
  <c r="AO25" i="22"/>
  <c r="B40" i="37"/>
  <c r="L25" i="39"/>
  <c r="H169" i="37"/>
  <c r="F177" i="37"/>
  <c r="I173" i="37"/>
  <c r="J176" i="37"/>
  <c r="H154" i="36"/>
  <c r="K155" i="36"/>
  <c r="K154" i="36"/>
  <c r="K129" i="22"/>
  <c r="H135" i="22"/>
  <c r="E5" i="5"/>
  <c r="E15" i="5" s="1"/>
  <c r="E26" i="5" s="1"/>
  <c r="E33" i="5" s="1"/>
  <c r="E59" i="5" s="1"/>
  <c r="E65" i="5" s="1"/>
  <c r="E76" i="5" s="1"/>
  <c r="E85" i="5" s="1"/>
  <c r="D15" i="5"/>
  <c r="D26" i="5" s="1"/>
  <c r="D33" i="5" s="1"/>
  <c r="D59" i="5" s="1"/>
  <c r="D65" i="5" s="1"/>
  <c r="D76" i="5" s="1"/>
  <c r="D85" i="5" s="1"/>
  <c r="A1" i="39"/>
  <c r="K1" i="39"/>
  <c r="P1" i="39" s="1"/>
  <c r="U1" i="39" s="1"/>
  <c r="Z1" i="39" s="1"/>
  <c r="AE1" i="39" s="1"/>
  <c r="AJ1" i="39" s="1"/>
  <c r="AO8" i="22"/>
  <c r="I155" i="36"/>
  <c r="J129" i="22"/>
  <c r="AO10" i="22"/>
  <c r="AO18" i="22"/>
  <c r="G134" i="22"/>
  <c r="AO8" i="36"/>
  <c r="AQ8" i="36" s="1"/>
  <c r="AO12" i="36"/>
  <c r="AO16" i="36"/>
  <c r="AO24" i="36"/>
  <c r="AO35" i="36"/>
  <c r="AQ35" i="36" s="1"/>
  <c r="G153" i="36"/>
  <c r="AN2" i="37"/>
  <c r="AO10" i="37"/>
  <c r="AQ10" i="37" s="1"/>
  <c r="K177" i="37"/>
  <c r="B42" i="37"/>
  <c r="L176" i="37"/>
  <c r="T2" i="39"/>
  <c r="AR9" i="39"/>
  <c r="J90" i="39"/>
  <c r="J88" i="39"/>
  <c r="AA25" i="39"/>
  <c r="AF25" i="39"/>
  <c r="L90" i="39"/>
  <c r="AO16" i="22"/>
  <c r="AO10" i="36"/>
  <c r="AK25" i="39"/>
  <c r="AI2" i="22"/>
  <c r="AO7" i="22"/>
  <c r="AO15" i="22"/>
  <c r="AO23" i="22"/>
  <c r="J137" i="22"/>
  <c r="O2" i="36"/>
  <c r="L2" i="36" s="1"/>
  <c r="T2" i="36"/>
  <c r="Q2" i="36" s="1"/>
  <c r="AO9" i="36"/>
  <c r="AO14" i="36"/>
  <c r="AQ14" i="36" s="1"/>
  <c r="AO21" i="36"/>
  <c r="AO31" i="36"/>
  <c r="J156" i="36"/>
  <c r="B54" i="36"/>
  <c r="G151" i="36"/>
  <c r="H152" i="36"/>
  <c r="J2" i="37"/>
  <c r="G2" i="37" s="1"/>
  <c r="F172" i="37"/>
  <c r="H172" i="37"/>
  <c r="AO9" i="39"/>
  <c r="Q29" i="39"/>
  <c r="AO14" i="22"/>
  <c r="G133" i="22"/>
  <c r="H134" i="22"/>
  <c r="I135" i="22"/>
  <c r="J136" i="22"/>
  <c r="AO20" i="36"/>
  <c r="AO28" i="36"/>
  <c r="AO30" i="36"/>
  <c r="K157" i="36"/>
  <c r="B52" i="36"/>
  <c r="F157" i="36"/>
  <c r="H151" i="36"/>
  <c r="I152" i="36"/>
  <c r="O2" i="37"/>
  <c r="L2" i="37" s="1"/>
  <c r="T2" i="37"/>
  <c r="AO8" i="37"/>
  <c r="AQ8" i="37" s="1"/>
  <c r="AO12" i="37"/>
  <c r="AQ12" i="37" s="1"/>
  <c r="G173" i="37"/>
  <c r="I172" i="37"/>
  <c r="AO6" i="39"/>
  <c r="AR7" i="39"/>
  <c r="AR8" i="39"/>
  <c r="F93" i="39"/>
  <c r="G25" i="39"/>
  <c r="V29" i="39"/>
  <c r="AF22" i="39"/>
  <c r="AO6" i="22"/>
  <c r="K138" i="22"/>
  <c r="G129" i="22"/>
  <c r="AO5" i="22"/>
  <c r="AO13" i="22"/>
  <c r="AO21" i="22"/>
  <c r="L132" i="22"/>
  <c r="B37" i="22"/>
  <c r="H133" i="22"/>
  <c r="J135" i="22"/>
  <c r="K136" i="22"/>
  <c r="K137" i="22"/>
  <c r="Y2" i="36"/>
  <c r="V2" i="36" s="1"/>
  <c r="AI2" i="36"/>
  <c r="AF2" i="36" s="1"/>
  <c r="AO19" i="36"/>
  <c r="AO27" i="36"/>
  <c r="L151" i="36"/>
  <c r="AO11" i="37"/>
  <c r="AQ11" i="37" s="1"/>
  <c r="H174" i="37"/>
  <c r="AR5" i="39"/>
  <c r="G94" i="39"/>
  <c r="AF29" i="39"/>
  <c r="I136" i="22"/>
  <c r="L91" i="39"/>
  <c r="AO22" i="22"/>
  <c r="B38" i="22"/>
  <c r="H129" i="22"/>
  <c r="AO12" i="22"/>
  <c r="AO20" i="22"/>
  <c r="B36" i="22"/>
  <c r="J134" i="22"/>
  <c r="K135" i="22"/>
  <c r="L136" i="22"/>
  <c r="L137" i="22"/>
  <c r="AO18" i="36"/>
  <c r="AO26" i="36"/>
  <c r="J153" i="36"/>
  <c r="Y2" i="37"/>
  <c r="V2" i="37" s="1"/>
  <c r="AI2" i="37"/>
  <c r="AF2" i="37" s="1"/>
  <c r="I175" i="37"/>
  <c r="F169" i="37"/>
  <c r="J173" i="37"/>
  <c r="AR4" i="39"/>
  <c r="AO10" i="39"/>
  <c r="H95" i="39"/>
  <c r="H91" i="39"/>
  <c r="B32" i="39"/>
  <c r="AN2" i="22"/>
  <c r="AO24" i="22"/>
  <c r="J2" i="36"/>
  <c r="G2" i="36" s="1"/>
  <c r="AN2" i="39"/>
  <c r="AK2" i="39" s="1"/>
  <c r="F129" i="22"/>
  <c r="I129" i="22"/>
  <c r="AO11" i="22"/>
  <c r="AO19" i="22"/>
  <c r="F133" i="22"/>
  <c r="L138" i="22"/>
  <c r="AN2" i="36"/>
  <c r="AK2" i="36" s="1"/>
  <c r="AO13" i="36"/>
  <c r="AQ13" i="36" s="1"/>
  <c r="AO17" i="36"/>
  <c r="AO25" i="36"/>
  <c r="F152" i="36"/>
  <c r="J154" i="36"/>
  <c r="AO9" i="37"/>
  <c r="AQ9" i="37" s="1"/>
  <c r="J174" i="37"/>
  <c r="I96" i="39"/>
  <c r="V25" i="39"/>
  <c r="B31" i="39"/>
  <c r="H89" i="39"/>
  <c r="B59" i="39"/>
  <c r="Q2" i="39"/>
  <c r="G93" i="39"/>
  <c r="I95" i="39"/>
  <c r="J96" i="39"/>
  <c r="AO8" i="39"/>
  <c r="G22" i="39"/>
  <c r="AA22" i="39"/>
  <c r="K88" i="39"/>
  <c r="F91" i="39"/>
  <c r="G92" i="39"/>
  <c r="H93" i="39"/>
  <c r="I94" i="39"/>
  <c r="J95" i="39"/>
  <c r="K96" i="39"/>
  <c r="B60" i="39"/>
  <c r="F92" i="39"/>
  <c r="H94" i="39"/>
  <c r="Q25" i="39"/>
  <c r="L88" i="39"/>
  <c r="F90" i="39"/>
  <c r="G91" i="39"/>
  <c r="H92" i="39"/>
  <c r="I93" i="39"/>
  <c r="J94" i="39"/>
  <c r="K95" i="39"/>
  <c r="L96" i="39"/>
  <c r="G90" i="39"/>
  <c r="I92" i="39"/>
  <c r="J93" i="39"/>
  <c r="K94" i="39"/>
  <c r="L95" i="39"/>
  <c r="J2" i="39"/>
  <c r="F88" i="39"/>
  <c r="H90" i="39"/>
  <c r="I91" i="39"/>
  <c r="J92" i="39"/>
  <c r="K93" i="39"/>
  <c r="L94" i="39"/>
  <c r="F96" i="39"/>
  <c r="V2" i="39"/>
  <c r="AF2" i="39"/>
  <c r="AO4" i="39"/>
  <c r="Q22" i="39"/>
  <c r="AK22" i="39"/>
  <c r="G88" i="39"/>
  <c r="I90" i="39"/>
  <c r="J91" i="39"/>
  <c r="K92" i="39"/>
  <c r="L93" i="39"/>
  <c r="F95" i="39"/>
  <c r="G96" i="39"/>
  <c r="AO5" i="39"/>
  <c r="H88" i="39"/>
  <c r="K91" i="39"/>
  <c r="L92" i="39"/>
  <c r="F94" i="39"/>
  <c r="G95" i="39"/>
  <c r="H96" i="39"/>
  <c r="V22" i="39"/>
  <c r="I88" i="39"/>
  <c r="AA2" i="37"/>
  <c r="Q2" i="37"/>
  <c r="AK2" i="37"/>
  <c r="AO4" i="37"/>
  <c r="L169" i="37"/>
  <c r="F171" i="37"/>
  <c r="G172" i="37"/>
  <c r="H173" i="37"/>
  <c r="I174" i="37"/>
  <c r="J175" i="37"/>
  <c r="K176" i="37"/>
  <c r="L177" i="37"/>
  <c r="K175" i="37"/>
  <c r="B39" i="37"/>
  <c r="G169" i="37"/>
  <c r="I171" i="37"/>
  <c r="J172" i="37"/>
  <c r="K173" i="37"/>
  <c r="L174" i="37"/>
  <c r="F176" i="37"/>
  <c r="G177" i="37"/>
  <c r="J171" i="37"/>
  <c r="K172" i="37"/>
  <c r="L173" i="37"/>
  <c r="F175" i="37"/>
  <c r="G176" i="37"/>
  <c r="H177" i="37"/>
  <c r="AO6" i="37"/>
  <c r="AQ6" i="37" s="1"/>
  <c r="K174" i="37"/>
  <c r="I169" i="37"/>
  <c r="K171" i="37"/>
  <c r="L172" i="37"/>
  <c r="F174" i="37"/>
  <c r="G175" i="37"/>
  <c r="H176" i="37"/>
  <c r="I177" i="37"/>
  <c r="L175" i="37"/>
  <c r="J169" i="37"/>
  <c r="F173" i="37"/>
  <c r="G174" i="37"/>
  <c r="H175" i="37"/>
  <c r="I176" i="37"/>
  <c r="I179" i="37" s="1"/>
  <c r="J177" i="37"/>
  <c r="K169" i="37"/>
  <c r="AO4" i="36"/>
  <c r="L149" i="36"/>
  <c r="F151" i="36"/>
  <c r="G152" i="36"/>
  <c r="H153" i="36"/>
  <c r="I154" i="36"/>
  <c r="J155" i="36"/>
  <c r="K156" i="36"/>
  <c r="L157" i="36"/>
  <c r="F149" i="36"/>
  <c r="G149" i="36"/>
  <c r="I151" i="36"/>
  <c r="J152" i="36"/>
  <c r="K153" i="36"/>
  <c r="L154" i="36"/>
  <c r="F156" i="36"/>
  <c r="G157" i="36"/>
  <c r="H149" i="36"/>
  <c r="J151" i="36"/>
  <c r="K152" i="36"/>
  <c r="L153" i="36"/>
  <c r="F155" i="36"/>
  <c r="G156" i="36"/>
  <c r="H157" i="36"/>
  <c r="L155" i="36"/>
  <c r="I149" i="36"/>
  <c r="K151" i="36"/>
  <c r="L152" i="36"/>
  <c r="F154" i="36"/>
  <c r="G155" i="36"/>
  <c r="H156" i="36"/>
  <c r="I157" i="36"/>
  <c r="L156" i="36"/>
  <c r="AO7" i="36"/>
  <c r="AQ7" i="36" s="1"/>
  <c r="B51" i="36"/>
  <c r="J149" i="36"/>
  <c r="F153" i="36"/>
  <c r="G154" i="36"/>
  <c r="H155" i="36"/>
  <c r="I156" i="36"/>
  <c r="J157" i="36"/>
  <c r="K149" i="36"/>
  <c r="F138" i="22"/>
  <c r="G130" i="22"/>
  <c r="I132" i="22"/>
  <c r="J133" i="22"/>
  <c r="K134" i="22"/>
  <c r="L135" i="22"/>
  <c r="F137" i="22"/>
  <c r="G138" i="22"/>
  <c r="G132" i="22"/>
  <c r="H132" i="22"/>
  <c r="H130" i="22"/>
  <c r="J132" i="22"/>
  <c r="K133" i="22"/>
  <c r="L134" i="22"/>
  <c r="F136" i="22"/>
  <c r="G137" i="22"/>
  <c r="H138" i="22"/>
  <c r="T2" i="22"/>
  <c r="AD2" i="22"/>
  <c r="F130" i="22"/>
  <c r="AO4" i="22"/>
  <c r="I130" i="22"/>
  <c r="K132" i="22"/>
  <c r="L133" i="22"/>
  <c r="F135" i="22"/>
  <c r="G136" i="22"/>
  <c r="H137" i="22"/>
  <c r="I138" i="22"/>
  <c r="Y2" i="22"/>
  <c r="J130" i="22"/>
  <c r="F134" i="22"/>
  <c r="G135" i="22"/>
  <c r="H136" i="22"/>
  <c r="I137" i="22"/>
  <c r="I140" i="22" s="1"/>
  <c r="J138" i="22"/>
  <c r="F132" i="22"/>
  <c r="B35" i="22"/>
  <c r="K130" i="22"/>
  <c r="C33" i="5"/>
  <c r="C76" i="5"/>
  <c r="C26" i="5"/>
  <c r="C65" i="5"/>
  <c r="C15" i="5"/>
  <c r="C59" i="5"/>
  <c r="AA2" i="39" l="1"/>
  <c r="F5" i="5"/>
  <c r="F15" i="5" s="1"/>
  <c r="F26" i="5" s="1"/>
  <c r="F33" i="5" s="1"/>
  <c r="F59" i="5" s="1"/>
  <c r="F65" i="5" s="1"/>
  <c r="F76" i="5" s="1"/>
  <c r="F85" i="5" s="1"/>
  <c r="L2" i="39"/>
  <c r="J140" i="22"/>
  <c r="J179" i="37"/>
  <c r="G179" i="37"/>
  <c r="B63" i="39"/>
  <c r="J98" i="39"/>
  <c r="F140" i="22"/>
  <c r="J159" i="36"/>
  <c r="I159" i="36"/>
  <c r="G140" i="22"/>
  <c r="H140" i="22"/>
  <c r="L159" i="36"/>
  <c r="AO2" i="39"/>
  <c r="AL2" i="39" s="1"/>
  <c r="L98" i="39"/>
  <c r="G101" i="39"/>
  <c r="H98" i="39"/>
  <c r="AO2" i="22"/>
  <c r="G159" i="36"/>
  <c r="I98" i="39"/>
  <c r="F101" i="39"/>
  <c r="K98" i="39"/>
  <c r="B57" i="39"/>
  <c r="G2" i="39"/>
  <c r="G98" i="39"/>
  <c r="F98" i="39"/>
  <c r="I89" i="39"/>
  <c r="H101" i="39"/>
  <c r="K179" i="37"/>
  <c r="L179" i="37"/>
  <c r="H179" i="37"/>
  <c r="F179" i="37"/>
  <c r="AO2" i="37"/>
  <c r="AQ4" i="37"/>
  <c r="K159" i="36"/>
  <c r="F159" i="36"/>
  <c r="H159" i="36"/>
  <c r="AQ4" i="36"/>
  <c r="AO2" i="36"/>
  <c r="L140" i="22"/>
  <c r="K140" i="22"/>
  <c r="G5" i="5"/>
  <c r="G15" i="5" s="1"/>
  <c r="G26" i="5" s="1"/>
  <c r="G33" i="5" s="1"/>
  <c r="G59" i="5" s="1"/>
  <c r="G65" i="5" s="1"/>
  <c r="G76" i="5" s="1"/>
  <c r="G85" i="5" s="1"/>
  <c r="AP1" i="39" l="1"/>
  <c r="AB2" i="39"/>
  <c r="M2" i="39"/>
  <c r="R2" i="39"/>
  <c r="AG2" i="39"/>
  <c r="H2" i="39"/>
  <c r="W2" i="39"/>
  <c r="J89" i="39"/>
  <c r="I101" i="39"/>
  <c r="AP1" i="37"/>
  <c r="M2" i="37"/>
  <c r="W2" i="37"/>
  <c r="AB2" i="37"/>
  <c r="H2" i="37"/>
  <c r="AG2" i="37"/>
  <c r="R2" i="37"/>
  <c r="AL2" i="37"/>
  <c r="AP1" i="36"/>
  <c r="H2" i="36"/>
  <c r="W2" i="36"/>
  <c r="AB2" i="36"/>
  <c r="M2" i="36"/>
  <c r="AL2" i="36"/>
  <c r="AG2" i="36"/>
  <c r="R2" i="36"/>
  <c r="H5" i="5"/>
  <c r="H15" i="5" s="1"/>
  <c r="H26" i="5" s="1"/>
  <c r="H33" i="5" s="1"/>
  <c r="H59" i="5" s="1"/>
  <c r="H65" i="5" s="1"/>
  <c r="H76" i="5" s="1"/>
  <c r="H85" i="5" s="1"/>
  <c r="J101" i="39" l="1"/>
  <c r="K89" i="39"/>
  <c r="I5" i="5"/>
  <c r="I15" i="5" s="1"/>
  <c r="I26" i="5" s="1"/>
  <c r="I33" i="5" s="1"/>
  <c r="I59" i="5" s="1"/>
  <c r="I65" i="5" s="1"/>
  <c r="I76" i="5" s="1"/>
  <c r="I85" i="5" s="1"/>
  <c r="K101" i="39" l="1"/>
  <c r="L89" i="39"/>
  <c r="L101" i="39" s="1"/>
  <c r="J5" i="5"/>
  <c r="J15" i="5" s="1"/>
  <c r="J26" i="5" s="1"/>
  <c r="J33" i="5" s="1"/>
  <c r="J59" i="5" s="1"/>
  <c r="J65" i="5" s="1"/>
  <c r="J76" i="5" s="1"/>
  <c r="J85" i="5" s="1"/>
  <c r="Z49" i="40" l="1"/>
  <c r="Z50" i="40"/>
  <c r="Z51" i="40"/>
  <c r="Z52" i="40"/>
  <c r="Z53" i="40"/>
  <c r="Z54" i="40"/>
  <c r="Z55" i="40"/>
  <c r="Z56" i="40"/>
  <c r="Z57" i="40"/>
  <c r="Z58" i="40"/>
  <c r="Z59" i="40"/>
  <c r="Z60" i="40"/>
  <c r="Z61" i="40"/>
  <c r="Z62" i="40"/>
  <c r="Z63" i="40"/>
  <c r="Z64" i="40"/>
  <c r="Z65" i="40"/>
  <c r="Z66" i="40"/>
  <c r="Z67" i="40"/>
  <c r="Z68" i="40"/>
  <c r="Z69" i="40"/>
  <c r="Z70" i="40"/>
  <c r="Z71" i="40"/>
  <c r="Z72" i="40"/>
  <c r="Z73" i="40"/>
  <c r="Z74" i="40"/>
  <c r="Z75" i="40"/>
  <c r="Z76" i="40"/>
  <c r="Z77" i="40"/>
  <c r="Z78" i="40"/>
  <c r="Z79" i="40"/>
  <c r="Z80" i="40"/>
  <c r="Z81" i="40"/>
  <c r="Z82" i="40"/>
  <c r="Z83" i="40"/>
  <c r="Z84" i="40"/>
  <c r="Z85" i="40"/>
  <c r="Z86" i="40"/>
  <c r="Z87" i="40"/>
  <c r="Z88" i="40"/>
  <c r="Z89" i="40"/>
  <c r="Z90" i="40"/>
  <c r="Z91" i="40"/>
  <c r="Z92" i="40"/>
  <c r="Z93" i="40"/>
  <c r="Z94" i="40"/>
  <c r="Z95" i="40"/>
  <c r="Z96" i="40"/>
  <c r="Z97" i="40"/>
  <c r="Z98" i="40"/>
  <c r="Z99" i="40"/>
  <c r="Z100" i="40"/>
  <c r="Z101" i="40"/>
  <c r="Z102" i="40"/>
  <c r="Z103" i="40"/>
  <c r="Z104" i="40"/>
  <c r="Z105" i="40"/>
  <c r="Z106" i="40"/>
  <c r="Z107" i="40"/>
  <c r="Z108" i="40"/>
  <c r="Z109" i="40"/>
  <c r="Z110" i="40"/>
  <c r="Z111" i="40"/>
  <c r="Z112" i="40"/>
  <c r="Z113" i="40"/>
  <c r="Z114" i="40"/>
  <c r="Z115" i="40"/>
  <c r="Z116" i="40"/>
  <c r="Z117" i="40"/>
  <c r="Z118" i="40"/>
  <c r="Z119" i="40"/>
  <c r="Z120" i="40"/>
  <c r="Z121" i="40"/>
  <c r="Z122" i="40"/>
  <c r="Z123" i="40"/>
  <c r="Z124" i="40"/>
  <c r="Z125" i="40"/>
  <c r="Z126" i="40"/>
  <c r="Z127" i="40"/>
  <c r="Z128" i="40"/>
  <c r="Z129" i="40"/>
  <c r="Z130" i="40"/>
  <c r="Z131" i="40"/>
  <c r="Z132" i="40"/>
  <c r="Z133" i="40"/>
  <c r="Z134" i="40"/>
  <c r="Z135" i="40"/>
  <c r="Z136" i="40"/>
  <c r="Z137" i="40"/>
  <c r="Z138" i="40"/>
  <c r="Z139" i="40"/>
  <c r="Z140" i="40"/>
  <c r="Z141" i="40"/>
  <c r="Z142" i="40"/>
  <c r="Z143" i="40"/>
  <c r="Z144" i="40"/>
  <c r="Z145" i="40"/>
  <c r="Z146" i="40"/>
  <c r="Z147" i="40"/>
  <c r="Z148" i="40"/>
  <c r="Z149" i="40"/>
  <c r="Z150" i="40"/>
  <c r="Z151" i="40"/>
  <c r="Z152" i="40"/>
  <c r="Z153" i="40"/>
  <c r="Z154" i="40"/>
  <c r="Z155" i="40"/>
  <c r="Z156" i="40"/>
  <c r="Z157" i="40"/>
  <c r="Z158" i="40"/>
  <c r="Z159" i="40"/>
  <c r="Z160" i="40"/>
  <c r="Z161" i="40"/>
  <c r="Z162" i="40"/>
  <c r="Z163" i="40"/>
  <c r="Z164" i="40"/>
  <c r="Z165" i="40"/>
  <c r="Z166" i="40"/>
  <c r="Z167" i="40"/>
  <c r="Z168" i="40"/>
  <c r="Z169" i="40"/>
  <c r="Z170" i="40"/>
  <c r="Z171" i="40"/>
  <c r="Z172" i="40"/>
  <c r="Z173" i="40"/>
  <c r="Z174" i="40"/>
  <c r="Z175" i="40"/>
  <c r="Z176" i="40"/>
  <c r="Z177" i="40"/>
  <c r="Y3" i="40"/>
  <c r="Y4" i="40"/>
  <c r="Y5" i="40"/>
  <c r="Y6" i="40"/>
  <c r="Y7" i="40"/>
  <c r="Y8" i="40"/>
  <c r="Y9" i="40"/>
  <c r="Y10" i="40"/>
  <c r="Y11" i="40"/>
  <c r="Y12" i="40"/>
  <c r="Y13" i="40"/>
  <c r="Y14" i="40"/>
  <c r="Y15" i="40"/>
  <c r="Y16" i="40"/>
  <c r="Y17" i="40"/>
  <c r="Y18" i="40"/>
  <c r="Y19" i="40"/>
  <c r="Y20" i="40"/>
  <c r="Y21" i="40"/>
  <c r="Y22" i="40"/>
  <c r="Y23" i="40"/>
  <c r="Y24" i="40"/>
  <c r="Y25" i="40"/>
  <c r="Y26" i="40"/>
  <c r="Y27" i="40"/>
  <c r="Y28" i="40"/>
  <c r="Y29" i="40"/>
  <c r="Y30" i="40"/>
  <c r="Y31" i="40"/>
  <c r="Y32" i="40"/>
  <c r="Y33" i="40"/>
  <c r="Y34" i="40"/>
  <c r="Y35" i="40"/>
  <c r="Y36" i="40"/>
  <c r="Y37" i="40"/>
  <c r="Y38" i="40"/>
  <c r="Y39" i="40"/>
  <c r="Y40" i="40"/>
  <c r="Y41" i="40"/>
  <c r="Y42" i="40"/>
  <c r="Y43" i="40"/>
  <c r="Y44" i="40"/>
  <c r="Y45" i="40"/>
  <c r="Y46" i="40"/>
  <c r="Y47" i="40"/>
  <c r="Y48" i="40"/>
  <c r="Y49" i="40"/>
  <c r="Y50" i="40"/>
  <c r="Y51" i="40"/>
  <c r="Y52" i="40"/>
  <c r="Y53" i="40"/>
  <c r="Y54" i="40"/>
  <c r="Y55" i="40"/>
  <c r="Y56" i="40"/>
  <c r="Y57" i="40"/>
  <c r="Y58" i="40"/>
  <c r="Y59" i="40"/>
  <c r="Y60" i="40"/>
  <c r="Y61" i="40"/>
  <c r="Y62" i="40"/>
  <c r="Y63" i="40"/>
  <c r="Y64" i="40"/>
  <c r="Y65" i="40"/>
  <c r="Y66" i="40"/>
  <c r="Y67" i="40"/>
  <c r="Y68" i="40"/>
  <c r="Y69" i="40"/>
  <c r="Y70" i="40"/>
  <c r="Y71" i="40"/>
  <c r="Y72" i="40"/>
  <c r="Y73" i="40"/>
  <c r="Y74" i="40"/>
  <c r="Y75" i="40"/>
  <c r="Y76" i="40"/>
  <c r="Y77" i="40"/>
  <c r="Y78" i="40"/>
  <c r="Y79" i="40"/>
  <c r="Y80" i="40"/>
  <c r="Y81" i="40"/>
  <c r="Y82" i="40"/>
  <c r="Y83" i="40"/>
  <c r="Y84" i="40"/>
  <c r="Y85" i="40"/>
  <c r="Y86" i="40"/>
  <c r="Y87" i="40"/>
  <c r="Y88" i="40"/>
  <c r="Y89" i="40"/>
  <c r="Y90" i="40"/>
  <c r="Y91" i="40"/>
  <c r="Y92" i="40"/>
  <c r="Y93" i="40"/>
  <c r="Y94" i="40"/>
  <c r="Y95" i="40"/>
  <c r="Y96" i="40"/>
  <c r="Y97" i="40"/>
  <c r="Y98" i="40"/>
  <c r="Y99" i="40"/>
  <c r="Y100" i="40"/>
  <c r="Y101" i="40"/>
  <c r="Y102" i="40"/>
  <c r="Y103" i="40"/>
  <c r="Y104" i="40"/>
  <c r="Y105" i="40"/>
  <c r="Y106" i="40"/>
  <c r="Y107" i="40"/>
  <c r="Y108" i="40"/>
  <c r="Y109" i="40"/>
  <c r="Y110" i="40"/>
  <c r="Y111" i="40"/>
  <c r="Y112" i="40"/>
  <c r="Y113" i="40"/>
  <c r="Y114" i="40"/>
  <c r="Y115" i="40"/>
  <c r="Y116" i="40"/>
  <c r="Y117" i="40"/>
  <c r="Y118" i="40"/>
  <c r="Y119" i="40"/>
  <c r="Y120" i="40"/>
  <c r="Y121" i="40"/>
  <c r="Y122" i="40"/>
  <c r="Y123" i="40"/>
  <c r="Y124" i="40"/>
  <c r="Y125" i="40"/>
  <c r="Y126" i="40"/>
  <c r="Y127" i="40"/>
  <c r="Y128" i="40"/>
  <c r="Y129" i="40"/>
  <c r="Y130" i="40"/>
  <c r="Y131" i="40"/>
  <c r="Y132" i="40"/>
  <c r="Y133" i="40"/>
  <c r="Y134" i="40"/>
  <c r="Y135" i="40"/>
  <c r="Y136" i="40"/>
  <c r="Y137" i="40"/>
  <c r="Y138" i="40"/>
  <c r="Y139" i="40"/>
  <c r="Y140" i="40"/>
  <c r="Y141" i="40"/>
  <c r="Y142" i="40"/>
  <c r="Y143" i="40"/>
  <c r="Y144" i="40"/>
  <c r="Y145" i="40"/>
  <c r="Y146" i="40"/>
  <c r="Y147" i="40"/>
  <c r="Y148" i="40"/>
  <c r="Y149" i="40"/>
  <c r="Y150" i="40"/>
  <c r="Y151" i="40"/>
  <c r="Y152" i="40"/>
  <c r="Y153" i="40"/>
  <c r="Y154" i="40"/>
  <c r="Y155" i="40"/>
  <c r="Y156" i="40"/>
  <c r="Y157" i="40"/>
  <c r="Y158" i="40"/>
  <c r="Y159" i="40"/>
  <c r="Y160" i="40"/>
  <c r="Y161" i="40"/>
  <c r="Y162" i="40"/>
  <c r="Y163" i="40"/>
  <c r="Y164" i="40"/>
  <c r="Y165" i="40"/>
  <c r="Y166" i="40"/>
  <c r="Y167" i="40"/>
  <c r="Y168" i="40"/>
  <c r="Y169" i="40"/>
  <c r="Y170" i="40"/>
  <c r="Y171" i="40"/>
  <c r="Y172" i="40"/>
  <c r="Y173" i="40"/>
  <c r="Y174" i="40"/>
  <c r="Y175" i="40"/>
  <c r="Y176" i="40"/>
  <c r="Y177" i="40"/>
  <c r="X3" i="40"/>
  <c r="X4" i="40"/>
  <c r="X5" i="40"/>
  <c r="X6" i="40"/>
  <c r="X7" i="40"/>
  <c r="X8" i="40"/>
  <c r="X9" i="40"/>
  <c r="X10" i="40"/>
  <c r="X11" i="40"/>
  <c r="X12" i="40"/>
  <c r="X13" i="40"/>
  <c r="X14" i="40"/>
  <c r="X15" i="40"/>
  <c r="X16" i="40"/>
  <c r="X17" i="40"/>
  <c r="X18" i="40"/>
  <c r="X19" i="40"/>
  <c r="X20" i="40"/>
  <c r="X21" i="40"/>
  <c r="X22" i="40"/>
  <c r="X23" i="40"/>
  <c r="X24" i="40"/>
  <c r="X25" i="40"/>
  <c r="X26" i="40"/>
  <c r="X27" i="40"/>
  <c r="X28" i="40"/>
  <c r="X29" i="40"/>
  <c r="X30" i="40"/>
  <c r="X31" i="40"/>
  <c r="X32" i="40"/>
  <c r="X33" i="40"/>
  <c r="X34" i="40"/>
  <c r="X35" i="40"/>
  <c r="X36" i="40"/>
  <c r="X37" i="40"/>
  <c r="X38" i="40"/>
  <c r="X39" i="40"/>
  <c r="X40" i="40"/>
  <c r="X41" i="40"/>
  <c r="X42" i="40"/>
  <c r="X43" i="40"/>
  <c r="X44" i="40"/>
  <c r="X45" i="40"/>
  <c r="X46" i="40"/>
  <c r="X47" i="40"/>
  <c r="X48" i="40"/>
  <c r="X49" i="40"/>
  <c r="X50" i="40"/>
  <c r="X51" i="40"/>
  <c r="X52" i="40"/>
  <c r="X53" i="40"/>
  <c r="X54" i="40"/>
  <c r="X55" i="40"/>
  <c r="X56" i="40"/>
  <c r="X57" i="40"/>
  <c r="X58" i="40"/>
  <c r="X59" i="40"/>
  <c r="X60" i="40"/>
  <c r="X61" i="40"/>
  <c r="X62" i="40"/>
  <c r="X63" i="40"/>
  <c r="X64" i="40"/>
  <c r="X65" i="40"/>
  <c r="X66" i="40"/>
  <c r="X67" i="40"/>
  <c r="X68" i="40"/>
  <c r="X69" i="40"/>
  <c r="X70" i="40"/>
  <c r="X71" i="40"/>
  <c r="X72" i="40"/>
  <c r="X73" i="40"/>
  <c r="X74" i="40"/>
  <c r="X75" i="40"/>
  <c r="X76" i="40"/>
  <c r="X77" i="40"/>
  <c r="X78" i="40"/>
  <c r="X79" i="40"/>
  <c r="X80" i="40"/>
  <c r="X81" i="40"/>
  <c r="X82" i="40"/>
  <c r="X83" i="40"/>
  <c r="X84" i="40"/>
  <c r="X85" i="40"/>
  <c r="X86" i="40"/>
  <c r="X87" i="40"/>
  <c r="X88" i="40"/>
  <c r="X89" i="40"/>
  <c r="X90" i="40"/>
  <c r="X91" i="40"/>
  <c r="X92" i="40"/>
  <c r="X93" i="40"/>
  <c r="X94" i="40"/>
  <c r="X95" i="40"/>
  <c r="X96" i="40"/>
  <c r="X97" i="40"/>
  <c r="X98" i="40"/>
  <c r="X99" i="40"/>
  <c r="X100" i="40"/>
  <c r="X101" i="40"/>
  <c r="X102" i="40"/>
  <c r="X103" i="40"/>
  <c r="X104" i="40"/>
  <c r="X105" i="40"/>
  <c r="X106" i="40"/>
  <c r="X107" i="40"/>
  <c r="X108" i="40"/>
  <c r="X109" i="40"/>
  <c r="X110" i="40"/>
  <c r="X111" i="40"/>
  <c r="X112" i="40"/>
  <c r="X113" i="40"/>
  <c r="X114" i="40"/>
  <c r="X115" i="40"/>
  <c r="X116" i="40"/>
  <c r="X117" i="40"/>
  <c r="X118" i="40"/>
  <c r="X119" i="40"/>
  <c r="X120" i="40"/>
  <c r="X121" i="40"/>
  <c r="X122" i="40"/>
  <c r="X123" i="40"/>
  <c r="X124" i="40"/>
  <c r="X125" i="40"/>
  <c r="X126" i="40"/>
  <c r="X127" i="40"/>
  <c r="X128" i="40"/>
  <c r="X129" i="40"/>
  <c r="X130" i="40"/>
  <c r="X131" i="40"/>
  <c r="X132" i="40"/>
  <c r="X133" i="40"/>
  <c r="X134" i="40"/>
  <c r="X135" i="40"/>
  <c r="X136" i="40"/>
  <c r="X137" i="40"/>
  <c r="X138" i="40"/>
  <c r="X139" i="40"/>
  <c r="X140" i="40"/>
  <c r="X141" i="40"/>
  <c r="X142" i="40"/>
  <c r="X143" i="40"/>
  <c r="X144" i="40"/>
  <c r="X145" i="40"/>
  <c r="X146" i="40"/>
  <c r="X147" i="40"/>
  <c r="X148" i="40"/>
  <c r="X149" i="40"/>
  <c r="X150" i="40"/>
  <c r="X151" i="40"/>
  <c r="X152" i="40"/>
  <c r="X153" i="40"/>
  <c r="X154" i="40"/>
  <c r="X155" i="40"/>
  <c r="X156" i="40"/>
  <c r="X157" i="40"/>
  <c r="X158" i="40"/>
  <c r="X159" i="40"/>
  <c r="X160" i="40"/>
  <c r="X161" i="40"/>
  <c r="X162" i="40"/>
  <c r="X163" i="40"/>
  <c r="X164" i="40"/>
  <c r="X165" i="40"/>
  <c r="X166" i="40"/>
  <c r="X167" i="40"/>
  <c r="X168" i="40"/>
  <c r="X169" i="40"/>
  <c r="X170" i="40"/>
  <c r="X171" i="40"/>
  <c r="X172" i="40"/>
  <c r="X173" i="40"/>
  <c r="X174" i="40"/>
  <c r="X175" i="40"/>
  <c r="X176" i="40"/>
  <c r="X177" i="40"/>
  <c r="W3" i="40"/>
  <c r="W4" i="40"/>
  <c r="W5" i="40"/>
  <c r="W6" i="40"/>
  <c r="W7" i="40"/>
  <c r="W8" i="40"/>
  <c r="W9" i="40"/>
  <c r="W10" i="40"/>
  <c r="W11" i="40"/>
  <c r="W12" i="40"/>
  <c r="W13" i="40"/>
  <c r="W14" i="40"/>
  <c r="W15" i="40"/>
  <c r="W16" i="40"/>
  <c r="W17" i="40"/>
  <c r="W18" i="40"/>
  <c r="W19" i="40"/>
  <c r="W20" i="40"/>
  <c r="W21" i="40"/>
  <c r="W22" i="40"/>
  <c r="W23" i="40"/>
  <c r="W24" i="40"/>
  <c r="W25" i="40"/>
  <c r="W26" i="40"/>
  <c r="W27" i="40"/>
  <c r="W28" i="40"/>
  <c r="W29" i="40"/>
  <c r="W30" i="40"/>
  <c r="W31" i="40"/>
  <c r="W32" i="40"/>
  <c r="W33" i="40"/>
  <c r="W34" i="40"/>
  <c r="W35" i="40"/>
  <c r="W36" i="40"/>
  <c r="W37" i="40"/>
  <c r="W38" i="40"/>
  <c r="W39" i="40"/>
  <c r="W40" i="40"/>
  <c r="W41" i="40"/>
  <c r="W42" i="40"/>
  <c r="W43" i="40"/>
  <c r="W44" i="40"/>
  <c r="W45" i="40"/>
  <c r="W46" i="40"/>
  <c r="W47" i="40"/>
  <c r="W48" i="40"/>
  <c r="W49" i="40"/>
  <c r="W50" i="40"/>
  <c r="W51" i="40"/>
  <c r="W52" i="40"/>
  <c r="W53" i="40"/>
  <c r="W54" i="40"/>
  <c r="W55" i="40"/>
  <c r="W56" i="40"/>
  <c r="W57" i="40"/>
  <c r="W58" i="40"/>
  <c r="W59" i="40"/>
  <c r="W60" i="40"/>
  <c r="W61" i="40"/>
  <c r="W62" i="40"/>
  <c r="W63" i="40"/>
  <c r="W64" i="40"/>
  <c r="W65" i="40"/>
  <c r="W66" i="40"/>
  <c r="W67" i="40"/>
  <c r="W68" i="40"/>
  <c r="W69" i="40"/>
  <c r="W70" i="40"/>
  <c r="W71" i="40"/>
  <c r="W72" i="40"/>
  <c r="W73" i="40"/>
  <c r="W74" i="40"/>
  <c r="W75" i="40"/>
  <c r="W76" i="40"/>
  <c r="W77" i="40"/>
  <c r="W78" i="40"/>
  <c r="W79" i="40"/>
  <c r="W80" i="40"/>
  <c r="W81" i="40"/>
  <c r="W82" i="40"/>
  <c r="W83" i="40"/>
  <c r="W84" i="40"/>
  <c r="W85" i="40"/>
  <c r="W86" i="40"/>
  <c r="W87" i="40"/>
  <c r="W88" i="40"/>
  <c r="W89" i="40"/>
  <c r="W90" i="40"/>
  <c r="W91" i="40"/>
  <c r="W92" i="40"/>
  <c r="W93" i="40"/>
  <c r="W94" i="40"/>
  <c r="W95" i="40"/>
  <c r="W96" i="40"/>
  <c r="W97" i="40"/>
  <c r="W98" i="40"/>
  <c r="W99" i="40"/>
  <c r="W100" i="40"/>
  <c r="W101" i="40"/>
  <c r="W102" i="40"/>
  <c r="W103" i="40"/>
  <c r="W104" i="40"/>
  <c r="W105" i="40"/>
  <c r="W106" i="40"/>
  <c r="W107" i="40"/>
  <c r="W108" i="40"/>
  <c r="W109" i="40"/>
  <c r="W110" i="40"/>
  <c r="W111" i="40"/>
  <c r="W112" i="40"/>
  <c r="W113" i="40"/>
  <c r="W114" i="40"/>
  <c r="W115" i="40"/>
  <c r="W116" i="40"/>
  <c r="W117" i="40"/>
  <c r="W118" i="40"/>
  <c r="W119" i="40"/>
  <c r="W120" i="40"/>
  <c r="W121" i="40"/>
  <c r="W122" i="40"/>
  <c r="W123" i="40"/>
  <c r="W124" i="40"/>
  <c r="W125" i="40"/>
  <c r="W126" i="40"/>
  <c r="W127" i="40"/>
  <c r="W128" i="40"/>
  <c r="W129" i="40"/>
  <c r="W130" i="40"/>
  <c r="W131" i="40"/>
  <c r="W132" i="40"/>
  <c r="W133" i="40"/>
  <c r="W134" i="40"/>
  <c r="W135" i="40"/>
  <c r="W136" i="40"/>
  <c r="W137" i="40"/>
  <c r="W138" i="40"/>
  <c r="W139" i="40"/>
  <c r="W140" i="40"/>
  <c r="W141" i="40"/>
  <c r="W142" i="40"/>
  <c r="W143" i="40"/>
  <c r="W144" i="40"/>
  <c r="W145" i="40"/>
  <c r="W146" i="40"/>
  <c r="W147" i="40"/>
  <c r="W148" i="40"/>
  <c r="W149" i="40"/>
  <c r="W150" i="40"/>
  <c r="W151" i="40"/>
  <c r="W152" i="40"/>
  <c r="W153" i="40"/>
  <c r="W154" i="40"/>
  <c r="W155" i="40"/>
  <c r="W156" i="40"/>
  <c r="W157" i="40"/>
  <c r="W158" i="40"/>
  <c r="W159" i="40"/>
  <c r="W160" i="40"/>
  <c r="W161" i="40"/>
  <c r="W162" i="40"/>
  <c r="W163" i="40"/>
  <c r="W164" i="40"/>
  <c r="W165" i="40"/>
  <c r="W166" i="40"/>
  <c r="W167" i="40"/>
  <c r="W168" i="40"/>
  <c r="W169" i="40"/>
  <c r="W170" i="40"/>
  <c r="W171" i="40"/>
  <c r="W172" i="40"/>
  <c r="W173" i="40"/>
  <c r="W174" i="40"/>
  <c r="W175" i="40"/>
  <c r="W176" i="40"/>
  <c r="W177" i="40"/>
  <c r="V3" i="40"/>
  <c r="V4" i="40"/>
  <c r="V5" i="40"/>
  <c r="V6" i="40"/>
  <c r="V7" i="40"/>
  <c r="V8" i="40"/>
  <c r="V9" i="40"/>
  <c r="V10" i="40"/>
  <c r="V11" i="40"/>
  <c r="V12" i="40"/>
  <c r="V13" i="40"/>
  <c r="V14" i="40"/>
  <c r="V15" i="40"/>
  <c r="V16" i="40"/>
  <c r="V17" i="40"/>
  <c r="V18" i="40"/>
  <c r="V19" i="40"/>
  <c r="V20" i="40"/>
  <c r="V21" i="40"/>
  <c r="V22" i="40"/>
  <c r="V23" i="40"/>
  <c r="V24" i="40"/>
  <c r="V25" i="40"/>
  <c r="V26" i="40"/>
  <c r="V27" i="40"/>
  <c r="V28" i="40"/>
  <c r="V29" i="40"/>
  <c r="V30" i="40"/>
  <c r="V31" i="40"/>
  <c r="V32" i="40"/>
  <c r="V33" i="40"/>
  <c r="V34" i="40"/>
  <c r="V35" i="40"/>
  <c r="V36" i="40"/>
  <c r="V37" i="40"/>
  <c r="V38" i="40"/>
  <c r="V39" i="40"/>
  <c r="V40" i="40"/>
  <c r="V41" i="40"/>
  <c r="V42" i="40"/>
  <c r="V43" i="40"/>
  <c r="V44" i="40"/>
  <c r="V45" i="40"/>
  <c r="V46" i="40"/>
  <c r="V47" i="40"/>
  <c r="V48" i="40"/>
  <c r="V49" i="40"/>
  <c r="V50" i="40"/>
  <c r="V51" i="40"/>
  <c r="V52" i="40"/>
  <c r="V53" i="40"/>
  <c r="V54" i="40"/>
  <c r="V55" i="40"/>
  <c r="V56" i="40"/>
  <c r="V57" i="40"/>
  <c r="V58" i="40"/>
  <c r="V59" i="40"/>
  <c r="V60" i="40"/>
  <c r="V61" i="40"/>
  <c r="V62" i="40"/>
  <c r="V63" i="40"/>
  <c r="V64" i="40"/>
  <c r="V65" i="40"/>
  <c r="V66" i="40"/>
  <c r="V67" i="40"/>
  <c r="V68" i="40"/>
  <c r="V69" i="40"/>
  <c r="V70" i="40"/>
  <c r="V71" i="40"/>
  <c r="V72" i="40"/>
  <c r="V73" i="40"/>
  <c r="V74" i="40"/>
  <c r="V75" i="40"/>
  <c r="V76" i="40"/>
  <c r="V77" i="40"/>
  <c r="V78" i="40"/>
  <c r="V79" i="40"/>
  <c r="V80" i="40"/>
  <c r="V81" i="40"/>
  <c r="V82" i="40"/>
  <c r="V83" i="40"/>
  <c r="V84" i="40"/>
  <c r="V85" i="40"/>
  <c r="V86" i="40"/>
  <c r="V87" i="40"/>
  <c r="V88" i="40"/>
  <c r="V89" i="40"/>
  <c r="V90" i="40"/>
  <c r="V91" i="40"/>
  <c r="V92" i="40"/>
  <c r="V93" i="40"/>
  <c r="V94" i="40"/>
  <c r="V95" i="40"/>
  <c r="V96" i="40"/>
  <c r="V97" i="40"/>
  <c r="V98" i="40"/>
  <c r="V99" i="40"/>
  <c r="V100" i="40"/>
  <c r="V101" i="40"/>
  <c r="V102" i="40"/>
  <c r="V103" i="40"/>
  <c r="V104" i="40"/>
  <c r="V105" i="40"/>
  <c r="V106" i="40"/>
  <c r="V107" i="40"/>
  <c r="V108" i="40"/>
  <c r="V109" i="40"/>
  <c r="V110" i="40"/>
  <c r="V111" i="40"/>
  <c r="V112" i="40"/>
  <c r="V113" i="40"/>
  <c r="V114" i="40"/>
  <c r="V115" i="40"/>
  <c r="V116" i="40"/>
  <c r="V117" i="40"/>
  <c r="V118" i="40"/>
  <c r="V119" i="40"/>
  <c r="V120" i="40"/>
  <c r="V121" i="40"/>
  <c r="V122" i="40"/>
  <c r="V123" i="40"/>
  <c r="V124" i="40"/>
  <c r="V125" i="40"/>
  <c r="V126" i="40"/>
  <c r="V127" i="40"/>
  <c r="V128" i="40"/>
  <c r="V129" i="40"/>
  <c r="V130" i="40"/>
  <c r="V131" i="40"/>
  <c r="V132" i="40"/>
  <c r="V133" i="40"/>
  <c r="V134" i="40"/>
  <c r="V135" i="40"/>
  <c r="V136" i="40"/>
  <c r="V137" i="40"/>
  <c r="V138" i="40"/>
  <c r="V139" i="40"/>
  <c r="V140" i="40"/>
  <c r="V141" i="40"/>
  <c r="V142" i="40"/>
  <c r="V143" i="40"/>
  <c r="V144" i="40"/>
  <c r="V145" i="40"/>
  <c r="V146" i="40"/>
  <c r="V147" i="40"/>
  <c r="V148" i="40"/>
  <c r="V149" i="40"/>
  <c r="V150" i="40"/>
  <c r="V151" i="40"/>
  <c r="V152" i="40"/>
  <c r="V153" i="40"/>
  <c r="V154" i="40"/>
  <c r="V155" i="40"/>
  <c r="V156" i="40"/>
  <c r="V157" i="40"/>
  <c r="V158" i="40"/>
  <c r="V159" i="40"/>
  <c r="V160" i="40"/>
  <c r="V161" i="40"/>
  <c r="V162" i="40"/>
  <c r="V163" i="40"/>
  <c r="V164" i="40"/>
  <c r="V165" i="40"/>
  <c r="V166" i="40"/>
  <c r="V167" i="40"/>
  <c r="V168" i="40"/>
  <c r="V169" i="40"/>
  <c r="V170" i="40"/>
  <c r="V171" i="40"/>
  <c r="V172" i="40"/>
  <c r="V173" i="40"/>
  <c r="V174" i="40"/>
  <c r="V175" i="40"/>
  <c r="V176" i="40"/>
  <c r="V177" i="40"/>
  <c r="U3" i="40"/>
  <c r="U4" i="40"/>
  <c r="U5" i="40"/>
  <c r="U6" i="40"/>
  <c r="U7" i="40"/>
  <c r="U8" i="40"/>
  <c r="U9" i="40"/>
  <c r="U10" i="40"/>
  <c r="U11" i="40"/>
  <c r="U12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U26" i="40"/>
  <c r="U27" i="40"/>
  <c r="U28" i="40"/>
  <c r="U29" i="40"/>
  <c r="U30" i="40"/>
  <c r="U31" i="40"/>
  <c r="U32" i="40"/>
  <c r="U33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49" i="40"/>
  <c r="U50" i="40"/>
  <c r="U51" i="40"/>
  <c r="U52" i="40"/>
  <c r="U53" i="40"/>
  <c r="U54" i="40"/>
  <c r="U55" i="40"/>
  <c r="U56" i="40"/>
  <c r="U57" i="40"/>
  <c r="U58" i="40"/>
  <c r="U59" i="40"/>
  <c r="U60" i="40"/>
  <c r="U61" i="40"/>
  <c r="U62" i="40"/>
  <c r="U63" i="40"/>
  <c r="U64" i="40"/>
  <c r="U65" i="40"/>
  <c r="U66" i="40"/>
  <c r="U67" i="40"/>
  <c r="U68" i="40"/>
  <c r="U69" i="40"/>
  <c r="U70" i="40"/>
  <c r="U71" i="40"/>
  <c r="U72" i="40"/>
  <c r="U73" i="40"/>
  <c r="U74" i="40"/>
  <c r="U75" i="40"/>
  <c r="U76" i="40"/>
  <c r="U77" i="40"/>
  <c r="U78" i="40"/>
  <c r="U79" i="40"/>
  <c r="U80" i="40"/>
  <c r="U81" i="40"/>
  <c r="U82" i="40"/>
  <c r="U83" i="40"/>
  <c r="U84" i="40"/>
  <c r="U85" i="40"/>
  <c r="U86" i="40"/>
  <c r="U87" i="40"/>
  <c r="U88" i="40"/>
  <c r="U89" i="40"/>
  <c r="U90" i="40"/>
  <c r="U91" i="40"/>
  <c r="U92" i="40"/>
  <c r="U93" i="40"/>
  <c r="U94" i="40"/>
  <c r="U95" i="40"/>
  <c r="U96" i="40"/>
  <c r="U97" i="40"/>
  <c r="U98" i="40"/>
  <c r="U99" i="40"/>
  <c r="U100" i="40"/>
  <c r="U101" i="40"/>
  <c r="U102" i="40"/>
  <c r="U103" i="40"/>
  <c r="U104" i="40"/>
  <c r="U105" i="40"/>
  <c r="U106" i="40"/>
  <c r="U107" i="40"/>
  <c r="U108" i="40"/>
  <c r="U109" i="40"/>
  <c r="U110" i="40"/>
  <c r="U111" i="40"/>
  <c r="U112" i="40"/>
  <c r="U113" i="40"/>
  <c r="U114" i="40"/>
  <c r="U115" i="40"/>
  <c r="U116" i="40"/>
  <c r="U117" i="40"/>
  <c r="U118" i="40"/>
  <c r="U119" i="40"/>
  <c r="U120" i="40"/>
  <c r="U121" i="40"/>
  <c r="U122" i="40"/>
  <c r="U123" i="40"/>
  <c r="U124" i="40"/>
  <c r="U125" i="40"/>
  <c r="U126" i="40"/>
  <c r="U127" i="40"/>
  <c r="U128" i="40"/>
  <c r="U129" i="40"/>
  <c r="U130" i="40"/>
  <c r="U131" i="40"/>
  <c r="U132" i="40"/>
  <c r="U133" i="40"/>
  <c r="U134" i="40"/>
  <c r="U135" i="40"/>
  <c r="U136" i="40"/>
  <c r="U137" i="40"/>
  <c r="U138" i="40"/>
  <c r="U139" i="40"/>
  <c r="U140" i="40"/>
  <c r="U141" i="40"/>
  <c r="U142" i="40"/>
  <c r="U143" i="40"/>
  <c r="U144" i="40"/>
  <c r="U145" i="40"/>
  <c r="U146" i="40"/>
  <c r="U147" i="40"/>
  <c r="U148" i="40"/>
  <c r="U149" i="40"/>
  <c r="U150" i="40"/>
  <c r="U151" i="40"/>
  <c r="U152" i="40"/>
  <c r="U153" i="40"/>
  <c r="U154" i="40"/>
  <c r="U155" i="40"/>
  <c r="U156" i="40"/>
  <c r="U157" i="40"/>
  <c r="U158" i="40"/>
  <c r="U159" i="40"/>
  <c r="U160" i="40"/>
  <c r="U161" i="40"/>
  <c r="U162" i="40"/>
  <c r="U163" i="40"/>
  <c r="U164" i="40"/>
  <c r="U165" i="40"/>
  <c r="U166" i="40"/>
  <c r="U167" i="40"/>
  <c r="U168" i="40"/>
  <c r="U169" i="40"/>
  <c r="U170" i="40"/>
  <c r="U171" i="40"/>
  <c r="U172" i="40"/>
  <c r="U173" i="40"/>
  <c r="U174" i="40"/>
  <c r="U175" i="40"/>
  <c r="U176" i="40"/>
  <c r="U177" i="40"/>
  <c r="T3" i="40"/>
  <c r="T4" i="40"/>
  <c r="T5" i="40"/>
  <c r="T6" i="40"/>
  <c r="T7" i="40"/>
  <c r="T8" i="40"/>
  <c r="T9" i="40"/>
  <c r="T10" i="40"/>
  <c r="T11" i="40"/>
  <c r="T12" i="40"/>
  <c r="T13" i="40"/>
  <c r="T14" i="40"/>
  <c r="T15" i="40"/>
  <c r="T16" i="40"/>
  <c r="T17" i="40"/>
  <c r="T18" i="40"/>
  <c r="T19" i="40"/>
  <c r="T20" i="40"/>
  <c r="T21" i="40"/>
  <c r="T22" i="40"/>
  <c r="T23" i="40"/>
  <c r="T24" i="40"/>
  <c r="T25" i="40"/>
  <c r="T26" i="40"/>
  <c r="T27" i="40"/>
  <c r="T28" i="40"/>
  <c r="T29" i="40"/>
  <c r="T30" i="40"/>
  <c r="T31" i="40"/>
  <c r="T32" i="40"/>
  <c r="T33" i="40"/>
  <c r="T34" i="40"/>
  <c r="T35" i="40"/>
  <c r="T36" i="40"/>
  <c r="T37" i="40"/>
  <c r="T38" i="40"/>
  <c r="T39" i="40"/>
  <c r="T40" i="40"/>
  <c r="T41" i="40"/>
  <c r="T42" i="40"/>
  <c r="T43" i="40"/>
  <c r="T44" i="40"/>
  <c r="T45" i="40"/>
  <c r="T46" i="40"/>
  <c r="T47" i="40"/>
  <c r="T48" i="40"/>
  <c r="T49" i="40"/>
  <c r="T50" i="40"/>
  <c r="T51" i="40"/>
  <c r="T52" i="40"/>
  <c r="T53" i="40"/>
  <c r="T54" i="40"/>
  <c r="T55" i="40"/>
  <c r="T56" i="40"/>
  <c r="T57" i="40"/>
  <c r="T58" i="40"/>
  <c r="T59" i="40"/>
  <c r="T60" i="40"/>
  <c r="T61" i="40"/>
  <c r="T62" i="40"/>
  <c r="T63" i="40"/>
  <c r="T64" i="40"/>
  <c r="T65" i="40"/>
  <c r="T66" i="40"/>
  <c r="T67" i="40"/>
  <c r="T68" i="40"/>
  <c r="T69" i="40"/>
  <c r="T70" i="40"/>
  <c r="T71" i="40"/>
  <c r="T72" i="40"/>
  <c r="T73" i="40"/>
  <c r="T74" i="40"/>
  <c r="T75" i="40"/>
  <c r="T76" i="40"/>
  <c r="T77" i="40"/>
  <c r="T78" i="40"/>
  <c r="T79" i="40"/>
  <c r="T80" i="40"/>
  <c r="T81" i="40"/>
  <c r="T82" i="40"/>
  <c r="T83" i="40"/>
  <c r="T84" i="40"/>
  <c r="T85" i="40"/>
  <c r="T86" i="40"/>
  <c r="T87" i="40"/>
  <c r="T88" i="40"/>
  <c r="T89" i="40"/>
  <c r="T90" i="40"/>
  <c r="T91" i="40"/>
  <c r="T92" i="40"/>
  <c r="T93" i="40"/>
  <c r="T94" i="40"/>
  <c r="T95" i="40"/>
  <c r="T96" i="40"/>
  <c r="T97" i="40"/>
  <c r="T98" i="40"/>
  <c r="T99" i="40"/>
  <c r="T100" i="40"/>
  <c r="T101" i="40"/>
  <c r="T102" i="40"/>
  <c r="T103" i="40"/>
  <c r="T104" i="40"/>
  <c r="T105" i="40"/>
  <c r="T106" i="40"/>
  <c r="T107" i="40"/>
  <c r="T108" i="40"/>
  <c r="T109" i="40"/>
  <c r="T110" i="40"/>
  <c r="T111" i="40"/>
  <c r="T112" i="40"/>
  <c r="T113" i="40"/>
  <c r="T114" i="40"/>
  <c r="T115" i="40"/>
  <c r="T116" i="40"/>
  <c r="T117" i="40"/>
  <c r="T118" i="40"/>
  <c r="T119" i="40"/>
  <c r="T120" i="40"/>
  <c r="T121" i="40"/>
  <c r="T122" i="40"/>
  <c r="T123" i="40"/>
  <c r="T124" i="40"/>
  <c r="T125" i="40"/>
  <c r="T126" i="40"/>
  <c r="T127" i="40"/>
  <c r="T128" i="40"/>
  <c r="T129" i="40"/>
  <c r="T130" i="40"/>
  <c r="T131" i="40"/>
  <c r="T132" i="40"/>
  <c r="T133" i="40"/>
  <c r="T134" i="40"/>
  <c r="T135" i="40"/>
  <c r="T136" i="40"/>
  <c r="T137" i="40"/>
  <c r="T138" i="40"/>
  <c r="T139" i="40"/>
  <c r="T140" i="40"/>
  <c r="T141" i="40"/>
  <c r="T142" i="40"/>
  <c r="T143" i="40"/>
  <c r="T144" i="40"/>
  <c r="T145" i="40"/>
  <c r="T146" i="40"/>
  <c r="T147" i="40"/>
  <c r="T148" i="40"/>
  <c r="T149" i="40"/>
  <c r="T150" i="40"/>
  <c r="T151" i="40"/>
  <c r="T152" i="40"/>
  <c r="T153" i="40"/>
  <c r="T154" i="40"/>
  <c r="T155" i="40"/>
  <c r="T156" i="40"/>
  <c r="T157" i="40"/>
  <c r="T158" i="40"/>
  <c r="T159" i="40"/>
  <c r="T160" i="40"/>
  <c r="T161" i="40"/>
  <c r="T162" i="40"/>
  <c r="T163" i="40"/>
  <c r="T176" i="40"/>
  <c r="T177" i="40"/>
  <c r="S3" i="40"/>
  <c r="S4" i="40"/>
  <c r="S5" i="40"/>
  <c r="S6" i="40"/>
  <c r="S7" i="40"/>
  <c r="S8" i="40"/>
  <c r="S9" i="40"/>
  <c r="S10" i="40"/>
  <c r="S11" i="40"/>
  <c r="S12" i="40"/>
  <c r="S13" i="40"/>
  <c r="S14" i="40"/>
  <c r="S15" i="40"/>
  <c r="S16" i="40"/>
  <c r="S17" i="40"/>
  <c r="S18" i="40"/>
  <c r="S19" i="40"/>
  <c r="S20" i="40"/>
  <c r="S21" i="40"/>
  <c r="S22" i="40"/>
  <c r="S23" i="40"/>
  <c r="S24" i="40"/>
  <c r="S25" i="40"/>
  <c r="S26" i="40"/>
  <c r="S27" i="40"/>
  <c r="S28" i="40"/>
  <c r="S29" i="40"/>
  <c r="S30" i="40"/>
  <c r="S31" i="40"/>
  <c r="S32" i="40"/>
  <c r="S33" i="40"/>
  <c r="S34" i="40"/>
  <c r="S35" i="40"/>
  <c r="S36" i="40"/>
  <c r="S37" i="40"/>
  <c r="S38" i="40"/>
  <c r="S39" i="40"/>
  <c r="S50" i="40"/>
  <c r="S51" i="40"/>
  <c r="S52" i="40"/>
  <c r="S53" i="40"/>
  <c r="S61" i="40"/>
  <c r="S62" i="40"/>
  <c r="S63" i="40"/>
  <c r="S64" i="40"/>
  <c r="S65" i="40"/>
  <c r="S66" i="40"/>
  <c r="S67" i="40"/>
  <c r="S68" i="40"/>
  <c r="S69" i="40"/>
  <c r="S70" i="40"/>
  <c r="S71" i="40"/>
  <c r="S72" i="40"/>
  <c r="S73" i="40"/>
  <c r="S74" i="40"/>
  <c r="S75" i="40"/>
  <c r="S76" i="40"/>
  <c r="S77" i="40"/>
  <c r="S78" i="40"/>
  <c r="S79" i="40"/>
  <c r="S80" i="40"/>
  <c r="S81" i="40"/>
  <c r="S82" i="40"/>
  <c r="S83" i="40"/>
  <c r="S84" i="40"/>
  <c r="S85" i="40"/>
  <c r="S86" i="40"/>
  <c r="S87" i="40"/>
  <c r="S88" i="40"/>
  <c r="S89" i="40"/>
  <c r="S90" i="40"/>
  <c r="S91" i="40"/>
  <c r="S92" i="40"/>
  <c r="S93" i="40"/>
  <c r="S94" i="40"/>
  <c r="S95" i="40"/>
  <c r="S96" i="40"/>
  <c r="S97" i="40"/>
  <c r="S98" i="40"/>
  <c r="S99" i="40"/>
  <c r="S100" i="40"/>
  <c r="S101" i="40"/>
  <c r="S102" i="40"/>
  <c r="S103" i="40"/>
  <c r="S104" i="40"/>
  <c r="S105" i="40"/>
  <c r="S106" i="40"/>
  <c r="S107" i="40"/>
  <c r="S108" i="40"/>
  <c r="S109" i="40"/>
  <c r="S110" i="40"/>
  <c r="S111" i="40"/>
  <c r="S112" i="40"/>
  <c r="S113" i="40"/>
  <c r="S114" i="40"/>
  <c r="S115" i="40"/>
  <c r="S116" i="40"/>
  <c r="S117" i="40"/>
  <c r="S118" i="40"/>
  <c r="S119" i="40"/>
  <c r="S120" i="40"/>
  <c r="S121" i="40"/>
  <c r="S122" i="40"/>
  <c r="S123" i="40"/>
  <c r="S124" i="40"/>
  <c r="S125" i="40"/>
  <c r="S126" i="40"/>
  <c r="S127" i="40"/>
  <c r="S128" i="40"/>
  <c r="S129" i="40"/>
  <c r="S130" i="40"/>
  <c r="S131" i="40"/>
  <c r="S132" i="40"/>
  <c r="S133" i="40"/>
  <c r="S134" i="40"/>
  <c r="S135" i="40"/>
  <c r="S136" i="40"/>
  <c r="S137" i="40"/>
  <c r="S138" i="40"/>
  <c r="S139" i="40"/>
  <c r="S140" i="40"/>
  <c r="S141" i="40"/>
  <c r="S142" i="40"/>
  <c r="S143" i="40"/>
  <c r="S144" i="40"/>
  <c r="S145" i="40"/>
  <c r="S146" i="40"/>
  <c r="S147" i="40"/>
  <c r="S148" i="40"/>
  <c r="S149" i="40"/>
  <c r="S150" i="40"/>
  <c r="S151" i="40"/>
  <c r="S152" i="40"/>
  <c r="S153" i="40"/>
  <c r="S154" i="40"/>
  <c r="S155" i="40"/>
  <c r="S156" i="40"/>
  <c r="S157" i="40"/>
  <c r="S158" i="40"/>
  <c r="S159" i="40"/>
  <c r="S160" i="40"/>
  <c r="S161" i="40"/>
  <c r="S162" i="40"/>
  <c r="S163" i="40"/>
  <c r="S164" i="40"/>
  <c r="S165" i="40"/>
  <c r="S166" i="40"/>
  <c r="S167" i="40"/>
  <c r="S168" i="40"/>
  <c r="S169" i="40"/>
  <c r="S170" i="40"/>
  <c r="S171" i="40"/>
  <c r="S172" i="40"/>
  <c r="S173" i="40"/>
  <c r="S174" i="40"/>
  <c r="S175" i="40"/>
  <c r="S176" i="40"/>
  <c r="S177" i="40"/>
  <c r="Q49" i="40"/>
  <c r="Q50" i="40"/>
  <c r="Q51" i="40"/>
  <c r="Q52" i="40"/>
  <c r="Q53" i="40"/>
  <c r="Q54" i="40"/>
  <c r="Q55" i="40"/>
  <c r="Q56" i="40"/>
  <c r="Q57" i="40"/>
  <c r="Q58" i="40"/>
  <c r="Q59" i="40"/>
  <c r="Q60" i="40"/>
  <c r="Q61" i="40"/>
  <c r="Q62" i="40"/>
  <c r="Q63" i="40"/>
  <c r="Q64" i="40"/>
  <c r="Q65" i="40"/>
  <c r="Q66" i="40"/>
  <c r="Q67" i="40"/>
  <c r="Q68" i="40"/>
  <c r="Q69" i="40"/>
  <c r="Q70" i="40"/>
  <c r="Q71" i="40"/>
  <c r="Q72" i="40"/>
  <c r="Q73" i="40"/>
  <c r="Q74" i="40"/>
  <c r="Q75" i="40"/>
  <c r="Q76" i="40"/>
  <c r="Q77" i="40"/>
  <c r="Q78" i="40"/>
  <c r="Q79" i="40"/>
  <c r="Q80" i="40"/>
  <c r="Q81" i="40"/>
  <c r="Q82" i="40"/>
  <c r="Q83" i="40"/>
  <c r="Q84" i="40"/>
  <c r="Q85" i="40"/>
  <c r="Q86" i="40"/>
  <c r="Q87" i="40"/>
  <c r="Q88" i="40"/>
  <c r="Q89" i="40"/>
  <c r="Q90" i="40"/>
  <c r="Q91" i="40"/>
  <c r="Q92" i="40"/>
  <c r="Q93" i="40"/>
  <c r="Q94" i="40"/>
  <c r="Q95" i="40"/>
  <c r="Q96" i="40"/>
  <c r="Q97" i="40"/>
  <c r="Q98" i="40"/>
  <c r="Q99" i="40"/>
  <c r="Q100" i="40"/>
  <c r="Q101" i="40"/>
  <c r="Q102" i="40"/>
  <c r="Q103" i="40"/>
  <c r="Q104" i="40"/>
  <c r="Q105" i="40"/>
  <c r="Q106" i="40"/>
  <c r="Q107" i="40"/>
  <c r="Q108" i="40"/>
  <c r="Q109" i="40"/>
  <c r="Q110" i="40"/>
  <c r="Q111" i="40"/>
  <c r="Q112" i="40"/>
  <c r="Q113" i="40"/>
  <c r="Q114" i="40"/>
  <c r="Q115" i="40"/>
  <c r="Q116" i="40"/>
  <c r="Q117" i="40"/>
  <c r="Q118" i="40"/>
  <c r="Q119" i="40"/>
  <c r="Q120" i="40"/>
  <c r="Q121" i="40"/>
  <c r="Q122" i="40"/>
  <c r="Q123" i="40"/>
  <c r="Q124" i="40"/>
  <c r="Q125" i="40"/>
  <c r="Q126" i="40"/>
  <c r="Q127" i="40"/>
  <c r="Q128" i="40"/>
  <c r="Q129" i="40"/>
  <c r="Q130" i="40"/>
  <c r="Q131" i="40"/>
  <c r="Q132" i="40"/>
  <c r="Q133" i="40"/>
  <c r="Q134" i="40"/>
  <c r="Q135" i="40"/>
  <c r="Q136" i="40"/>
  <c r="Q137" i="40"/>
  <c r="Q138" i="40"/>
  <c r="Q139" i="40"/>
  <c r="Q140" i="40"/>
  <c r="Q141" i="40"/>
  <c r="Q142" i="40"/>
  <c r="Q143" i="40"/>
  <c r="Q144" i="40"/>
  <c r="Q145" i="40"/>
  <c r="Q146" i="40"/>
  <c r="Q147" i="40"/>
  <c r="Q148" i="40"/>
  <c r="Q149" i="40"/>
  <c r="Q150" i="40"/>
  <c r="Q151" i="40"/>
  <c r="Q152" i="40"/>
  <c r="Q153" i="40"/>
  <c r="Q154" i="40"/>
  <c r="Q155" i="40"/>
  <c r="Q156" i="40"/>
  <c r="Q157" i="40"/>
  <c r="Q158" i="40"/>
  <c r="Q159" i="40"/>
  <c r="Q160" i="40"/>
  <c r="Q161" i="40"/>
  <c r="Q162" i="40"/>
  <c r="Q163" i="40"/>
  <c r="Q164" i="40"/>
  <c r="Q165" i="40"/>
  <c r="Q166" i="40"/>
  <c r="Q167" i="40"/>
  <c r="Q168" i="40"/>
  <c r="Q169" i="40"/>
  <c r="Q170" i="40"/>
  <c r="Q171" i="40"/>
  <c r="Q172" i="40"/>
  <c r="Q173" i="40"/>
  <c r="Q174" i="40"/>
  <c r="Q175" i="40"/>
  <c r="Q176" i="40"/>
  <c r="Q177" i="40"/>
  <c r="P3" i="40"/>
  <c r="P4" i="40"/>
  <c r="P5" i="40"/>
  <c r="P6" i="40"/>
  <c r="P7" i="40"/>
  <c r="P8" i="40"/>
  <c r="P9" i="40"/>
  <c r="P10" i="40"/>
  <c r="P11" i="40"/>
  <c r="P12" i="40"/>
  <c r="P13" i="40"/>
  <c r="P14" i="40"/>
  <c r="P15" i="40"/>
  <c r="P16" i="40"/>
  <c r="P17" i="40"/>
  <c r="P18" i="40"/>
  <c r="P19" i="40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47" i="40"/>
  <c r="P48" i="40"/>
  <c r="P49" i="40"/>
  <c r="P50" i="40"/>
  <c r="P51" i="40"/>
  <c r="P52" i="40"/>
  <c r="P53" i="40"/>
  <c r="P54" i="40"/>
  <c r="P55" i="40"/>
  <c r="P56" i="40"/>
  <c r="P57" i="40"/>
  <c r="P58" i="40"/>
  <c r="P59" i="40"/>
  <c r="P60" i="40"/>
  <c r="P61" i="40"/>
  <c r="P62" i="40"/>
  <c r="P63" i="40"/>
  <c r="P64" i="40"/>
  <c r="P65" i="40"/>
  <c r="P66" i="40"/>
  <c r="P67" i="40"/>
  <c r="P68" i="40"/>
  <c r="P69" i="40"/>
  <c r="P70" i="40"/>
  <c r="P71" i="40"/>
  <c r="P72" i="40"/>
  <c r="P73" i="40"/>
  <c r="P74" i="40"/>
  <c r="P75" i="40"/>
  <c r="P76" i="40"/>
  <c r="P77" i="40"/>
  <c r="P78" i="40"/>
  <c r="P79" i="40"/>
  <c r="P80" i="40"/>
  <c r="P81" i="40"/>
  <c r="P82" i="40"/>
  <c r="P83" i="40"/>
  <c r="P84" i="40"/>
  <c r="P85" i="40"/>
  <c r="P86" i="40"/>
  <c r="P87" i="40"/>
  <c r="P88" i="40"/>
  <c r="P89" i="40"/>
  <c r="P90" i="40"/>
  <c r="P91" i="40"/>
  <c r="P92" i="40"/>
  <c r="P93" i="40"/>
  <c r="P94" i="40"/>
  <c r="P95" i="40"/>
  <c r="P96" i="40"/>
  <c r="P97" i="40"/>
  <c r="P98" i="40"/>
  <c r="P99" i="40"/>
  <c r="P100" i="40"/>
  <c r="P101" i="40"/>
  <c r="P102" i="40"/>
  <c r="P103" i="40"/>
  <c r="P104" i="40"/>
  <c r="P105" i="40"/>
  <c r="P106" i="40"/>
  <c r="P107" i="40"/>
  <c r="P108" i="40"/>
  <c r="P109" i="40"/>
  <c r="P110" i="40"/>
  <c r="P111" i="40"/>
  <c r="P112" i="40"/>
  <c r="P113" i="40"/>
  <c r="P114" i="40"/>
  <c r="P115" i="40"/>
  <c r="P116" i="40"/>
  <c r="P117" i="40"/>
  <c r="P118" i="40"/>
  <c r="P119" i="40"/>
  <c r="P120" i="40"/>
  <c r="P121" i="40"/>
  <c r="P122" i="40"/>
  <c r="P123" i="40"/>
  <c r="P124" i="40"/>
  <c r="P125" i="40"/>
  <c r="P126" i="40"/>
  <c r="P127" i="40"/>
  <c r="P128" i="40"/>
  <c r="P129" i="40"/>
  <c r="P130" i="40"/>
  <c r="P131" i="40"/>
  <c r="P132" i="40"/>
  <c r="P133" i="40"/>
  <c r="P134" i="40"/>
  <c r="P135" i="40"/>
  <c r="P136" i="40"/>
  <c r="P137" i="40"/>
  <c r="P138" i="40"/>
  <c r="P139" i="40"/>
  <c r="P140" i="40"/>
  <c r="P141" i="40"/>
  <c r="P142" i="40"/>
  <c r="P143" i="40"/>
  <c r="P144" i="40"/>
  <c r="P145" i="40"/>
  <c r="P146" i="40"/>
  <c r="P147" i="40"/>
  <c r="P148" i="40"/>
  <c r="P149" i="40"/>
  <c r="P150" i="40"/>
  <c r="P151" i="40"/>
  <c r="P152" i="40"/>
  <c r="P153" i="40"/>
  <c r="P154" i="40"/>
  <c r="P155" i="40"/>
  <c r="P156" i="40"/>
  <c r="P157" i="40"/>
  <c r="P158" i="40"/>
  <c r="P159" i="40"/>
  <c r="P160" i="40"/>
  <c r="P161" i="40"/>
  <c r="P162" i="40"/>
  <c r="P163" i="40"/>
  <c r="P164" i="40"/>
  <c r="P165" i="40"/>
  <c r="P166" i="40"/>
  <c r="P167" i="40"/>
  <c r="P168" i="40"/>
  <c r="P169" i="40"/>
  <c r="P170" i="40"/>
  <c r="P171" i="40"/>
  <c r="P172" i="40"/>
  <c r="P173" i="40"/>
  <c r="P174" i="40"/>
  <c r="P175" i="40"/>
  <c r="P176" i="40"/>
  <c r="P177" i="40"/>
  <c r="O3" i="40"/>
  <c r="O4" i="40"/>
  <c r="O5" i="40"/>
  <c r="O6" i="40"/>
  <c r="O7" i="40"/>
  <c r="O8" i="40"/>
  <c r="O9" i="40"/>
  <c r="O10" i="40"/>
  <c r="O11" i="40"/>
  <c r="O12" i="40"/>
  <c r="O13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N3" i="40"/>
  <c r="N4" i="40"/>
  <c r="N5" i="40"/>
  <c r="N6" i="40"/>
  <c r="N7" i="40"/>
  <c r="N8" i="40"/>
  <c r="N9" i="40"/>
  <c r="N10" i="40"/>
  <c r="N11" i="40"/>
  <c r="N12" i="40"/>
  <c r="N13" i="40"/>
  <c r="N14" i="40"/>
  <c r="N15" i="40"/>
  <c r="N16" i="40"/>
  <c r="N17" i="40"/>
  <c r="N18" i="40"/>
  <c r="N19" i="40"/>
  <c r="N20" i="40"/>
  <c r="N21" i="40"/>
  <c r="N22" i="40"/>
  <c r="N23" i="40"/>
  <c r="N24" i="40"/>
  <c r="N25" i="40"/>
  <c r="N26" i="40"/>
  <c r="N27" i="40"/>
  <c r="N28" i="40"/>
  <c r="N29" i="40"/>
  <c r="N30" i="40"/>
  <c r="N31" i="40"/>
  <c r="N32" i="40"/>
  <c r="N33" i="40"/>
  <c r="N34" i="40"/>
  <c r="N35" i="40"/>
  <c r="N36" i="40"/>
  <c r="N37" i="40"/>
  <c r="N38" i="40"/>
  <c r="N39" i="40"/>
  <c r="N40" i="40"/>
  <c r="N41" i="40"/>
  <c r="N42" i="40"/>
  <c r="N43" i="40"/>
  <c r="N44" i="40"/>
  <c r="N45" i="40"/>
  <c r="N46" i="40"/>
  <c r="N47" i="40"/>
  <c r="N48" i="40"/>
  <c r="N49" i="40"/>
  <c r="N50" i="40"/>
  <c r="N51" i="40"/>
  <c r="N52" i="40"/>
  <c r="N53" i="40"/>
  <c r="N54" i="40"/>
  <c r="N55" i="40"/>
  <c r="N56" i="40"/>
  <c r="N57" i="40"/>
  <c r="N58" i="40"/>
  <c r="N59" i="40"/>
  <c r="N60" i="40"/>
  <c r="N61" i="40"/>
  <c r="N62" i="40"/>
  <c r="N63" i="40"/>
  <c r="N64" i="40"/>
  <c r="N65" i="40"/>
  <c r="N66" i="40"/>
  <c r="N67" i="40"/>
  <c r="N68" i="40"/>
  <c r="N69" i="40"/>
  <c r="N70" i="40"/>
  <c r="N71" i="40"/>
  <c r="N72" i="40"/>
  <c r="N73" i="40"/>
  <c r="N74" i="40"/>
  <c r="N75" i="40"/>
  <c r="N76" i="40"/>
  <c r="N77" i="40"/>
  <c r="N78" i="40"/>
  <c r="N79" i="40"/>
  <c r="N80" i="40"/>
  <c r="N81" i="40"/>
  <c r="N82" i="40"/>
  <c r="N83" i="40"/>
  <c r="N84" i="40"/>
  <c r="N85" i="40"/>
  <c r="N86" i="40"/>
  <c r="N87" i="40"/>
  <c r="N88" i="40"/>
  <c r="N89" i="40"/>
  <c r="N90" i="40"/>
  <c r="N91" i="40"/>
  <c r="N92" i="40"/>
  <c r="N93" i="40"/>
  <c r="N94" i="40"/>
  <c r="N95" i="40"/>
  <c r="N96" i="40"/>
  <c r="N97" i="40"/>
  <c r="N98" i="40"/>
  <c r="N99" i="40"/>
  <c r="N100" i="40"/>
  <c r="N101" i="40"/>
  <c r="N102" i="40"/>
  <c r="N103" i="40"/>
  <c r="N104" i="40"/>
  <c r="N105" i="40"/>
  <c r="N106" i="40"/>
  <c r="N107" i="40"/>
  <c r="N108" i="40"/>
  <c r="N109" i="40"/>
  <c r="N110" i="40"/>
  <c r="N111" i="40"/>
  <c r="N112" i="40"/>
  <c r="N113" i="40"/>
  <c r="N114" i="40"/>
  <c r="N115" i="40"/>
  <c r="N116" i="40"/>
  <c r="N117" i="40"/>
  <c r="N118" i="40"/>
  <c r="N119" i="40"/>
  <c r="N120" i="40"/>
  <c r="N121" i="40"/>
  <c r="N122" i="40"/>
  <c r="N123" i="40"/>
  <c r="N124" i="40"/>
  <c r="N125" i="40"/>
  <c r="N126" i="40"/>
  <c r="N127" i="40"/>
  <c r="N128" i="40"/>
  <c r="N129" i="40"/>
  <c r="N130" i="40"/>
  <c r="N131" i="40"/>
  <c r="N132" i="40"/>
  <c r="N133" i="40"/>
  <c r="N134" i="40"/>
  <c r="N135" i="40"/>
  <c r="N136" i="40"/>
  <c r="N137" i="40"/>
  <c r="N138" i="40"/>
  <c r="N139" i="40"/>
  <c r="N140" i="40"/>
  <c r="N141" i="40"/>
  <c r="N142" i="40"/>
  <c r="N143" i="40"/>
  <c r="N144" i="40"/>
  <c r="N145" i="40"/>
  <c r="N146" i="40"/>
  <c r="N147" i="40"/>
  <c r="N148" i="40"/>
  <c r="N149" i="40"/>
  <c r="N150" i="40"/>
  <c r="N151" i="40"/>
  <c r="N152" i="40"/>
  <c r="N153" i="40"/>
  <c r="N154" i="40"/>
  <c r="N155" i="40"/>
  <c r="N156" i="40"/>
  <c r="N157" i="40"/>
  <c r="N158" i="40"/>
  <c r="N159" i="40"/>
  <c r="N160" i="40"/>
  <c r="N161" i="40"/>
  <c r="N162" i="40"/>
  <c r="N163" i="40"/>
  <c r="N164" i="40"/>
  <c r="N165" i="40"/>
  <c r="N166" i="40"/>
  <c r="N167" i="40"/>
  <c r="N168" i="40"/>
  <c r="N169" i="40"/>
  <c r="N170" i="40"/>
  <c r="N171" i="40"/>
  <c r="N172" i="40"/>
  <c r="N173" i="40"/>
  <c r="N174" i="40"/>
  <c r="N175" i="40"/>
  <c r="N176" i="40"/>
  <c r="N177" i="40"/>
  <c r="M3" i="40"/>
  <c r="M4" i="40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M37" i="40"/>
  <c r="M38" i="40"/>
  <c r="M39" i="40"/>
  <c r="M40" i="40"/>
  <c r="M41" i="40"/>
  <c r="M42" i="40"/>
  <c r="M43" i="40"/>
  <c r="M44" i="40"/>
  <c r="M45" i="40"/>
  <c r="M46" i="40"/>
  <c r="M47" i="40"/>
  <c r="M48" i="40"/>
  <c r="M49" i="40"/>
  <c r="M50" i="40"/>
  <c r="M51" i="40"/>
  <c r="M52" i="40"/>
  <c r="M53" i="40"/>
  <c r="M54" i="40"/>
  <c r="M55" i="40"/>
  <c r="M56" i="40"/>
  <c r="M57" i="40"/>
  <c r="M58" i="40"/>
  <c r="M59" i="40"/>
  <c r="M60" i="40"/>
  <c r="M61" i="40"/>
  <c r="M62" i="40"/>
  <c r="M63" i="40"/>
  <c r="M64" i="40"/>
  <c r="M65" i="40"/>
  <c r="M66" i="40"/>
  <c r="M67" i="40"/>
  <c r="M68" i="40"/>
  <c r="M69" i="40"/>
  <c r="M70" i="40"/>
  <c r="M71" i="40"/>
  <c r="M72" i="40"/>
  <c r="M73" i="40"/>
  <c r="M74" i="40"/>
  <c r="M75" i="40"/>
  <c r="M76" i="40"/>
  <c r="M77" i="40"/>
  <c r="M78" i="40"/>
  <c r="M79" i="40"/>
  <c r="M80" i="40"/>
  <c r="M81" i="40"/>
  <c r="M82" i="40"/>
  <c r="M83" i="40"/>
  <c r="M84" i="40"/>
  <c r="M85" i="40"/>
  <c r="M86" i="40"/>
  <c r="M87" i="40"/>
  <c r="M88" i="40"/>
  <c r="M89" i="40"/>
  <c r="M90" i="40"/>
  <c r="M91" i="40"/>
  <c r="M92" i="40"/>
  <c r="M93" i="40"/>
  <c r="M94" i="40"/>
  <c r="M95" i="40"/>
  <c r="M96" i="40"/>
  <c r="M97" i="40"/>
  <c r="M98" i="40"/>
  <c r="M99" i="40"/>
  <c r="M100" i="40"/>
  <c r="M101" i="40"/>
  <c r="M102" i="40"/>
  <c r="M103" i="40"/>
  <c r="M104" i="40"/>
  <c r="M105" i="40"/>
  <c r="M106" i="40"/>
  <c r="M107" i="40"/>
  <c r="M108" i="40"/>
  <c r="M109" i="40"/>
  <c r="M110" i="40"/>
  <c r="M111" i="40"/>
  <c r="M112" i="40"/>
  <c r="M113" i="40"/>
  <c r="M114" i="40"/>
  <c r="M115" i="40"/>
  <c r="M116" i="40"/>
  <c r="M117" i="40"/>
  <c r="M118" i="40"/>
  <c r="M119" i="40"/>
  <c r="M120" i="40"/>
  <c r="M121" i="40"/>
  <c r="M122" i="40"/>
  <c r="M123" i="40"/>
  <c r="M124" i="40"/>
  <c r="M125" i="40"/>
  <c r="M126" i="40"/>
  <c r="M127" i="40"/>
  <c r="M128" i="40"/>
  <c r="M129" i="40"/>
  <c r="M130" i="40"/>
  <c r="M131" i="40"/>
  <c r="M132" i="40"/>
  <c r="M133" i="40"/>
  <c r="M134" i="40"/>
  <c r="M135" i="40"/>
  <c r="M136" i="40"/>
  <c r="M137" i="40"/>
  <c r="M138" i="40"/>
  <c r="M139" i="40"/>
  <c r="M140" i="40"/>
  <c r="M141" i="40"/>
  <c r="M142" i="40"/>
  <c r="M143" i="40"/>
  <c r="M144" i="40"/>
  <c r="M145" i="40"/>
  <c r="M146" i="40"/>
  <c r="M147" i="40"/>
  <c r="M148" i="40"/>
  <c r="M149" i="40"/>
  <c r="M150" i="40"/>
  <c r="M151" i="40"/>
  <c r="M152" i="40"/>
  <c r="M153" i="40"/>
  <c r="M154" i="40"/>
  <c r="M155" i="40"/>
  <c r="M156" i="40"/>
  <c r="M157" i="40"/>
  <c r="M158" i="40"/>
  <c r="M159" i="40"/>
  <c r="M160" i="40"/>
  <c r="M161" i="40"/>
  <c r="M162" i="40"/>
  <c r="M163" i="40"/>
  <c r="M164" i="40"/>
  <c r="M165" i="40"/>
  <c r="M166" i="40"/>
  <c r="M167" i="40"/>
  <c r="M168" i="40"/>
  <c r="M169" i="40"/>
  <c r="M170" i="40"/>
  <c r="M171" i="40"/>
  <c r="M172" i="40"/>
  <c r="M173" i="40"/>
  <c r="M174" i="40"/>
  <c r="M175" i="40"/>
  <c r="M176" i="40"/>
  <c r="M177" i="40"/>
  <c r="L3" i="40"/>
  <c r="L4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65" i="40"/>
  <c r="L66" i="40"/>
  <c r="L67" i="40"/>
  <c r="L68" i="40"/>
  <c r="L69" i="40"/>
  <c r="L70" i="40"/>
  <c r="L71" i="40"/>
  <c r="L72" i="40"/>
  <c r="L73" i="40"/>
  <c r="L74" i="40"/>
  <c r="L75" i="40"/>
  <c r="L76" i="40"/>
  <c r="L77" i="40"/>
  <c r="L78" i="40"/>
  <c r="L79" i="40"/>
  <c r="L80" i="40"/>
  <c r="L81" i="40"/>
  <c r="L82" i="40"/>
  <c r="L83" i="40"/>
  <c r="L84" i="40"/>
  <c r="L85" i="40"/>
  <c r="L86" i="40"/>
  <c r="L87" i="40"/>
  <c r="L88" i="40"/>
  <c r="L89" i="40"/>
  <c r="L90" i="40"/>
  <c r="L91" i="40"/>
  <c r="L92" i="40"/>
  <c r="L93" i="40"/>
  <c r="L94" i="40"/>
  <c r="L95" i="40"/>
  <c r="L96" i="40"/>
  <c r="L97" i="40"/>
  <c r="L98" i="40"/>
  <c r="L99" i="40"/>
  <c r="L100" i="40"/>
  <c r="L101" i="40"/>
  <c r="L102" i="40"/>
  <c r="L103" i="40"/>
  <c r="L104" i="40"/>
  <c r="L105" i="40"/>
  <c r="L106" i="40"/>
  <c r="L107" i="40"/>
  <c r="L108" i="40"/>
  <c r="L109" i="40"/>
  <c r="L110" i="40"/>
  <c r="L111" i="40"/>
  <c r="L112" i="40"/>
  <c r="L113" i="40"/>
  <c r="L114" i="40"/>
  <c r="L115" i="40"/>
  <c r="L116" i="40"/>
  <c r="L117" i="40"/>
  <c r="L118" i="40"/>
  <c r="L119" i="40"/>
  <c r="L120" i="40"/>
  <c r="L121" i="40"/>
  <c r="L122" i="40"/>
  <c r="L123" i="40"/>
  <c r="L124" i="40"/>
  <c r="L125" i="40"/>
  <c r="L126" i="40"/>
  <c r="L127" i="40"/>
  <c r="L128" i="40"/>
  <c r="L129" i="40"/>
  <c r="L130" i="40"/>
  <c r="L131" i="40"/>
  <c r="L132" i="40"/>
  <c r="L133" i="40"/>
  <c r="L134" i="40"/>
  <c r="L135" i="40"/>
  <c r="L136" i="40"/>
  <c r="L137" i="40"/>
  <c r="L138" i="40"/>
  <c r="L139" i="40"/>
  <c r="L140" i="40"/>
  <c r="L141" i="40"/>
  <c r="L142" i="40"/>
  <c r="L143" i="40"/>
  <c r="L144" i="40"/>
  <c r="L145" i="40"/>
  <c r="L146" i="40"/>
  <c r="L147" i="40"/>
  <c r="L148" i="40"/>
  <c r="L149" i="40"/>
  <c r="L150" i="40"/>
  <c r="L151" i="40"/>
  <c r="L152" i="40"/>
  <c r="L153" i="40"/>
  <c r="L154" i="40"/>
  <c r="L155" i="40"/>
  <c r="L156" i="40"/>
  <c r="L157" i="40"/>
  <c r="L158" i="40"/>
  <c r="L159" i="40"/>
  <c r="L160" i="40"/>
  <c r="L161" i="40"/>
  <c r="L162" i="40"/>
  <c r="L163" i="40"/>
  <c r="L164" i="40"/>
  <c r="L165" i="40"/>
  <c r="L166" i="40"/>
  <c r="L167" i="40"/>
  <c r="L168" i="40"/>
  <c r="L169" i="40"/>
  <c r="L170" i="40"/>
  <c r="L171" i="40"/>
  <c r="L172" i="40"/>
  <c r="L173" i="40"/>
  <c r="L174" i="40"/>
  <c r="L175" i="40"/>
  <c r="L176" i="40"/>
  <c r="L177" i="40"/>
  <c r="K3" i="40"/>
  <c r="K4" i="40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K48" i="40"/>
  <c r="K49" i="40"/>
  <c r="K50" i="40"/>
  <c r="K51" i="40"/>
  <c r="K52" i="40"/>
  <c r="K53" i="40"/>
  <c r="K54" i="40"/>
  <c r="K55" i="40"/>
  <c r="K56" i="40"/>
  <c r="K57" i="40"/>
  <c r="K58" i="40"/>
  <c r="K59" i="40"/>
  <c r="K60" i="40"/>
  <c r="K61" i="40"/>
  <c r="K62" i="40"/>
  <c r="K63" i="40"/>
  <c r="K64" i="40"/>
  <c r="K65" i="40"/>
  <c r="K66" i="40"/>
  <c r="K67" i="40"/>
  <c r="K68" i="40"/>
  <c r="K69" i="40"/>
  <c r="K70" i="40"/>
  <c r="K71" i="40"/>
  <c r="K72" i="40"/>
  <c r="K73" i="40"/>
  <c r="K74" i="40"/>
  <c r="K75" i="40"/>
  <c r="K76" i="40"/>
  <c r="K77" i="40"/>
  <c r="K78" i="40"/>
  <c r="K79" i="40"/>
  <c r="K80" i="40"/>
  <c r="K81" i="40"/>
  <c r="K82" i="40"/>
  <c r="K83" i="40"/>
  <c r="K84" i="40"/>
  <c r="K85" i="40"/>
  <c r="K86" i="40"/>
  <c r="K87" i="40"/>
  <c r="K88" i="40"/>
  <c r="K89" i="40"/>
  <c r="K90" i="40"/>
  <c r="K91" i="40"/>
  <c r="K92" i="40"/>
  <c r="K93" i="40"/>
  <c r="K94" i="40"/>
  <c r="K95" i="40"/>
  <c r="K96" i="40"/>
  <c r="K97" i="40"/>
  <c r="K98" i="40"/>
  <c r="K99" i="40"/>
  <c r="K100" i="40"/>
  <c r="K101" i="40"/>
  <c r="K102" i="40"/>
  <c r="K103" i="40"/>
  <c r="K104" i="40"/>
  <c r="K105" i="40"/>
  <c r="K106" i="40"/>
  <c r="K107" i="40"/>
  <c r="K108" i="40"/>
  <c r="K109" i="40"/>
  <c r="K110" i="40"/>
  <c r="K111" i="40"/>
  <c r="K112" i="40"/>
  <c r="K113" i="40"/>
  <c r="K114" i="40"/>
  <c r="K115" i="40"/>
  <c r="K116" i="40"/>
  <c r="K117" i="40"/>
  <c r="K118" i="40"/>
  <c r="K119" i="40"/>
  <c r="K120" i="40"/>
  <c r="K121" i="40"/>
  <c r="K122" i="40"/>
  <c r="K123" i="40"/>
  <c r="K124" i="40"/>
  <c r="K125" i="40"/>
  <c r="K126" i="40"/>
  <c r="K127" i="40"/>
  <c r="K128" i="40"/>
  <c r="K129" i="40"/>
  <c r="K130" i="40"/>
  <c r="K131" i="40"/>
  <c r="K132" i="40"/>
  <c r="K133" i="40"/>
  <c r="K134" i="40"/>
  <c r="K135" i="40"/>
  <c r="K136" i="40"/>
  <c r="K137" i="40"/>
  <c r="K138" i="40"/>
  <c r="K139" i="40"/>
  <c r="K140" i="40"/>
  <c r="K141" i="40"/>
  <c r="K142" i="40"/>
  <c r="K143" i="40"/>
  <c r="K144" i="40"/>
  <c r="K145" i="40"/>
  <c r="K146" i="40"/>
  <c r="K147" i="40"/>
  <c r="K148" i="40"/>
  <c r="K149" i="40"/>
  <c r="K150" i="40"/>
  <c r="K151" i="40"/>
  <c r="K152" i="40"/>
  <c r="K153" i="40"/>
  <c r="K154" i="40"/>
  <c r="K155" i="40"/>
  <c r="K156" i="40"/>
  <c r="K157" i="40"/>
  <c r="K158" i="40"/>
  <c r="K159" i="40"/>
  <c r="K160" i="40"/>
  <c r="K161" i="40"/>
  <c r="K162" i="40"/>
  <c r="K163" i="40"/>
  <c r="K176" i="40"/>
  <c r="K177" i="40"/>
  <c r="J3" i="40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3" i="40"/>
  <c r="J64" i="40"/>
  <c r="J65" i="40"/>
  <c r="J66" i="40"/>
  <c r="J67" i="40"/>
  <c r="J68" i="40"/>
  <c r="J69" i="40"/>
  <c r="J70" i="40"/>
  <c r="J71" i="40"/>
  <c r="J72" i="40"/>
  <c r="J73" i="40"/>
  <c r="J74" i="40"/>
  <c r="J75" i="40"/>
  <c r="J76" i="40"/>
  <c r="J77" i="40"/>
  <c r="J78" i="40"/>
  <c r="J79" i="40"/>
  <c r="J80" i="40"/>
  <c r="J81" i="40"/>
  <c r="J82" i="40"/>
  <c r="J83" i="40"/>
  <c r="J84" i="40"/>
  <c r="J85" i="40"/>
  <c r="J86" i="40"/>
  <c r="J87" i="40"/>
  <c r="J88" i="40"/>
  <c r="J89" i="40"/>
  <c r="J90" i="40"/>
  <c r="J91" i="40"/>
  <c r="J92" i="40"/>
  <c r="J93" i="40"/>
  <c r="J94" i="40"/>
  <c r="J95" i="40"/>
  <c r="J96" i="40"/>
  <c r="J97" i="40"/>
  <c r="J98" i="40"/>
  <c r="J99" i="40"/>
  <c r="J100" i="40"/>
  <c r="J101" i="40"/>
  <c r="J102" i="40"/>
  <c r="J103" i="40"/>
  <c r="J104" i="40"/>
  <c r="J105" i="40"/>
  <c r="J106" i="40"/>
  <c r="J107" i="40"/>
  <c r="J111" i="40"/>
  <c r="J112" i="40"/>
  <c r="J113" i="40"/>
  <c r="J114" i="40"/>
  <c r="J115" i="40"/>
  <c r="J116" i="40"/>
  <c r="J117" i="40"/>
  <c r="J118" i="40"/>
  <c r="J119" i="40"/>
  <c r="J120" i="40"/>
  <c r="J121" i="40"/>
  <c r="J122" i="40"/>
  <c r="J123" i="40"/>
  <c r="J124" i="40"/>
  <c r="J125" i="40"/>
  <c r="J126" i="40"/>
  <c r="J127" i="40"/>
  <c r="J128" i="40"/>
  <c r="J129" i="40"/>
  <c r="J130" i="40"/>
  <c r="J131" i="40"/>
  <c r="J132" i="40"/>
  <c r="J133" i="40"/>
  <c r="J141" i="40"/>
  <c r="J142" i="40"/>
  <c r="J143" i="40"/>
  <c r="J144" i="40"/>
  <c r="J145" i="40"/>
  <c r="J146" i="40"/>
  <c r="J147" i="40"/>
  <c r="J148" i="40"/>
  <c r="J149" i="40"/>
  <c r="J150" i="40"/>
  <c r="J151" i="40"/>
  <c r="J152" i="40"/>
  <c r="J153" i="40"/>
  <c r="J154" i="40"/>
  <c r="J155" i="40"/>
  <c r="J156" i="40"/>
  <c r="J157" i="40"/>
  <c r="J158" i="40"/>
  <c r="J159" i="40"/>
  <c r="J160" i="40"/>
  <c r="J161" i="40"/>
  <c r="J162" i="40"/>
  <c r="J163" i="40"/>
  <c r="J164" i="40"/>
  <c r="J165" i="40"/>
  <c r="J166" i="40"/>
  <c r="J167" i="40"/>
  <c r="J168" i="40"/>
  <c r="J169" i="40"/>
  <c r="J170" i="40"/>
  <c r="J171" i="40"/>
  <c r="J172" i="40"/>
  <c r="J173" i="40"/>
  <c r="J174" i="40"/>
  <c r="J175" i="40"/>
  <c r="J176" i="40"/>
  <c r="J177" i="40"/>
  <c r="B161" i="40"/>
  <c r="C161" i="40"/>
  <c r="D161" i="40"/>
  <c r="E161" i="40"/>
  <c r="F161" i="40"/>
  <c r="G161" i="40"/>
  <c r="H161" i="40"/>
  <c r="B162" i="40"/>
  <c r="C162" i="40"/>
  <c r="D162" i="40"/>
  <c r="E162" i="40"/>
  <c r="F162" i="40"/>
  <c r="G162" i="40"/>
  <c r="H162" i="40"/>
  <c r="B163" i="40"/>
  <c r="C163" i="40"/>
  <c r="D163" i="40"/>
  <c r="E163" i="40"/>
  <c r="F163" i="40"/>
  <c r="G163" i="40"/>
  <c r="H163" i="40"/>
  <c r="B164" i="40"/>
  <c r="C164" i="40"/>
  <c r="D164" i="40"/>
  <c r="E164" i="40"/>
  <c r="F164" i="40"/>
  <c r="G164" i="40"/>
  <c r="H164" i="40"/>
  <c r="B165" i="40"/>
  <c r="C165" i="40"/>
  <c r="D165" i="40"/>
  <c r="E165" i="40"/>
  <c r="F165" i="40"/>
  <c r="G165" i="40"/>
  <c r="H165" i="40"/>
  <c r="B166" i="40"/>
  <c r="C166" i="40"/>
  <c r="D166" i="40"/>
  <c r="E166" i="40"/>
  <c r="F166" i="40"/>
  <c r="G166" i="40"/>
  <c r="H166" i="40"/>
  <c r="B167" i="40"/>
  <c r="C167" i="40"/>
  <c r="D167" i="40"/>
  <c r="E167" i="40"/>
  <c r="F167" i="40"/>
  <c r="G167" i="40"/>
  <c r="H167" i="40"/>
  <c r="B168" i="40"/>
  <c r="C168" i="40"/>
  <c r="D168" i="40"/>
  <c r="E168" i="40"/>
  <c r="F168" i="40"/>
  <c r="G168" i="40"/>
  <c r="H168" i="40"/>
  <c r="B169" i="40"/>
  <c r="C169" i="40"/>
  <c r="D169" i="40"/>
  <c r="E169" i="40"/>
  <c r="F169" i="40"/>
  <c r="G169" i="40"/>
  <c r="H169" i="40"/>
  <c r="B170" i="40"/>
  <c r="C170" i="40"/>
  <c r="D170" i="40"/>
  <c r="E170" i="40"/>
  <c r="F170" i="40"/>
  <c r="G170" i="40"/>
  <c r="H170" i="40"/>
  <c r="B171" i="40"/>
  <c r="C171" i="40"/>
  <c r="D171" i="40"/>
  <c r="E171" i="40"/>
  <c r="F171" i="40"/>
  <c r="G171" i="40"/>
  <c r="H171" i="40"/>
  <c r="B172" i="40"/>
  <c r="C172" i="40"/>
  <c r="D172" i="40"/>
  <c r="E172" i="40"/>
  <c r="F172" i="40"/>
  <c r="G172" i="40"/>
  <c r="H172" i="40"/>
  <c r="B173" i="40"/>
  <c r="C173" i="40"/>
  <c r="D173" i="40"/>
  <c r="E173" i="40"/>
  <c r="F173" i="40"/>
  <c r="G173" i="40"/>
  <c r="H173" i="40"/>
  <c r="B174" i="40"/>
  <c r="C174" i="40"/>
  <c r="D174" i="40"/>
  <c r="E174" i="40"/>
  <c r="F174" i="40"/>
  <c r="G174" i="40"/>
  <c r="H174" i="40"/>
  <c r="B175" i="40"/>
  <c r="C175" i="40"/>
  <c r="D175" i="40"/>
  <c r="E175" i="40"/>
  <c r="F175" i="40"/>
  <c r="G175" i="40"/>
  <c r="H175" i="40"/>
  <c r="B176" i="40"/>
  <c r="C176" i="40"/>
  <c r="D176" i="40"/>
  <c r="E176" i="40"/>
  <c r="F176" i="40"/>
  <c r="G176" i="40"/>
  <c r="H176" i="40"/>
  <c r="B177" i="40"/>
  <c r="C177" i="40"/>
  <c r="D177" i="40"/>
  <c r="E177" i="40"/>
  <c r="F177" i="40"/>
  <c r="G177" i="40"/>
  <c r="H177" i="40"/>
  <c r="A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108" i="40"/>
  <c r="A109" i="40"/>
  <c r="A110" i="40"/>
  <c r="A111" i="40"/>
  <c r="A112" i="40"/>
  <c r="A113" i="40"/>
  <c r="A114" i="40"/>
  <c r="A115" i="40"/>
  <c r="A119" i="40"/>
  <c r="A120" i="40"/>
  <c r="A121" i="40"/>
  <c r="A122" i="40"/>
  <c r="A123" i="40"/>
  <c r="A124" i="40"/>
  <c r="A125" i="40"/>
  <c r="A126" i="40"/>
  <c r="A128" i="40"/>
  <c r="A129" i="40"/>
  <c r="A130" i="40"/>
  <c r="A131" i="40"/>
  <c r="A132" i="40"/>
  <c r="A133" i="40"/>
  <c r="A134" i="40"/>
  <c r="A135" i="40"/>
  <c r="A136" i="40"/>
  <c r="A137" i="40"/>
  <c r="A138" i="40"/>
  <c r="A139" i="40"/>
  <c r="A140" i="40"/>
  <c r="A141" i="40"/>
  <c r="A142" i="40"/>
  <c r="A143" i="40"/>
  <c r="A144" i="40"/>
  <c r="A145" i="40"/>
  <c r="A146" i="40"/>
  <c r="A147" i="40"/>
  <c r="A148" i="40"/>
  <c r="A149" i="40"/>
  <c r="A150" i="40"/>
  <c r="A151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4" i="40"/>
  <c r="A165" i="40"/>
  <c r="A170" i="40"/>
  <c r="A171" i="40"/>
  <c r="A174" i="40"/>
  <c r="A175" i="40"/>
  <c r="A176" i="40"/>
  <c r="A177" i="40"/>
  <c r="A3" i="40"/>
  <c r="Z20" i="40"/>
  <c r="H127" i="40"/>
  <c r="D42" i="40"/>
  <c r="C42" i="40"/>
  <c r="C5" i="40"/>
  <c r="D5" i="40"/>
  <c r="E159" i="40"/>
  <c r="B46" i="40"/>
  <c r="C46" i="40"/>
  <c r="C109" i="40"/>
  <c r="H100" i="40"/>
  <c r="B100" i="40"/>
  <c r="C100" i="40"/>
  <c r="D100" i="40"/>
  <c r="Q8" i="40"/>
  <c r="G99" i="40"/>
  <c r="F99" i="40"/>
  <c r="E99" i="40"/>
  <c r="D99" i="40"/>
  <c r="E127" i="40"/>
  <c r="D127" i="40"/>
  <c r="G127" i="40"/>
  <c r="F127" i="40"/>
  <c r="H28" i="40"/>
  <c r="C28" i="40"/>
  <c r="Q20" i="40" l="1"/>
  <c r="Z8" i="40"/>
  <c r="Q26" i="40" l="1"/>
  <c r="Z26" i="40"/>
  <c r="Q15" i="40"/>
  <c r="Z15" i="40"/>
  <c r="Q7" i="40"/>
  <c r="Z7" i="40"/>
  <c r="Q16" i="40"/>
  <c r="Z16" i="40"/>
  <c r="Q25" i="40"/>
  <c r="Z25" i="40"/>
  <c r="Q33" i="40"/>
  <c r="Z33" i="40"/>
  <c r="Q41" i="40"/>
  <c r="Z41" i="40"/>
  <c r="Q42" i="40"/>
  <c r="Z42" i="40"/>
  <c r="Q10" i="40"/>
  <c r="Z10" i="40"/>
  <c r="Q18" i="40"/>
  <c r="Z18" i="40"/>
  <c r="Z27" i="40"/>
  <c r="Q27" i="40"/>
  <c r="Z35" i="40"/>
  <c r="Q35" i="40"/>
  <c r="Z43" i="40"/>
  <c r="Q43" i="40"/>
  <c r="Q34" i="40"/>
  <c r="Z34" i="40"/>
  <c r="Z11" i="40"/>
  <c r="Q11" i="40"/>
  <c r="Z19" i="40"/>
  <c r="Q19" i="40"/>
  <c r="Z28" i="40"/>
  <c r="Q28" i="40"/>
  <c r="Z36" i="40"/>
  <c r="Q36" i="40"/>
  <c r="Z44" i="40"/>
  <c r="Q44" i="40"/>
  <c r="Q17" i="40"/>
  <c r="Z17" i="40"/>
  <c r="Z3" i="40"/>
  <c r="Q3" i="40"/>
  <c r="Z12" i="40"/>
  <c r="Q12" i="40"/>
  <c r="Q21" i="40"/>
  <c r="Z21" i="40"/>
  <c r="Z29" i="40"/>
  <c r="Q29" i="40"/>
  <c r="Z37" i="40"/>
  <c r="Q37" i="40"/>
  <c r="Z45" i="40"/>
  <c r="Q45" i="40"/>
  <c r="Z13" i="40"/>
  <c r="Q13" i="40"/>
  <c r="Z22" i="40"/>
  <c r="Q22" i="40"/>
  <c r="Z30" i="40"/>
  <c r="Q30" i="40"/>
  <c r="Z38" i="40"/>
  <c r="Q38" i="40"/>
  <c r="Z46" i="40"/>
  <c r="Q46" i="40"/>
  <c r="Q9" i="40"/>
  <c r="Z9" i="40"/>
  <c r="Z4" i="40"/>
  <c r="Q4" i="40"/>
  <c r="Z5" i="40"/>
  <c r="Q5" i="40"/>
  <c r="Z14" i="40"/>
  <c r="Q14" i="40"/>
  <c r="Q23" i="40"/>
  <c r="Z23" i="40"/>
  <c r="Q31" i="40"/>
  <c r="Z31" i="40"/>
  <c r="Q39" i="40"/>
  <c r="Z39" i="40"/>
  <c r="Q47" i="40"/>
  <c r="Z47" i="40"/>
  <c r="Z6" i="40"/>
  <c r="Q6" i="40"/>
  <c r="Q24" i="40"/>
  <c r="Z24" i="40"/>
  <c r="Q32" i="40"/>
  <c r="Z32" i="40"/>
  <c r="Q40" i="40"/>
  <c r="Z40" i="40"/>
  <c r="Q48" i="40"/>
  <c r="Z48" i="40"/>
  <c r="H70" i="40"/>
  <c r="G70" i="40"/>
  <c r="F70" i="40"/>
  <c r="E70" i="40"/>
  <c r="D70" i="40"/>
  <c r="C70" i="40"/>
  <c r="B70" i="40"/>
  <c r="H69" i="40"/>
  <c r="G69" i="40"/>
  <c r="F69" i="40"/>
  <c r="E69" i="40"/>
  <c r="D69" i="40"/>
  <c r="C69" i="40"/>
  <c r="B69" i="40"/>
  <c r="H68" i="40"/>
  <c r="G68" i="40"/>
  <c r="F68" i="40"/>
  <c r="E68" i="40"/>
  <c r="D68" i="40"/>
  <c r="C68" i="40"/>
  <c r="B68" i="40"/>
  <c r="H67" i="40"/>
  <c r="G67" i="40"/>
  <c r="F67" i="40"/>
  <c r="E67" i="40"/>
  <c r="D67" i="40"/>
  <c r="C67" i="40"/>
  <c r="B67" i="40"/>
  <c r="H66" i="40"/>
  <c r="G66" i="40"/>
  <c r="F66" i="40"/>
  <c r="E66" i="40"/>
  <c r="D66" i="40"/>
  <c r="C66" i="40"/>
  <c r="B66" i="40"/>
  <c r="H65" i="40"/>
  <c r="G65" i="40"/>
  <c r="F65" i="40"/>
  <c r="E65" i="40"/>
  <c r="D65" i="40"/>
  <c r="C65" i="40"/>
  <c r="B65" i="40"/>
  <c r="H64" i="40"/>
  <c r="G64" i="40"/>
  <c r="F64" i="40"/>
  <c r="E64" i="40"/>
  <c r="D64" i="40"/>
  <c r="C64" i="40"/>
  <c r="B64" i="40"/>
  <c r="H63" i="40"/>
  <c r="G63" i="40"/>
  <c r="F63" i="40"/>
  <c r="E63" i="40"/>
  <c r="D63" i="40"/>
  <c r="C63" i="40"/>
  <c r="B63" i="40"/>
  <c r="H62" i="40"/>
  <c r="G62" i="40"/>
  <c r="F62" i="40"/>
  <c r="E62" i="40"/>
  <c r="D62" i="40"/>
  <c r="C62" i="40"/>
  <c r="B62" i="40"/>
  <c r="H61" i="40"/>
  <c r="G61" i="40"/>
  <c r="F61" i="40"/>
  <c r="E61" i="40"/>
  <c r="D61" i="40"/>
  <c r="C61" i="40"/>
  <c r="B61" i="40"/>
  <c r="H148" i="40" l="1"/>
  <c r="G148" i="40"/>
  <c r="F148" i="40"/>
  <c r="E148" i="40"/>
  <c r="D148" i="40"/>
  <c r="C148" i="40"/>
  <c r="B148" i="40"/>
  <c r="H147" i="40"/>
  <c r="G147" i="40"/>
  <c r="F147" i="40"/>
  <c r="E147" i="40"/>
  <c r="D147" i="40"/>
  <c r="C147" i="40"/>
  <c r="B147" i="40"/>
  <c r="H146" i="40"/>
  <c r="G146" i="40"/>
  <c r="F146" i="40"/>
  <c r="E146" i="40"/>
  <c r="D146" i="40"/>
  <c r="C146" i="40"/>
  <c r="B146" i="40"/>
  <c r="H145" i="40"/>
  <c r="G145" i="40"/>
  <c r="F145" i="40"/>
  <c r="E145" i="40"/>
  <c r="D145" i="40"/>
  <c r="C145" i="40"/>
  <c r="B145" i="40"/>
  <c r="H144" i="40"/>
  <c r="G144" i="40"/>
  <c r="F144" i="40"/>
  <c r="E144" i="40"/>
  <c r="D144" i="40"/>
  <c r="C144" i="40"/>
  <c r="B144" i="40"/>
  <c r="H143" i="40"/>
  <c r="G143" i="40"/>
  <c r="F143" i="40"/>
  <c r="E143" i="40"/>
  <c r="D143" i="40"/>
  <c r="C143" i="40"/>
  <c r="B143" i="40"/>
  <c r="H142" i="40"/>
  <c r="G142" i="40"/>
  <c r="F142" i="40"/>
  <c r="E142" i="40"/>
  <c r="D142" i="40"/>
  <c r="C142" i="40"/>
  <c r="B142" i="40"/>
  <c r="H141" i="40"/>
  <c r="G141" i="40"/>
  <c r="F141" i="40"/>
  <c r="E141" i="40"/>
  <c r="D141" i="40"/>
  <c r="C141" i="40"/>
  <c r="B141" i="40"/>
  <c r="H140" i="40"/>
  <c r="G140" i="40"/>
  <c r="F140" i="40"/>
  <c r="E140" i="40"/>
  <c r="D140" i="40"/>
  <c r="C140" i="40"/>
  <c r="B140" i="40"/>
  <c r="H139" i="40"/>
  <c r="G139" i="40"/>
  <c r="F139" i="40"/>
  <c r="E139" i="40"/>
  <c r="D139" i="40"/>
  <c r="C139" i="40"/>
  <c r="B139" i="40"/>
  <c r="H136" i="40"/>
  <c r="G136" i="40"/>
  <c r="F136" i="40"/>
  <c r="E136" i="40"/>
  <c r="D136" i="40"/>
  <c r="C136" i="40"/>
  <c r="B136" i="40"/>
  <c r="H135" i="40"/>
  <c r="G135" i="40"/>
  <c r="F135" i="40"/>
  <c r="E135" i="40"/>
  <c r="D135" i="40"/>
  <c r="C135" i="40"/>
  <c r="B135" i="40"/>
  <c r="H134" i="40"/>
  <c r="G134" i="40"/>
  <c r="F134" i="40"/>
  <c r="E134" i="40"/>
  <c r="D134" i="40"/>
  <c r="C134" i="40"/>
  <c r="B134" i="40"/>
  <c r="H133" i="40"/>
  <c r="G133" i="40"/>
  <c r="F133" i="40"/>
  <c r="E133" i="40"/>
  <c r="D133" i="40"/>
  <c r="C133" i="40"/>
  <c r="B133" i="40"/>
  <c r="H132" i="40"/>
  <c r="G132" i="40"/>
  <c r="F132" i="40"/>
  <c r="E132" i="40"/>
  <c r="D132" i="40"/>
  <c r="C132" i="40"/>
  <c r="B132" i="40"/>
  <c r="H131" i="40"/>
  <c r="G131" i="40"/>
  <c r="F131" i="40"/>
  <c r="E131" i="40"/>
  <c r="D131" i="40"/>
  <c r="C131" i="40"/>
  <c r="B131" i="40"/>
  <c r="H130" i="40"/>
  <c r="G130" i="40"/>
  <c r="F130" i="40"/>
  <c r="E130" i="40"/>
  <c r="D130" i="40"/>
  <c r="C130" i="40"/>
  <c r="B130" i="40"/>
  <c r="H129" i="40"/>
  <c r="G129" i="40"/>
  <c r="F129" i="40"/>
  <c r="E129" i="40"/>
  <c r="D129" i="40"/>
  <c r="C129" i="40"/>
  <c r="B129" i="40"/>
  <c r="H128" i="40"/>
  <c r="G128" i="40"/>
  <c r="F128" i="40"/>
  <c r="E128" i="40"/>
  <c r="D128" i="40"/>
  <c r="C128" i="40"/>
  <c r="B128" i="40"/>
  <c r="C127" i="40"/>
  <c r="B127" i="40"/>
  <c r="H126" i="40"/>
  <c r="G126" i="40"/>
  <c r="F126" i="40"/>
  <c r="E126" i="40"/>
  <c r="D126" i="40"/>
  <c r="C126" i="40"/>
  <c r="B126" i="40"/>
  <c r="H125" i="40"/>
  <c r="G125" i="40"/>
  <c r="F125" i="40"/>
  <c r="E125" i="40"/>
  <c r="D125" i="40"/>
  <c r="C125" i="40"/>
  <c r="B125" i="40"/>
  <c r="H124" i="40"/>
  <c r="G124" i="40"/>
  <c r="F124" i="40"/>
  <c r="E124" i="40"/>
  <c r="D124" i="40"/>
  <c r="C124" i="40"/>
  <c r="B124" i="40"/>
  <c r="H123" i="40"/>
  <c r="G123" i="40"/>
  <c r="F123" i="40"/>
  <c r="E123" i="40"/>
  <c r="D123" i="40"/>
  <c r="C123" i="40"/>
  <c r="B123" i="40"/>
  <c r="H122" i="40"/>
  <c r="G122" i="40"/>
  <c r="F122" i="40"/>
  <c r="E122" i="40"/>
  <c r="D122" i="40"/>
  <c r="C122" i="40"/>
  <c r="B122" i="40"/>
  <c r="H121" i="40"/>
  <c r="G121" i="40"/>
  <c r="F121" i="40"/>
  <c r="E121" i="40"/>
  <c r="D121" i="40"/>
  <c r="C121" i="40"/>
  <c r="B121" i="40"/>
  <c r="H120" i="40"/>
  <c r="G120" i="40"/>
  <c r="F120" i="40"/>
  <c r="E120" i="40"/>
  <c r="D120" i="40"/>
  <c r="C120" i="40"/>
  <c r="B120" i="40"/>
  <c r="H117" i="40"/>
  <c r="G117" i="40"/>
  <c r="F117" i="40"/>
  <c r="E117" i="40"/>
  <c r="D117" i="40"/>
  <c r="C117" i="40"/>
  <c r="B117" i="40"/>
  <c r="H116" i="40"/>
  <c r="G116" i="40"/>
  <c r="F116" i="40"/>
  <c r="E116" i="40"/>
  <c r="D116" i="40"/>
  <c r="C116" i="40"/>
  <c r="B116" i="40"/>
  <c r="H115" i="40"/>
  <c r="G115" i="40"/>
  <c r="F115" i="40"/>
  <c r="E115" i="40"/>
  <c r="D115" i="40"/>
  <c r="C115" i="40"/>
  <c r="B115" i="40"/>
  <c r="H114" i="40"/>
  <c r="G114" i="40"/>
  <c r="F114" i="40"/>
  <c r="E114" i="40"/>
  <c r="D114" i="40"/>
  <c r="C114" i="40"/>
  <c r="B114" i="40"/>
  <c r="H113" i="40"/>
  <c r="G113" i="40"/>
  <c r="F113" i="40"/>
  <c r="E113" i="40"/>
  <c r="D113" i="40"/>
  <c r="C113" i="40"/>
  <c r="B113" i="40"/>
  <c r="H112" i="40"/>
  <c r="G112" i="40"/>
  <c r="F112" i="40"/>
  <c r="E112" i="40"/>
  <c r="D112" i="40"/>
  <c r="C112" i="40"/>
  <c r="B112" i="40"/>
  <c r="H111" i="40"/>
  <c r="G111" i="40"/>
  <c r="F111" i="40"/>
  <c r="E111" i="40"/>
  <c r="D111" i="40"/>
  <c r="C111" i="40"/>
  <c r="B111" i="40"/>
  <c r="H102" i="40"/>
  <c r="G102" i="40"/>
  <c r="F102" i="40"/>
  <c r="E102" i="40"/>
  <c r="D102" i="40"/>
  <c r="C102" i="40"/>
  <c r="B102" i="40"/>
  <c r="H101" i="40"/>
  <c r="G101" i="40"/>
  <c r="F101" i="40"/>
  <c r="E101" i="40"/>
  <c r="D101" i="40"/>
  <c r="C101" i="40"/>
  <c r="B101" i="40"/>
  <c r="G100" i="40"/>
  <c r="F100" i="40"/>
  <c r="E100" i="40"/>
  <c r="H99" i="40"/>
  <c r="C99" i="40"/>
  <c r="B99" i="40"/>
  <c r="H98" i="40"/>
  <c r="G98" i="40"/>
  <c r="F98" i="40"/>
  <c r="E98" i="40"/>
  <c r="D98" i="40"/>
  <c r="C98" i="40"/>
  <c r="B98" i="40"/>
  <c r="H97" i="40"/>
  <c r="G97" i="40"/>
  <c r="F97" i="40"/>
  <c r="E97" i="40"/>
  <c r="D97" i="40"/>
  <c r="C97" i="40"/>
  <c r="B97" i="40"/>
  <c r="H96" i="40"/>
  <c r="G96" i="40"/>
  <c r="F96" i="40"/>
  <c r="E96" i="40"/>
  <c r="D96" i="40"/>
  <c r="C96" i="40"/>
  <c r="B96" i="40"/>
  <c r="H95" i="40"/>
  <c r="G95" i="40"/>
  <c r="F95" i="40"/>
  <c r="E95" i="40"/>
  <c r="D95" i="40"/>
  <c r="C95" i="40"/>
  <c r="B95" i="40"/>
  <c r="H94" i="40"/>
  <c r="G94" i="40"/>
  <c r="F94" i="40"/>
  <c r="E94" i="40"/>
  <c r="D94" i="40"/>
  <c r="C94" i="40"/>
  <c r="B94" i="40"/>
  <c r="H92" i="40"/>
  <c r="G92" i="40"/>
  <c r="F92" i="40"/>
  <c r="E92" i="40"/>
  <c r="D92" i="40"/>
  <c r="C92" i="40"/>
  <c r="B92" i="40"/>
  <c r="H91" i="40"/>
  <c r="G91" i="40"/>
  <c r="F91" i="40"/>
  <c r="E91" i="40"/>
  <c r="D91" i="40"/>
  <c r="C91" i="40"/>
  <c r="B91" i="40"/>
  <c r="H90" i="40"/>
  <c r="G90" i="40"/>
  <c r="F90" i="40"/>
  <c r="E90" i="40"/>
  <c r="D90" i="40"/>
  <c r="C90" i="40"/>
  <c r="B90" i="40"/>
  <c r="H89" i="40"/>
  <c r="G89" i="40"/>
  <c r="F89" i="40"/>
  <c r="E89" i="40"/>
  <c r="D89" i="40"/>
  <c r="C89" i="40"/>
  <c r="B89" i="40"/>
  <c r="H88" i="40"/>
  <c r="G88" i="40"/>
  <c r="F88" i="40"/>
  <c r="E88" i="40"/>
  <c r="D88" i="40"/>
  <c r="C88" i="40"/>
  <c r="B88" i="40"/>
  <c r="H87" i="40"/>
  <c r="G87" i="40"/>
  <c r="F87" i="40"/>
  <c r="E87" i="40"/>
  <c r="D87" i="40"/>
  <c r="C87" i="40"/>
  <c r="B87" i="40"/>
  <c r="H86" i="40"/>
  <c r="G86" i="40"/>
  <c r="F86" i="40"/>
  <c r="E86" i="40"/>
  <c r="D86" i="40"/>
  <c r="C86" i="40"/>
  <c r="B86" i="40"/>
  <c r="H85" i="40"/>
  <c r="G85" i="40"/>
  <c r="F85" i="40"/>
  <c r="E85" i="40"/>
  <c r="D85" i="40"/>
  <c r="C85" i="40"/>
  <c r="B85" i="40"/>
  <c r="H84" i="40"/>
  <c r="G84" i="40"/>
  <c r="F84" i="40"/>
  <c r="E84" i="40"/>
  <c r="D84" i="40"/>
  <c r="C84" i="40"/>
  <c r="B84" i="40"/>
  <c r="H83" i="40"/>
  <c r="G83" i="40"/>
  <c r="F83" i="40"/>
  <c r="E83" i="40"/>
  <c r="D83" i="40"/>
  <c r="C83" i="40"/>
  <c r="B83" i="40"/>
  <c r="H82" i="40"/>
  <c r="G82" i="40"/>
  <c r="F82" i="40"/>
  <c r="E82" i="40"/>
  <c r="D82" i="40"/>
  <c r="C82" i="40"/>
  <c r="B82" i="40"/>
  <c r="H81" i="40"/>
  <c r="G81" i="40"/>
  <c r="F81" i="40"/>
  <c r="E81" i="40"/>
  <c r="D81" i="40"/>
  <c r="C81" i="40"/>
  <c r="B81" i="40"/>
  <c r="H80" i="40"/>
  <c r="G80" i="40"/>
  <c r="F80" i="40"/>
  <c r="E80" i="40"/>
  <c r="D80" i="40"/>
  <c r="C80" i="40"/>
  <c r="B80" i="40"/>
  <c r="H79" i="40"/>
  <c r="G79" i="40"/>
  <c r="F79" i="40"/>
  <c r="E79" i="40"/>
  <c r="D79" i="40"/>
  <c r="C79" i="40"/>
  <c r="B79" i="40"/>
  <c r="H78" i="40"/>
  <c r="G78" i="40"/>
  <c r="F78" i="40"/>
  <c r="E78" i="40"/>
  <c r="D78" i="40"/>
  <c r="C78" i="40"/>
  <c r="B78" i="40"/>
  <c r="H77" i="40"/>
  <c r="G77" i="40"/>
  <c r="F77" i="40"/>
  <c r="E77" i="40"/>
  <c r="D77" i="40"/>
  <c r="C77" i="40"/>
  <c r="B77" i="40"/>
  <c r="H76" i="40"/>
  <c r="G76" i="40"/>
  <c r="F76" i="40"/>
  <c r="E76" i="40"/>
  <c r="D76" i="40"/>
  <c r="C76" i="40"/>
  <c r="B76" i="40"/>
  <c r="H75" i="40"/>
  <c r="G75" i="40"/>
  <c r="F75" i="40"/>
  <c r="E75" i="40"/>
  <c r="D75" i="40"/>
  <c r="C75" i="40"/>
  <c r="B75" i="40"/>
  <c r="H74" i="40"/>
  <c r="G74" i="40"/>
  <c r="F74" i="40"/>
  <c r="E74" i="40"/>
  <c r="D74" i="40"/>
  <c r="C74" i="40"/>
  <c r="B74" i="40"/>
  <c r="H73" i="40"/>
  <c r="G73" i="40"/>
  <c r="F73" i="40"/>
  <c r="E73" i="40"/>
  <c r="D73" i="40"/>
  <c r="C73" i="40"/>
  <c r="B73" i="40"/>
  <c r="H60" i="40"/>
  <c r="G60" i="40"/>
  <c r="F60" i="40"/>
  <c r="E60" i="40"/>
  <c r="D60" i="40"/>
  <c r="C60" i="40"/>
  <c r="B60" i="40"/>
  <c r="H59" i="40"/>
  <c r="G59" i="40"/>
  <c r="F59" i="40"/>
  <c r="E59" i="40"/>
  <c r="D59" i="40"/>
  <c r="C59" i="40"/>
  <c r="B59" i="40"/>
  <c r="H58" i="40"/>
  <c r="G58" i="40"/>
  <c r="F58" i="40"/>
  <c r="E58" i="40"/>
  <c r="D58" i="40"/>
  <c r="C58" i="40"/>
  <c r="B58" i="40"/>
  <c r="H57" i="40"/>
  <c r="G57" i="40"/>
  <c r="F57" i="40"/>
  <c r="E57" i="40"/>
  <c r="D57" i="40"/>
  <c r="C57" i="40"/>
  <c r="B57" i="40"/>
  <c r="H56" i="40"/>
  <c r="G56" i="40"/>
  <c r="F56" i="40"/>
  <c r="E56" i="40"/>
  <c r="D56" i="40"/>
  <c r="C56" i="40"/>
  <c r="B56" i="40"/>
  <c r="H55" i="40"/>
  <c r="G55" i="40"/>
  <c r="F55" i="40"/>
  <c r="E55" i="40"/>
  <c r="D55" i="40"/>
  <c r="C55" i="40"/>
  <c r="B55" i="40"/>
  <c r="H54" i="40"/>
  <c r="G54" i="40"/>
  <c r="F54" i="40"/>
  <c r="E54" i="40"/>
  <c r="D54" i="40"/>
  <c r="C54" i="40"/>
  <c r="B54" i="40"/>
  <c r="H53" i="40"/>
  <c r="G53" i="40"/>
  <c r="F53" i="40"/>
  <c r="E53" i="40"/>
  <c r="D53" i="40"/>
  <c r="C53" i="40"/>
  <c r="B53" i="40"/>
  <c r="H52" i="40"/>
  <c r="G52" i="40"/>
  <c r="F52" i="40"/>
  <c r="E52" i="40"/>
  <c r="D52" i="40"/>
  <c r="C52" i="40"/>
  <c r="B52" i="40"/>
  <c r="H51" i="40"/>
  <c r="G51" i="40"/>
  <c r="F51" i="40"/>
  <c r="E51" i="40"/>
  <c r="D51" i="40"/>
  <c r="C51" i="40"/>
  <c r="B51" i="40"/>
  <c r="H37" i="40"/>
  <c r="G37" i="40"/>
  <c r="F37" i="40"/>
  <c r="E37" i="40"/>
  <c r="D37" i="40"/>
  <c r="C37" i="40"/>
  <c r="B37" i="40"/>
  <c r="H36" i="40"/>
  <c r="G36" i="40"/>
  <c r="F36" i="40"/>
  <c r="E36" i="40"/>
  <c r="D36" i="40"/>
  <c r="C36" i="40"/>
  <c r="B36" i="40"/>
  <c r="H35" i="40"/>
  <c r="G35" i="40"/>
  <c r="F35" i="40"/>
  <c r="E35" i="40"/>
  <c r="D35" i="40"/>
  <c r="C35" i="40"/>
  <c r="B35" i="40"/>
  <c r="H34" i="40"/>
  <c r="G34" i="40"/>
  <c r="F34" i="40"/>
  <c r="E34" i="40"/>
  <c r="D34" i="40"/>
  <c r="C34" i="40"/>
  <c r="B34" i="40"/>
  <c r="H33" i="40"/>
  <c r="G33" i="40"/>
  <c r="F33" i="40"/>
  <c r="E33" i="40"/>
  <c r="D33" i="40"/>
  <c r="C33" i="40"/>
  <c r="B33" i="40"/>
  <c r="H32" i="40"/>
  <c r="G32" i="40"/>
  <c r="F32" i="40"/>
  <c r="E32" i="40"/>
  <c r="D32" i="40"/>
  <c r="C32" i="40"/>
  <c r="B32" i="40"/>
  <c r="H31" i="40"/>
  <c r="G31" i="40"/>
  <c r="F31" i="40"/>
  <c r="E31" i="40"/>
  <c r="D31" i="40"/>
  <c r="C31" i="40"/>
  <c r="B31" i="40"/>
  <c r="H30" i="40"/>
  <c r="G30" i="40"/>
  <c r="F30" i="40"/>
  <c r="E30" i="40"/>
  <c r="D30" i="40"/>
  <c r="C30" i="40"/>
  <c r="B30" i="40"/>
  <c r="H29" i="40"/>
  <c r="G29" i="40"/>
  <c r="F29" i="40"/>
  <c r="E29" i="40"/>
  <c r="D29" i="40"/>
  <c r="C29" i="40"/>
  <c r="B29" i="40"/>
  <c r="G28" i="40"/>
  <c r="F28" i="40"/>
  <c r="E28" i="40"/>
  <c r="D28" i="40"/>
  <c r="B28" i="40"/>
  <c r="H25" i="40"/>
  <c r="G25" i="40"/>
  <c r="F25" i="40"/>
  <c r="E25" i="40"/>
  <c r="D25" i="40"/>
  <c r="C25" i="40"/>
  <c r="B25" i="40"/>
  <c r="H24" i="40"/>
  <c r="G24" i="40"/>
  <c r="F24" i="40"/>
  <c r="E24" i="40"/>
  <c r="D24" i="40"/>
  <c r="C24" i="40"/>
  <c r="B24" i="40"/>
  <c r="H23" i="40"/>
  <c r="G23" i="40"/>
  <c r="F23" i="40"/>
  <c r="E23" i="40"/>
  <c r="D23" i="40"/>
  <c r="C23" i="40"/>
  <c r="B23" i="40"/>
  <c r="H22" i="40"/>
  <c r="G22" i="40"/>
  <c r="F22" i="40"/>
  <c r="E22" i="40"/>
  <c r="D22" i="40"/>
  <c r="C22" i="40"/>
  <c r="B22" i="40"/>
  <c r="H21" i="40"/>
  <c r="G21" i="40"/>
  <c r="F21" i="40"/>
  <c r="E21" i="40"/>
  <c r="D21" i="40"/>
  <c r="C21" i="40"/>
  <c r="B21" i="40"/>
  <c r="H20" i="40"/>
  <c r="G20" i="40"/>
  <c r="F20" i="40"/>
  <c r="E20" i="40"/>
  <c r="D20" i="40"/>
  <c r="C20" i="40"/>
  <c r="B20" i="40"/>
  <c r="H19" i="40"/>
  <c r="G19" i="40"/>
  <c r="F19" i="40"/>
  <c r="E19" i="40"/>
  <c r="D19" i="40"/>
  <c r="C19" i="40"/>
  <c r="B19" i="40"/>
  <c r="H18" i="40"/>
  <c r="G18" i="40"/>
  <c r="F18" i="40"/>
  <c r="E18" i="40"/>
  <c r="D18" i="40"/>
  <c r="C18" i="40"/>
  <c r="B18" i="40"/>
  <c r="H17" i="40"/>
  <c r="G17" i="40"/>
  <c r="F17" i="40"/>
  <c r="E17" i="40"/>
  <c r="D17" i="40"/>
  <c r="C17" i="40"/>
  <c r="B17" i="40"/>
  <c r="H16" i="40"/>
  <c r="G16" i="40"/>
  <c r="F16" i="40"/>
  <c r="E16" i="40"/>
  <c r="D16" i="40"/>
  <c r="C16" i="40"/>
  <c r="B16" i="40"/>
  <c r="H15" i="40"/>
  <c r="G15" i="40"/>
  <c r="F15" i="40"/>
  <c r="E15" i="40"/>
  <c r="D15" i="40"/>
  <c r="C15" i="40"/>
  <c r="B15" i="40"/>
  <c r="H160" i="40" l="1"/>
  <c r="G160" i="40"/>
  <c r="F160" i="40"/>
  <c r="E160" i="40"/>
  <c r="D160" i="40"/>
  <c r="C160" i="40"/>
  <c r="B160" i="40"/>
  <c r="H159" i="40"/>
  <c r="G159" i="40"/>
  <c r="F159" i="40"/>
  <c r="D159" i="40"/>
  <c r="C159" i="40"/>
  <c r="B159" i="40"/>
  <c r="H158" i="40"/>
  <c r="G158" i="40"/>
  <c r="F158" i="40"/>
  <c r="E158" i="40"/>
  <c r="D158" i="40"/>
  <c r="C158" i="40"/>
  <c r="B158" i="40"/>
  <c r="H157" i="40"/>
  <c r="G157" i="40"/>
  <c r="F157" i="40"/>
  <c r="E157" i="40"/>
  <c r="D157" i="40"/>
  <c r="C157" i="40"/>
  <c r="B157" i="40"/>
  <c r="H156" i="40"/>
  <c r="G156" i="40"/>
  <c r="F156" i="40"/>
  <c r="E156" i="40"/>
  <c r="D156" i="40"/>
  <c r="C156" i="40"/>
  <c r="B156" i="40"/>
  <c r="H155" i="40"/>
  <c r="G155" i="40"/>
  <c r="F155" i="40"/>
  <c r="E155" i="40"/>
  <c r="D155" i="40"/>
  <c r="C155" i="40"/>
  <c r="B155" i="40"/>
  <c r="H154" i="40"/>
  <c r="G154" i="40"/>
  <c r="F154" i="40"/>
  <c r="E154" i="40"/>
  <c r="D154" i="40"/>
  <c r="C154" i="40"/>
  <c r="B154" i="40"/>
  <c r="H153" i="40"/>
  <c r="G153" i="40"/>
  <c r="F153" i="40"/>
  <c r="E153" i="40"/>
  <c r="D153" i="40"/>
  <c r="C153" i="40"/>
  <c r="B153" i="40"/>
  <c r="H152" i="40"/>
  <c r="G152" i="40"/>
  <c r="F152" i="40"/>
  <c r="E152" i="40"/>
  <c r="D152" i="40"/>
  <c r="C152" i="40"/>
  <c r="B152" i="40"/>
  <c r="H151" i="40"/>
  <c r="G151" i="40"/>
  <c r="F151" i="40"/>
  <c r="E151" i="40"/>
  <c r="D151" i="40"/>
  <c r="C151" i="40"/>
  <c r="B151" i="40"/>
  <c r="H150" i="40"/>
  <c r="G150" i="40"/>
  <c r="F150" i="40"/>
  <c r="E150" i="40"/>
  <c r="D150" i="40"/>
  <c r="C150" i="40"/>
  <c r="B150" i="40"/>
  <c r="H149" i="40"/>
  <c r="G149" i="40"/>
  <c r="F149" i="40"/>
  <c r="E149" i="40"/>
  <c r="D149" i="40"/>
  <c r="C149" i="40"/>
  <c r="B149" i="40"/>
  <c r="H119" i="40"/>
  <c r="G119" i="40"/>
  <c r="F119" i="40"/>
  <c r="E119" i="40"/>
  <c r="D119" i="40"/>
  <c r="C119" i="40"/>
  <c r="B119" i="40"/>
  <c r="H118" i="40"/>
  <c r="G118" i="40"/>
  <c r="F118" i="40"/>
  <c r="E118" i="40"/>
  <c r="D118" i="40"/>
  <c r="C118" i="40"/>
  <c r="B118" i="40"/>
  <c r="H110" i="40"/>
  <c r="G110" i="40"/>
  <c r="F110" i="40"/>
  <c r="E110" i="40"/>
  <c r="D110" i="40"/>
  <c r="C110" i="40"/>
  <c r="B110" i="40"/>
  <c r="H109" i="40"/>
  <c r="G109" i="40"/>
  <c r="F109" i="40"/>
  <c r="E109" i="40"/>
  <c r="D109" i="40"/>
  <c r="B109" i="40"/>
  <c r="H108" i="40"/>
  <c r="G108" i="40"/>
  <c r="F108" i="40"/>
  <c r="E108" i="40"/>
  <c r="D108" i="40"/>
  <c r="C108" i="40"/>
  <c r="B108" i="40"/>
  <c r="H107" i="40"/>
  <c r="G107" i="40"/>
  <c r="F107" i="40"/>
  <c r="E107" i="40"/>
  <c r="D107" i="40"/>
  <c r="C107" i="40"/>
  <c r="B107" i="40"/>
  <c r="H106" i="40"/>
  <c r="G106" i="40"/>
  <c r="F106" i="40"/>
  <c r="E106" i="40"/>
  <c r="D106" i="40"/>
  <c r="C106" i="40"/>
  <c r="B106" i="40"/>
  <c r="H105" i="40"/>
  <c r="G105" i="40"/>
  <c r="F105" i="40"/>
  <c r="E105" i="40"/>
  <c r="D105" i="40"/>
  <c r="C105" i="40"/>
  <c r="B105" i="40"/>
  <c r="H104" i="40"/>
  <c r="G104" i="40"/>
  <c r="F104" i="40"/>
  <c r="E104" i="40"/>
  <c r="D104" i="40"/>
  <c r="C104" i="40"/>
  <c r="B104" i="40"/>
  <c r="H49" i="40"/>
  <c r="G49" i="40"/>
  <c r="F49" i="40"/>
  <c r="E49" i="40"/>
  <c r="D49" i="40"/>
  <c r="C49" i="40"/>
  <c r="B49" i="40"/>
  <c r="H48" i="40"/>
  <c r="G48" i="40"/>
  <c r="F48" i="40"/>
  <c r="E48" i="40"/>
  <c r="D48" i="40"/>
  <c r="C48" i="40"/>
  <c r="B48" i="40"/>
  <c r="H47" i="40"/>
  <c r="G47" i="40"/>
  <c r="F47" i="40"/>
  <c r="E47" i="40"/>
  <c r="D47" i="40"/>
  <c r="C47" i="40"/>
  <c r="B47" i="40"/>
  <c r="H46" i="40"/>
  <c r="G46" i="40"/>
  <c r="F46" i="40"/>
  <c r="E46" i="40"/>
  <c r="D46" i="40"/>
  <c r="H45" i="40"/>
  <c r="G45" i="40"/>
  <c r="F45" i="40"/>
  <c r="E45" i="40"/>
  <c r="D45" i="40"/>
  <c r="C45" i="40"/>
  <c r="B45" i="40"/>
  <c r="H44" i="40"/>
  <c r="G44" i="40"/>
  <c r="F44" i="40"/>
  <c r="E44" i="40"/>
  <c r="D44" i="40"/>
  <c r="C44" i="40"/>
  <c r="B44" i="40"/>
  <c r="H43" i="40"/>
  <c r="G43" i="40"/>
  <c r="F43" i="40"/>
  <c r="E43" i="40"/>
  <c r="D43" i="40"/>
  <c r="C43" i="40"/>
  <c r="B43" i="40"/>
  <c r="H42" i="40"/>
  <c r="G42" i="40"/>
  <c r="F42" i="40"/>
  <c r="E42" i="40"/>
  <c r="B42" i="40"/>
  <c r="H41" i="40"/>
  <c r="G41" i="40"/>
  <c r="F41" i="40"/>
  <c r="E41" i="40"/>
  <c r="D41" i="40"/>
  <c r="C41" i="40"/>
  <c r="B41" i="40"/>
  <c r="H40" i="40"/>
  <c r="G40" i="40"/>
  <c r="F40" i="40"/>
  <c r="E40" i="40"/>
  <c r="D40" i="40"/>
  <c r="C40" i="40"/>
  <c r="B40" i="40"/>
  <c r="H39" i="40"/>
  <c r="G39" i="40"/>
  <c r="F39" i="40"/>
  <c r="E39" i="40"/>
  <c r="D39" i="40"/>
  <c r="C39" i="40"/>
  <c r="B39" i="40"/>
  <c r="H38" i="40"/>
  <c r="G38" i="40"/>
  <c r="F38" i="40"/>
  <c r="E38" i="40"/>
  <c r="D38" i="40"/>
  <c r="C38" i="40"/>
  <c r="B38" i="40"/>
  <c r="H13" i="40"/>
  <c r="G13" i="40"/>
  <c r="F13" i="40"/>
  <c r="E13" i="40"/>
  <c r="D13" i="40"/>
  <c r="C13" i="40"/>
  <c r="B13" i="40"/>
  <c r="H12" i="40"/>
  <c r="G12" i="40"/>
  <c r="F12" i="40"/>
  <c r="E12" i="40"/>
  <c r="D12" i="40"/>
  <c r="C12" i="40"/>
  <c r="B12" i="40"/>
  <c r="H11" i="40"/>
  <c r="G11" i="40"/>
  <c r="F11" i="40"/>
  <c r="E11" i="40"/>
  <c r="D11" i="40"/>
  <c r="C11" i="40"/>
  <c r="B11" i="40"/>
  <c r="H10" i="40"/>
  <c r="G10" i="40"/>
  <c r="F10" i="40"/>
  <c r="E10" i="40"/>
  <c r="D10" i="40"/>
  <c r="C10" i="40"/>
  <c r="B10" i="40"/>
  <c r="H9" i="40"/>
  <c r="G9" i="40"/>
  <c r="F9" i="40"/>
  <c r="E9" i="40"/>
  <c r="D9" i="40"/>
  <c r="C9" i="40"/>
  <c r="B9" i="40"/>
  <c r="H8" i="40"/>
  <c r="G8" i="40"/>
  <c r="F8" i="40"/>
  <c r="E8" i="40"/>
  <c r="D8" i="40"/>
  <c r="C8" i="40"/>
  <c r="B8" i="40"/>
  <c r="H7" i="40"/>
  <c r="G7" i="40"/>
  <c r="F7" i="40"/>
  <c r="E7" i="40"/>
  <c r="D7" i="40"/>
  <c r="C7" i="40"/>
  <c r="B7" i="40"/>
  <c r="H6" i="40"/>
  <c r="G6" i="40"/>
  <c r="F6" i="40"/>
  <c r="E6" i="40"/>
  <c r="D6" i="40"/>
  <c r="C6" i="40"/>
  <c r="B6" i="40"/>
  <c r="H5" i="40"/>
  <c r="G5" i="40"/>
  <c r="F5" i="40"/>
  <c r="E5" i="40"/>
  <c r="B5" i="40"/>
  <c r="H4" i="40"/>
  <c r="G4" i="40"/>
  <c r="F4" i="40"/>
  <c r="E4" i="40"/>
  <c r="D4" i="40"/>
  <c r="C4" i="40"/>
  <c r="B4" i="40"/>
  <c r="H3" i="40"/>
  <c r="G3" i="40"/>
  <c r="F3" i="40"/>
  <c r="E3" i="40"/>
  <c r="D3" i="40"/>
  <c r="C3" i="40"/>
  <c r="B3" i="40"/>
  <c r="H138" i="40" l="1"/>
  <c r="G138" i="40"/>
  <c r="F138" i="40"/>
  <c r="E138" i="40"/>
  <c r="D138" i="40"/>
  <c r="C138" i="40"/>
  <c r="B138" i="40"/>
  <c r="H137" i="40"/>
  <c r="G137" i="40"/>
  <c r="F137" i="40"/>
  <c r="E137" i="40"/>
  <c r="D137" i="40"/>
  <c r="C137" i="40"/>
  <c r="B137" i="40"/>
  <c r="H103" i="40"/>
  <c r="G103" i="40"/>
  <c r="F103" i="40"/>
  <c r="E103" i="40"/>
  <c r="D103" i="40"/>
  <c r="C103" i="40"/>
  <c r="B103" i="40"/>
  <c r="H93" i="40"/>
  <c r="G93" i="40"/>
  <c r="F93" i="40"/>
  <c r="E93" i="40"/>
  <c r="D93" i="40"/>
  <c r="C93" i="40"/>
  <c r="B93" i="40"/>
  <c r="H72" i="40"/>
  <c r="G72" i="40"/>
  <c r="F72" i="40"/>
  <c r="E72" i="40"/>
  <c r="D72" i="40"/>
  <c r="C72" i="40"/>
  <c r="B72" i="40"/>
  <c r="H71" i="40"/>
  <c r="G71" i="40"/>
  <c r="F71" i="40"/>
  <c r="E71" i="40"/>
  <c r="D71" i="40"/>
  <c r="C71" i="40"/>
  <c r="B71" i="40"/>
  <c r="H50" i="40"/>
  <c r="G50" i="40"/>
  <c r="F50" i="40"/>
  <c r="E50" i="40"/>
  <c r="D50" i="40"/>
  <c r="C50" i="40"/>
  <c r="B50" i="40"/>
  <c r="H27" i="40"/>
  <c r="G27" i="40"/>
  <c r="F27" i="40"/>
  <c r="E27" i="40"/>
  <c r="D27" i="40"/>
  <c r="C27" i="40"/>
  <c r="B27" i="40"/>
  <c r="H26" i="40"/>
  <c r="G26" i="40"/>
  <c r="F26" i="40"/>
  <c r="E26" i="40"/>
  <c r="D26" i="40"/>
  <c r="C26" i="40"/>
  <c r="B26" i="40"/>
  <c r="H14" i="40"/>
  <c r="G14" i="40"/>
  <c r="F14" i="40"/>
  <c r="E14" i="40"/>
  <c r="D14" i="40"/>
  <c r="C14" i="40"/>
  <c r="B14" i="40"/>
  <c r="AJ50" i="25" l="1"/>
  <c r="AJ49" i="25"/>
  <c r="AJ48" i="25"/>
  <c r="AJ47" i="25"/>
  <c r="AJ46" i="25"/>
  <c r="AJ45" i="25"/>
  <c r="AJ44" i="25"/>
  <c r="AJ43" i="25"/>
  <c r="AJ42" i="25"/>
  <c r="AJ41" i="25"/>
  <c r="AE50" i="25"/>
  <c r="AE49" i="25"/>
  <c r="AE48" i="25"/>
  <c r="AE47" i="25"/>
  <c r="AE46" i="25"/>
  <c r="AE45" i="25"/>
  <c r="AE44" i="25"/>
  <c r="AE43" i="25"/>
  <c r="AE42" i="25"/>
  <c r="AE41" i="25"/>
  <c r="Z50" i="25"/>
  <c r="Z49" i="25"/>
  <c r="Z48" i="25"/>
  <c r="Z47" i="25"/>
  <c r="Z46" i="25"/>
  <c r="Z45" i="25"/>
  <c r="Z44" i="25"/>
  <c r="Z43" i="25"/>
  <c r="Z42" i="25"/>
  <c r="Z41" i="25"/>
  <c r="U50" i="25"/>
  <c r="U49" i="25"/>
  <c r="U48" i="25"/>
  <c r="U47" i="25"/>
  <c r="U46" i="25"/>
  <c r="U45" i="25"/>
  <c r="U44" i="25"/>
  <c r="U43" i="25"/>
  <c r="U42" i="25"/>
  <c r="U41" i="25"/>
  <c r="P50" i="25"/>
  <c r="P49" i="25"/>
  <c r="P48" i="25"/>
  <c r="P47" i="25"/>
  <c r="P46" i="25"/>
  <c r="P45" i="25"/>
  <c r="P44" i="25"/>
  <c r="P43" i="25"/>
  <c r="P42" i="25"/>
  <c r="P41" i="25"/>
  <c r="K50" i="25"/>
  <c r="K49" i="25"/>
  <c r="K48" i="25"/>
  <c r="K47" i="25"/>
  <c r="K46" i="25"/>
  <c r="K45" i="25"/>
  <c r="K44" i="25"/>
  <c r="K43" i="25"/>
  <c r="K42" i="25"/>
  <c r="K41" i="25"/>
  <c r="F49" i="25"/>
  <c r="F48" i="25"/>
  <c r="F47" i="25"/>
  <c r="F45" i="25"/>
  <c r="F46" i="25"/>
  <c r="F44" i="25"/>
  <c r="F43" i="25"/>
  <c r="F42" i="25"/>
  <c r="B50" i="25" l="1"/>
  <c r="S49" i="40" s="1"/>
  <c r="B43" i="25"/>
  <c r="S42" i="40" s="1"/>
  <c r="B46" i="25"/>
  <c r="S45" i="40" s="1"/>
  <c r="B49" i="25"/>
  <c r="S48" i="40" s="1"/>
  <c r="B42" i="25"/>
  <c r="S41" i="40" s="1"/>
  <c r="B45" i="25"/>
  <c r="S44" i="40" s="1"/>
  <c r="B47" i="25"/>
  <c r="S46" i="40" s="1"/>
  <c r="B48" i="25"/>
  <c r="S47" i="40" s="1"/>
  <c r="B44" i="25"/>
  <c r="S43" i="40" s="1"/>
  <c r="AO7" i="25" l="1"/>
  <c r="AO6" i="25"/>
  <c r="AO8" i="25"/>
  <c r="AO10" i="25"/>
  <c r="AO11" i="25"/>
  <c r="AO12" i="25"/>
  <c r="AO13" i="25"/>
  <c r="AO14" i="25"/>
  <c r="AO15" i="25"/>
  <c r="AO16" i="25"/>
  <c r="AO21" i="25"/>
  <c r="AO22" i="25"/>
  <c r="AO23" i="25"/>
  <c r="AO24" i="25"/>
  <c r="AO25" i="25"/>
  <c r="AO26" i="25"/>
  <c r="AO27" i="25"/>
  <c r="AO28" i="25"/>
  <c r="AO29" i="25"/>
  <c r="AO30" i="25"/>
  <c r="AO31" i="25"/>
  <c r="AO32" i="25"/>
  <c r="AO33" i="25"/>
  <c r="AO34" i="25"/>
  <c r="AO35" i="25"/>
  <c r="AO36" i="25"/>
  <c r="AO17" i="25"/>
  <c r="AO18" i="25"/>
  <c r="AO19" i="25"/>
  <c r="AO20" i="25"/>
  <c r="AO4" i="25" l="1"/>
  <c r="AO9" i="25"/>
  <c r="K164" i="40" l="1"/>
  <c r="T164" i="40"/>
  <c r="E6" i="10" l="1"/>
  <c r="F1" i="25"/>
  <c r="B1" i="40"/>
  <c r="K1" i="40" l="1"/>
  <c r="C1" i="40"/>
  <c r="D1" i="40" s="1"/>
  <c r="E1" i="40" s="1"/>
  <c r="F1" i="40" s="1"/>
  <c r="G1" i="40" s="1"/>
  <c r="H1" i="40" s="1"/>
  <c r="T1" i="40" l="1"/>
  <c r="U1" i="40" s="1"/>
  <c r="V1" i="40" s="1"/>
  <c r="W1" i="40" s="1"/>
  <c r="X1" i="40" s="1"/>
  <c r="Y1" i="40" s="1"/>
  <c r="Z1" i="40" s="1"/>
  <c r="L1" i="40"/>
  <c r="M1" i="40" s="1"/>
  <c r="N1" i="40" s="1"/>
  <c r="O1" i="40" s="1"/>
  <c r="P1" i="40" s="1"/>
  <c r="Q1" i="40" s="1"/>
  <c r="K174" i="40" l="1"/>
  <c r="T174" i="40"/>
  <c r="K166" i="40" l="1"/>
  <c r="T166" i="40"/>
  <c r="F6" i="10" l="1"/>
  <c r="G6" i="10" s="1"/>
  <c r="H6" i="10" s="1"/>
  <c r="I6" i="10" s="1"/>
  <c r="J6" i="10" s="1"/>
  <c r="K6" i="10" s="1"/>
  <c r="J2" i="25" l="1"/>
  <c r="B55" i="25" s="1"/>
  <c r="S54" i="40" s="1"/>
  <c r="AQ10" i="25" l="1"/>
  <c r="AQ6" i="25"/>
  <c r="AQ24" i="25"/>
  <c r="AQ8" i="25" l="1"/>
  <c r="AQ23" i="25"/>
  <c r="AO5" i="25" l="1"/>
  <c r="AQ5" i="25" s="1"/>
  <c r="AQ28" i="25"/>
  <c r="AQ21" i="25"/>
  <c r="AQ15" i="25"/>
  <c r="AQ32" i="25" l="1"/>
  <c r="AQ27" i="25"/>
  <c r="AQ26" i="25"/>
  <c r="AQ31" i="25"/>
  <c r="AQ22" i="25"/>
  <c r="AQ13" i="25"/>
  <c r="AQ12" i="25"/>
  <c r="AQ7" i="25"/>
  <c r="AQ30" i="25"/>
  <c r="AQ11" i="25"/>
  <c r="AQ25" i="25"/>
  <c r="AQ9" i="25"/>
  <c r="AQ14" i="25"/>
  <c r="J134" i="40" l="1"/>
  <c r="J109" i="40" l="1"/>
  <c r="J108" i="40"/>
  <c r="K171" i="40" l="1"/>
  <c r="T171" i="40"/>
  <c r="T167" i="40"/>
  <c r="K167" i="40"/>
  <c r="K173" i="40"/>
  <c r="T173" i="40"/>
  <c r="K165" i="40"/>
  <c r="T165" i="40"/>
  <c r="T169" i="40"/>
  <c r="K169" i="40"/>
  <c r="K170" i="40"/>
  <c r="T170" i="40"/>
  <c r="T168" i="40"/>
  <c r="K168" i="40"/>
  <c r="K172" i="40"/>
  <c r="T172" i="40"/>
  <c r="J135" i="40"/>
  <c r="J137" i="40"/>
  <c r="J136" i="40"/>
  <c r="J139" i="40"/>
  <c r="J140" i="40"/>
  <c r="J138" i="40"/>
  <c r="K175" i="40" l="1"/>
  <c r="T175" i="40"/>
  <c r="J110" i="40"/>
  <c r="K1" i="25" l="1"/>
  <c r="P1" i="25" s="1"/>
  <c r="U1" i="25" s="1"/>
  <c r="B41" i="25" l="1"/>
  <c r="S40" i="40" s="1"/>
  <c r="G2" i="25"/>
  <c r="O2" i="25" l="1"/>
  <c r="B56" i="25" s="1"/>
  <c r="S55" i="40" s="1"/>
  <c r="AQ29" i="25" l="1"/>
  <c r="T2" i="25" l="1"/>
  <c r="B57" i="25" s="1"/>
  <c r="S56" i="40" s="1"/>
  <c r="AD2" i="25"/>
  <c r="B59" i="25" s="1"/>
  <c r="S58" i="40" s="1"/>
  <c r="AN2" i="25"/>
  <c r="B61" i="25" s="1"/>
  <c r="S60" i="40" s="1"/>
  <c r="AI2" i="25"/>
  <c r="B60" i="25" s="1"/>
  <c r="S59" i="40" s="1"/>
  <c r="L2" i="25"/>
  <c r="Z1" i="25"/>
  <c r="AE1" i="25" s="1"/>
  <c r="AJ1" i="25" s="1"/>
  <c r="B1" i="25"/>
  <c r="AO2" i="25" l="1"/>
  <c r="AP1" i="25" s="1"/>
  <c r="AF2" i="25"/>
  <c r="Q2" i="25"/>
  <c r="AA2" i="25"/>
  <c r="AK2" i="25"/>
  <c r="Y2" i="25"/>
  <c r="B58" i="25" s="1"/>
  <c r="S57" i="40" s="1"/>
  <c r="M2" i="25" l="1"/>
  <c r="AG2" i="25"/>
  <c r="AL2" i="25"/>
  <c r="W2" i="25"/>
  <c r="V2" i="25"/>
  <c r="AB2" i="25"/>
  <c r="R2" i="25"/>
  <c r="H2" i="25"/>
  <c r="A12" i="40" l="1"/>
  <c r="A5" i="40"/>
  <c r="A7" i="40"/>
  <c r="A8" i="40"/>
  <c r="A9" i="40"/>
  <c r="A11" i="40"/>
  <c r="A13" i="40"/>
  <c r="A6" i="40"/>
  <c r="A10" i="40"/>
  <c r="A14" i="40"/>
  <c r="A173" i="40"/>
  <c r="A169" i="40" l="1"/>
  <c r="A172" i="40"/>
  <c r="A118" i="40"/>
  <c r="A166" i="40"/>
  <c r="A167" i="40"/>
  <c r="A168" i="40"/>
  <c r="A117" i="40"/>
  <c r="A116" i="40"/>
  <c r="A127" i="40"/>
</calcChain>
</file>

<file path=xl/sharedStrings.xml><?xml version="1.0" encoding="utf-8"?>
<sst xmlns="http://schemas.openxmlformats.org/spreadsheetml/2006/main" count="5616" uniqueCount="720">
  <si>
    <t>:</t>
  </si>
  <si>
    <t>Total jour</t>
  </si>
  <si>
    <t>Heures</t>
  </si>
  <si>
    <t>formation/réunion équipe</t>
  </si>
  <si>
    <t>HSUP</t>
  </si>
  <si>
    <t>login</t>
  </si>
  <si>
    <t>Agents</t>
  </si>
  <si>
    <t>comm1</t>
  </si>
  <si>
    <t>comm2</t>
  </si>
  <si>
    <t>Team</t>
  </si>
  <si>
    <t>Début</t>
  </si>
  <si>
    <t>Pause</t>
  </si>
  <si>
    <t>Fin</t>
  </si>
  <si>
    <t>Total</t>
  </si>
  <si>
    <t>Atelier/ réunion d'Equipe</t>
  </si>
  <si>
    <t>OFF</t>
  </si>
  <si>
    <t>NGUEMESSI Manuella</t>
  </si>
  <si>
    <t>NOGHA PONDY Dylan</t>
  </si>
  <si>
    <t>MOHAMADOU Awalou</t>
  </si>
  <si>
    <t>NUIT</t>
  </si>
  <si>
    <t>Germaine Merveille NGASSA MVOGO</t>
  </si>
  <si>
    <t>LEKAMA Athanase</t>
  </si>
  <si>
    <t>INTEGRITY</t>
  </si>
  <si>
    <t>KOMBOU Jose</t>
  </si>
  <si>
    <t>INNOVATION</t>
  </si>
  <si>
    <t>TANKEU NGUEONG GUY </t>
  </si>
  <si>
    <t>PROFESSIONALISM</t>
  </si>
  <si>
    <t>Toukap Mathilde</t>
  </si>
  <si>
    <t>matin</t>
  </si>
  <si>
    <t>Perf</t>
  </si>
  <si>
    <t>ENEO</t>
  </si>
  <si>
    <t>Soir</t>
  </si>
  <si>
    <t xml:space="preserve">du  </t>
  </si>
  <si>
    <t xml:space="preserve">au </t>
  </si>
  <si>
    <t>Planning S&amp;E semaine</t>
  </si>
  <si>
    <t>Nuit</t>
  </si>
  <si>
    <t xml:space="preserve"> Nomi,  Pelagie</t>
  </si>
  <si>
    <t xml:space="preserve"> SAHOCK DJEUAKAM, ANNE MARCELINE</t>
  </si>
  <si>
    <t xml:space="preserve"> BIBOUM, PIERRE</t>
  </si>
  <si>
    <t xml:space="preserve"> MONGOUE NENKAM, Sorel</t>
  </si>
  <si>
    <t xml:space="preserve"> SOUADIO, Aichatou</t>
  </si>
  <si>
    <t>MOUDIO, Ben Silas</t>
  </si>
  <si>
    <t>TOMO, Simon</t>
  </si>
  <si>
    <t>ADA, Manuela</t>
  </si>
  <si>
    <t>MOHAMADOU AMINOU</t>
  </si>
  <si>
    <t>MUETEBI BOUBA DONALD</t>
  </si>
  <si>
    <t>BAYEMI BA NDUGA LUC JOTHAN CLAUDE</t>
  </si>
  <si>
    <t>JOUONAK CHIMI Sah</t>
  </si>
  <si>
    <t>NGOUGOURE ALASA Aminatou</t>
  </si>
  <si>
    <t>OUAWO DONGUE Mitérand</t>
  </si>
  <si>
    <t>MBOUM NDENGUE ROSELINE CAROLE</t>
  </si>
  <si>
    <t>NKODO NKO'O DANIELLA</t>
  </si>
  <si>
    <t>NTSAMA HENRIETTE</t>
  </si>
  <si>
    <t>BEKALE BITOM</t>
  </si>
  <si>
    <t>TCHOUDJAM DJAMI MELODIE</t>
  </si>
  <si>
    <t>NJEUGUE GEDEON</t>
  </si>
  <si>
    <t>NANGA BERNADETTE SANDRINE</t>
  </si>
  <si>
    <t>NDONGO ONGUENE GHISLAIN RODRIGUE</t>
  </si>
  <si>
    <t>Abina Abina, Timothee Fred</t>
  </si>
  <si>
    <t xml:space="preserve">EYENGA ANABA FIRMIN </t>
  </si>
  <si>
    <t>MOISE NGUIHEG</t>
  </si>
  <si>
    <t>HEUFA YVES STEPHANE</t>
  </si>
  <si>
    <t>TSIMI FABRICE</t>
  </si>
  <si>
    <t>ANYEUG RACHEL ESTHER</t>
  </si>
  <si>
    <t>EWANE MAX CLAUDE</t>
  </si>
  <si>
    <t>FEUGUE AYISSI BLANDINE ALICE</t>
  </si>
  <si>
    <t>NZOYEM KENNE SALOME</t>
  </si>
  <si>
    <t>BENUE</t>
  </si>
  <si>
    <t>CHARI</t>
  </si>
  <si>
    <t>LOGONE</t>
  </si>
  <si>
    <t>SANAGA</t>
  </si>
  <si>
    <t>AUTRES CAMPAGNES</t>
  </si>
  <si>
    <t>TCHOUAMOU TCHOUDI Kailane</t>
  </si>
  <si>
    <t>Matin</t>
  </si>
  <si>
    <t>MC</t>
  </si>
  <si>
    <t>09h-18h</t>
  </si>
  <si>
    <t>NGUELE MFOMO Jean Marie</t>
  </si>
  <si>
    <t>MASSANG AYANGMA Serge Kevin</t>
  </si>
  <si>
    <t>PAM</t>
  </si>
  <si>
    <t>FFD</t>
  </si>
  <si>
    <t>ACTi</t>
  </si>
  <si>
    <t>NANGMO Didele</t>
  </si>
  <si>
    <t>MESSINA REGIS ALEXANDRA</t>
  </si>
  <si>
    <t>NGNIGNIPUTYA ALICE</t>
  </si>
  <si>
    <t>EDIMEGO NELVINE</t>
  </si>
  <si>
    <t>AS</t>
  </si>
  <si>
    <t>TAINGO, Chinaze</t>
  </si>
  <si>
    <t>NGUE OND MARIE GRACE</t>
  </si>
  <si>
    <t>NOUPADJA KAMTE ANICK SARAH</t>
  </si>
  <si>
    <t>BALLA HUBERT STEPHANE</t>
  </si>
  <si>
    <t>DONFACK, MAMANFO BLANDINE</t>
  </si>
  <si>
    <t>GUEBU ESTHER CRISTELLE</t>
  </si>
  <si>
    <t xml:space="preserve">MAMA EBODE BERNADETTE </t>
  </si>
  <si>
    <t>MBOLE ZO'OBO GAELLE</t>
  </si>
  <si>
    <t>MEBOUET KUATE ANNE PATRICIA</t>
  </si>
  <si>
    <t>NANA SIME DIANE ASTRIDE</t>
  </si>
  <si>
    <t>NKOUAMBIA Joel</t>
  </si>
  <si>
    <t>TEUKAM MBATKAM SYLVIE</t>
  </si>
  <si>
    <t>Interm</t>
  </si>
  <si>
    <t>WOURI</t>
  </si>
  <si>
    <t>KYC</t>
  </si>
  <si>
    <t>ABDOURAMAN ALI NGAMBO</t>
  </si>
  <si>
    <t>TOUPOUO CHAHAD</t>
  </si>
  <si>
    <t>EYINGA AKAME VERANNE MERVEILLE SOLEIL</t>
  </si>
  <si>
    <t>CORSOL MARIE MICHELLE</t>
  </si>
  <si>
    <t>GUIADEM MURIELLE SONIA</t>
  </si>
  <si>
    <t>MVIE AHANDA ELIE SIMON PIERRE</t>
  </si>
  <si>
    <t>SIMEU SIMPLICE JOSEPH</t>
  </si>
  <si>
    <t>AUDACITY</t>
  </si>
  <si>
    <t>Fadimatou MFONZIE</t>
  </si>
  <si>
    <t>BOYOMO, Marie Claire</t>
  </si>
  <si>
    <t>MAMGNO DJEMO, Carole</t>
  </si>
  <si>
    <t>ALIMA Marie Thérèse</t>
  </si>
  <si>
    <t>KUETE Armelle</t>
  </si>
  <si>
    <t>NGUEPSI KEMCHE HERMANN</t>
  </si>
  <si>
    <t>MEFAWBOU NGUEWOU LINDA FLAVIE</t>
  </si>
  <si>
    <t>ENADA PAUL SAMUEL</t>
  </si>
  <si>
    <t>AYISSI LOME DIEUDONNE II</t>
  </si>
  <si>
    <t>NKOUANG TITUS JOEL</t>
  </si>
  <si>
    <t>KEUBOU, Belviane</t>
  </si>
  <si>
    <t>HONESTY</t>
  </si>
  <si>
    <t>ALOCK A KIKI LYDIE GAELLE</t>
  </si>
  <si>
    <t>BALOGNYE EMMA SANDRINE</t>
  </si>
  <si>
    <t>BANENLA CLAUDINE</t>
  </si>
  <si>
    <t>EKODO AKONO ARSENE MERCIER</t>
  </si>
  <si>
    <t>KAMRO MARLENE DIANE</t>
  </si>
  <si>
    <t>KIAMBA POUPIE GAELLE</t>
  </si>
  <si>
    <t>KOUMBA EMILIENNE FRANCE LAETITIA</t>
  </si>
  <si>
    <t>LANTOUM MOUSIMA DANIEL JUNIOR</t>
  </si>
  <si>
    <t>MANIDAH TAPIEDA LORRAINE MERVEILLE</t>
  </si>
  <si>
    <t>NKOUMOU ANYOUZOA MYRIAM</t>
  </si>
  <si>
    <t>NOAH NOAH MAXIMIN SAURELLE</t>
  </si>
  <si>
    <t>YANA ALAIN ROLAND</t>
  </si>
  <si>
    <t>YIAGNIGNI MACHE ALIMATOU</t>
  </si>
  <si>
    <t>BOE  ARISTIDE</t>
  </si>
  <si>
    <t>GNOUWE MOUAFO  JOSELINE</t>
  </si>
  <si>
    <t>NKODO NKODO  MICHEL</t>
  </si>
  <si>
    <t>MATIP Christelle</t>
  </si>
  <si>
    <t>NNOMO Frida</t>
  </si>
  <si>
    <t>NGUIMTSA Lauyick</t>
  </si>
  <si>
    <t xml:space="preserve">NGONO NKOA Sonia Gernique </t>
  </si>
  <si>
    <t>noms &amp;prénoms</t>
  </si>
  <si>
    <t>BEUTCHOUANG Joseline</t>
  </si>
  <si>
    <t>S32</t>
  </si>
  <si>
    <t xml:space="preserve">GUILLATA Assana </t>
  </si>
  <si>
    <t>NDOUOP  CLAUDE</t>
  </si>
  <si>
    <t>BAMABITINA PATRICK LONGIN</t>
  </si>
  <si>
    <t>EKOBENA MENANG ROLAND BRICE</t>
  </si>
  <si>
    <t>ELOUNDOU THADDE JEANNEL</t>
  </si>
  <si>
    <t>ENGOULOU SOSTHENE NATHANAEL</t>
  </si>
  <si>
    <t>FEUBI PAULINE MICHELLE</t>
  </si>
  <si>
    <t>GANMOU MINANG SANDRINE STELLA</t>
  </si>
  <si>
    <t>KAMDEM NOUBIAP MIREILLE SYMBELINE</t>
  </si>
  <si>
    <t>MANGA NDONGO JOSEPHINE LAURETTE</t>
  </si>
  <si>
    <t xml:space="preserve">SI NKOAARNOLD CEDRIC </t>
  </si>
  <si>
    <t>ASSISTANCE</t>
  </si>
  <si>
    <t>HP</t>
  </si>
  <si>
    <t>NKOSGO BUNDIN  GABRIEL</t>
  </si>
  <si>
    <t>NYAME TCHANGNE  JESSICA PATRICIA</t>
  </si>
  <si>
    <t>CM</t>
  </si>
  <si>
    <t>MENGATA JUSTIN</t>
  </si>
  <si>
    <t>ATEBA EYENGUA Edith</t>
  </si>
  <si>
    <t>NDOUNTIO TCHINDA ALEX RUPHIN</t>
  </si>
  <si>
    <t>AHMED ABDUL Nasser</t>
  </si>
  <si>
    <t xml:space="preserve">NONO Michelle Dariah </t>
  </si>
  <si>
    <t>CA</t>
  </si>
  <si>
    <t>DISTRIBUTEURS</t>
  </si>
  <si>
    <t>WHATSAPP</t>
  </si>
  <si>
    <t>NGO NKOUMA, Elise</t>
  </si>
  <si>
    <t>NOUTONSSI MBOUCHE, Wilfried</t>
  </si>
  <si>
    <t>BARKA, JUNIOR</t>
  </si>
  <si>
    <t>KOUATCHA, BEKHY</t>
  </si>
  <si>
    <t>NGO KONA, Sariette Prisca</t>
  </si>
  <si>
    <t>DJUNE, ESTELLE</t>
  </si>
  <si>
    <t>NGASSA, ELVIRA</t>
  </si>
  <si>
    <t>MBESSITE, ROMAIN</t>
  </si>
  <si>
    <t>NDOMKOT NYA LUCIEN KEVIN</t>
  </si>
  <si>
    <t>ASANDJON Belvalie</t>
  </si>
  <si>
    <t xml:space="preserve">ENGAL MOUKOMO Blanche Pamela </t>
  </si>
  <si>
    <t xml:space="preserve">TOYI NEMBOUET BLANDINE </t>
  </si>
  <si>
    <t xml:space="preserve">MODO NJOUME BRICE </t>
  </si>
  <si>
    <t xml:space="preserve">PANI AVENA DEROL KEWIN  </t>
  </si>
  <si>
    <t>APKEH CARINE LAURICE</t>
  </si>
  <si>
    <t>BADEFONA SOLANGE AUDREY GAELLE</t>
  </si>
  <si>
    <t>ESSOMBA ESSIMINA FRANK STEPHANE</t>
  </si>
  <si>
    <t>MBONO JOYCE CYNTHIA</t>
  </si>
  <si>
    <t>MESSI MESSI KEVIN TANGUY</t>
  </si>
  <si>
    <t>MINKOE MENYE IRENE BIBICHE</t>
  </si>
  <si>
    <t>NDJAKO A ABOH Arnaud</t>
  </si>
  <si>
    <t>NGOLMA ANDJIGA GERVAIS PACOME</t>
  </si>
  <si>
    <t>TENZE LEA</t>
  </si>
  <si>
    <t>ZE DANY ROLAND</t>
  </si>
  <si>
    <t>NGAYAWANAKA DJALLO Claude</t>
  </si>
  <si>
    <t>SOUSSIA BRONDON</t>
  </si>
  <si>
    <t>ACQ</t>
  </si>
  <si>
    <t>MAJ</t>
  </si>
  <si>
    <t>BABOSSA PAUL HERMANN</t>
  </si>
  <si>
    <t>MANGA JEANNE JOYCE</t>
  </si>
  <si>
    <t>MOUMI TOKO THIBAULT RONALDO</t>
  </si>
  <si>
    <t>TAKAM DJITCHA  FRANCK ROSTAND</t>
  </si>
  <si>
    <t>FONYE FABRICE</t>
  </si>
  <si>
    <t>BODJONDE BOBE CHRISTINE NENETTE</t>
  </si>
  <si>
    <t>EPANGUE UMJOELLE</t>
  </si>
  <si>
    <t>NGO BAYII BA SOUCK JACQUELINE FELICITE</t>
  </si>
  <si>
    <t>ABOMO Gladys</t>
  </si>
  <si>
    <t xml:space="preserve">ALEMNJU </t>
  </si>
  <si>
    <t xml:space="preserve">NOAH AMBOMO </t>
  </si>
  <si>
    <t>ABDEL NACER OUMAROU SEIDOU</t>
  </si>
  <si>
    <t>ABDOURAHMAN HAMIDOU</t>
  </si>
  <si>
    <t>AISSATOU Dahirou</t>
  </si>
  <si>
    <t xml:space="preserve">ALIOU  Saidou </t>
  </si>
  <si>
    <t>DJANABOU SOULEYMANOU</t>
  </si>
  <si>
    <t>IBRAHIM  ABOUBAKAR</t>
  </si>
  <si>
    <t>MAÎRAMA BEGAM Sans prénom</t>
  </si>
  <si>
    <t>MOHAMADOU  LAMINOU</t>
  </si>
  <si>
    <t>MOUSSA DJOBDI</t>
  </si>
  <si>
    <t>NOURRADINE ASSAPHI YOUSSOUFA</t>
  </si>
  <si>
    <t>RAYANG YOUALESSAM BONIFACE</t>
  </si>
  <si>
    <t>SOULEYMAN OUMAROU</t>
  </si>
  <si>
    <t>WAKEM WAMBE  NARCISSE JOEL</t>
  </si>
  <si>
    <t>NJIOMO TIMO  ELTONE PRISCA</t>
  </si>
  <si>
    <t xml:space="preserve">NYEHEG JOSE JAQUES </t>
  </si>
  <si>
    <t>ABOUDOU KOSSINGO MEGANE</t>
  </si>
  <si>
    <t>FADIMATOU</t>
  </si>
  <si>
    <t>lundi</t>
  </si>
  <si>
    <t>mardi</t>
  </si>
  <si>
    <t>mercredi</t>
  </si>
  <si>
    <t>jeudi</t>
  </si>
  <si>
    <t>vendredi</t>
  </si>
  <si>
    <t>samedi</t>
  </si>
  <si>
    <t>dimanche</t>
  </si>
  <si>
    <t>ATANGANA FLORENCE</t>
  </si>
  <si>
    <t>DENGUE ENGUENE ARLETTE PAULE</t>
  </si>
  <si>
    <t>DJOUEGO TCHAMO BELINDA</t>
  </si>
  <si>
    <t>FOTSING CHAMBERLIN WILFRIED</t>
  </si>
  <si>
    <t>KAMNO TUENO FABIOLA BLANDINE</t>
  </si>
  <si>
    <t>MADJA TAKOU CRESENCE VANIELLE</t>
  </si>
  <si>
    <t>NGO MBOUA GRACE</t>
  </si>
  <si>
    <t>NGO SONG MONIQUE</t>
  </si>
  <si>
    <t>NGOUNOU ESPERANDA SEPHORA</t>
  </si>
  <si>
    <t>NGOUNOUE IDA LAETICIA</t>
  </si>
  <si>
    <t>NGUENANG NGAKO GAEL BRICE</t>
  </si>
  <si>
    <t>NJOUGOUO DIANE VERDAINE</t>
  </si>
  <si>
    <t>NKOULOU ENYEGUE SAMIRA MAZARINE</t>
  </si>
  <si>
    <t>TANE EZECHIEL</t>
  </si>
  <si>
    <t>Kalla Mbappe, Martine Nadia Laure</t>
  </si>
  <si>
    <t>BURAL</t>
  </si>
  <si>
    <t>localité</t>
  </si>
  <si>
    <t xml:space="preserve">MAMAH FOTSING SYNTIA </t>
  </si>
  <si>
    <t xml:space="preserve">ETOUNOU AMOUGOU SOPHIE DORETTE </t>
  </si>
  <si>
    <t xml:space="preserve">KEDE ANDOUM IDA </t>
  </si>
  <si>
    <t xml:space="preserve">NSADJO NOMI PRISCA </t>
  </si>
  <si>
    <t xml:space="preserve">MEVANG MEDOU MARTINE GRACE </t>
  </si>
  <si>
    <t xml:space="preserve">TSANE PRISCILLE JULIE  </t>
  </si>
  <si>
    <t xml:space="preserve">FOZIN JOUFFO GUILOU </t>
  </si>
  <si>
    <t xml:space="preserve">EGOUME ATANGANA HERVEE GERALDINE </t>
  </si>
  <si>
    <t xml:space="preserve">DIPITA TOCK LAKENE MARCELLE </t>
  </si>
  <si>
    <t xml:space="preserve">TANGANG TCHAGOP LINDA VANISSA </t>
  </si>
  <si>
    <t>BIYEM</t>
  </si>
  <si>
    <t>NKOLB</t>
  </si>
  <si>
    <t>NKOAB</t>
  </si>
  <si>
    <t>MVOGA</t>
  </si>
  <si>
    <t>ELEVE</t>
  </si>
  <si>
    <t>SOA</t>
  </si>
  <si>
    <t>MIMBO</t>
  </si>
  <si>
    <t>SIMBO</t>
  </si>
  <si>
    <t>MENDO</t>
  </si>
  <si>
    <t>DAMAS</t>
  </si>
  <si>
    <t>NSIME</t>
  </si>
  <si>
    <t>NGOUS</t>
  </si>
  <si>
    <t>TONGO</t>
  </si>
  <si>
    <t>EMANA</t>
  </si>
  <si>
    <t>NGOAE</t>
  </si>
  <si>
    <t>MELEN</t>
  </si>
  <si>
    <t>NKOLM</t>
  </si>
  <si>
    <t>MESSA6</t>
  </si>
  <si>
    <t>MVAN</t>
  </si>
  <si>
    <t>ETOUG</t>
  </si>
  <si>
    <t>MANGU</t>
  </si>
  <si>
    <t>LEBOU</t>
  </si>
  <si>
    <t>CITEV</t>
  </si>
  <si>
    <t>MVOGM</t>
  </si>
  <si>
    <t>ESSOS</t>
  </si>
  <si>
    <t>NSAM</t>
  </si>
  <si>
    <t>ETUDI</t>
  </si>
  <si>
    <t>MVOGB</t>
  </si>
  <si>
    <t>EKOUN</t>
  </si>
  <si>
    <t>OMNIS</t>
  </si>
  <si>
    <t>EFOUL</t>
  </si>
  <si>
    <t>BASTO</t>
  </si>
  <si>
    <t>ETOUGE</t>
  </si>
  <si>
    <t>EKIE</t>
  </si>
  <si>
    <t>OLEMB</t>
  </si>
  <si>
    <t>NYOM2</t>
  </si>
  <si>
    <t>OYOMA</t>
  </si>
  <si>
    <t>AWAE</t>
  </si>
  <si>
    <t>ABOMO Madeleine</t>
  </si>
  <si>
    <t>BOHONO BOMONO  EGENIE</t>
  </si>
  <si>
    <t>DJIBRIL MAMOUT</t>
  </si>
  <si>
    <t>TAD</t>
  </si>
  <si>
    <t>PADESCE</t>
  </si>
  <si>
    <t>Michelle, SUH</t>
  </si>
  <si>
    <t>DEUGOUE TANKWA LUCIENNE</t>
  </si>
  <si>
    <t>AYAKALA BETENE LAETICIA</t>
  </si>
  <si>
    <t>ENGANALIM ESTELLE PRISCA</t>
  </si>
  <si>
    <t>WATCHE KENMI LINDA FRANCESCA</t>
  </si>
  <si>
    <t>BIN YAMINE AMADOU BOUBA</t>
  </si>
  <si>
    <t>AMINATOU DONNA</t>
  </si>
  <si>
    <t>KOUBE MADINATOU ANAKAYE</t>
  </si>
  <si>
    <t>EKENG JACQUES YVES</t>
  </si>
  <si>
    <t>SIDDIKI OUSMANOU</t>
  </si>
  <si>
    <t>VOUNTAI DAMOUTCH</t>
  </si>
  <si>
    <t>MOKHTAR KASSOUA</t>
  </si>
  <si>
    <t xml:space="preserve">BESSECK A BABA CHRISTELLE LARISSE </t>
  </si>
  <si>
    <t xml:space="preserve">MOUNG ESSOMBE CAROLE DESIREE </t>
  </si>
  <si>
    <t xml:space="preserve">OMVOA FOUDA SOPHIE FORT </t>
  </si>
  <si>
    <t>DZOYEM LITHESE FLORA</t>
  </si>
  <si>
    <t xml:space="preserve">FANYIM THOMAS </t>
  </si>
  <si>
    <t xml:space="preserve">MAKOU MANUELA </t>
  </si>
  <si>
    <t xml:space="preserve">DJOBOM VATSOU WILLIAM VICTOR </t>
  </si>
  <si>
    <t xml:space="preserve">IKOULA MARTHE CLÉONCE </t>
  </si>
  <si>
    <t xml:space="preserve">SADOU FRÉDÉRIC </t>
  </si>
  <si>
    <t xml:space="preserve">ANDANG BITOGO DILANE </t>
  </si>
  <si>
    <t xml:space="preserve">EDIBENBEGNI NICAISE RAISSA </t>
  </si>
  <si>
    <t>TSEKAM LADORINE ARMELLE</t>
  </si>
  <si>
    <t>TS</t>
  </si>
  <si>
    <t>RP</t>
  </si>
  <si>
    <t>EM</t>
  </si>
  <si>
    <t>CQ</t>
  </si>
  <si>
    <t>GF</t>
  </si>
  <si>
    <t>ALEGA BISSO, JEANNE SANDRA</t>
  </si>
  <si>
    <t>BALA, CRESSENCE KIMERA</t>
  </si>
  <si>
    <t>BIBOUM MAHOP, Samuel</t>
  </si>
  <si>
    <t>KOUOSU KAMENI, Juliette</t>
  </si>
  <si>
    <t>MESSI, Marie Stéphanie Laure</t>
  </si>
  <si>
    <t>MOKO MBOUMA, ARIEL</t>
  </si>
  <si>
    <t>NDZANA, Jeannot</t>
  </si>
  <si>
    <t>NGANBO NANA, Christine</t>
  </si>
  <si>
    <t>NGOUNOUGOU, Rose Natacha</t>
  </si>
  <si>
    <t>NWAHA, Paul</t>
  </si>
  <si>
    <t>NWATCHOC, Brenda Henri</t>
  </si>
  <si>
    <t>NYIMI, ERNESTINE</t>
  </si>
  <si>
    <t>OUM, LEONIE</t>
  </si>
  <si>
    <t>MAP</t>
  </si>
  <si>
    <t>PERMISSION</t>
  </si>
  <si>
    <t xml:space="preserve">tranches </t>
  </si>
  <si>
    <t>ENG</t>
  </si>
  <si>
    <t>FRE</t>
  </si>
  <si>
    <t>Hplan</t>
  </si>
  <si>
    <t>NB</t>
  </si>
  <si>
    <t>AUTRES ACT</t>
  </si>
  <si>
    <t>DA</t>
  </si>
  <si>
    <t>BO</t>
  </si>
  <si>
    <t>CBC</t>
  </si>
  <si>
    <t>PROD</t>
  </si>
  <si>
    <t>Eff plan</t>
  </si>
  <si>
    <t>Belle Francine</t>
  </si>
  <si>
    <t>Ngo Ndjock Therese</t>
  </si>
  <si>
    <t>Mibilo Aline</t>
  </si>
  <si>
    <t>Pacha Ladifatou</t>
  </si>
  <si>
    <t>Sibeffo Sonia</t>
  </si>
  <si>
    <t>Njonkam Stephanie</t>
  </si>
  <si>
    <t>Mfonzie Adija</t>
  </si>
  <si>
    <t>TR</t>
  </si>
  <si>
    <t>Com</t>
  </si>
  <si>
    <t>Langue</t>
  </si>
  <si>
    <t>Superviseur</t>
  </si>
  <si>
    <t>FRE, ANG, BAM</t>
  </si>
  <si>
    <t>HANDY JANG DANIEL</t>
  </si>
  <si>
    <t>AICHA ABOUBAKAR</t>
  </si>
  <si>
    <t>ALIOU DJAOURO</t>
  </si>
  <si>
    <t>MBUSIN OLIVE</t>
  </si>
  <si>
    <t>LEMNYUY VANESSA</t>
  </si>
  <si>
    <t>SIGNE WINIFRED</t>
  </si>
  <si>
    <t>FARIDA MALIKIF</t>
  </si>
  <si>
    <t>FFD/ENG</t>
  </si>
  <si>
    <t>FRE; BAM</t>
  </si>
  <si>
    <t>EKOUM REINE ELISABETH</t>
  </si>
  <si>
    <t>ESSOMBA NGUENDA MARIE MICHELLE</t>
  </si>
  <si>
    <t>NGO NDJENG MARIE-PIERRETTE</t>
  </si>
  <si>
    <t>MBELE Jeanne Rosine</t>
  </si>
  <si>
    <t>ABDOUR RAHIM SAMBO</t>
  </si>
  <si>
    <t xml:space="preserve">AMINATOU HAMADOU </t>
  </si>
  <si>
    <t xml:space="preserve">BAGUIROU  </t>
  </si>
  <si>
    <t>BEN NIRYENE TONDJI  FRANK LEPERS</t>
  </si>
  <si>
    <t>DJAGARA  MARKOUS</t>
  </si>
  <si>
    <t>KOULTCHOUMI FADIMATOU HAMAN</t>
  </si>
  <si>
    <t>MOHAMAN BELLO  HAMIDA</t>
  </si>
  <si>
    <t>SAMIRA MOUSSA  KONATE</t>
  </si>
  <si>
    <t>YAYA BARKINDO</t>
  </si>
  <si>
    <t>ZOURMBA JAMES</t>
  </si>
  <si>
    <t>SEYO</t>
  </si>
  <si>
    <t>Digit-Impact</t>
  </si>
  <si>
    <t>Digit- Engagement</t>
  </si>
  <si>
    <t>Essama  Mireille Honorine</t>
  </si>
  <si>
    <t>PAUSE</t>
  </si>
  <si>
    <t>TT</t>
  </si>
  <si>
    <t>BALKISSOU ISSOUPHA</t>
  </si>
  <si>
    <t>Souraiya edrissou</t>
  </si>
  <si>
    <t>Bissombi Divine</t>
  </si>
  <si>
    <t>FRE_</t>
  </si>
  <si>
    <t>UPOWA</t>
  </si>
  <si>
    <t>ADAMA YOUSSOUFA MARSOURA</t>
  </si>
  <si>
    <t>PAUSES</t>
  </si>
  <si>
    <t>BU</t>
  </si>
  <si>
    <t>BO SUP</t>
  </si>
  <si>
    <t>ANDRE CALVIN</t>
  </si>
  <si>
    <t>07h-16h</t>
  </si>
  <si>
    <t>08h-17h</t>
  </si>
  <si>
    <t>Off</t>
  </si>
  <si>
    <t>MADELEINE N</t>
  </si>
  <si>
    <t>HERVE B</t>
  </si>
  <si>
    <t>PATRICK A</t>
  </si>
  <si>
    <t>GEROME B</t>
  </si>
  <si>
    <t>KYC/Whatsapp</t>
  </si>
  <si>
    <t>LYONEL K</t>
  </si>
  <si>
    <t>WFM et REPORTING</t>
  </si>
  <si>
    <t>ARMELLE</t>
  </si>
  <si>
    <t>JEAN DANIEL</t>
  </si>
  <si>
    <t>GISCARD</t>
  </si>
  <si>
    <t>DAMARIS</t>
  </si>
  <si>
    <t>MARIUS</t>
  </si>
  <si>
    <t>LUC</t>
  </si>
  <si>
    <t>JULIENNE</t>
  </si>
  <si>
    <t>MULTI CAMPAGNE</t>
  </si>
  <si>
    <t>Josiane Boyomo</t>
  </si>
  <si>
    <t>Dave Essama</t>
  </si>
  <si>
    <t xml:space="preserve">Rodrigue Beyeck </t>
  </si>
  <si>
    <t>LUCIE</t>
  </si>
  <si>
    <t>RAISSA MATHO</t>
  </si>
  <si>
    <t xml:space="preserve">ZOULE </t>
  </si>
  <si>
    <t>TRESOR</t>
  </si>
  <si>
    <t>NADEGE</t>
  </si>
  <si>
    <t>SAMUEL MISSIKA</t>
  </si>
  <si>
    <t>AUDREY L</t>
  </si>
  <si>
    <t>PATRICK G</t>
  </si>
  <si>
    <t xml:space="preserve">DIANE </t>
  </si>
  <si>
    <t>SIMON</t>
  </si>
  <si>
    <t>PIERRETTE</t>
  </si>
  <si>
    <t>Brian</t>
  </si>
  <si>
    <t>Simplice</t>
  </si>
  <si>
    <t>Euloge</t>
  </si>
  <si>
    <t xml:space="preserve">Jean-Jacques  </t>
  </si>
  <si>
    <t>BELDO</t>
  </si>
  <si>
    <t>Gaelle</t>
  </si>
  <si>
    <t>Chanelle</t>
  </si>
  <si>
    <t xml:space="preserve">Hadirou </t>
  </si>
  <si>
    <t xml:space="preserve">Aurelie </t>
  </si>
  <si>
    <t xml:space="preserve">Loris </t>
  </si>
  <si>
    <t>Benjamin</t>
  </si>
  <si>
    <t>Eve</t>
  </si>
  <si>
    <t xml:space="preserve">Melissa </t>
  </si>
  <si>
    <t>ANTA  GUEYE</t>
  </si>
  <si>
    <t>BOULI NDOBO  STEVE DENIS</t>
  </si>
  <si>
    <t>DJAMILLA MUMTAZ</t>
  </si>
  <si>
    <t>EONE  FRANCK EMMANUEL</t>
  </si>
  <si>
    <t>FOKA  TRISTAND VALEZ</t>
  </si>
  <si>
    <t>S</t>
  </si>
  <si>
    <t>IMBOUSSI MAYANG ALEX LUIGY</t>
  </si>
  <si>
    <t>MATJABI  RUBEN</t>
  </si>
  <si>
    <t>NOUBISSI TCHAMO NORBERT HERMANN</t>
  </si>
  <si>
    <t>TCHOUADJE SIWE  CHRISTOPHE COLOMB</t>
  </si>
  <si>
    <t>TEGUE KAMGA  MARCEL HUBERT</t>
  </si>
  <si>
    <t>6m</t>
  </si>
  <si>
    <t xml:space="preserve"> </t>
  </si>
  <si>
    <t>13h-22h</t>
  </si>
  <si>
    <t>11h-20h</t>
  </si>
  <si>
    <t>CONNEXION+</t>
  </si>
  <si>
    <t>SF</t>
  </si>
  <si>
    <t>NC</t>
  </si>
  <si>
    <t>FY</t>
  </si>
  <si>
    <t>BJ</t>
  </si>
  <si>
    <t>MH</t>
  </si>
  <si>
    <t>HH</t>
  </si>
  <si>
    <t>HL</t>
  </si>
  <si>
    <t>RN</t>
  </si>
  <si>
    <t>FB</t>
  </si>
  <si>
    <t>JP</t>
  </si>
  <si>
    <t>GS</t>
  </si>
  <si>
    <t>TQ</t>
  </si>
  <si>
    <t>TH</t>
  </si>
  <si>
    <t>TB</t>
  </si>
  <si>
    <t>VL</t>
  </si>
  <si>
    <t>DD</t>
  </si>
  <si>
    <t>LW</t>
  </si>
  <si>
    <t>JT</t>
  </si>
  <si>
    <t>WF</t>
  </si>
  <si>
    <t>CS</t>
  </si>
  <si>
    <t>YC</t>
  </si>
  <si>
    <t>MR</t>
  </si>
  <si>
    <t>SH</t>
  </si>
  <si>
    <t>TG</t>
  </si>
  <si>
    <t>SV</t>
  </si>
  <si>
    <t>HY</t>
  </si>
  <si>
    <t>GZ</t>
  </si>
  <si>
    <t>XK</t>
  </si>
  <si>
    <t>ZM</t>
  </si>
  <si>
    <t>XH</t>
  </si>
  <si>
    <t>ZJ</t>
  </si>
  <si>
    <t>CD</t>
  </si>
  <si>
    <t>SC</t>
  </si>
  <si>
    <t>BW</t>
  </si>
  <si>
    <t>JQ</t>
  </si>
  <si>
    <t>RM</t>
  </si>
  <si>
    <t>PV</t>
  </si>
  <si>
    <t>QC</t>
  </si>
  <si>
    <t>KB</t>
  </si>
  <si>
    <t>LR</t>
  </si>
  <si>
    <t>SZ</t>
  </si>
  <si>
    <t>NG</t>
  </si>
  <si>
    <t>SM</t>
  </si>
  <si>
    <t xml:space="preserve">Armelle Ngnintedem </t>
  </si>
  <si>
    <t>MULTICAMPAGNES</t>
  </si>
  <si>
    <t>HORLINE</t>
  </si>
  <si>
    <t>ALEXANDRA</t>
  </si>
  <si>
    <t>LAKENE</t>
  </si>
  <si>
    <t>Freddy</t>
  </si>
  <si>
    <t>16h-22h</t>
  </si>
  <si>
    <t>JOSEPH</t>
  </si>
  <si>
    <t>MOISE</t>
  </si>
  <si>
    <t>PERFORMANCE</t>
  </si>
  <si>
    <t>MFOUNDA Yannick</t>
  </si>
  <si>
    <t>TR/TV</t>
  </si>
  <si>
    <t>AS OCM</t>
  </si>
  <si>
    <t>VERICAM</t>
  </si>
  <si>
    <r>
      <rPr>
        <b/>
        <sz val="18"/>
        <color theme="0"/>
        <rFont val="Calibri"/>
        <family val="2"/>
        <scheme val="minor"/>
      </rPr>
      <t>REUNION D'EQUIPE</t>
    </r>
    <r>
      <rPr>
        <b/>
        <sz val="18"/>
        <color rgb="FF7AE997"/>
        <rFont val="Calibri"/>
        <family val="2"/>
        <scheme val="minor"/>
      </rPr>
      <t xml:space="preserve"> /ATELIERS</t>
    </r>
  </si>
  <si>
    <t>REUNION D'EQUIPE &amp; ATELIER</t>
  </si>
  <si>
    <t>AMANA</t>
  </si>
  <si>
    <t>ABDOURAMAN MAHAMAT</t>
  </si>
  <si>
    <t>AICHA YAKOURA</t>
  </si>
  <si>
    <t>AMINATOU BABA MARLYSE</t>
  </si>
  <si>
    <t>CHIOMA KALU RUTH RUTH</t>
  </si>
  <si>
    <t>MOUHAMADOU NAZIROU IBN BABA HAMATOUKOUR</t>
  </si>
  <si>
    <t>SIDJE MBOUGUENG STEPHANIE</t>
  </si>
  <si>
    <t>YACK JOHN DIMETRID</t>
  </si>
  <si>
    <t>FADIMATOU SONWANE BABILA</t>
  </si>
  <si>
    <t>ABOMO VERA LAURETTE</t>
  </si>
  <si>
    <t>MIDIGAINI DJAMBA AMOS</t>
  </si>
  <si>
    <t>NEICHE NGAPIAPSI CHRISTIAN STEVE</t>
  </si>
  <si>
    <t>NDEНТСНЕK SAKOANE ELISABETH</t>
  </si>
  <si>
    <t>NDZIE MENANG YOLANDE ARMELLE</t>
  </si>
  <si>
    <t>16/24/20/5/25/22/19</t>
  </si>
  <si>
    <t>Nkou Lima Sabine Stella</t>
  </si>
  <si>
    <t>MOHAMADOU SEINI</t>
  </si>
  <si>
    <t>LEBOUMA ROSE</t>
  </si>
  <si>
    <t>NTOUKEM ALISONE</t>
  </si>
  <si>
    <t>07h30-09h</t>
  </si>
  <si>
    <t>AE</t>
  </si>
  <si>
    <t>Colonne1</t>
  </si>
  <si>
    <t>NPS</t>
  </si>
  <si>
    <t>MVONDO VICTOIRE</t>
  </si>
  <si>
    <t>ABESSOLO LYN</t>
  </si>
  <si>
    <t>PATRICK EPOH</t>
  </si>
  <si>
    <t>ARNOLD BESSARA</t>
  </si>
  <si>
    <t>ACHURN</t>
  </si>
  <si>
    <t>RENEW</t>
  </si>
  <si>
    <t>YOUGNIA ARMAND</t>
  </si>
  <si>
    <t>SIEWE THIERRY</t>
  </si>
  <si>
    <t>UPSELL</t>
  </si>
  <si>
    <t>ID</t>
  </si>
  <si>
    <t>ABENG ASHELY</t>
  </si>
  <si>
    <t>NGOKO NGAKO CHRISTELLE</t>
  </si>
  <si>
    <t>NGUIMEYA ARMELLE NADINE</t>
  </si>
  <si>
    <t>PAKI OLIVE LAURETTE</t>
  </si>
  <si>
    <t>HONNESTY</t>
  </si>
  <si>
    <t>T</t>
  </si>
  <si>
    <t>WAIGUENA Jacob</t>
  </si>
  <si>
    <t>R</t>
  </si>
  <si>
    <t>LISSOM Robert Félicien Wilson</t>
  </si>
  <si>
    <t>PREPROD</t>
  </si>
  <si>
    <t>OSSELE BELLA LOISE LARAINE</t>
  </si>
  <si>
    <t>NGO HOND MARIE LOUISE</t>
  </si>
  <si>
    <t>ELOUNDOU LEMANA Patrick</t>
  </si>
  <si>
    <t>AKABA Emilienne</t>
  </si>
  <si>
    <t>CI</t>
  </si>
  <si>
    <t>Housseini Moubarack</t>
  </si>
  <si>
    <t>BUCREP</t>
  </si>
  <si>
    <t>Mohamed Bouba Sadik</t>
  </si>
  <si>
    <t>Kadjeitty Clemence</t>
  </si>
  <si>
    <t>Nigarda </t>
  </si>
  <si>
    <t>Jalill Mbombo Njoya</t>
  </si>
  <si>
    <t>Harouna  guidado </t>
  </si>
  <si>
    <t>Koumis Bitcha</t>
  </si>
  <si>
    <t>Bile Abanda Anne Marie</t>
  </si>
  <si>
    <t>Tsapi Kenne Nirice Carelle</t>
  </si>
  <si>
    <t>Ilyassou Adamou</t>
  </si>
  <si>
    <t>Faridatou mamoudou</t>
  </si>
  <si>
    <t>gestion des coûts</t>
  </si>
  <si>
    <t>dépassement</t>
  </si>
  <si>
    <t>AKAK</t>
  </si>
  <si>
    <t>essos</t>
  </si>
  <si>
    <t>NKOME</t>
  </si>
  <si>
    <t>FOUGE</t>
  </si>
  <si>
    <t>OKOLA</t>
  </si>
  <si>
    <t>NKOLF</t>
  </si>
  <si>
    <t>FEBE</t>
  </si>
  <si>
    <t>NKOMK</t>
  </si>
  <si>
    <t>PALAI</t>
  </si>
  <si>
    <t>ETOA</t>
  </si>
  <si>
    <t>mangu</t>
  </si>
  <si>
    <t>nkolb</t>
  </si>
  <si>
    <t>NKOMO</t>
  </si>
  <si>
    <t>MVOGMB</t>
  </si>
  <si>
    <t>TSINGV</t>
  </si>
  <si>
    <t>BRIQU</t>
  </si>
  <si>
    <t>foug</t>
  </si>
  <si>
    <t>MBANK</t>
  </si>
  <si>
    <t>ECOL</t>
  </si>
  <si>
    <t>FOUG</t>
  </si>
  <si>
    <t>messa</t>
  </si>
  <si>
    <t>BITEN</t>
  </si>
  <si>
    <t>Début2</t>
  </si>
  <si>
    <t>Pause3</t>
  </si>
  <si>
    <t>Colonne4</t>
  </si>
  <si>
    <t>Fin5</t>
  </si>
  <si>
    <t>Total6</t>
  </si>
  <si>
    <t>Début7</t>
  </si>
  <si>
    <t>Pause8</t>
  </si>
  <si>
    <t>Colonne9</t>
  </si>
  <si>
    <t>Fin10</t>
  </si>
  <si>
    <t>Total11</t>
  </si>
  <si>
    <t>Début12</t>
  </si>
  <si>
    <t>Pause13</t>
  </si>
  <si>
    <t>Colonne14</t>
  </si>
  <si>
    <t>Fin15</t>
  </si>
  <si>
    <t>Total16</t>
  </si>
  <si>
    <t>Début17</t>
  </si>
  <si>
    <t>Pause18</t>
  </si>
  <si>
    <t>Colonne19</t>
  </si>
  <si>
    <t>Fin20</t>
  </si>
  <si>
    <t>Total21</t>
  </si>
  <si>
    <t>Début22</t>
  </si>
  <si>
    <t>Pause23</t>
  </si>
  <si>
    <t>Colonne24</t>
  </si>
  <si>
    <t>Fin25</t>
  </si>
  <si>
    <t>Total26</t>
  </si>
  <si>
    <t>Début27</t>
  </si>
  <si>
    <t>Pause28</t>
  </si>
  <si>
    <t>Colonne29</t>
  </si>
  <si>
    <t>Fin30</t>
  </si>
  <si>
    <t>Total31</t>
  </si>
  <si>
    <t>Total32</t>
  </si>
  <si>
    <t>ZEUDEU MANEDONG Vanessa</t>
  </si>
  <si>
    <t>MAFFOUOMENE TADA IVANELLE</t>
  </si>
  <si>
    <t>CA3</t>
  </si>
  <si>
    <t>Compétences</t>
  </si>
  <si>
    <t>TEAM</t>
  </si>
  <si>
    <t>NYOWIKE</t>
  </si>
  <si>
    <t>FERIE</t>
  </si>
  <si>
    <t>CA1</t>
  </si>
  <si>
    <t>7h-12h</t>
  </si>
  <si>
    <t>15h-20h</t>
  </si>
  <si>
    <t>12h-17h</t>
  </si>
  <si>
    <t>FFD PROLOG</t>
  </si>
  <si>
    <t>NB MAI2026</t>
  </si>
  <si>
    <t>14;</t>
  </si>
  <si>
    <t>15;</t>
  </si>
  <si>
    <t>Abdoulaye Lawane</t>
  </si>
  <si>
    <t>Aissatou Ibrahima</t>
  </si>
  <si>
    <t>Daly Hamadou</t>
  </si>
  <si>
    <t>Fadimatou Souleymane</t>
  </si>
  <si>
    <t>HASSAN  HAMIDOU</t>
  </si>
  <si>
    <t>Mohamadou hafizou</t>
  </si>
  <si>
    <t>Mouhamad Bello</t>
  </si>
  <si>
    <t>Tegodne Joyce</t>
  </si>
  <si>
    <t>Todou Nataniel</t>
  </si>
  <si>
    <t>Yaya Abdoulaye</t>
  </si>
  <si>
    <t>Zakari Yaou Bello Bello</t>
  </si>
  <si>
    <t xml:space="preserve">Akono Ngavoula Marthe Ernestine </t>
  </si>
  <si>
    <t>BELINGA MESSIA PAUL HENRi</t>
  </si>
  <si>
    <t>Enane Begue Venant Junior</t>
  </si>
  <si>
    <t>ESEMBIENG ONIEL FONJOCK</t>
  </si>
  <si>
    <t>Jean Hans Raoul TEMGA</t>
  </si>
  <si>
    <t>KAPCHIE TANGNI SYLVIANE FLORA</t>
  </si>
  <si>
    <t>KEMETIA MANFFOUO Verdiane Michel</t>
  </si>
  <si>
    <t>Lambert-Corinne Olivia NDZANA ELANGA</t>
  </si>
  <si>
    <t>MADJOUFAN KAPAWOU INNETTE</t>
  </si>
  <si>
    <t>MAGNI NGANGA Yollie Vanessa</t>
  </si>
  <si>
    <t>MAGOU Mireille</t>
  </si>
  <si>
    <t>MBILLA TCHOUTEZO Glwadys Laure</t>
  </si>
  <si>
    <t>Mboye Fabienne Audrey</t>
  </si>
  <si>
    <t>MENOUNGA Leroc</t>
  </si>
  <si>
    <t>Mfoum Ngono Lucie</t>
  </si>
  <si>
    <t>Michel René Ele</t>
  </si>
  <si>
    <t>Moukouri Oba Yves Benjamin</t>
  </si>
  <si>
    <t>NGA ATANGANA Clémentine
Oriane Kellie</t>
  </si>
  <si>
    <t>NGONGANG Leonel Ludovic</t>
  </si>
  <si>
    <t>NZOUKEU TCHATCHOUA Merveille</t>
  </si>
  <si>
    <t>Tankeu Njiognou Leance Deliane</t>
  </si>
  <si>
    <t>Refresh</t>
  </si>
  <si>
    <t>permission</t>
  </si>
  <si>
    <t>Congés annuels</t>
  </si>
  <si>
    <t>Congé de Maternité</t>
  </si>
  <si>
    <t>Heure de Tété</t>
  </si>
  <si>
    <t>Repos Hebdo</t>
  </si>
  <si>
    <t>Formation planifiée</t>
  </si>
  <si>
    <t>Pauses</t>
  </si>
  <si>
    <t>Maladie</t>
  </si>
  <si>
    <t>Absence</t>
  </si>
  <si>
    <t>Retard</t>
  </si>
  <si>
    <t>Départ anticipé</t>
  </si>
  <si>
    <t>Autorisation d'absence (événements en famille)</t>
  </si>
  <si>
    <t>Session qualité</t>
  </si>
  <si>
    <t>Mise à pied</t>
  </si>
  <si>
    <t>Incident technique</t>
  </si>
  <si>
    <t>autres activités</t>
  </si>
  <si>
    <t xml:space="preserve">heures planifées </t>
  </si>
  <si>
    <t>effectif Global</t>
  </si>
  <si>
    <t>LUNDI</t>
  </si>
  <si>
    <t>MARDI</t>
  </si>
  <si>
    <t>MERCREDI</t>
  </si>
  <si>
    <t>JEUDI</t>
  </si>
  <si>
    <t>VENDREDI</t>
  </si>
  <si>
    <t>SAMEDI</t>
  </si>
  <si>
    <t>DIMANCHE</t>
  </si>
  <si>
    <t>Permission</t>
  </si>
  <si>
    <t>MA</t>
  </si>
  <si>
    <t>&gt;0</t>
  </si>
  <si>
    <t>COMP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</si>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</sst>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F800]dddd\,\ mmmm\ dd\,\ yyyy"/>
    <numFmt numFmtId="165" formatCode="[h]:mm:ss;@"/>
    <numFmt numFmtId="166" formatCode="h:mm;@"/>
    <numFmt numFmtId="167" formatCode="0.0%"/>
    <numFmt numFmtId="168" formatCode="_-* #,##0_-;\-* #,##0_-;_-* &quot;-&quot;??_-;_-@_-"/>
    <numFmt numFmtId="169" formatCode="[$-F400]h:mm:ss\ AM/PM"/>
    <numFmt numFmtId="170" formatCode="_-* #,##0\ [$FCFA-2C0C]_-;\-* #,##0\ [$FCFA-2C0C]_-;_-* &quot;-&quot;\ [$FCFA-2C0C]_-;_-@_-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FF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Segoe U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2060"/>
      <name val="Calibri"/>
      <family val="2"/>
    </font>
    <font>
      <b/>
      <sz val="12"/>
      <color rgb="FF002060"/>
      <name val="Calibri"/>
      <family val="2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FFFF00"/>
      <name val="Calibri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sz val="11"/>
      <color theme="0"/>
      <name val="Calibri"/>
      <family val="2"/>
    </font>
    <font>
      <sz val="10"/>
      <color rgb="FF002060"/>
      <name val="Calibri"/>
      <family val="2"/>
    </font>
    <font>
      <b/>
      <sz val="11"/>
      <color theme="0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005C00"/>
      <name val="Calibri"/>
      <family val="2"/>
      <scheme val="minor"/>
    </font>
    <font>
      <sz val="10"/>
      <color theme="1"/>
      <name val="Calibri"/>
      <family val="2"/>
    </font>
    <font>
      <b/>
      <sz val="11"/>
      <color rgb="FFED0000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FFFF"/>
      <name val="Times New Roman"/>
      <family val="1"/>
    </font>
    <font>
      <b/>
      <sz val="11"/>
      <color rgb="FF00B0F0"/>
      <name val="Calibri"/>
      <family val="2"/>
    </font>
    <font>
      <sz val="11"/>
      <color rgb="FF002060"/>
      <name val="Calibri"/>
      <family val="2"/>
    </font>
    <font>
      <b/>
      <sz val="11"/>
      <color rgb="FF32005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1"/>
      <color theme="5"/>
      <name val="Calibri"/>
      <family val="2"/>
    </font>
    <font>
      <b/>
      <sz val="11"/>
      <color rgb="FF00B0F0"/>
      <name val="Calibri"/>
      <family val="2"/>
      <scheme val="minor"/>
    </font>
    <font>
      <b/>
      <sz val="18"/>
      <color rgb="FF7AE997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color rgb="FF002060"/>
      <name val="Calibri"/>
      <family val="2"/>
    </font>
    <font>
      <b/>
      <sz val="10"/>
      <color theme="0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i/>
      <sz val="10"/>
      <color rgb="FF002060"/>
      <name val="Calibri"/>
      <family val="2"/>
    </font>
    <font>
      <sz val="10"/>
      <color theme="9"/>
      <name val="Calibri"/>
      <family val="2"/>
      <scheme val="minor"/>
    </font>
    <font>
      <sz val="10"/>
      <color rgb="FF92D050"/>
      <name val="Calibri"/>
      <family val="2"/>
      <scheme val="minor"/>
    </font>
    <font>
      <sz val="10"/>
      <color rgb="FFFF4645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8"/>
      </patternFill>
    </fill>
    <fill>
      <patternFill patternType="solid">
        <fgColor theme="5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52"/>
        <bgColor indexed="8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3886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FF00"/>
        <bgColor indexed="8"/>
      </patternFill>
    </fill>
    <fill>
      <patternFill patternType="solid">
        <fgColor rgb="FF60E119"/>
        <bgColor indexed="64"/>
      </patternFill>
    </fill>
    <fill>
      <patternFill patternType="solid">
        <fgColor rgb="FF00204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7F3F0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66500"/>
        <bgColor indexed="64"/>
      </patternFill>
    </fill>
    <fill>
      <patternFill patternType="solid">
        <fgColor rgb="FFF0FC8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60E119"/>
        <bgColor indexed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590000"/>
        <bgColor indexed="8"/>
      </patternFill>
    </fill>
    <fill>
      <patternFill patternType="solid">
        <fgColor rgb="FF787800"/>
        <bgColor indexed="8"/>
      </patternFill>
    </fill>
    <fill>
      <patternFill patternType="solid">
        <fgColor rgb="FF4B4B4B"/>
        <bgColor indexed="8"/>
      </patternFill>
    </fill>
    <fill>
      <patternFill patternType="solid">
        <fgColor rgb="FFFAFA32"/>
        <bgColor indexed="8"/>
      </patternFill>
    </fill>
    <fill>
      <patternFill patternType="solid">
        <fgColor rgb="FF68F200"/>
        <bgColor indexed="8"/>
      </patternFill>
    </fill>
    <fill>
      <patternFill patternType="solid">
        <fgColor rgb="FFEA3F10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rgb="FFDCAF0A"/>
        <bgColor indexed="8"/>
      </patternFill>
    </fill>
    <fill>
      <patternFill patternType="solid">
        <fgColor rgb="FF92548B"/>
        <bgColor indexed="8"/>
      </patternFill>
    </fill>
    <fill>
      <patternFill patternType="solid">
        <fgColor rgb="FF00B0F0"/>
        <bgColor indexed="8"/>
      </patternFill>
    </fill>
    <fill>
      <patternFill patternType="solid">
        <fgColor rgb="FF68F200"/>
        <bgColor indexed="64"/>
      </patternFill>
    </fill>
    <fill>
      <patternFill patternType="solid">
        <fgColor theme="8"/>
        <bgColor indexed="8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FF0000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53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/>
      <bottom/>
      <diagonal/>
    </border>
    <border>
      <left style="medium">
        <color indexed="9"/>
      </left>
      <right/>
      <top/>
      <bottom style="thin">
        <color indexed="64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53"/>
      </right>
      <top style="medium">
        <color indexed="9"/>
      </top>
      <bottom style="medium">
        <color indexed="9"/>
      </bottom>
      <diagonal/>
    </border>
    <border>
      <left style="medium">
        <color indexed="53"/>
      </left>
      <right style="medium">
        <color indexed="9"/>
      </right>
      <top/>
      <bottom style="medium">
        <color indexed="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53"/>
      </right>
      <top/>
      <bottom/>
      <diagonal/>
    </border>
    <border>
      <left style="medium">
        <color indexed="53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rgb="FFED7B30"/>
      </left>
      <right style="dashed">
        <color rgb="FFF2F2F2"/>
      </right>
      <top style="dashed">
        <color rgb="FFF2F2F2"/>
      </top>
      <bottom style="dashed">
        <color rgb="FFF2F2F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53"/>
      </left>
      <right style="medium">
        <color indexed="9"/>
      </right>
      <top style="thin">
        <color indexed="9"/>
      </top>
      <bottom/>
      <diagonal/>
    </border>
    <border>
      <left/>
      <right style="dashed">
        <color rgb="FFF2F2F2"/>
      </right>
      <top style="dashed">
        <color rgb="FFF2F2F2"/>
      </top>
      <bottom style="dashed">
        <color rgb="FFF2F2F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0" fontId="10" fillId="0" borderId="0"/>
    <xf numFmtId="164" fontId="12" fillId="0" borderId="0"/>
    <xf numFmtId="164" fontId="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4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54">
    <xf numFmtId="0" fontId="0" fillId="0" borderId="0" xfId="0"/>
    <xf numFmtId="0" fontId="3" fillId="0" borderId="0" xfId="0" applyFont="1" applyAlignment="1">
      <alignment horizontal="left"/>
    </xf>
    <xf numFmtId="165" fontId="7" fillId="4" borderId="3" xfId="2" applyNumberFormat="1" applyFont="1" applyFill="1" applyBorder="1" applyAlignment="1">
      <alignment horizontal="left" vertical="center"/>
    </xf>
    <xf numFmtId="1" fontId="7" fillId="4" borderId="4" xfId="2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164" fontId="6" fillId="5" borderId="6" xfId="2" applyFont="1" applyFill="1" applyBorder="1" applyAlignment="1">
      <alignment horizontal="left" vertical="center"/>
    </xf>
    <xf numFmtId="1" fontId="6" fillId="5" borderId="7" xfId="2" applyNumberFormat="1" applyFont="1" applyFill="1" applyBorder="1" applyAlignment="1">
      <alignment horizontal="left" vertical="center"/>
    </xf>
    <xf numFmtId="9" fontId="6" fillId="5" borderId="7" xfId="1" applyFont="1" applyFill="1" applyBorder="1" applyAlignment="1">
      <alignment horizontal="left" vertical="center"/>
    </xf>
    <xf numFmtId="164" fontId="6" fillId="5" borderId="7" xfId="2" applyFont="1" applyFill="1" applyBorder="1" applyAlignment="1">
      <alignment horizontal="left" vertical="center"/>
    </xf>
    <xf numFmtId="165" fontId="3" fillId="6" borderId="0" xfId="2" applyNumberFormat="1" applyFont="1" applyFill="1" applyAlignment="1">
      <alignment horizontal="left" vertical="center"/>
    </xf>
    <xf numFmtId="165" fontId="3" fillId="7" borderId="0" xfId="0" applyNumberFormat="1" applyFont="1" applyFill="1" applyAlignment="1">
      <alignment horizontal="left"/>
    </xf>
    <xf numFmtId="21" fontId="3" fillId="0" borderId="0" xfId="0" applyNumberFormat="1" applyFont="1" applyAlignment="1">
      <alignment horizontal="left" vertical="center"/>
    </xf>
    <xf numFmtId="46" fontId="3" fillId="0" borderId="0" xfId="0" applyNumberFormat="1" applyFont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164" fontId="6" fillId="9" borderId="8" xfId="2" applyFont="1" applyFill="1" applyBorder="1" applyAlignment="1">
      <alignment horizontal="left" vertical="center"/>
    </xf>
    <xf numFmtId="164" fontId="6" fillId="9" borderId="0" xfId="2" applyFont="1" applyFill="1" applyAlignment="1">
      <alignment horizontal="left" vertical="center"/>
    </xf>
    <xf numFmtId="164" fontId="6" fillId="6" borderId="9" xfId="2" applyFont="1" applyFill="1" applyBorder="1" applyAlignment="1">
      <alignment horizontal="left" vertical="center"/>
    </xf>
    <xf numFmtId="164" fontId="6" fillId="10" borderId="6" xfId="2" applyFont="1" applyFill="1" applyBorder="1" applyAlignment="1">
      <alignment horizontal="left" vertical="center"/>
    </xf>
    <xf numFmtId="164" fontId="6" fillId="10" borderId="10" xfId="2" applyFont="1" applyFill="1" applyBorder="1" applyAlignment="1">
      <alignment horizontal="left" vertical="center"/>
    </xf>
    <xf numFmtId="164" fontId="6" fillId="10" borderId="11" xfId="2" applyFont="1" applyFill="1" applyBorder="1" applyAlignment="1">
      <alignment horizontal="left" vertical="center"/>
    </xf>
    <xf numFmtId="164" fontId="6" fillId="10" borderId="7" xfId="2" applyFont="1" applyFill="1" applyBorder="1" applyAlignment="1">
      <alignment horizontal="left" vertical="center"/>
    </xf>
    <xf numFmtId="164" fontId="6" fillId="5" borderId="10" xfId="2" applyFont="1" applyFill="1" applyBorder="1" applyAlignment="1">
      <alignment horizontal="left" vertical="center"/>
    </xf>
    <xf numFmtId="164" fontId="6" fillId="5" borderId="12" xfId="2" applyFont="1" applyFill="1" applyBorder="1" applyAlignment="1">
      <alignment horizontal="left" vertical="center"/>
    </xf>
    <xf numFmtId="164" fontId="6" fillId="10" borderId="13" xfId="2" applyFont="1" applyFill="1" applyBorder="1" applyAlignment="1">
      <alignment horizontal="left" vertical="center"/>
    </xf>
    <xf numFmtId="164" fontId="6" fillId="10" borderId="4" xfId="2" applyFont="1" applyFill="1" applyBorder="1" applyAlignment="1">
      <alignment horizontal="left" vertical="top" wrapText="1"/>
    </xf>
    <xf numFmtId="0" fontId="3" fillId="11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20" fontId="3" fillId="13" borderId="8" xfId="2" applyNumberFormat="1" applyFont="1" applyFill="1" applyBorder="1" applyAlignment="1">
      <alignment horizontal="left" vertical="top"/>
    </xf>
    <xf numFmtId="165" fontId="3" fillId="5" borderId="17" xfId="5" applyNumberFormat="1" applyFont="1" applyFill="1" applyBorder="1" applyAlignment="1">
      <alignment horizontal="left" vertical="top"/>
    </xf>
    <xf numFmtId="46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13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1" fontId="5" fillId="3" borderId="19" xfId="2" applyNumberFormat="1" applyFont="1" applyFill="1" applyBorder="1" applyAlignment="1">
      <alignment horizontal="left" vertical="center"/>
    </xf>
    <xf numFmtId="164" fontId="7" fillId="20" borderId="0" xfId="2" applyFont="1" applyFill="1" applyAlignment="1">
      <alignment horizontal="left" vertical="center"/>
    </xf>
    <xf numFmtId="165" fontId="7" fillId="20" borderId="21" xfId="2" applyNumberFormat="1" applyFont="1" applyFill="1" applyBorder="1" applyAlignment="1">
      <alignment horizontal="left" vertical="center"/>
    </xf>
    <xf numFmtId="164" fontId="7" fillId="20" borderId="3" xfId="2" applyFont="1" applyFill="1" applyBorder="1" applyAlignment="1">
      <alignment horizontal="left" vertical="center"/>
    </xf>
    <xf numFmtId="164" fontId="7" fillId="20" borderId="4" xfId="2" applyFont="1" applyFill="1" applyBorder="1" applyAlignment="1">
      <alignment horizontal="left" vertical="center"/>
    </xf>
    <xf numFmtId="164" fontId="6" fillId="6" borderId="1" xfId="2" applyFont="1" applyFill="1" applyBorder="1" applyAlignment="1">
      <alignment horizontal="left" vertical="center"/>
    </xf>
    <xf numFmtId="164" fontId="6" fillId="5" borderId="1" xfId="2" applyFont="1" applyFill="1" applyBorder="1" applyAlignment="1">
      <alignment horizontal="left" vertical="center"/>
    </xf>
    <xf numFmtId="1" fontId="6" fillId="5" borderId="1" xfId="2" applyNumberFormat="1" applyFont="1" applyFill="1" applyBorder="1" applyAlignment="1">
      <alignment horizontal="left" vertical="center"/>
    </xf>
    <xf numFmtId="9" fontId="6" fillId="5" borderId="1" xfId="1" applyFont="1" applyFill="1" applyBorder="1" applyAlignment="1">
      <alignment horizontal="left" vertical="center"/>
    </xf>
    <xf numFmtId="165" fontId="3" fillId="6" borderId="1" xfId="2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26" borderId="24" xfId="0" applyFont="1" applyFill="1" applyBorder="1" applyAlignment="1">
      <alignment vertical="center"/>
    </xf>
    <xf numFmtId="0" fontId="2" fillId="26" borderId="24" xfId="0" applyFont="1" applyFill="1" applyBorder="1" applyAlignment="1">
      <alignment horizontal="center" vertical="center"/>
    </xf>
    <xf numFmtId="1" fontId="5" fillId="3" borderId="2" xfId="2" applyNumberFormat="1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20" fontId="3" fillId="13" borderId="27" xfId="2" applyNumberFormat="1" applyFont="1" applyFill="1" applyBorder="1" applyAlignment="1">
      <alignment horizontal="left" vertical="top"/>
    </xf>
    <xf numFmtId="165" fontId="3" fillId="0" borderId="0" xfId="0" applyNumberFormat="1" applyFont="1" applyAlignment="1">
      <alignment horizontal="left" vertical="center"/>
    </xf>
    <xf numFmtId="0" fontId="22" fillId="0" borderId="0" xfId="0" applyFont="1"/>
    <xf numFmtId="0" fontId="23" fillId="0" borderId="1" xfId="0" applyFont="1" applyBorder="1" applyAlignment="1">
      <alignment vertical="top"/>
    </xf>
    <xf numFmtId="0" fontId="2" fillId="0" borderId="0" xfId="0" applyFont="1"/>
    <xf numFmtId="0" fontId="0" fillId="28" borderId="0" xfId="0" applyFill="1"/>
    <xf numFmtId="20" fontId="2" fillId="0" borderId="0" xfId="0" applyNumberFormat="1" applyFont="1"/>
    <xf numFmtId="0" fontId="0" fillId="30" borderId="0" xfId="0" applyFill="1"/>
    <xf numFmtId="0" fontId="0" fillId="27" borderId="0" xfId="0" applyFill="1"/>
    <xf numFmtId="0" fontId="24" fillId="19" borderId="0" xfId="0" applyFont="1" applyFill="1"/>
    <xf numFmtId="164" fontId="6" fillId="6" borderId="22" xfId="2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1" fontId="6" fillId="18" borderId="6" xfId="2" applyNumberFormat="1" applyFont="1" applyFill="1" applyBorder="1" applyAlignment="1">
      <alignment horizontal="left" vertical="center"/>
    </xf>
    <xf numFmtId="0" fontId="7" fillId="12" borderId="7" xfId="2" applyNumberFormat="1" applyFont="1" applyFill="1" applyBorder="1" applyAlignment="1">
      <alignment horizontal="center" vertical="center"/>
    </xf>
    <xf numFmtId="0" fontId="13" fillId="0" borderId="0" xfId="0" applyFont="1"/>
    <xf numFmtId="0" fontId="13" fillId="2" borderId="0" xfId="0" applyFont="1" applyFill="1" applyAlignment="1">
      <alignment horizontal="left"/>
    </xf>
    <xf numFmtId="0" fontId="2" fillId="0" borderId="0" xfId="0" quotePrefix="1" applyFont="1" applyAlignment="1">
      <alignment horizontal="left"/>
    </xf>
    <xf numFmtId="46" fontId="6" fillId="5" borderId="16" xfId="0" applyNumberFormat="1" applyFont="1" applyFill="1" applyBorder="1" applyAlignment="1">
      <alignment horizontal="left" vertical="center"/>
    </xf>
    <xf numFmtId="20" fontId="3" fillId="16" borderId="8" xfId="2" applyNumberFormat="1" applyFont="1" applyFill="1" applyBorder="1" applyAlignment="1">
      <alignment horizontal="left" vertical="top"/>
    </xf>
    <xf numFmtId="20" fontId="3" fillId="16" borderId="15" xfId="2" applyNumberFormat="1" applyFont="1" applyFill="1" applyBorder="1" applyAlignment="1">
      <alignment horizontal="left" vertical="top"/>
    </xf>
    <xf numFmtId="20" fontId="6" fillId="22" borderId="8" xfId="2" applyNumberFormat="1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left" vertical="top"/>
    </xf>
    <xf numFmtId="0" fontId="4" fillId="32" borderId="1" xfId="0" applyFont="1" applyFill="1" applyBorder="1" applyAlignment="1">
      <alignment horizontal="left" vertical="top"/>
    </xf>
    <xf numFmtId="0" fontId="4" fillId="28" borderId="1" xfId="0" applyFont="1" applyFill="1" applyBorder="1" applyAlignment="1">
      <alignment horizontal="left" vertical="top"/>
    </xf>
    <xf numFmtId="166" fontId="28" fillId="0" borderId="8" xfId="5" applyNumberFormat="1" applyFont="1" applyBorder="1" applyAlignment="1">
      <alignment horizontal="left" vertical="center"/>
    </xf>
    <xf numFmtId="20" fontId="3" fillId="15" borderId="15" xfId="2" applyNumberFormat="1" applyFont="1" applyFill="1" applyBorder="1" applyAlignment="1">
      <alignment horizontal="left" vertical="top"/>
    </xf>
    <xf numFmtId="166" fontId="28" fillId="0" borderId="15" xfId="5" applyNumberFormat="1" applyFont="1" applyBorder="1" applyAlignment="1">
      <alignment horizontal="left" vertical="center"/>
    </xf>
    <xf numFmtId="20" fontId="6" fillId="13" borderId="15" xfId="2" applyNumberFormat="1" applyFont="1" applyFill="1" applyBorder="1" applyAlignment="1">
      <alignment horizontal="left" vertical="center"/>
    </xf>
    <xf numFmtId="46" fontId="3" fillId="5" borderId="16" xfId="0" applyNumberFormat="1" applyFont="1" applyFill="1" applyBorder="1" applyAlignment="1">
      <alignment horizontal="left" vertical="top"/>
    </xf>
    <xf numFmtId="20" fontId="8" fillId="19" borderId="8" xfId="2" applyNumberFormat="1" applyFont="1" applyFill="1" applyBorder="1" applyAlignment="1">
      <alignment horizontal="left" vertical="top"/>
    </xf>
    <xf numFmtId="20" fontId="8" fillId="19" borderId="15" xfId="2" applyNumberFormat="1" applyFont="1" applyFill="1" applyBorder="1" applyAlignment="1">
      <alignment horizontal="left" vertical="top"/>
    </xf>
    <xf numFmtId="166" fontId="3" fillId="14" borderId="15" xfId="5" applyNumberFormat="1" applyFont="1" applyFill="1" applyBorder="1" applyAlignment="1">
      <alignment horizontal="left" vertical="center"/>
    </xf>
    <xf numFmtId="166" fontId="28" fillId="0" borderId="0" xfId="5" applyNumberFormat="1" applyFont="1" applyAlignment="1">
      <alignment horizontal="left" vertical="center"/>
    </xf>
    <xf numFmtId="0" fontId="31" fillId="24" borderId="1" xfId="0" applyFont="1" applyFill="1" applyBorder="1" applyAlignment="1">
      <alignment horizontal="center" vertical="center"/>
    </xf>
    <xf numFmtId="20" fontId="3" fillId="13" borderId="31" xfId="2" applyNumberFormat="1" applyFont="1" applyFill="1" applyBorder="1" applyAlignment="1">
      <alignment horizontal="left" vertical="top"/>
    </xf>
    <xf numFmtId="0" fontId="4" fillId="33" borderId="1" xfId="0" applyFont="1" applyFill="1" applyBorder="1" applyAlignment="1">
      <alignment horizontal="left" vertical="top"/>
    </xf>
    <xf numFmtId="20" fontId="3" fillId="16" borderId="0" xfId="2" applyNumberFormat="1" applyFont="1" applyFill="1" applyAlignment="1">
      <alignment horizontal="left" vertical="top"/>
    </xf>
    <xf numFmtId="20" fontId="3" fillId="22" borderId="8" xfId="2" applyNumberFormat="1" applyFont="1" applyFill="1" applyBorder="1" applyAlignment="1">
      <alignment horizontal="left" vertical="top"/>
    </xf>
    <xf numFmtId="20" fontId="3" fillId="22" borderId="15" xfId="2" applyNumberFormat="1" applyFont="1" applyFill="1" applyBorder="1" applyAlignment="1">
      <alignment horizontal="left" vertical="top"/>
    </xf>
    <xf numFmtId="20" fontId="6" fillId="13" borderId="0" xfId="2" applyNumberFormat="1" applyFont="1" applyFill="1" applyAlignment="1">
      <alignment horizontal="left" vertical="center"/>
    </xf>
    <xf numFmtId="20" fontId="3" fillId="13" borderId="0" xfId="2" applyNumberFormat="1" applyFont="1" applyFill="1" applyAlignment="1">
      <alignment horizontal="left" vertical="top"/>
    </xf>
    <xf numFmtId="166" fontId="3" fillId="14" borderId="0" xfId="5" applyNumberFormat="1" applyFont="1" applyFill="1" applyAlignment="1">
      <alignment horizontal="left" vertical="center"/>
    </xf>
    <xf numFmtId="20" fontId="3" fillId="15" borderId="0" xfId="2" applyNumberFormat="1" applyFont="1" applyFill="1" applyAlignment="1">
      <alignment horizontal="left" vertical="top"/>
    </xf>
    <xf numFmtId="1" fontId="5" fillId="3" borderId="0" xfId="2" applyNumberFormat="1" applyFont="1" applyFill="1" applyAlignment="1">
      <alignment horizontal="left" vertical="center"/>
    </xf>
    <xf numFmtId="20" fontId="3" fillId="13" borderId="15" xfId="2" applyNumberFormat="1" applyFont="1" applyFill="1" applyBorder="1" applyAlignment="1">
      <alignment horizontal="left" vertical="top"/>
    </xf>
    <xf numFmtId="20" fontId="6" fillId="13" borderId="8" xfId="2" applyNumberFormat="1" applyFont="1" applyFill="1" applyBorder="1" applyAlignment="1">
      <alignment horizontal="left" vertical="center"/>
    </xf>
    <xf numFmtId="0" fontId="0" fillId="0" borderId="1" xfId="0" applyBorder="1"/>
    <xf numFmtId="0" fontId="11" fillId="36" borderId="1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0" borderId="1" xfId="0" applyFont="1" applyBorder="1"/>
    <xf numFmtId="20" fontId="3" fillId="13" borderId="1" xfId="2" applyNumberFormat="1" applyFont="1" applyFill="1" applyBorder="1" applyAlignment="1">
      <alignment horizontal="left" vertical="top"/>
    </xf>
    <xf numFmtId="0" fontId="0" fillId="22" borderId="0" xfId="0" applyFill="1"/>
    <xf numFmtId="0" fontId="0" fillId="2" borderId="0" xfId="0" applyFill="1"/>
    <xf numFmtId="0" fontId="18" fillId="0" borderId="0" xfId="0" applyFont="1"/>
    <xf numFmtId="0" fontId="4" fillId="0" borderId="0" xfId="0" applyFont="1" applyAlignment="1">
      <alignment horizontal="left"/>
    </xf>
    <xf numFmtId="0" fontId="4" fillId="34" borderId="1" xfId="0" applyFont="1" applyFill="1" applyBorder="1" applyAlignment="1">
      <alignment horizontal="left" vertical="top"/>
    </xf>
    <xf numFmtId="0" fontId="30" fillId="19" borderId="0" xfId="0" applyFont="1" applyFill="1"/>
    <xf numFmtId="1" fontId="3" fillId="13" borderId="1" xfId="2" applyNumberFormat="1" applyFont="1" applyFill="1" applyBorder="1" applyAlignment="1">
      <alignment vertical="top"/>
    </xf>
    <xf numFmtId="0" fontId="34" fillId="34" borderId="0" xfId="0" applyFont="1" applyFill="1"/>
    <xf numFmtId="0" fontId="3" fillId="0" borderId="1" xfId="0" applyFont="1" applyBorder="1" applyAlignment="1">
      <alignment horizontal="right"/>
    </xf>
    <xf numFmtId="0" fontId="13" fillId="0" borderId="27" xfId="0" applyFont="1" applyBorder="1" applyAlignment="1">
      <alignment horizontal="left"/>
    </xf>
    <xf numFmtId="20" fontId="29" fillId="0" borderId="0" xfId="0" applyNumberFormat="1" applyFont="1" applyAlignment="1">
      <alignment horizontal="left"/>
    </xf>
    <xf numFmtId="0" fontId="29" fillId="0" borderId="0" xfId="0" quotePrefix="1" applyFont="1" applyAlignment="1">
      <alignment horizontal="left"/>
    </xf>
    <xf numFmtId="0" fontId="29" fillId="0" borderId="0" xfId="0" applyFont="1" applyAlignment="1">
      <alignment horizontal="left"/>
    </xf>
    <xf numFmtId="1" fontId="36" fillId="16" borderId="0" xfId="0" applyNumberFormat="1" applyFont="1" applyFill="1" applyAlignment="1">
      <alignment horizontal="left"/>
    </xf>
    <xf numFmtId="167" fontId="0" fillId="0" borderId="0" xfId="1" applyNumberFormat="1" applyFont="1"/>
    <xf numFmtId="0" fontId="23" fillId="0" borderId="0" xfId="0" applyFont="1"/>
    <xf numFmtId="20" fontId="21" fillId="0" borderId="0" xfId="0" applyNumberFormat="1" applyFont="1"/>
    <xf numFmtId="0" fontId="4" fillId="17" borderId="1" xfId="0" applyFont="1" applyFill="1" applyBorder="1" applyAlignment="1">
      <alignment horizontal="left" vertical="top"/>
    </xf>
    <xf numFmtId="0" fontId="3" fillId="35" borderId="1" xfId="0" applyFont="1" applyFill="1" applyBorder="1" applyAlignment="1">
      <alignment horizontal="left" vertical="top"/>
    </xf>
    <xf numFmtId="166" fontId="7" fillId="14" borderId="15" xfId="5" applyNumberFormat="1" applyFont="1" applyFill="1" applyBorder="1" applyAlignment="1">
      <alignment horizontal="left" vertical="center"/>
    </xf>
    <xf numFmtId="20" fontId="8" fillId="15" borderId="8" xfId="2" applyNumberFormat="1" applyFont="1" applyFill="1" applyBorder="1" applyAlignment="1">
      <alignment horizontal="left" vertical="top"/>
    </xf>
    <xf numFmtId="166" fontId="7" fillId="14" borderId="8" xfId="5" applyNumberFormat="1" applyFont="1" applyFill="1" applyBorder="1" applyAlignment="1">
      <alignment horizontal="left" vertical="center"/>
    </xf>
    <xf numFmtId="20" fontId="8" fillId="15" borderId="15" xfId="2" applyNumberFormat="1" applyFont="1" applyFill="1" applyBorder="1" applyAlignment="1">
      <alignment horizontal="left" vertical="top"/>
    </xf>
    <xf numFmtId="1" fontId="3" fillId="0" borderId="1" xfId="2" applyNumberFormat="1" applyFont="1" applyBorder="1" applyAlignment="1">
      <alignment vertical="top"/>
    </xf>
    <xf numFmtId="166" fontId="6" fillId="14" borderId="0" xfId="5" applyNumberFormat="1" applyFont="1" applyFill="1" applyAlignment="1">
      <alignment horizontal="left" vertical="center"/>
    </xf>
    <xf numFmtId="1" fontId="39" fillId="0" borderId="0" xfId="0" applyNumberFormat="1" applyFont="1"/>
    <xf numFmtId="20" fontId="39" fillId="0" borderId="0" xfId="0" applyNumberFormat="1" applyFont="1"/>
    <xf numFmtId="0" fontId="39" fillId="0" borderId="0" xfId="0" applyFont="1"/>
    <xf numFmtId="1" fontId="5" fillId="3" borderId="2" xfId="2" applyNumberFormat="1" applyFont="1" applyFill="1" applyBorder="1" applyAlignment="1">
      <alignment horizontal="center" vertical="center"/>
    </xf>
    <xf numFmtId="0" fontId="40" fillId="0" borderId="0" xfId="0" applyFont="1"/>
    <xf numFmtId="0" fontId="41" fillId="0" borderId="0" xfId="0" applyFont="1"/>
    <xf numFmtId="166" fontId="6" fillId="0" borderId="33" xfId="5" applyNumberFormat="1" applyFont="1" applyBorder="1" applyAlignment="1">
      <alignment horizontal="left" vertical="center"/>
    </xf>
    <xf numFmtId="20" fontId="6" fillId="31" borderId="8" xfId="2" applyNumberFormat="1" applyFont="1" applyFill="1" applyBorder="1" applyAlignment="1">
      <alignment horizontal="left" vertical="top"/>
    </xf>
    <xf numFmtId="0" fontId="11" fillId="36" borderId="18" xfId="0" applyFont="1" applyFill="1" applyBorder="1" applyAlignment="1">
      <alignment horizontal="left"/>
    </xf>
    <xf numFmtId="1" fontId="42" fillId="13" borderId="1" xfId="2" applyNumberFormat="1" applyFont="1" applyFill="1" applyBorder="1" applyAlignment="1">
      <alignment vertical="top"/>
    </xf>
    <xf numFmtId="0" fontId="33" fillId="17" borderId="1" xfId="0" applyFont="1" applyFill="1" applyBorder="1" applyAlignment="1">
      <alignment horizontal="left"/>
    </xf>
    <xf numFmtId="9" fontId="40" fillId="0" borderId="0" xfId="0" applyNumberFormat="1" applyFont="1"/>
    <xf numFmtId="0" fontId="3" fillId="35" borderId="1" xfId="0" applyFont="1" applyFill="1" applyBorder="1" applyAlignment="1">
      <alignment horizontal="left"/>
    </xf>
    <xf numFmtId="0" fontId="28" fillId="35" borderId="1" xfId="0" applyFont="1" applyFill="1" applyBorder="1" applyAlignment="1">
      <alignment horizontal="left" vertical="center"/>
    </xf>
    <xf numFmtId="0" fontId="4" fillId="3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3" fillId="35" borderId="1" xfId="0" applyFont="1" applyFill="1" applyBorder="1" applyAlignment="1">
      <alignment horizontal="left" vertical="center"/>
    </xf>
    <xf numFmtId="0" fontId="9" fillId="35" borderId="1" xfId="0" applyFont="1" applyFill="1" applyBorder="1" applyAlignment="1">
      <alignment horizontal="left"/>
    </xf>
    <xf numFmtId="0" fontId="4" fillId="27" borderId="20" xfId="0" applyFont="1" applyFill="1" applyBorder="1" applyAlignment="1">
      <alignment horizontal="center" vertical="center"/>
    </xf>
    <xf numFmtId="46" fontId="6" fillId="5" borderId="0" xfId="0" applyNumberFormat="1" applyFont="1" applyFill="1" applyAlignment="1">
      <alignment horizontal="left" vertical="center"/>
    </xf>
    <xf numFmtId="20" fontId="3" fillId="0" borderId="8" xfId="0" applyNumberFormat="1" applyFont="1" applyBorder="1" applyAlignment="1">
      <alignment horizontal="left"/>
    </xf>
    <xf numFmtId="20" fontId="3" fillId="0" borderId="15" xfId="0" applyNumberFormat="1" applyFont="1" applyBorder="1" applyAlignment="1">
      <alignment horizontal="left"/>
    </xf>
    <xf numFmtId="0" fontId="0" fillId="0" borderId="34" xfId="0" applyBorder="1"/>
    <xf numFmtId="9" fontId="0" fillId="0" borderId="0" xfId="1" applyFont="1"/>
    <xf numFmtId="16" fontId="3" fillId="0" borderId="0" xfId="0" applyNumberFormat="1" applyFont="1" applyAlignment="1">
      <alignment horizontal="left"/>
    </xf>
    <xf numFmtId="20" fontId="8" fillId="19" borderId="0" xfId="2" applyNumberFormat="1" applyFont="1" applyFill="1" applyAlignment="1">
      <alignment horizontal="left" vertical="top"/>
    </xf>
    <xf numFmtId="166" fontId="7" fillId="14" borderId="0" xfId="5" applyNumberFormat="1" applyFont="1" applyFill="1" applyAlignment="1">
      <alignment horizontal="left" vertical="center"/>
    </xf>
    <xf numFmtId="20" fontId="8" fillId="15" borderId="0" xfId="2" applyNumberFormat="1" applyFont="1" applyFill="1" applyAlignment="1">
      <alignment horizontal="left" vertical="top"/>
    </xf>
    <xf numFmtId="0" fontId="45" fillId="0" borderId="0" xfId="0" applyFont="1"/>
    <xf numFmtId="9" fontId="3" fillId="0" borderId="0" xfId="1" applyFont="1" applyAlignment="1">
      <alignment horizontal="left"/>
    </xf>
    <xf numFmtId="0" fontId="27" fillId="19" borderId="19" xfId="0" applyFont="1" applyFill="1" applyBorder="1" applyAlignment="1">
      <alignment horizontal="center"/>
    </xf>
    <xf numFmtId="14" fontId="0" fillId="0" borderId="0" xfId="0" applyNumberFormat="1"/>
    <xf numFmtId="1" fontId="8" fillId="12" borderId="1" xfId="2" applyNumberFormat="1" applyFont="1" applyFill="1" applyBorder="1" applyAlignment="1">
      <alignment horizontal="left" vertical="top"/>
    </xf>
    <xf numFmtId="166" fontId="6" fillId="0" borderId="0" xfId="5" applyNumberFormat="1" applyFont="1" applyAlignment="1">
      <alignment horizontal="left" vertical="center"/>
    </xf>
    <xf numFmtId="20" fontId="6" fillId="31" borderId="0" xfId="2" applyNumberFormat="1" applyFont="1" applyFill="1" applyAlignment="1">
      <alignment horizontal="left" vertical="top"/>
    </xf>
    <xf numFmtId="0" fontId="0" fillId="0" borderId="0" xfId="0" applyAlignment="1">
      <alignment horizontal="right"/>
    </xf>
    <xf numFmtId="15" fontId="2" fillId="26" borderId="24" xfId="0" applyNumberFormat="1" applyFont="1" applyFill="1" applyBorder="1" applyAlignment="1">
      <alignment vertical="center"/>
    </xf>
    <xf numFmtId="15" fontId="2" fillId="26" borderId="30" xfId="0" applyNumberFormat="1" applyFont="1" applyFill="1" applyBorder="1" applyAlignment="1">
      <alignment vertical="center"/>
    </xf>
    <xf numFmtId="15" fontId="37" fillId="19" borderId="32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/>
    </xf>
    <xf numFmtId="166" fontId="8" fillId="14" borderId="8" xfId="5" applyNumberFormat="1" applyFont="1" applyFill="1" applyBorder="1" applyAlignment="1">
      <alignment horizontal="left" vertical="center"/>
    </xf>
    <xf numFmtId="1" fontId="3" fillId="13" borderId="1" xfId="2" applyNumberFormat="1" applyFont="1" applyFill="1" applyBorder="1" applyAlignment="1">
      <alignment horizontal="left" vertical="top"/>
    </xf>
    <xf numFmtId="0" fontId="3" fillId="0" borderId="0" xfId="0" applyFont="1"/>
    <xf numFmtId="165" fontId="0" fillId="0" borderId="0" xfId="0" applyNumberFormat="1"/>
    <xf numFmtId="20" fontId="13" fillId="13" borderId="8" xfId="2" applyNumberFormat="1" applyFont="1" applyFill="1" applyBorder="1" applyAlignment="1">
      <alignment horizontal="left" vertical="top"/>
    </xf>
    <xf numFmtId="0" fontId="3" fillId="0" borderId="20" xfId="0" applyFont="1" applyBorder="1"/>
    <xf numFmtId="0" fontId="2" fillId="0" borderId="1" xfId="0" applyFont="1" applyBorder="1"/>
    <xf numFmtId="20" fontId="49" fillId="15" borderId="15" xfId="2" applyNumberFormat="1" applyFont="1" applyFill="1" applyBorder="1" applyAlignment="1">
      <alignment horizontal="left" vertical="top"/>
    </xf>
    <xf numFmtId="20" fontId="49" fillId="15" borderId="8" xfId="2" applyNumberFormat="1" applyFont="1" applyFill="1" applyBorder="1" applyAlignment="1">
      <alignment horizontal="left" vertical="top"/>
    </xf>
    <xf numFmtId="20" fontId="49" fillId="15" borderId="0" xfId="2" applyNumberFormat="1" applyFont="1" applyFill="1" applyAlignment="1">
      <alignment horizontal="left" vertical="top"/>
    </xf>
    <xf numFmtId="166" fontId="3" fillId="0" borderId="0" xfId="5" applyNumberFormat="1" applyFont="1" applyAlignment="1">
      <alignment horizontal="left" vertical="center"/>
    </xf>
    <xf numFmtId="20" fontId="47" fillId="13" borderId="15" xfId="2" applyNumberFormat="1" applyFont="1" applyFill="1" applyBorder="1" applyAlignment="1">
      <alignment horizontal="left" vertical="center"/>
    </xf>
    <xf numFmtId="0" fontId="50" fillId="0" borderId="0" xfId="0" applyFont="1"/>
    <xf numFmtId="0" fontId="33" fillId="2" borderId="1" xfId="0" applyFont="1" applyFill="1" applyBorder="1" applyAlignment="1">
      <alignment horizontal="left"/>
    </xf>
    <xf numFmtId="20" fontId="3" fillId="0" borderId="0" xfId="0" applyNumberFormat="1" applyFont="1" applyAlignment="1">
      <alignment horizontal="left"/>
    </xf>
    <xf numFmtId="168" fontId="0" fillId="0" borderId="0" xfId="14" applyNumberFormat="1" applyFont="1"/>
    <xf numFmtId="0" fontId="51" fillId="43" borderId="0" xfId="0" applyFont="1" applyFill="1"/>
    <xf numFmtId="164" fontId="27" fillId="19" borderId="32" xfId="0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horizontal="left"/>
    </xf>
    <xf numFmtId="164" fontId="6" fillId="6" borderId="0" xfId="2" applyFont="1" applyFill="1" applyAlignment="1">
      <alignment horizontal="left" vertical="center"/>
    </xf>
    <xf numFmtId="166" fontId="0" fillId="0" borderId="0" xfId="0" applyNumberFormat="1"/>
    <xf numFmtId="1" fontId="3" fillId="0" borderId="0" xfId="2" applyNumberFormat="1" applyFont="1" applyAlignment="1">
      <alignment vertical="top"/>
    </xf>
    <xf numFmtId="0" fontId="11" fillId="36" borderId="0" xfId="0" applyFont="1" applyFill="1" applyAlignment="1">
      <alignment horizontal="left"/>
    </xf>
    <xf numFmtId="20" fontId="7" fillId="15" borderId="15" xfId="2" applyNumberFormat="1" applyFont="1" applyFill="1" applyBorder="1" applyAlignment="1">
      <alignment horizontal="left" vertical="top"/>
    </xf>
    <xf numFmtId="0" fontId="4" fillId="0" borderId="36" xfId="0" applyFont="1" applyBorder="1" applyAlignment="1">
      <alignment horizontal="left"/>
    </xf>
    <xf numFmtId="0" fontId="0" fillId="0" borderId="20" xfId="0" applyBorder="1"/>
    <xf numFmtId="165" fontId="3" fillId="5" borderId="37" xfId="5" applyNumberFormat="1" applyFont="1" applyFill="1" applyBorder="1" applyAlignment="1">
      <alignment horizontal="left" vertical="top"/>
    </xf>
    <xf numFmtId="0" fontId="2" fillId="0" borderId="35" xfId="0" applyFont="1" applyBorder="1"/>
    <xf numFmtId="20" fontId="53" fillId="0" borderId="0" xfId="0" applyNumberFormat="1" applyFont="1"/>
    <xf numFmtId="0" fontId="4" fillId="29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/>
    </xf>
    <xf numFmtId="0" fontId="0" fillId="0" borderId="31" xfId="0" applyBorder="1"/>
    <xf numFmtId="1" fontId="3" fillId="0" borderId="20" xfId="2" applyNumberFormat="1" applyFont="1" applyBorder="1" applyAlignment="1">
      <alignment vertical="top"/>
    </xf>
    <xf numFmtId="166" fontId="6" fillId="0" borderId="38" xfId="5" applyNumberFormat="1" applyFont="1" applyBorder="1" applyAlignment="1">
      <alignment horizontal="left" vertical="center"/>
    </xf>
    <xf numFmtId="166" fontId="6" fillId="15" borderId="33" xfId="5" applyNumberFormat="1" applyFont="1" applyFill="1" applyBorder="1" applyAlignment="1">
      <alignment horizontal="left" vertical="center"/>
    </xf>
    <xf numFmtId="20" fontId="6" fillId="15" borderId="8" xfId="2" applyNumberFormat="1" applyFont="1" applyFill="1" applyBorder="1" applyAlignment="1">
      <alignment horizontal="left" vertical="top"/>
    </xf>
    <xf numFmtId="0" fontId="23" fillId="0" borderId="20" xfId="0" applyFont="1" applyBorder="1" applyAlignment="1">
      <alignment vertical="top"/>
    </xf>
    <xf numFmtId="0" fontId="0" fillId="15" borderId="0" xfId="0" applyFill="1"/>
    <xf numFmtId="0" fontId="40" fillId="0" borderId="0" xfId="0" applyFont="1" applyAlignment="1">
      <alignment vertical="center"/>
    </xf>
    <xf numFmtId="0" fontId="3" fillId="28" borderId="20" xfId="0" applyFont="1" applyFill="1" applyBorder="1"/>
    <xf numFmtId="0" fontId="3" fillId="8" borderId="20" xfId="0" applyFont="1" applyFill="1" applyBorder="1"/>
    <xf numFmtId="0" fontId="3" fillId="8" borderId="20" xfId="0" applyFont="1" applyFill="1" applyBorder="1" applyAlignment="1">
      <alignment horizontal="left" vertical="top"/>
    </xf>
    <xf numFmtId="0" fontId="13" fillId="9" borderId="1" xfId="2" applyNumberFormat="1" applyFont="1" applyFill="1" applyBorder="1" applyAlignment="1">
      <alignment horizontal="left" vertical="top"/>
    </xf>
    <xf numFmtId="0" fontId="13" fillId="45" borderId="1" xfId="2" applyNumberFormat="1" applyFont="1" applyFill="1" applyBorder="1" applyAlignment="1">
      <alignment horizontal="left" vertical="top"/>
    </xf>
    <xf numFmtId="0" fontId="2" fillId="28" borderId="0" xfId="0" applyFont="1" applyFill="1"/>
    <xf numFmtId="20" fontId="54" fillId="0" borderId="0" xfId="0" applyNumberFormat="1" applyFont="1"/>
    <xf numFmtId="0" fontId="2" fillId="30" borderId="0" xfId="0" applyFont="1" applyFill="1"/>
    <xf numFmtId="0" fontId="24" fillId="0" borderId="0" xfId="0" applyFont="1"/>
    <xf numFmtId="166" fontId="3" fillId="0" borderId="8" xfId="5" applyNumberFormat="1" applyFont="1" applyBorder="1" applyAlignment="1">
      <alignment horizontal="left" vertical="center"/>
    </xf>
    <xf numFmtId="20" fontId="0" fillId="0" borderId="0" xfId="0" applyNumberFormat="1"/>
    <xf numFmtId="0" fontId="24" fillId="30" borderId="0" xfId="0" applyFont="1" applyFill="1"/>
    <xf numFmtId="0" fontId="33" fillId="17" borderId="0" xfId="0" applyFont="1" applyFill="1" applyAlignment="1">
      <alignment horizontal="left"/>
    </xf>
    <xf numFmtId="20" fontId="3" fillId="16" borderId="33" xfId="2" applyNumberFormat="1" applyFont="1" applyFill="1" applyBorder="1" applyAlignment="1">
      <alignment horizontal="left" vertical="top"/>
    </xf>
    <xf numFmtId="166" fontId="6" fillId="0" borderId="8" xfId="5" applyNumberFormat="1" applyFont="1" applyBorder="1" applyAlignment="1">
      <alignment horizontal="left" vertical="center"/>
    </xf>
    <xf numFmtId="166" fontId="3" fillId="0" borderId="33" xfId="5" applyNumberFormat="1" applyFont="1" applyBorder="1" applyAlignment="1">
      <alignment horizontal="left" vertical="center"/>
    </xf>
    <xf numFmtId="20" fontId="6" fillId="31" borderId="15" xfId="2" applyNumberFormat="1" applyFont="1" applyFill="1" applyBorder="1" applyAlignment="1">
      <alignment horizontal="left" vertical="top"/>
    </xf>
    <xf numFmtId="0" fontId="15" fillId="4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/>
    </xf>
    <xf numFmtId="2" fontId="3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27" fillId="27" borderId="19" xfId="0" applyFont="1" applyFill="1" applyBorder="1"/>
    <xf numFmtId="15" fontId="27" fillId="19" borderId="40" xfId="0" applyNumberFormat="1" applyFont="1" applyFill="1" applyBorder="1" applyAlignment="1">
      <alignment horizontal="center" vertical="center"/>
    </xf>
    <xf numFmtId="15" fontId="51" fillId="47" borderId="41" xfId="0" applyNumberFormat="1" applyFont="1" applyFill="1" applyBorder="1" applyAlignment="1">
      <alignment horizontal="center" vertical="center"/>
    </xf>
    <xf numFmtId="15" fontId="51" fillId="19" borderId="41" xfId="0" applyNumberFormat="1" applyFont="1" applyFill="1" applyBorder="1" applyAlignment="1">
      <alignment horizontal="center" vertical="center"/>
    </xf>
    <xf numFmtId="0" fontId="21" fillId="28" borderId="23" xfId="0" applyFont="1" applyFill="1" applyBorder="1" applyAlignment="1">
      <alignment horizontal="right" vertical="center"/>
    </xf>
    <xf numFmtId="0" fontId="21" fillId="35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7" fillId="30" borderId="23" xfId="0" applyFont="1" applyFill="1" applyBorder="1" applyAlignment="1">
      <alignment horizontal="right" vertical="center"/>
    </xf>
    <xf numFmtId="0" fontId="27" fillId="32" borderId="23" xfId="0" applyFont="1" applyFill="1" applyBorder="1" applyAlignment="1">
      <alignment horizontal="right" vertical="center"/>
    </xf>
    <xf numFmtId="0" fontId="27" fillId="27" borderId="23" xfId="0" applyFont="1" applyFill="1" applyBorder="1" applyAlignment="1">
      <alignment horizontal="right" vertical="center"/>
    </xf>
    <xf numFmtId="0" fontId="21" fillId="48" borderId="23" xfId="0" applyFont="1" applyFill="1" applyBorder="1" applyAlignment="1">
      <alignment horizontal="right" vertical="center"/>
    </xf>
    <xf numFmtId="0" fontId="21" fillId="17" borderId="23" xfId="0" applyFont="1" applyFill="1" applyBorder="1" applyAlignment="1">
      <alignment horizontal="right"/>
    </xf>
    <xf numFmtId="0" fontId="51" fillId="19" borderId="19" xfId="0" applyFont="1" applyFill="1" applyBorder="1" applyAlignment="1">
      <alignment horizontal="center" vertical="center"/>
    </xf>
    <xf numFmtId="15" fontId="51" fillId="19" borderId="32" xfId="0" applyNumberFormat="1" applyFont="1" applyFill="1" applyBorder="1" applyAlignment="1">
      <alignment horizontal="center" vertical="center"/>
    </xf>
    <xf numFmtId="15" fontId="51" fillId="19" borderId="43" xfId="0" applyNumberFormat="1" applyFont="1" applyFill="1" applyBorder="1" applyAlignment="1">
      <alignment horizontal="center" vertical="center"/>
    </xf>
    <xf numFmtId="0" fontId="55" fillId="17" borderId="1" xfId="0" applyFont="1" applyFill="1" applyBorder="1" applyAlignment="1">
      <alignment horizontal="center" vertical="center"/>
    </xf>
    <xf numFmtId="15" fontId="27" fillId="19" borderId="32" xfId="0" applyNumberFormat="1" applyFont="1" applyFill="1" applyBorder="1" applyAlignment="1">
      <alignment horizontal="center" vertical="center"/>
    </xf>
    <xf numFmtId="15" fontId="27" fillId="19" borderId="41" xfId="0" applyNumberFormat="1" applyFont="1" applyFill="1" applyBorder="1" applyAlignment="1">
      <alignment horizontal="center" vertical="center"/>
    </xf>
    <xf numFmtId="15" fontId="27" fillId="19" borderId="43" xfId="0" applyNumberFormat="1" applyFont="1" applyFill="1" applyBorder="1" applyAlignment="1">
      <alignment horizontal="center" vertical="center"/>
    </xf>
    <xf numFmtId="0" fontId="56" fillId="25" borderId="1" xfId="0" applyFont="1" applyFill="1" applyBorder="1" applyAlignment="1">
      <alignment horizontal="left" vertical="top"/>
    </xf>
    <xf numFmtId="0" fontId="57" fillId="17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vertical="top"/>
    </xf>
    <xf numFmtId="0" fontId="35" fillId="31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vertical="top"/>
    </xf>
    <xf numFmtId="0" fontId="58" fillId="19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right"/>
    </xf>
    <xf numFmtId="0" fontId="55" fillId="24" borderId="1" xfId="0" applyFont="1" applyFill="1" applyBorder="1" applyAlignment="1">
      <alignment horizontal="center" vertical="center"/>
    </xf>
    <xf numFmtId="0" fontId="58" fillId="19" borderId="23" xfId="0" applyFont="1" applyFill="1" applyBorder="1" applyAlignment="1">
      <alignment horizontal="left" vertical="center"/>
    </xf>
    <xf numFmtId="0" fontId="58" fillId="19" borderId="45" xfId="0" applyFont="1" applyFill="1" applyBorder="1" applyAlignment="1">
      <alignment horizontal="left" vertical="center"/>
    </xf>
    <xf numFmtId="0" fontId="58" fillId="19" borderId="0" xfId="0" applyFont="1" applyFill="1" applyAlignment="1">
      <alignment horizontal="left" vertical="center"/>
    </xf>
    <xf numFmtId="0" fontId="59" fillId="0" borderId="18" xfId="0" applyFont="1" applyBorder="1" applyAlignment="1">
      <alignment vertical="center" wrapText="1"/>
    </xf>
    <xf numFmtId="15" fontId="60" fillId="19" borderId="1" xfId="0" applyNumberFormat="1" applyFont="1" applyFill="1" applyBorder="1" applyAlignment="1">
      <alignment horizontal="center" vertical="center"/>
    </xf>
    <xf numFmtId="0" fontId="61" fillId="19" borderId="46" xfId="0" applyFont="1" applyFill="1" applyBorder="1" applyAlignment="1">
      <alignment vertical="center" wrapText="1"/>
    </xf>
    <xf numFmtId="0" fontId="62" fillId="31" borderId="1" xfId="0" applyFont="1" applyFill="1" applyBorder="1" applyAlignment="1">
      <alignment horizontal="center" vertical="center"/>
    </xf>
    <xf numFmtId="0" fontId="58" fillId="51" borderId="25" xfId="0" applyFont="1" applyFill="1" applyBorder="1" applyAlignment="1">
      <alignment horizontal="center" vertical="center"/>
    </xf>
    <xf numFmtId="15" fontId="37" fillId="19" borderId="41" xfId="0" applyNumberFormat="1" applyFont="1" applyFill="1" applyBorder="1" applyAlignment="1">
      <alignment horizontal="center" vertical="center"/>
    </xf>
    <xf numFmtId="15" fontId="37" fillId="19" borderId="43" xfId="0" applyNumberFormat="1" applyFont="1" applyFill="1" applyBorder="1" applyAlignment="1">
      <alignment horizontal="center" vertical="center"/>
    </xf>
    <xf numFmtId="0" fontId="63" fillId="31" borderId="1" xfId="0" applyFont="1" applyFill="1" applyBorder="1" applyAlignment="1">
      <alignment horizontal="center" vertical="center"/>
    </xf>
    <xf numFmtId="0" fontId="37" fillId="19" borderId="23" xfId="0" applyFont="1" applyFill="1" applyBorder="1" applyAlignment="1">
      <alignment horizontal="left" vertical="center"/>
    </xf>
    <xf numFmtId="0" fontId="24" fillId="19" borderId="44" xfId="0" applyFont="1" applyFill="1" applyBorder="1" applyAlignment="1">
      <alignment horizontal="left"/>
    </xf>
    <xf numFmtId="0" fontId="24" fillId="19" borderId="23" xfId="3" applyFont="1" applyFill="1" applyBorder="1" applyAlignment="1">
      <alignment horizontal="left" vertical="top"/>
    </xf>
    <xf numFmtId="0" fontId="27" fillId="19" borderId="23" xfId="0" applyFont="1" applyFill="1" applyBorder="1" applyAlignment="1">
      <alignment horizontal="left"/>
    </xf>
    <xf numFmtId="0" fontId="27" fillId="19" borderId="45" xfId="0" applyFont="1" applyFill="1" applyBorder="1" applyAlignment="1">
      <alignment horizontal="left"/>
    </xf>
    <xf numFmtId="0" fontId="64" fillId="21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7" fillId="19" borderId="0" xfId="0" applyFont="1" applyFill="1" applyAlignment="1">
      <alignment horizontal="left"/>
    </xf>
    <xf numFmtId="0" fontId="2" fillId="22" borderId="0" xfId="0" applyFont="1" applyFill="1"/>
    <xf numFmtId="0" fontId="2" fillId="2" borderId="0" xfId="0" applyFont="1" applyFill="1"/>
    <xf numFmtId="0" fontId="27" fillId="47" borderId="45" xfId="0" applyFont="1" applyFill="1" applyBorder="1" applyAlignment="1">
      <alignment horizontal="left"/>
    </xf>
    <xf numFmtId="0" fontId="27" fillId="47" borderId="35" xfId="0" applyFont="1" applyFill="1" applyBorder="1"/>
    <xf numFmtId="0" fontId="21" fillId="31" borderId="1" xfId="0" applyFont="1" applyFill="1" applyBorder="1" applyAlignment="1">
      <alignment horizontal="center" vertical="center"/>
    </xf>
    <xf numFmtId="0" fontId="27" fillId="19" borderId="20" xfId="0" applyFont="1" applyFill="1" applyBorder="1" applyAlignment="1">
      <alignment horizontal="center" vertical="center"/>
    </xf>
    <xf numFmtId="0" fontId="27" fillId="19" borderId="20" xfId="0" applyFont="1" applyFill="1" applyBorder="1" applyAlignment="1">
      <alignment horizontal="center"/>
    </xf>
    <xf numFmtId="0" fontId="27" fillId="19" borderId="29" xfId="0" applyFont="1" applyFill="1" applyBorder="1" applyAlignment="1">
      <alignment horizontal="left"/>
    </xf>
    <xf numFmtId="0" fontId="51" fillId="19" borderId="20" xfId="0" applyFont="1" applyFill="1" applyBorder="1" applyAlignment="1">
      <alignment horizontal="center" vertical="center"/>
    </xf>
    <xf numFmtId="0" fontId="3" fillId="46" borderId="1" xfId="0" applyFont="1" applyFill="1" applyBorder="1"/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vertical="top"/>
    </xf>
    <xf numFmtId="0" fontId="9" fillId="0" borderId="20" xfId="0" applyFont="1" applyBorder="1"/>
    <xf numFmtId="20" fontId="3" fillId="0" borderId="20" xfId="0" applyNumberFormat="1" applyFont="1" applyBorder="1" applyAlignment="1">
      <alignment vertical="center"/>
    </xf>
    <xf numFmtId="20" fontId="13" fillId="13" borderId="0" xfId="2" applyNumberFormat="1" applyFont="1" applyFill="1" applyAlignment="1">
      <alignment horizontal="left" vertical="top"/>
    </xf>
    <xf numFmtId="0" fontId="55" fillId="19" borderId="20" xfId="0" applyFont="1" applyFill="1" applyBorder="1" applyAlignment="1">
      <alignment horizontal="center" vertical="center"/>
    </xf>
    <xf numFmtId="0" fontId="65" fillId="47" borderId="20" xfId="0" applyFont="1" applyFill="1" applyBorder="1"/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3" fillId="0" borderId="18" xfId="0" applyFont="1" applyBorder="1" applyAlignment="1">
      <alignment horizontal="left"/>
    </xf>
    <xf numFmtId="0" fontId="66" fillId="31" borderId="1" xfId="0" applyFont="1" applyFill="1" applyBorder="1" applyAlignment="1">
      <alignment horizontal="center" vertical="center"/>
    </xf>
    <xf numFmtId="0" fontId="0" fillId="52" borderId="0" xfId="0" applyFill="1"/>
    <xf numFmtId="0" fontId="21" fillId="0" borderId="0" xfId="0" applyFont="1"/>
    <xf numFmtId="0" fontId="21" fillId="0" borderId="1" xfId="0" applyFont="1" applyBorder="1" applyAlignment="1">
      <alignment horizontal="center" vertical="center"/>
    </xf>
    <xf numFmtId="1" fontId="4" fillId="0" borderId="0" xfId="0" applyNumberFormat="1" applyFont="1" applyAlignment="1">
      <alignment horizontal="left"/>
    </xf>
    <xf numFmtId="166" fontId="8" fillId="14" borderId="15" xfId="5" applyNumberFormat="1" applyFont="1" applyFill="1" applyBorder="1" applyAlignment="1">
      <alignment horizontal="left" vertical="center"/>
    </xf>
    <xf numFmtId="0" fontId="2" fillId="15" borderId="0" xfId="0" applyFont="1" applyFill="1"/>
    <xf numFmtId="0" fontId="4" fillId="40" borderId="0" xfId="0" applyFont="1" applyFill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3" fillId="41" borderId="1" xfId="0" applyFont="1" applyFill="1" applyBorder="1" applyAlignment="1">
      <alignment horizontal="left"/>
    </xf>
    <xf numFmtId="0" fontId="0" fillId="41" borderId="0" xfId="0" applyFill="1"/>
    <xf numFmtId="0" fontId="43" fillId="31" borderId="1" xfId="0" applyFont="1" applyFill="1" applyBorder="1" applyAlignment="1">
      <alignment horizontal="center" vertical="center"/>
    </xf>
    <xf numFmtId="0" fontId="27" fillId="27" borderId="48" xfId="0" applyFont="1" applyFill="1" applyBorder="1" applyAlignment="1">
      <alignment horizontal="center" vertical="center"/>
    </xf>
    <xf numFmtId="0" fontId="27" fillId="27" borderId="49" xfId="0" applyFont="1" applyFill="1" applyBorder="1" applyAlignment="1">
      <alignment horizontal="center" vertical="center"/>
    </xf>
    <xf numFmtId="0" fontId="27" fillId="27" borderId="50" xfId="0" applyFont="1" applyFill="1" applyBorder="1" applyAlignment="1">
      <alignment horizontal="center" vertical="center"/>
    </xf>
    <xf numFmtId="166" fontId="49" fillId="54" borderId="15" xfId="5" applyNumberFormat="1" applyFont="1" applyFill="1" applyBorder="1" applyAlignment="1">
      <alignment horizontal="left" vertical="top"/>
    </xf>
    <xf numFmtId="0" fontId="24" fillId="19" borderId="0" xfId="3" applyFont="1" applyFill="1" applyAlignment="1">
      <alignment horizontal="left" vertical="top"/>
    </xf>
    <xf numFmtId="0" fontId="3" fillId="28" borderId="1" xfId="0" applyFont="1" applyFill="1" applyBorder="1" applyAlignment="1">
      <alignment horizontal="left"/>
    </xf>
    <xf numFmtId="0" fontId="8" fillId="47" borderId="1" xfId="0" applyFont="1" applyFill="1" applyBorder="1" applyAlignment="1">
      <alignment horizontal="left"/>
    </xf>
    <xf numFmtId="0" fontId="0" fillId="27" borderId="1" xfId="0" applyFill="1" applyBorder="1"/>
    <xf numFmtId="166" fontId="3" fillId="14" borderId="8" xfId="5" applyNumberFormat="1" applyFont="1" applyFill="1" applyBorder="1" applyAlignment="1">
      <alignment horizontal="left" vertical="center"/>
    </xf>
    <xf numFmtId="20" fontId="3" fillId="15" borderId="8" xfId="2" applyNumberFormat="1" applyFont="1" applyFill="1" applyBorder="1" applyAlignment="1">
      <alignment horizontal="left" vertical="top"/>
    </xf>
    <xf numFmtId="0" fontId="20" fillId="27" borderId="48" xfId="0" applyFont="1" applyFill="1" applyBorder="1" applyAlignment="1">
      <alignment horizontal="center" vertical="center"/>
    </xf>
    <xf numFmtId="0" fontId="20" fillId="27" borderId="49" xfId="0" applyFont="1" applyFill="1" applyBorder="1" applyAlignment="1">
      <alignment horizontal="center" vertical="center"/>
    </xf>
    <xf numFmtId="20" fontId="49" fillId="55" borderId="8" xfId="2" applyNumberFormat="1" applyFont="1" applyFill="1" applyBorder="1" applyAlignment="1">
      <alignment horizontal="left" vertical="top"/>
    </xf>
    <xf numFmtId="20" fontId="49" fillId="55" borderId="0" xfId="2" applyNumberFormat="1" applyFont="1" applyFill="1" applyAlignment="1">
      <alignment horizontal="left" vertical="top"/>
    </xf>
    <xf numFmtId="0" fontId="13" fillId="38" borderId="1" xfId="0" applyFont="1" applyFill="1" applyBorder="1"/>
    <xf numFmtId="0" fontId="13" fillId="8" borderId="27" xfId="0" applyFont="1" applyFill="1" applyBorder="1" applyAlignment="1">
      <alignment horizontal="left"/>
    </xf>
    <xf numFmtId="0" fontId="3" fillId="28" borderId="39" xfId="0" applyFont="1" applyFill="1" applyBorder="1"/>
    <xf numFmtId="0" fontId="8" fillId="19" borderId="48" xfId="0" applyFont="1" applyFill="1" applyBorder="1" applyAlignment="1">
      <alignment horizontal="left"/>
    </xf>
    <xf numFmtId="166" fontId="16" fillId="0" borderId="33" xfId="5" applyNumberFormat="1" applyFont="1" applyBorder="1" applyAlignment="1">
      <alignment horizontal="left" vertical="center"/>
    </xf>
    <xf numFmtId="20" fontId="69" fillId="15" borderId="8" xfId="2" applyNumberFormat="1" applyFont="1" applyFill="1" applyBorder="1" applyAlignment="1">
      <alignment horizontal="left" vertical="top"/>
    </xf>
    <xf numFmtId="0" fontId="21" fillId="56" borderId="1" xfId="0" applyFont="1" applyFill="1" applyBorder="1" applyAlignment="1">
      <alignment horizontal="center" vertical="center"/>
    </xf>
    <xf numFmtId="0" fontId="55" fillId="17" borderId="52" xfId="0" applyFont="1" applyFill="1" applyBorder="1" applyAlignment="1">
      <alignment horizontal="center" vertical="center"/>
    </xf>
    <xf numFmtId="169" fontId="6" fillId="5" borderId="16" xfId="0" applyNumberFormat="1" applyFont="1" applyFill="1" applyBorder="1" applyAlignment="1">
      <alignment horizontal="left" vertical="center"/>
    </xf>
    <xf numFmtId="0" fontId="70" fillId="31" borderId="1" xfId="0" applyFont="1" applyFill="1" applyBorder="1" applyAlignment="1">
      <alignment horizontal="center" vertical="center"/>
    </xf>
    <xf numFmtId="0" fontId="71" fillId="31" borderId="1" xfId="0" applyFont="1" applyFill="1" applyBorder="1" applyAlignment="1">
      <alignment horizontal="center" vertical="center"/>
    </xf>
    <xf numFmtId="46" fontId="0" fillId="0" borderId="0" xfId="0" applyNumberFormat="1"/>
    <xf numFmtId="20" fontId="49" fillId="55" borderId="15" xfId="2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9" fillId="58" borderId="1" xfId="0" applyFont="1" applyFill="1" applyBorder="1"/>
    <xf numFmtId="0" fontId="13" fillId="58" borderId="1" xfId="0" applyFont="1" applyFill="1" applyBorder="1"/>
    <xf numFmtId="0" fontId="13" fillId="59" borderId="1" xfId="0" applyFont="1" applyFill="1" applyBorder="1"/>
    <xf numFmtId="0" fontId="3" fillId="27" borderId="1" xfId="0" applyFont="1" applyFill="1" applyBorder="1" applyAlignment="1">
      <alignment horizontal="left" vertical="center"/>
    </xf>
    <xf numFmtId="0" fontId="13" fillId="7" borderId="1" xfId="0" applyFont="1" applyFill="1" applyBorder="1"/>
    <xf numFmtId="0" fontId="13" fillId="42" borderId="1" xfId="0" applyFont="1" applyFill="1" applyBorder="1"/>
    <xf numFmtId="0" fontId="0" fillId="58" borderId="1" xfId="0" applyFill="1" applyBorder="1"/>
    <xf numFmtId="0" fontId="0" fillId="59" borderId="1" xfId="0" applyFill="1" applyBorder="1"/>
    <xf numFmtId="0" fontId="55" fillId="17" borderId="51" xfId="0" applyFont="1" applyFill="1" applyBorder="1" applyAlignment="1">
      <alignment horizontal="center" vertical="center"/>
    </xf>
    <xf numFmtId="0" fontId="32" fillId="60" borderId="0" xfId="0" applyFont="1" applyFill="1" applyAlignment="1">
      <alignment horizontal="left"/>
    </xf>
    <xf numFmtId="0" fontId="32" fillId="36" borderId="0" xfId="0" applyFont="1" applyFill="1" applyAlignment="1">
      <alignment horizontal="left"/>
    </xf>
    <xf numFmtId="0" fontId="13" fillId="8" borderId="20" xfId="0" applyFont="1" applyFill="1" applyBorder="1" applyAlignment="1">
      <alignment horizontal="left"/>
    </xf>
    <xf numFmtId="0" fontId="35" fillId="31" borderId="51" xfId="0" applyFont="1" applyFill="1" applyBorder="1" applyAlignment="1">
      <alignment horizontal="center" vertical="center"/>
    </xf>
    <xf numFmtId="0" fontId="3" fillId="0" borderId="55" xfId="0" applyFont="1" applyBorder="1"/>
    <xf numFmtId="0" fontId="3" fillId="0" borderId="56" xfId="0" applyFont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166" fontId="28" fillId="22" borderId="0" xfId="5" applyNumberFormat="1" applyFont="1" applyFill="1" applyAlignment="1">
      <alignment horizontal="left" vertical="center"/>
    </xf>
    <xf numFmtId="20" fontId="6" fillId="48" borderId="8" xfId="2" applyNumberFormat="1" applyFont="1" applyFill="1" applyBorder="1" applyAlignment="1">
      <alignment horizontal="left" vertical="center"/>
    </xf>
    <xf numFmtId="20" fontId="6" fillId="48" borderId="15" xfId="2" applyNumberFormat="1" applyFont="1" applyFill="1" applyBorder="1" applyAlignment="1">
      <alignment horizontal="left" vertical="center"/>
    </xf>
    <xf numFmtId="20" fontId="6" fillId="13" borderId="8" xfId="2" applyNumberFormat="1" applyFont="1" applyFill="1" applyBorder="1" applyAlignment="1">
      <alignment horizontal="left" vertical="top"/>
    </xf>
    <xf numFmtId="20" fontId="6" fillId="13" borderId="15" xfId="2" applyNumberFormat="1" applyFont="1" applyFill="1" applyBorder="1" applyAlignment="1">
      <alignment horizontal="left" vertical="top"/>
    </xf>
    <xf numFmtId="0" fontId="3" fillId="13" borderId="1" xfId="0" applyFont="1" applyFill="1" applyBorder="1" applyAlignment="1">
      <alignment horizontal="left"/>
    </xf>
    <xf numFmtId="46" fontId="6" fillId="62" borderId="16" xfId="0" applyNumberFormat="1" applyFont="1" applyFill="1" applyBorder="1" applyAlignment="1">
      <alignment horizontal="left" vertical="center"/>
    </xf>
    <xf numFmtId="166" fontId="16" fillId="13" borderId="33" xfId="5" applyNumberFormat="1" applyFont="1" applyFill="1" applyBorder="1" applyAlignment="1">
      <alignment horizontal="left" vertical="center"/>
    </xf>
    <xf numFmtId="20" fontId="16" fillId="13" borderId="8" xfId="2" applyNumberFormat="1" applyFont="1" applyFill="1" applyBorder="1" applyAlignment="1">
      <alignment horizontal="left" vertical="top"/>
    </xf>
    <xf numFmtId="0" fontId="3" fillId="13" borderId="29" xfId="0" applyFont="1" applyFill="1" applyBorder="1" applyAlignment="1">
      <alignment horizontal="left"/>
    </xf>
    <xf numFmtId="0" fontId="33" fillId="46" borderId="1" xfId="0" applyFont="1" applyFill="1" applyBorder="1" applyAlignment="1">
      <alignment horizontal="left"/>
    </xf>
    <xf numFmtId="0" fontId="3" fillId="46" borderId="1" xfId="0" applyFont="1" applyFill="1" applyBorder="1" applyAlignment="1">
      <alignment horizontal="left"/>
    </xf>
    <xf numFmtId="46" fontId="6" fillId="63" borderId="16" xfId="0" applyNumberFormat="1" applyFont="1" applyFill="1" applyBorder="1" applyAlignment="1">
      <alignment horizontal="left" vertical="center"/>
    </xf>
    <xf numFmtId="0" fontId="72" fillId="53" borderId="1" xfId="0" applyFont="1" applyFill="1" applyBorder="1" applyAlignment="1">
      <alignment horizontal="left"/>
    </xf>
    <xf numFmtId="0" fontId="3" fillId="64" borderId="1" xfId="0" applyFont="1" applyFill="1" applyBorder="1" applyAlignment="1">
      <alignment horizontal="left"/>
    </xf>
    <xf numFmtId="0" fontId="3" fillId="65" borderId="1" xfId="0" applyFont="1" applyFill="1" applyBorder="1" applyAlignment="1">
      <alignment horizontal="left"/>
    </xf>
    <xf numFmtId="166" fontId="73" fillId="0" borderId="8" xfId="5" applyNumberFormat="1" applyFont="1" applyBorder="1" applyAlignment="1">
      <alignment horizontal="left" vertical="center"/>
    </xf>
    <xf numFmtId="166" fontId="8" fillId="14" borderId="0" xfId="5" applyNumberFormat="1" applyFont="1" applyFill="1" applyAlignment="1">
      <alignment horizontal="left" vertical="center"/>
    </xf>
    <xf numFmtId="166" fontId="3" fillId="0" borderId="15" xfId="5" applyNumberFormat="1" applyFont="1" applyBorder="1" applyAlignment="1">
      <alignment horizontal="left" vertical="center"/>
    </xf>
    <xf numFmtId="166" fontId="3" fillId="0" borderId="28" xfId="5" applyNumberFormat="1" applyFont="1" applyBorder="1" applyAlignment="1">
      <alignment horizontal="left" vertical="center"/>
    </xf>
    <xf numFmtId="0" fontId="3" fillId="0" borderId="0" xfId="15" applyFont="1" applyAlignment="1">
      <alignment horizontal="right"/>
    </xf>
    <xf numFmtId="0" fontId="3" fillId="0" borderId="0" xfId="15" applyFont="1" applyAlignment="1">
      <alignment horizontal="left"/>
    </xf>
    <xf numFmtId="0" fontId="8" fillId="0" borderId="0" xfId="15" applyFont="1" applyAlignment="1">
      <alignment horizontal="right"/>
    </xf>
    <xf numFmtId="0" fontId="8" fillId="0" borderId="0" xfId="15" applyFont="1" applyAlignment="1">
      <alignment horizontal="left"/>
    </xf>
    <xf numFmtId="170" fontId="4" fillId="0" borderId="0" xfId="15" applyNumberFormat="1" applyFont="1" applyAlignment="1">
      <alignment horizontal="left"/>
    </xf>
    <xf numFmtId="168" fontId="52" fillId="0" borderId="0" xfId="16" applyNumberFormat="1" applyFont="1" applyAlignment="1">
      <alignment horizontal="left"/>
    </xf>
    <xf numFmtId="9" fontId="6" fillId="5" borderId="7" xfId="17" applyFont="1" applyFill="1" applyBorder="1" applyAlignment="1">
      <alignment horizontal="left" vertical="center"/>
    </xf>
    <xf numFmtId="0" fontId="6" fillId="4" borderId="7" xfId="2" applyNumberFormat="1" applyFont="1" applyFill="1" applyBorder="1" applyAlignment="1">
      <alignment horizontal="left" vertical="center"/>
    </xf>
    <xf numFmtId="165" fontId="3" fillId="7" borderId="0" xfId="15" applyNumberFormat="1" applyFont="1" applyFill="1" applyAlignment="1">
      <alignment horizontal="left"/>
    </xf>
    <xf numFmtId="170" fontId="3" fillId="0" borderId="0" xfId="15" applyNumberFormat="1" applyFont="1" applyAlignment="1">
      <alignment horizontal="left"/>
    </xf>
    <xf numFmtId="21" fontId="3" fillId="0" borderId="0" xfId="15" applyNumberFormat="1" applyFont="1" applyAlignment="1">
      <alignment horizontal="left" vertical="center"/>
    </xf>
    <xf numFmtId="46" fontId="3" fillId="0" borderId="0" xfId="15" applyNumberFormat="1" applyFont="1" applyAlignment="1">
      <alignment horizontal="left" vertical="center"/>
    </xf>
    <xf numFmtId="0" fontId="3" fillId="8" borderId="0" xfId="15" applyFont="1" applyFill="1" applyAlignment="1">
      <alignment horizontal="right" vertical="center"/>
    </xf>
    <xf numFmtId="0" fontId="3" fillId="11" borderId="0" xfId="15" applyFont="1" applyFill="1" applyAlignment="1">
      <alignment horizontal="left" vertical="center"/>
    </xf>
    <xf numFmtId="0" fontId="3" fillId="0" borderId="25" xfId="15" applyFont="1" applyBorder="1" applyAlignment="1">
      <alignment horizontal="left" vertical="center"/>
    </xf>
    <xf numFmtId="0" fontId="4" fillId="0" borderId="26" xfId="15" applyFont="1" applyBorder="1" applyAlignment="1">
      <alignment horizontal="left" vertical="center"/>
    </xf>
    <xf numFmtId="0" fontId="3" fillId="0" borderId="14" xfId="15" applyFont="1" applyBorder="1" applyAlignment="1">
      <alignment horizontal="left" vertical="center"/>
    </xf>
    <xf numFmtId="0" fontId="3" fillId="0" borderId="0" xfId="15" applyFont="1" applyAlignment="1">
      <alignment horizontal="left" vertical="center"/>
    </xf>
    <xf numFmtId="0" fontId="3" fillId="0" borderId="20" xfId="15" applyFont="1" applyBorder="1" applyAlignment="1">
      <alignment vertical="center"/>
    </xf>
    <xf numFmtId="0" fontId="74" fillId="0" borderId="0" xfId="15"/>
    <xf numFmtId="0" fontId="3" fillId="0" borderId="0" xfId="15" applyFont="1" applyAlignment="1">
      <alignment horizontal="left" vertical="top"/>
    </xf>
    <xf numFmtId="0" fontId="74" fillId="52" borderId="0" xfId="15" applyFill="1"/>
    <xf numFmtId="0" fontId="13" fillId="0" borderId="0" xfId="15" applyFont="1" applyAlignment="1">
      <alignment horizontal="left" vertical="top"/>
    </xf>
    <xf numFmtId="20" fontId="3" fillId="0" borderId="20" xfId="15" applyNumberFormat="1" applyFont="1" applyBorder="1" applyAlignment="1">
      <alignment vertical="center"/>
    </xf>
    <xf numFmtId="0" fontId="13" fillId="0" borderId="0" xfId="15" applyFont="1" applyAlignment="1">
      <alignment horizontal="left"/>
    </xf>
    <xf numFmtId="0" fontId="3" fillId="0" borderId="20" xfId="15" applyFont="1" applyBorder="1"/>
    <xf numFmtId="0" fontId="3" fillId="0" borderId="0" xfId="15" applyFont="1"/>
    <xf numFmtId="0" fontId="3" fillId="0" borderId="20" xfId="15" applyFont="1" applyBorder="1" applyAlignment="1">
      <alignment vertical="top"/>
    </xf>
    <xf numFmtId="0" fontId="9" fillId="0" borderId="20" xfId="15" applyFont="1" applyBorder="1"/>
    <xf numFmtId="46" fontId="3" fillId="0" borderId="0" xfId="15" applyNumberFormat="1" applyFont="1" applyAlignment="1">
      <alignment horizontal="left" vertical="top"/>
    </xf>
    <xf numFmtId="170" fontId="4" fillId="0" borderId="0" xfId="15" applyNumberFormat="1" applyFont="1" applyAlignment="1">
      <alignment horizontal="left" vertical="top"/>
    </xf>
    <xf numFmtId="20" fontId="13" fillId="0" borderId="8" xfId="2" applyNumberFormat="1" applyFont="1" applyBorder="1" applyAlignment="1">
      <alignment horizontal="left" vertical="top"/>
    </xf>
    <xf numFmtId="0" fontId="3" fillId="0" borderId="8" xfId="15" applyFont="1" applyBorder="1" applyAlignment="1">
      <alignment horizontal="left"/>
    </xf>
    <xf numFmtId="0" fontId="74" fillId="52" borderId="8" xfId="15" applyFill="1" applyBorder="1"/>
    <xf numFmtId="166" fontId="6" fillId="13" borderId="0" xfId="5" applyNumberFormat="1" applyFont="1" applyFill="1" applyAlignment="1">
      <alignment horizontal="left" vertical="center"/>
    </xf>
    <xf numFmtId="0" fontId="3" fillId="61" borderId="1" xfId="0" applyFont="1" applyFill="1" applyBorder="1" applyAlignment="1">
      <alignment horizontal="left"/>
    </xf>
    <xf numFmtId="166" fontId="6" fillId="13" borderId="33" xfId="5" applyNumberFormat="1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/>
    </xf>
    <xf numFmtId="0" fontId="3" fillId="32" borderId="1" xfId="0" applyFont="1" applyFill="1" applyBorder="1" applyAlignment="1">
      <alignment horizontal="left"/>
    </xf>
    <xf numFmtId="0" fontId="3" fillId="17" borderId="1" xfId="0" applyFont="1" applyFill="1" applyBorder="1" applyAlignment="1">
      <alignment horizontal="left"/>
    </xf>
    <xf numFmtId="0" fontId="35" fillId="31" borderId="57" xfId="0" applyFont="1" applyFill="1" applyBorder="1" applyAlignment="1">
      <alignment horizontal="center" vertical="center"/>
    </xf>
    <xf numFmtId="0" fontId="55" fillId="17" borderId="57" xfId="0" applyFont="1" applyFill="1" applyBorder="1" applyAlignment="1">
      <alignment horizontal="center" vertical="center"/>
    </xf>
    <xf numFmtId="0" fontId="64" fillId="21" borderId="51" xfId="0" applyFont="1" applyFill="1" applyBorder="1" applyAlignment="1">
      <alignment horizontal="center" vertical="center"/>
    </xf>
    <xf numFmtId="0" fontId="55" fillId="17" borderId="53" xfId="0" applyFont="1" applyFill="1" applyBorder="1" applyAlignment="1">
      <alignment horizontal="center" vertical="center"/>
    </xf>
    <xf numFmtId="0" fontId="21" fillId="13" borderId="57" xfId="0" applyFont="1" applyFill="1" applyBorder="1" applyAlignment="1">
      <alignment horizontal="center" vertical="center" wrapText="1"/>
    </xf>
    <xf numFmtId="0" fontId="55" fillId="17" borderId="58" xfId="0" applyFont="1" applyFill="1" applyBorder="1" applyAlignment="1">
      <alignment horizontal="center" vertical="center"/>
    </xf>
    <xf numFmtId="0" fontId="20" fillId="27" borderId="50" xfId="0" applyFont="1" applyFill="1" applyBorder="1" applyAlignment="1">
      <alignment horizontal="center" vertical="center"/>
    </xf>
    <xf numFmtId="20" fontId="13" fillId="39" borderId="8" xfId="2" applyNumberFormat="1" applyFont="1" applyFill="1" applyBorder="1" applyAlignment="1">
      <alignment horizontal="left" vertical="top"/>
    </xf>
    <xf numFmtId="20" fontId="13" fillId="42" borderId="8" xfId="2" applyNumberFormat="1" applyFont="1" applyFill="1" applyBorder="1" applyAlignment="1">
      <alignment horizontal="left" vertical="top"/>
    </xf>
    <xf numFmtId="20" fontId="3" fillId="39" borderId="0" xfId="2" applyNumberFormat="1" applyFont="1" applyFill="1" applyAlignment="1">
      <alignment horizontal="left" vertical="top"/>
    </xf>
    <xf numFmtId="20" fontId="3" fillId="39" borderId="8" xfId="2" applyNumberFormat="1" applyFont="1" applyFill="1" applyBorder="1" applyAlignment="1">
      <alignment horizontal="left" vertical="top"/>
    </xf>
    <xf numFmtId="20" fontId="3" fillId="39" borderId="15" xfId="2" applyNumberFormat="1" applyFont="1" applyFill="1" applyBorder="1" applyAlignment="1">
      <alignment horizontal="left" vertical="top"/>
    </xf>
    <xf numFmtId="20" fontId="3" fillId="0" borderId="8" xfId="2" applyNumberFormat="1" applyFont="1" applyBorder="1" applyAlignment="1">
      <alignment horizontal="left" vertical="top"/>
    </xf>
    <xf numFmtId="46" fontId="6" fillId="0" borderId="16" xfId="0" applyNumberFormat="1" applyFont="1" applyBorder="1" applyAlignment="1">
      <alignment horizontal="left" vertical="center"/>
    </xf>
    <xf numFmtId="1" fontId="76" fillId="12" borderId="1" xfId="2" applyNumberFormat="1" applyFont="1" applyFill="1" applyBorder="1" applyAlignment="1">
      <alignment horizontal="left" vertical="top"/>
    </xf>
    <xf numFmtId="1" fontId="77" fillId="12" borderId="1" xfId="2" applyNumberFormat="1" applyFont="1" applyFill="1" applyBorder="1" applyAlignment="1">
      <alignment horizontal="left" vertical="top"/>
    </xf>
    <xf numFmtId="1" fontId="78" fillId="12" borderId="1" xfId="2" applyNumberFormat="1" applyFont="1" applyFill="1" applyBorder="1" applyAlignment="1">
      <alignment horizontal="left" vertical="top"/>
    </xf>
    <xf numFmtId="20" fontId="8" fillId="47" borderId="8" xfId="2" applyNumberFormat="1" applyFont="1" applyFill="1" applyBorder="1" applyAlignment="1">
      <alignment horizontal="left" vertical="top"/>
    </xf>
    <xf numFmtId="0" fontId="0" fillId="38" borderId="1" xfId="0" applyFill="1" applyBorder="1"/>
    <xf numFmtId="0" fontId="3" fillId="38" borderId="1" xfId="15" applyFont="1" applyFill="1" applyBorder="1" applyAlignment="1">
      <alignment horizontal="left"/>
    </xf>
    <xf numFmtId="0" fontId="23" fillId="38" borderId="1" xfId="15" applyFont="1" applyFill="1" applyBorder="1" applyAlignment="1">
      <alignment horizontal="left"/>
    </xf>
    <xf numFmtId="0" fontId="3" fillId="38" borderId="1" xfId="0" applyFont="1" applyFill="1" applyBorder="1" applyAlignment="1">
      <alignment horizontal="left"/>
    </xf>
    <xf numFmtId="0" fontId="74" fillId="38" borderId="1" xfId="15" applyFill="1" applyBorder="1"/>
    <xf numFmtId="0" fontId="3" fillId="0" borderId="0" xfId="0" applyFont="1" applyAlignment="1">
      <alignment vertical="center"/>
    </xf>
    <xf numFmtId="0" fontId="3" fillId="0" borderId="0" xfId="15" applyFont="1" applyAlignment="1">
      <alignment vertical="center"/>
    </xf>
    <xf numFmtId="1" fontId="4" fillId="69" borderId="1" xfId="2" applyNumberFormat="1" applyFont="1" applyFill="1" applyBorder="1" applyAlignment="1">
      <alignment horizontal="left" vertical="top"/>
    </xf>
    <xf numFmtId="1" fontId="4" fillId="73" borderId="1" xfId="2" applyNumberFormat="1" applyFont="1" applyFill="1" applyBorder="1" applyAlignment="1">
      <alignment horizontal="left" vertical="top"/>
    </xf>
    <xf numFmtId="1" fontId="4" fillId="70" borderId="1" xfId="2" applyNumberFormat="1" applyFont="1" applyFill="1" applyBorder="1" applyAlignment="1">
      <alignment horizontal="left" vertical="top"/>
    </xf>
    <xf numFmtId="1" fontId="15" fillId="71" borderId="1" xfId="2" applyNumberFormat="1" applyFont="1" applyFill="1" applyBorder="1" applyAlignment="1">
      <alignment horizontal="left" vertical="top"/>
    </xf>
    <xf numFmtId="1" fontId="15" fillId="72" borderId="1" xfId="2" applyNumberFormat="1" applyFont="1" applyFill="1" applyBorder="1" applyAlignment="1">
      <alignment horizontal="left" vertical="top"/>
    </xf>
    <xf numFmtId="1" fontId="15" fillId="66" borderId="1" xfId="2" applyNumberFormat="1" applyFont="1" applyFill="1" applyBorder="1" applyAlignment="1">
      <alignment horizontal="left" vertical="top"/>
    </xf>
    <xf numFmtId="1" fontId="15" fillId="12" borderId="1" xfId="2" applyNumberFormat="1" applyFont="1" applyFill="1" applyBorder="1" applyAlignment="1">
      <alignment horizontal="left" vertical="top"/>
    </xf>
    <xf numFmtId="1" fontId="15" fillId="67" borderId="1" xfId="2" applyNumberFormat="1" applyFont="1" applyFill="1" applyBorder="1" applyAlignment="1">
      <alignment horizontal="left" vertical="top"/>
    </xf>
    <xf numFmtId="1" fontId="15" fillId="68" borderId="1" xfId="2" applyNumberFormat="1" applyFont="1" applyFill="1" applyBorder="1" applyAlignment="1">
      <alignment horizontal="left" vertical="top"/>
    </xf>
    <xf numFmtId="1" fontId="15" fillId="9" borderId="1" xfId="2" applyNumberFormat="1" applyFont="1" applyFill="1" applyBorder="1" applyAlignment="1">
      <alignment horizontal="left" vertical="top"/>
    </xf>
    <xf numFmtId="1" fontId="4" fillId="74" borderId="1" xfId="2" applyNumberFormat="1" applyFont="1" applyFill="1" applyBorder="1" applyAlignment="1">
      <alignment horizontal="left" vertical="top"/>
    </xf>
    <xf numFmtId="1" fontId="4" fillId="37" borderId="1" xfId="2" applyNumberFormat="1" applyFont="1" applyFill="1" applyBorder="1" applyAlignment="1">
      <alignment horizontal="left" vertical="top"/>
    </xf>
    <xf numFmtId="0" fontId="21" fillId="13" borderId="18" xfId="0" applyFont="1" applyFill="1" applyBorder="1" applyAlignment="1">
      <alignment horizontal="center" vertical="center" wrapText="1"/>
    </xf>
    <xf numFmtId="0" fontId="55" fillId="17" borderId="18" xfId="0" applyFont="1" applyFill="1" applyBorder="1" applyAlignment="1">
      <alignment horizontal="center" vertical="center"/>
    </xf>
    <xf numFmtId="0" fontId="55" fillId="17" borderId="61" xfId="0" applyFont="1" applyFill="1" applyBorder="1" applyAlignment="1">
      <alignment horizontal="center" vertical="center"/>
    </xf>
    <xf numFmtId="0" fontId="64" fillId="21" borderId="58" xfId="0" applyFont="1" applyFill="1" applyBorder="1" applyAlignment="1">
      <alignment horizontal="center" vertical="center"/>
    </xf>
    <xf numFmtId="0" fontId="35" fillId="31" borderId="52" xfId="0" applyFont="1" applyFill="1" applyBorder="1" applyAlignment="1">
      <alignment horizontal="center" vertical="center"/>
    </xf>
    <xf numFmtId="0" fontId="35" fillId="31" borderId="60" xfId="0" applyFont="1" applyFill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21" fillId="31" borderId="51" xfId="0" applyFont="1" applyFill="1" applyBorder="1" applyAlignment="1">
      <alignment horizontal="center" vertical="center"/>
    </xf>
    <xf numFmtId="0" fontId="21" fillId="31" borderId="57" xfId="0" applyFont="1" applyFill="1" applyBorder="1" applyAlignment="1">
      <alignment horizontal="center" vertical="center"/>
    </xf>
    <xf numFmtId="0" fontId="21" fillId="31" borderId="54" xfId="0" applyFont="1" applyFill="1" applyBorder="1" applyAlignment="1">
      <alignment horizontal="center" vertical="center"/>
    </xf>
    <xf numFmtId="0" fontId="64" fillId="21" borderId="54" xfId="0" applyFont="1" applyFill="1" applyBorder="1" applyAlignment="1">
      <alignment horizontal="center" vertical="center"/>
    </xf>
    <xf numFmtId="0" fontId="79" fillId="0" borderId="51" xfId="0" applyFont="1" applyBorder="1" applyAlignment="1">
      <alignment horizontal="center" vertical="center"/>
    </xf>
    <xf numFmtId="0" fontId="64" fillId="21" borderId="57" xfId="0" applyFont="1" applyFill="1" applyBorder="1" applyAlignment="1">
      <alignment horizontal="center" vertical="center"/>
    </xf>
    <xf numFmtId="0" fontId="55" fillId="17" borderId="59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 vertical="top"/>
    </xf>
    <xf numFmtId="0" fontId="4" fillId="2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top"/>
    </xf>
    <xf numFmtId="166" fontId="3" fillId="22" borderId="8" xfId="5" applyNumberFormat="1" applyFont="1" applyFill="1" applyBorder="1" applyAlignment="1">
      <alignment horizontal="left" vertical="center"/>
    </xf>
    <xf numFmtId="46" fontId="3" fillId="75" borderId="16" xfId="0" applyNumberFormat="1" applyFont="1" applyFill="1" applyBorder="1" applyAlignment="1">
      <alignment horizontal="left" vertical="top"/>
    </xf>
    <xf numFmtId="0" fontId="2" fillId="76" borderId="0" xfId="0" applyFont="1" applyFill="1" applyAlignment="1">
      <alignment horizontal="center"/>
    </xf>
    <xf numFmtId="0" fontId="4" fillId="13" borderId="1" xfId="0" applyFont="1" applyFill="1" applyBorder="1" applyAlignment="1">
      <alignment horizontal="center"/>
    </xf>
    <xf numFmtId="166" fontId="7" fillId="15" borderId="8" xfId="5" applyNumberFormat="1" applyFont="1" applyFill="1" applyBorder="1" applyAlignment="1">
      <alignment horizontal="left" vertical="center"/>
    </xf>
    <xf numFmtId="20" fontId="13" fillId="0" borderId="15" xfId="2" applyNumberFormat="1" applyFont="1" applyBorder="1" applyAlignment="1">
      <alignment horizontal="left" vertical="top"/>
    </xf>
    <xf numFmtId="1" fontId="8" fillId="20" borderId="1" xfId="2" applyNumberFormat="1" applyFont="1" applyFill="1" applyBorder="1" applyAlignment="1">
      <alignment horizontal="left" vertical="top"/>
    </xf>
    <xf numFmtId="0" fontId="13" fillId="0" borderId="1" xfId="0" applyFont="1" applyBorder="1" applyAlignment="1">
      <alignment horizontal="center"/>
    </xf>
    <xf numFmtId="0" fontId="3" fillId="0" borderId="20" xfId="15" applyFont="1" applyBorder="1" applyAlignment="1">
      <alignment horizontal="right"/>
    </xf>
    <xf numFmtId="0" fontId="3" fillId="0" borderId="0" xfId="15" applyFont="1" applyAlignment="1">
      <alignment vertical="top"/>
    </xf>
    <xf numFmtId="20" fontId="3" fillId="0" borderId="0" xfId="15" applyNumberFormat="1" applyFont="1" applyAlignment="1">
      <alignment vertical="center"/>
    </xf>
    <xf numFmtId="20" fontId="13" fillId="39" borderId="15" xfId="2" applyNumberFormat="1" applyFont="1" applyFill="1" applyBorder="1" applyAlignment="1">
      <alignment horizontal="left" vertical="top"/>
    </xf>
    <xf numFmtId="20" fontId="13" fillId="13" borderId="15" xfId="2" applyNumberFormat="1" applyFont="1" applyFill="1" applyBorder="1" applyAlignment="1">
      <alignment horizontal="left" vertical="top"/>
    </xf>
    <xf numFmtId="20" fontId="8" fillId="47" borderId="15" xfId="2" applyNumberFormat="1" applyFont="1" applyFill="1" applyBorder="1" applyAlignment="1">
      <alignment horizontal="left" vertical="top"/>
    </xf>
    <xf numFmtId="166" fontId="28" fillId="15" borderId="8" xfId="5" applyNumberFormat="1" applyFont="1" applyFill="1" applyBorder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6" borderId="0" xfId="0" applyFont="1" applyFill="1" applyAlignment="1">
      <alignment horizontal="center" vertical="center"/>
    </xf>
    <xf numFmtId="0" fontId="24" fillId="47" borderId="47" xfId="0" applyFont="1" applyFill="1" applyBorder="1" applyAlignment="1">
      <alignment horizontal="center" vertical="center"/>
    </xf>
    <xf numFmtId="0" fontId="2" fillId="44" borderId="42" xfId="0" applyFont="1" applyFill="1" applyBorder="1" applyAlignment="1">
      <alignment horizontal="center" vertical="center"/>
    </xf>
    <xf numFmtId="0" fontId="2" fillId="26" borderId="23" xfId="0" applyFont="1" applyFill="1" applyBorder="1" applyAlignment="1">
      <alignment horizontal="center" vertical="center"/>
    </xf>
    <xf numFmtId="0" fontId="2" fillId="26" borderId="24" xfId="0" applyFont="1" applyFill="1" applyBorder="1" applyAlignment="1">
      <alignment horizontal="center" vertical="center"/>
    </xf>
    <xf numFmtId="0" fontId="2" fillId="49" borderId="42" xfId="0" applyFont="1" applyFill="1" applyBorder="1" applyAlignment="1">
      <alignment horizontal="center" vertical="center" wrapText="1"/>
    </xf>
    <xf numFmtId="0" fontId="2" fillId="42" borderId="0" xfId="0" applyFont="1" applyFill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50" borderId="0" xfId="0" applyFont="1" applyFill="1" applyAlignment="1">
      <alignment horizontal="center" vertical="center"/>
    </xf>
    <xf numFmtId="0" fontId="46" fillId="41" borderId="0" xfId="0" applyFont="1" applyFill="1" applyAlignment="1">
      <alignment horizontal="center" wrapText="1"/>
    </xf>
    <xf numFmtId="0" fontId="46" fillId="41" borderId="0" xfId="0" applyFont="1" applyFill="1" applyAlignment="1">
      <alignment horizontal="center"/>
    </xf>
    <xf numFmtId="0" fontId="51" fillId="39" borderId="0" xfId="0" applyFont="1" applyFill="1" applyAlignment="1">
      <alignment horizontal="center" vertical="center" wrapText="1"/>
    </xf>
    <xf numFmtId="164" fontId="75" fillId="4" borderId="3" xfId="2" applyFont="1" applyFill="1" applyBorder="1" applyAlignment="1">
      <alignment horizontal="left" vertical="center"/>
    </xf>
    <xf numFmtId="164" fontId="75" fillId="4" borderId="4" xfId="2" applyFont="1" applyFill="1" applyBorder="1" applyAlignment="1">
      <alignment horizontal="left" vertical="center"/>
    </xf>
    <xf numFmtId="164" fontId="75" fillId="4" borderId="5" xfId="2" applyFont="1" applyFill="1" applyBorder="1" applyAlignment="1">
      <alignment horizontal="left" vertical="center"/>
    </xf>
    <xf numFmtId="164" fontId="25" fillId="4" borderId="3" xfId="2" applyFont="1" applyFill="1" applyBorder="1" applyAlignment="1">
      <alignment horizontal="left" vertical="center"/>
    </xf>
    <xf numFmtId="164" fontId="25" fillId="4" borderId="4" xfId="2" applyFont="1" applyFill="1" applyBorder="1" applyAlignment="1">
      <alignment horizontal="left" vertical="center"/>
    </xf>
    <xf numFmtId="164" fontId="25" fillId="4" borderId="5" xfId="2" applyFont="1" applyFill="1" applyBorder="1" applyAlignment="1">
      <alignment horizontal="left" vertical="center"/>
    </xf>
    <xf numFmtId="164" fontId="26" fillId="4" borderId="3" xfId="2" applyFont="1" applyFill="1" applyBorder="1" applyAlignment="1">
      <alignment horizontal="left" vertical="center"/>
    </xf>
    <xf numFmtId="164" fontId="26" fillId="4" borderId="4" xfId="2" applyFont="1" applyFill="1" applyBorder="1" applyAlignment="1">
      <alignment horizontal="left" vertical="center"/>
    </xf>
    <xf numFmtId="164" fontId="26" fillId="4" borderId="5" xfId="2" applyFont="1" applyFill="1" applyBorder="1" applyAlignment="1">
      <alignment horizontal="left" vertical="center"/>
    </xf>
    <xf numFmtId="164" fontId="38" fillId="4" borderId="3" xfId="2" applyFont="1" applyFill="1" applyBorder="1" applyAlignment="1">
      <alignment horizontal="center" vertical="center"/>
    </xf>
    <xf numFmtId="164" fontId="38" fillId="4" borderId="4" xfId="2" applyFont="1" applyFill="1" applyBorder="1" applyAlignment="1">
      <alignment horizontal="center" vertical="center"/>
    </xf>
    <xf numFmtId="164" fontId="38" fillId="4" borderId="5" xfId="2" applyFont="1" applyFill="1" applyBorder="1" applyAlignment="1">
      <alignment horizontal="center" vertical="center"/>
    </xf>
    <xf numFmtId="164" fontId="6" fillId="4" borderId="3" xfId="2" applyFont="1" applyFill="1" applyBorder="1" applyAlignment="1">
      <alignment horizontal="center" vertical="center"/>
    </xf>
    <xf numFmtId="164" fontId="6" fillId="4" borderId="4" xfId="2" applyFont="1" applyFill="1" applyBorder="1" applyAlignment="1">
      <alignment horizontal="center" vertical="center"/>
    </xf>
    <xf numFmtId="164" fontId="6" fillId="4" borderId="5" xfId="2" applyFont="1" applyFill="1" applyBorder="1" applyAlignment="1">
      <alignment horizontal="center" vertical="center"/>
    </xf>
    <xf numFmtId="164" fontId="7" fillId="20" borderId="22" xfId="2" applyFont="1" applyFill="1" applyBorder="1" applyAlignment="1">
      <alignment horizontal="left" vertical="center"/>
    </xf>
    <xf numFmtId="164" fontId="7" fillId="20" borderId="0" xfId="2" applyFont="1" applyFill="1" applyAlignment="1">
      <alignment horizontal="left" vertical="center"/>
    </xf>
    <xf numFmtId="164" fontId="7" fillId="20" borderId="8" xfId="2" applyFont="1" applyFill="1" applyBorder="1" applyAlignment="1">
      <alignment horizontal="left" vertical="center"/>
    </xf>
    <xf numFmtId="164" fontId="19" fillId="4" borderId="3" xfId="2" applyFont="1" applyFill="1" applyBorder="1" applyAlignment="1">
      <alignment horizontal="left" vertical="center"/>
    </xf>
    <xf numFmtId="164" fontId="19" fillId="4" borderId="4" xfId="2" applyFont="1" applyFill="1" applyBorder="1" applyAlignment="1">
      <alignment horizontal="left" vertical="center"/>
    </xf>
    <xf numFmtId="164" fontId="19" fillId="4" borderId="5" xfId="2" applyFont="1" applyFill="1" applyBorder="1" applyAlignment="1">
      <alignment horizontal="left" vertical="center"/>
    </xf>
    <xf numFmtId="164" fontId="16" fillId="4" borderId="3" xfId="2" applyFont="1" applyFill="1" applyBorder="1" applyAlignment="1">
      <alignment horizontal="left" vertical="center"/>
    </xf>
    <xf numFmtId="164" fontId="16" fillId="4" borderId="4" xfId="2" applyFont="1" applyFill="1" applyBorder="1" applyAlignment="1">
      <alignment horizontal="left" vertical="center"/>
    </xf>
    <xf numFmtId="164" fontId="16" fillId="4" borderId="5" xfId="2" applyFont="1" applyFill="1" applyBorder="1" applyAlignment="1">
      <alignment horizontal="left" vertical="center"/>
    </xf>
    <xf numFmtId="164" fontId="6" fillId="4" borderId="3" xfId="2" applyFont="1" applyFill="1" applyBorder="1" applyAlignment="1">
      <alignment horizontal="left" vertical="center"/>
    </xf>
    <xf numFmtId="164" fontId="6" fillId="4" borderId="4" xfId="2" applyFont="1" applyFill="1" applyBorder="1" applyAlignment="1">
      <alignment horizontal="left" vertical="center"/>
    </xf>
    <xf numFmtId="164" fontId="6" fillId="4" borderId="5" xfId="2" applyFont="1" applyFill="1" applyBorder="1" applyAlignment="1">
      <alignment horizontal="left" vertical="center"/>
    </xf>
    <xf numFmtId="1" fontId="36" fillId="16" borderId="0" xfId="0" applyNumberFormat="1" applyFont="1" applyFill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80" fillId="2" borderId="20" xfId="0" applyFont="1" applyFill="1" applyBorder="1" applyAlignment="1">
      <alignment horizontal="center" vertical="center"/>
    </xf>
    <xf numFmtId="0" fontId="80" fillId="27" borderId="20" xfId="0" applyFont="1" applyFill="1" applyBorder="1" applyAlignment="1">
      <alignment horizontal="center" vertical="center"/>
    </xf>
    <xf numFmtId="0" fontId="2" fillId="27" borderId="20" xfId="0" applyFont="1" applyFill="1" applyBorder="1" applyAlignment="1">
      <alignment horizontal="center"/>
    </xf>
    <xf numFmtId="0" fontId="81" fillId="57" borderId="46" xfId="15" applyFont="1" applyFill="1" applyBorder="1" applyAlignment="1">
      <alignment horizontal="left"/>
    </xf>
    <xf numFmtId="0" fontId="3" fillId="57" borderId="30" xfId="15" applyFont="1" applyFill="1" applyBorder="1" applyAlignment="1">
      <alignment horizontal="left"/>
    </xf>
    <xf numFmtId="0" fontId="3" fillId="0" borderId="25" xfId="15" applyFont="1" applyBorder="1" applyAlignment="1">
      <alignment horizontal="left"/>
    </xf>
    <xf numFmtId="0" fontId="3" fillId="0" borderId="44" xfId="15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45" xfId="15" applyFont="1" applyBorder="1" applyAlignment="1">
      <alignment horizontal="left"/>
    </xf>
    <xf numFmtId="169" fontId="3" fillId="57" borderId="24" xfId="15" applyNumberFormat="1" applyFont="1" applyFill="1" applyBorder="1" applyAlignment="1">
      <alignment horizontal="left"/>
    </xf>
    <xf numFmtId="0" fontId="3" fillId="0" borderId="26" xfId="15" applyFont="1" applyBorder="1" applyAlignment="1">
      <alignment horizontal="left"/>
    </xf>
    <xf numFmtId="0" fontId="3" fillId="0" borderId="14" xfId="15" applyFont="1" applyBorder="1" applyAlignment="1">
      <alignment horizontal="left"/>
    </xf>
    <xf numFmtId="0" fontId="3" fillId="0" borderId="1" xfId="15" applyFont="1" applyBorder="1" applyAlignment="1">
      <alignment horizontal="left"/>
    </xf>
    <xf numFmtId="169" fontId="3" fillId="0" borderId="1" xfId="15" applyNumberFormat="1" applyFont="1" applyBorder="1" applyAlignment="1">
      <alignment horizontal="left"/>
    </xf>
    <xf numFmtId="165" fontId="3" fillId="0" borderId="1" xfId="15" applyNumberFormat="1" applyFont="1" applyBorder="1" applyAlignment="1">
      <alignment horizontal="left"/>
    </xf>
    <xf numFmtId="0" fontId="13" fillId="77" borderId="1" xfId="2" applyNumberFormat="1" applyFont="1" applyFill="1" applyBorder="1" applyAlignment="1">
      <alignment horizontal="left" vertical="top"/>
    </xf>
  </cellXfs>
  <cellStyles count="18">
    <cellStyle name="%" xfId="5" xr:uid="{00000000-0005-0000-0000-000000000000}"/>
    <cellStyle name="% 2" xfId="3" xr:uid="{00000000-0005-0000-0000-000001000000}"/>
    <cellStyle name="Milliers" xfId="14" builtinId="3"/>
    <cellStyle name="Milliers 2" xfId="6" xr:uid="{00000000-0005-0000-0000-000003000000}"/>
    <cellStyle name="Milliers 2 2" xfId="10" xr:uid="{00000000-0005-0000-0000-000004000000}"/>
    <cellStyle name="Milliers 3" xfId="7" xr:uid="{00000000-0005-0000-0000-000005000000}"/>
    <cellStyle name="Milliers 3 2" xfId="11" xr:uid="{00000000-0005-0000-0000-000006000000}"/>
    <cellStyle name="Milliers 4" xfId="8" xr:uid="{00000000-0005-0000-0000-000007000000}"/>
    <cellStyle name="Milliers 4 2" xfId="12" xr:uid="{00000000-0005-0000-0000-000008000000}"/>
    <cellStyle name="Milliers 5" xfId="13" xr:uid="{00000000-0005-0000-0000-000009000000}"/>
    <cellStyle name="Milliers 6" xfId="16" xr:uid="{00000000-0005-0000-0000-00000A000000}"/>
    <cellStyle name="Normal" xfId="0" builtinId="0"/>
    <cellStyle name="Normal 2" xfId="2" xr:uid="{00000000-0005-0000-0000-00000C000000}"/>
    <cellStyle name="Normal 2 2" xfId="4" xr:uid="{00000000-0005-0000-0000-00000D000000}"/>
    <cellStyle name="Normal 3" xfId="15" xr:uid="{00000000-0005-0000-0000-00000E000000}"/>
    <cellStyle name="Pourcentage" xfId="1" builtinId="5"/>
    <cellStyle name="Pourcentage 2" xfId="9" xr:uid="{00000000-0005-0000-0000-000010000000}"/>
    <cellStyle name="Pourcentage 3" xfId="17" xr:uid="{00000000-0005-0000-0000-000011000000}"/>
  </cellStyles>
  <dxfs count="6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25" formatCode="hh:mm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0" formatCode="General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1" formatCode="[h]:mm:ss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[h]:mm:ss;@"/>
      <fill>
        <patternFill patternType="solid">
          <fgColor indexed="8"/>
          <bgColor indexed="9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indexed="53"/>
        </left>
        <right style="medium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1" formatCode="[h]:mm:ss"/>
      <fill>
        <patternFill patternType="solid">
          <fgColor indexed="8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9"/>
        </left>
        <right style="medium">
          <color indexed="5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5" formatCode="hh:mm"/>
      <fill>
        <patternFill patternType="solid">
          <fgColor indexed="64"/>
          <bgColor theme="0" tint="-0.34998626667073579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indexed="9"/>
        </left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5" formatCode="hh:mm"/>
      <fill>
        <patternFill patternType="solid">
          <fgColor indexed="64"/>
          <bgColor theme="0" tint="-0.34998626667073579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indexed="9"/>
        </left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1" formatCode="[h]:mm:ss"/>
      <fill>
        <patternFill patternType="solid">
          <fgColor indexed="8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9"/>
        </left>
        <right style="medium">
          <color indexed="5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5" formatCode="hh:mm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h:mm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1" formatCode="[h]:mm:ss"/>
      <fill>
        <patternFill patternType="solid">
          <fgColor indexed="8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9"/>
        </left>
        <right style="medium">
          <color indexed="5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5" formatCode="hh:mm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h:mm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ck">
          <color rgb="FFED7B30"/>
        </left>
        <right style="dashed">
          <color rgb="FFF2F2F2"/>
        </right>
        <top style="dashed">
          <color rgb="FFF2F2F2"/>
        </top>
        <bottom style="dashed">
          <color rgb="FFF2F2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1" formatCode="[h]:mm:ss"/>
      <fill>
        <patternFill patternType="solid">
          <fgColor indexed="8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9"/>
        </left>
        <right style="medium">
          <color indexed="5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1" formatCode="[h]:mm:ss"/>
      <fill>
        <patternFill patternType="solid">
          <fgColor indexed="8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9"/>
        </left>
        <right style="medium">
          <color indexed="5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25" formatCode="hh:mm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h:mm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1" formatCode="[h]:mm:ss"/>
      <fill>
        <patternFill patternType="solid">
          <fgColor indexed="8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9"/>
        </left>
        <right style="medium">
          <color indexed="5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25" formatCode="hh:mm"/>
      <fill>
        <patternFill patternType="solid">
          <fgColor indexed="64"/>
          <bgColor theme="0" tint="-0.34998626667073579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indexed="9"/>
        </left>
        <right style="medium">
          <color indexed="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5" formatCode="hh:mm"/>
      <fill>
        <patternFill patternType="solid">
          <fgColor indexed="64"/>
          <bgColor theme="0" tint="-0.34998626667073579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indexed="9"/>
        </left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1" formatCode="[h]:mm:ss"/>
      <fill>
        <patternFill patternType="solid">
          <fgColor indexed="8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9"/>
        </left>
        <right style="medium">
          <color indexed="5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25" formatCode="hh:mm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indexed="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25" formatCode="hh:mm"/>
      <fill>
        <patternFill patternType="solid">
          <fgColor indexed="64"/>
          <bgColor theme="0" tint="-0.249977111117893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h:mm;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ck">
          <color rgb="FFED7B30"/>
        </left>
        <right style="dashed">
          <color rgb="FFF2F2F2"/>
        </right>
        <top style="dashed">
          <color rgb="FFF2F2F2"/>
        </top>
        <bottom style="dashed">
          <color rgb="FFF2F2F2"/>
        </bottom>
      </border>
    </dxf>
    <dxf>
      <border outline="0">
        <bottom style="medium">
          <color indexed="9"/>
        </bottom>
      </border>
    </dxf>
  </dxfs>
  <tableStyles count="0" defaultTableStyle="TableStyleMedium2" defaultPivotStyle="PivotStyleLight16"/>
  <colors>
    <mruColors>
      <color rgb="FF68F200"/>
      <color rgb="FF92548B"/>
      <color rgb="FFDCAF0A"/>
      <color rgb="FFEA3F10"/>
      <color rgb="FFFAFA32"/>
      <color rgb="FFBFBFBF"/>
      <color rgb="FFFFFFFF"/>
      <color rgb="FF00FF00"/>
      <color rgb="FFAE165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9" Type="http://schemas.microsoft.com/office/2017/10/relationships/person" Target="persons/person2.xml"/><Relationship Id="rId3" Type="http://schemas.openxmlformats.org/officeDocument/2006/relationships/worksheet" Target="worksheets/sheet3.xml"/><Relationship Id="rId34" Type="http://schemas.microsoft.com/office/2017/10/relationships/person" Target="persons/pers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33" Type="http://schemas.microsoft.com/office/2017/10/relationships/person" Target="persons/person0.xml"/><Relationship Id="rId38" Type="http://schemas.microsoft.com/office/2017/10/relationships/person" Target="persons/person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microsoft.com/office/2017/10/relationships/person" Target="persons/person1.xml"/><Relationship Id="rId37" Type="http://schemas.microsoft.com/office/2017/10/relationships/person" Target="persons/person6.xml"/><Relationship Id="rId40" Type="http://schemas.microsoft.com/office/2017/10/relationships/person" Target="persons/person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36" Type="http://schemas.microsoft.com/office/2017/10/relationships/person" Target="persons/person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microsoft.com/office/2017/10/relationships/person" Target="persons/pers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35" Type="http://schemas.microsoft.com/office/2017/10/relationships/person" Target="persons/person8.xml"/><Relationship Id="rId30" Type="http://schemas.microsoft.com/office/2017/10/relationships/person" Target="persons/person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866F91AC-5064-451F-A9C8-FD18F13A6A82}"/>
            </a:ext>
          </a:extLst>
        </xdr:cNvPr>
        <xdr:cNvGrpSpPr/>
      </xdr:nvGrpSpPr>
      <xdr:grpSpPr>
        <a:xfrm>
          <a:off x="29563219" y="440531"/>
          <a:ext cx="0" cy="0"/>
          <a:chOff x="7610475" y="400050"/>
          <a:chExt cx="1352550" cy="13239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C6A6380-2DA2-41C3-ACA4-7E2AAFD78DD8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9D35094-635F-4186-A7F2-710A5D241824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6" name="Group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30622875" y="440531"/>
          <a:ext cx="0" cy="0"/>
          <a:chOff x="7610475" y="400050"/>
          <a:chExt cx="1352550" cy="1323975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600-00001C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38098A04-F053-40EA-A577-63DEACE47734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BBC1832-CB93-99E4-AEFD-3711AF779058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9001CB0E-A02D-A03D-080C-53266503F1DC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DBB16FC7-8AC8-484B-9369-5957FEBF7733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991740D-0DD2-59B8-D77E-459BF0FA973D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8C0CC16-641C-18F6-91D7-40F053F40BA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49BEFD68-6BD1-4EEF-AA93-3C4A44D900EC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2067D5E7-3475-DF01-FD16-CFF3EDFAE6DF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9A3DDD1A-0BE5-69BB-E049-BEAE2A04F4B2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D91A9653-FCE5-4597-B848-78B9BAFF14BC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513E6BFC-60BA-8AB2-885E-7C31D1E4696A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7BA25FF6-C533-DE93-D032-1BFFE9C19940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AB3FA6BA-F423-4D65-8E67-D4E1945FA3FB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D3ECAE06-C289-6FA5-0EF0-34214D9DE7A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4A78312-00EB-D131-BC67-3FE86AF99833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D6B86AD6-2D47-4B6E-BDA9-31F1FD670321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C1D653A6-54C7-2EF6-3B47-6F9144B969CC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1683B62C-7C38-1FFC-C6A2-C1D4EC4DDFFF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8386EBF0-E7D6-46E6-B1B1-0F1E8C7DBA3E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D7FBCAA-086A-F352-D8AD-DA7925980F33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AD952DC5-F733-EA92-E2AA-6C72D0D0D106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6" name="Groupe 25">
          <a:extLst>
            <a:ext uri="{FF2B5EF4-FFF2-40B4-BE49-F238E27FC236}">
              <a16:creationId xmlns:a16="http://schemas.microsoft.com/office/drawing/2014/main" id="{97B355B4-7202-4217-B746-D1C1E1306879}"/>
            </a:ext>
          </a:extLst>
        </xdr:cNvPr>
        <xdr:cNvGrpSpPr/>
      </xdr:nvGrpSpPr>
      <xdr:grpSpPr>
        <a:xfrm>
          <a:off x="29646563" y="392906"/>
          <a:ext cx="0" cy="0"/>
          <a:chOff x="7610475" y="400050"/>
          <a:chExt cx="1352550" cy="1323975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EA75289-397C-35D4-131A-8113C70EE734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DD1E7115-DDC1-CE1B-CC4E-9D830B6D53F3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D05A9BC3-0550-4E10-95FA-DA476F5405FC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F3EA5CB-424E-0685-2698-259F056066CC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F3B027D-8ED4-4C30-7010-EDA130C41E49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87E463C0-91C5-4A7F-BD3C-F31F5BD2379C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72F96D4-8514-D294-3152-2449A8C47D92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7450BCC-30AE-E84E-7804-81C8DB572CB7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01564B34-74D7-403E-8F0E-923917C1DE78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CE6F95C0-39ED-2863-5204-FD21113D3DF4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7E4F3B9-A723-B4B9-DE6A-DEA60879C923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7D603EEE-975A-48AE-843F-54AD0D70E525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6D37DD3F-69ED-D22A-D1E5-AA8DF40C419C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97C42910-734C-B5C1-BFE3-581B3FB6DF25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2053C6A6-459A-40A9-8391-79B422FCFDC1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E85FAFF5-E3A8-7056-7AC5-EE95CCA4970B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8EBC986-3F05-556B-B820-257450C166A6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4D8392A8-4DFE-4466-9073-231B4F924865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3BCBD18F-64AE-62D0-4773-2B24DE9CAB5A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8DBD0F11-1E9D-D5D9-F7F7-B6ACEFBFC87A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23646CC8-3701-43F7-9B9E-27EC6100D0A9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84EB5E15-4128-1946-4D49-55777A9AABD9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A1B9EEE6-EC7B-1943-A1CC-63F1E71B3146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CFF96293-7165-46B3-9FFF-FF7EF54137DA}"/>
            </a:ext>
          </a:extLst>
        </xdr:cNvPr>
        <xdr:cNvGrpSpPr/>
      </xdr:nvGrpSpPr>
      <xdr:grpSpPr>
        <a:xfrm>
          <a:off x="33385125" y="392906"/>
          <a:ext cx="0" cy="0"/>
          <a:chOff x="7610475" y="400050"/>
          <a:chExt cx="1352550" cy="1323975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00B7A91-4299-4882-5BED-80CD493478FE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42694065-AB54-B291-0F9C-D1D8ED6CA06F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E2CAC5B8-85BE-44FA-A26B-DE7DD595C3B3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B7A9FF4-6508-3B5B-CA59-A94B3E4F59ED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96532304-E3F5-AB98-A246-7D27E4A90AAC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B5FD8DDA-D5BA-4434-A8D4-A2EC7AB2037B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0D35BE4-4372-1AAD-BB81-57D0B54CA110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CD6E6D5-E390-B5DA-DF96-7945A27B3882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8D2D913D-9D32-4F6A-A29F-78BAECB4A381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0149022-77F1-BE86-4544-FC91A2A4A561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1BE89E5-FF64-7D4B-A457-3752E292143E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D68C69BE-1C30-4F93-9821-9EBFBB2DD605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73E9892-2D6F-A594-97CE-7EC2AE0CA359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B773B793-B8CA-D802-4151-9AE7FFE1F723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84FC7925-5979-44AD-BF4A-65E18BBDFA49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7C5A7DB-DF10-6734-8316-DD675499A1A2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83E1825-4054-A9C1-333C-6B743A6AC112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5606C21D-4F43-4FDF-821B-093BBCE71299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C7AA31A-D9CA-CC93-8165-D2A61F615AA9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4389C674-B213-3708-BF19-97E5C56FE87F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2532CA6F-1B97-4D27-860D-26230C5E9644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A383D640-7999-1102-9174-D0FE5BE69641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2C93FCD5-90BF-6ECF-AC38-5A1AA5512088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FC86D42F-0531-4D3F-9800-07B5E95CDCD7}"/>
            </a:ext>
          </a:extLst>
        </xdr:cNvPr>
        <xdr:cNvGrpSpPr/>
      </xdr:nvGrpSpPr>
      <xdr:grpSpPr>
        <a:xfrm>
          <a:off x="28848844" y="392906"/>
          <a:ext cx="0" cy="0"/>
          <a:chOff x="7610475" y="400050"/>
          <a:chExt cx="1352550" cy="1323975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2F008F1-5B1D-162F-AD95-64A8E929163B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8FF7F16E-BBAE-151E-C8CA-0FEAB916DEE7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02B5D032-3125-447F-8073-66636AC06FCD}"/>
            </a:ext>
          </a:extLst>
        </xdr:cNvPr>
        <xdr:cNvGrpSpPr/>
      </xdr:nvGrpSpPr>
      <xdr:grpSpPr>
        <a:xfrm>
          <a:off x="28348781" y="392906"/>
          <a:ext cx="0" cy="0"/>
          <a:chOff x="7610475" y="400050"/>
          <a:chExt cx="1352550" cy="13239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1D1DFD4-6316-8F7C-A301-CC741DB8D2E7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F589D62-9D07-DE36-AEA0-4D106D9FDED8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0B637CED-17A4-4262-BD65-F6CB6F6307E3}"/>
            </a:ext>
          </a:extLst>
        </xdr:cNvPr>
        <xdr:cNvGrpSpPr/>
      </xdr:nvGrpSpPr>
      <xdr:grpSpPr>
        <a:xfrm>
          <a:off x="28348781" y="392906"/>
          <a:ext cx="0" cy="0"/>
          <a:chOff x="7610475" y="400050"/>
          <a:chExt cx="1352550" cy="132397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A14023C5-4A37-43FE-1212-90615403322B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63C7A5CE-E8D5-91CD-692C-5E8142497D38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A1DB89D1-5377-4B8B-8ED6-53570DEA662F}"/>
            </a:ext>
          </a:extLst>
        </xdr:cNvPr>
        <xdr:cNvGrpSpPr/>
      </xdr:nvGrpSpPr>
      <xdr:grpSpPr>
        <a:xfrm>
          <a:off x="28348781" y="392906"/>
          <a:ext cx="0" cy="0"/>
          <a:chOff x="7610475" y="400050"/>
          <a:chExt cx="1352550" cy="1323975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1ECEDEA0-644A-6052-64C7-0EC873AA253E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BAD28D4-6ECD-C1DD-6A19-000C5B8AE9D4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09E32282-2BED-4F2E-B59C-5007949A197E}"/>
            </a:ext>
          </a:extLst>
        </xdr:cNvPr>
        <xdr:cNvGrpSpPr/>
      </xdr:nvGrpSpPr>
      <xdr:grpSpPr>
        <a:xfrm>
          <a:off x="28348781" y="392906"/>
          <a:ext cx="0" cy="0"/>
          <a:chOff x="7610475" y="400050"/>
          <a:chExt cx="1352550" cy="132397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6BC566C8-D7FF-E20D-5184-B8609AA2D7F4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E57E4997-E989-0F24-86C2-730F423A1FB2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57C504AC-EFF0-4F1A-BF13-6B60D183F0F4}"/>
            </a:ext>
          </a:extLst>
        </xdr:cNvPr>
        <xdr:cNvGrpSpPr/>
      </xdr:nvGrpSpPr>
      <xdr:grpSpPr>
        <a:xfrm>
          <a:off x="28348781" y="392906"/>
          <a:ext cx="0" cy="0"/>
          <a:chOff x="7610475" y="400050"/>
          <a:chExt cx="1352550" cy="1323975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C98FF663-02AF-215F-DA7E-7BE8C380C53F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5BF05693-076A-67CD-3D74-9C99F517B139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229F21FD-5ED3-43ED-AF5B-BD53CF3CD850}"/>
            </a:ext>
          </a:extLst>
        </xdr:cNvPr>
        <xdr:cNvGrpSpPr/>
      </xdr:nvGrpSpPr>
      <xdr:grpSpPr>
        <a:xfrm>
          <a:off x="28348781" y="392906"/>
          <a:ext cx="0" cy="0"/>
          <a:chOff x="7610475" y="400050"/>
          <a:chExt cx="1352550" cy="1323975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C19E3E27-2FE9-26F3-A4E6-06703744EA6D}"/>
              </a:ext>
            </a:extLst>
          </xdr:cNvPr>
          <xdr:cNvSpPr/>
        </xdr:nvSpPr>
        <xdr:spPr bwMode="auto">
          <a:xfrm>
            <a:off x="7610475" y="400050"/>
            <a:ext cx="876300" cy="800100"/>
          </a:xfrm>
          <a:prstGeom prst="rect">
            <a:avLst/>
          </a:prstGeom>
          <a:noFill/>
          <a:ln w="57150" cap="flat" cmpd="sng" algn="ctr">
            <a:solidFill>
              <a:srgbClr val="00206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B31D01AA-643F-B8B7-B61A-9C3687B1B674}"/>
              </a:ext>
            </a:extLst>
          </xdr:cNvPr>
          <xdr:cNvSpPr/>
        </xdr:nvSpPr>
        <xdr:spPr bwMode="auto">
          <a:xfrm>
            <a:off x="8124825" y="914400"/>
            <a:ext cx="838200" cy="809625"/>
          </a:xfrm>
          <a:prstGeom prst="rect">
            <a:avLst/>
          </a:prstGeom>
          <a:noFill/>
          <a:ln w="76200" cap="flat" cmpd="sng" algn="ctr">
            <a:solidFill>
              <a:srgbClr val="F79646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ierette/Downloads/Fichier%20Staffing%20pour%20planif%20S18%208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FCT1681/Desktop/planning/Plannings_LMT_S18_2026%20VIZ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tCalculator"/>
      <sheetName val="How to Use"/>
      <sheetName val="Day Planner"/>
      <sheetName val="Expected Service Level"/>
      <sheetName val="Other Tools"/>
      <sheetName val="Changelog"/>
      <sheetName val="Planning"/>
      <sheetName val="Staffing"/>
      <sheetName val="GRAPH"/>
      <sheetName val="Feuil2"/>
    </sheetNames>
    <sheetDataSet>
      <sheetData sheetId="0" refreshError="1"/>
      <sheetData sheetId="1" refreshError="1"/>
      <sheetData sheetId="2">
        <row r="15">
          <cell r="C15" t="str">
            <v>Time slot beginning 
(enter start time in top cell)</v>
          </cell>
          <cell r="D15" t="str">
            <v>Incoming calls</v>
          </cell>
          <cell r="E15" t="str">
            <v>Agents required</v>
          </cell>
        </row>
        <row r="16">
          <cell r="D16">
            <v>34.012445444992856</v>
          </cell>
        </row>
        <row r="17">
          <cell r="D17">
            <v>27.9554346123229</v>
          </cell>
        </row>
        <row r="18">
          <cell r="D18">
            <v>20.500652049036788</v>
          </cell>
        </row>
        <row r="19">
          <cell r="D19">
            <v>13.97771730616145</v>
          </cell>
        </row>
        <row r="20">
          <cell r="D20">
            <v>8.8525542939022497</v>
          </cell>
        </row>
        <row r="21">
          <cell r="D21">
            <v>9.3184782041076328</v>
          </cell>
        </row>
        <row r="22">
          <cell r="D22">
            <v>9.7844021143130124</v>
          </cell>
        </row>
        <row r="23">
          <cell r="D23">
            <v>7.9207064734914878</v>
          </cell>
        </row>
        <row r="24">
          <cell r="D24">
            <v>4.6592391020538164</v>
          </cell>
        </row>
        <row r="25">
          <cell r="D25">
            <v>23.762119420474459</v>
          </cell>
        </row>
        <row r="26">
          <cell r="D26">
            <v>33.546521534787473</v>
          </cell>
        </row>
        <row r="27">
          <cell r="D27">
            <v>55.44494531444041</v>
          </cell>
        </row>
        <row r="28">
          <cell r="D28">
            <v>107.62842325744315</v>
          </cell>
        </row>
        <row r="29">
          <cell r="D29">
            <v>172.8577706861966</v>
          </cell>
        </row>
        <row r="30">
          <cell r="D30">
            <v>171.92592286578582</v>
          </cell>
        </row>
        <row r="31">
          <cell r="D31">
            <v>172.39184677599118</v>
          </cell>
        </row>
        <row r="32">
          <cell r="D32">
            <v>204.07467266995712</v>
          </cell>
        </row>
        <row r="33">
          <cell r="D33">
            <v>205.93836831077869</v>
          </cell>
        </row>
        <row r="34">
          <cell r="D34">
            <v>230.63233555166389</v>
          </cell>
        </row>
        <row r="35">
          <cell r="D35">
            <v>227.8367920904316</v>
          </cell>
        </row>
        <row r="36">
          <cell r="D36">
            <v>249.73521587008455</v>
          </cell>
        </row>
        <row r="37">
          <cell r="D37">
            <v>284.67950913548816</v>
          </cell>
        </row>
        <row r="38">
          <cell r="D38">
            <v>294.92983516000658</v>
          </cell>
        </row>
        <row r="39">
          <cell r="D39">
            <v>290.27059605795273</v>
          </cell>
        </row>
        <row r="40">
          <cell r="D40">
            <v>290.27059605795273</v>
          </cell>
        </row>
        <row r="41">
          <cell r="D41">
            <v>305.64608509473032</v>
          </cell>
        </row>
        <row r="42">
          <cell r="D42">
            <v>265.5766288170675</v>
          </cell>
        </row>
        <row r="43">
          <cell r="D43">
            <v>273.49733529055902</v>
          </cell>
        </row>
        <row r="44">
          <cell r="D44">
            <v>274.89510702117514</v>
          </cell>
        </row>
        <row r="45">
          <cell r="D45">
            <v>288.40690041713117</v>
          </cell>
        </row>
        <row r="46">
          <cell r="D46">
            <v>284.67950913548816</v>
          </cell>
        </row>
        <row r="47">
          <cell r="D47">
            <v>342.45407400095542</v>
          </cell>
        </row>
        <row r="48">
          <cell r="D48">
            <v>316.82825893965946</v>
          </cell>
        </row>
        <row r="49">
          <cell r="D49">
            <v>291.66836778856896</v>
          </cell>
        </row>
        <row r="50">
          <cell r="D50">
            <v>326.1467371437671</v>
          </cell>
        </row>
        <row r="51">
          <cell r="D51">
            <v>306.11200900493571</v>
          </cell>
        </row>
        <row r="52">
          <cell r="D52">
            <v>282.34988958446127</v>
          </cell>
        </row>
        <row r="53">
          <cell r="D53">
            <v>296.32760689062269</v>
          </cell>
        </row>
        <row r="54">
          <cell r="D54">
            <v>296.32760689062269</v>
          </cell>
        </row>
        <row r="55">
          <cell r="D55">
            <v>301.91869381308732</v>
          </cell>
        </row>
        <row r="56">
          <cell r="D56">
            <v>268.83809618850523</v>
          </cell>
        </row>
        <row r="57">
          <cell r="D57">
            <v>237.6211942047446</v>
          </cell>
        </row>
        <row r="58">
          <cell r="D58">
            <v>197.08581401687638</v>
          </cell>
        </row>
        <row r="59">
          <cell r="D59">
            <v>157.48228164941898</v>
          </cell>
        </row>
        <row r="60">
          <cell r="D60">
            <v>241.34858548638766</v>
          </cell>
        </row>
        <row r="61">
          <cell r="D61">
            <v>165.86891203311583</v>
          </cell>
        </row>
        <row r="62">
          <cell r="D62">
            <v>141.64086870243599</v>
          </cell>
        </row>
        <row r="63">
          <cell r="D63">
            <v>78.74114082470949</v>
          </cell>
        </row>
      </sheetData>
      <sheetData sheetId="3">
        <row r="15">
          <cell r="C15" t="str">
            <v>Time slot beginning 
(enter start time in top cell)</v>
          </cell>
          <cell r="D15" t="str">
            <v>Incoming calls</v>
          </cell>
          <cell r="E15" t="str">
            <v>Agents Available</v>
          </cell>
          <cell r="G15" t="str">
            <v>Agents required</v>
          </cell>
        </row>
        <row r="16">
          <cell r="D16">
            <v>34.012445444992856</v>
          </cell>
        </row>
        <row r="17">
          <cell r="D17">
            <v>27.9554346123229</v>
          </cell>
        </row>
        <row r="18">
          <cell r="D18">
            <v>20.500652049036788</v>
          </cell>
        </row>
        <row r="19">
          <cell r="D19">
            <v>13.97771730616145</v>
          </cell>
        </row>
        <row r="20">
          <cell r="D20">
            <v>8.8525542939022497</v>
          </cell>
        </row>
        <row r="21">
          <cell r="D21">
            <v>9.3184782041076328</v>
          </cell>
        </row>
        <row r="22">
          <cell r="D22">
            <v>9.7844021143130124</v>
          </cell>
        </row>
        <row r="23">
          <cell r="D23">
            <v>7.9207064734914878</v>
          </cell>
        </row>
        <row r="24">
          <cell r="D24">
            <v>4.6592391020538164</v>
          </cell>
        </row>
        <row r="25">
          <cell r="D25">
            <v>23.762119420474459</v>
          </cell>
        </row>
        <row r="26">
          <cell r="D26">
            <v>33.546521534787473</v>
          </cell>
        </row>
        <row r="27">
          <cell r="D27">
            <v>55.44494531444041</v>
          </cell>
        </row>
        <row r="28">
          <cell r="D28">
            <v>107.62842325744315</v>
          </cell>
        </row>
        <row r="29">
          <cell r="D29">
            <v>172.8577706861966</v>
          </cell>
        </row>
        <row r="30">
          <cell r="D30">
            <v>171.92592286578582</v>
          </cell>
        </row>
        <row r="31">
          <cell r="D31">
            <v>172.39184677599118</v>
          </cell>
        </row>
        <row r="32">
          <cell r="D32">
            <v>204.07467266995712</v>
          </cell>
        </row>
        <row r="33">
          <cell r="D33">
            <v>205.93836831077869</v>
          </cell>
        </row>
        <row r="34">
          <cell r="D34">
            <v>230.63233555166389</v>
          </cell>
        </row>
        <row r="35">
          <cell r="D35">
            <v>227.8367920904316</v>
          </cell>
        </row>
        <row r="36">
          <cell r="D36">
            <v>249.73521587008455</v>
          </cell>
        </row>
        <row r="37">
          <cell r="D37">
            <v>284.67950913548816</v>
          </cell>
        </row>
        <row r="38">
          <cell r="D38">
            <v>294.92983516000658</v>
          </cell>
        </row>
        <row r="39">
          <cell r="D39">
            <v>290.27059605795273</v>
          </cell>
        </row>
        <row r="40">
          <cell r="D40">
            <v>290.27059605795273</v>
          </cell>
        </row>
        <row r="41">
          <cell r="D41">
            <v>305.64608509473032</v>
          </cell>
        </row>
        <row r="42">
          <cell r="D42">
            <v>265.5766288170675</v>
          </cell>
        </row>
        <row r="43">
          <cell r="D43">
            <v>273.49733529055902</v>
          </cell>
        </row>
        <row r="44">
          <cell r="D44">
            <v>274.89510702117514</v>
          </cell>
        </row>
        <row r="45">
          <cell r="D45">
            <v>288.40690041713117</v>
          </cell>
        </row>
        <row r="46">
          <cell r="D46">
            <v>284.67950913548816</v>
          </cell>
        </row>
        <row r="47">
          <cell r="D47">
            <v>342.45407400095542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E"/>
      <sheetName val="At_Réu"/>
      <sheetName val="AE"/>
      <sheetName val="B AE"/>
      <sheetName val="s16"/>
      <sheetName val="AE BROUILLON"/>
      <sheetName val="OCM AE "/>
      <sheetName val="Feuil4"/>
      <sheetName val="Feuil1"/>
      <sheetName val="DA"/>
      <sheetName val="DA BROUILLON"/>
      <sheetName val="Feuil5"/>
      <sheetName val="BO"/>
      <sheetName val="B BO"/>
      <sheetName val="CBC "/>
      <sheetName val="ENEO_PADESCE"/>
      <sheetName val="BUCREP"/>
      <sheetName val="AS_OCM"/>
      <sheetName val="b AS OCM"/>
      <sheetName val="Feuil15"/>
      <sheetName val="Feuil13"/>
      <sheetName val="UPOWA"/>
      <sheetName val="B UPOWA"/>
      <sheetName val="PAM"/>
      <sheetName val="B PAM"/>
      <sheetName val="VERICAM"/>
      <sheetName val="B VERICAM"/>
      <sheetName val="F(x)"/>
    </sheetNames>
    <sheetDataSet>
      <sheetData sheetId="0">
        <row r="3">
          <cell r="H3">
            <v>46139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au4" displayName="Tableau4" ref="F3:AP14" totalsRowShown="0" headerRowBorderDxfId="655">
  <autoFilter ref="F3:AP14" xr:uid="{00000000-0009-0000-0100-000004000000}"/>
  <tableColumns count="37">
    <tableColumn id="1" xr3:uid="{00000000-0010-0000-0000-000001000000}" name="Début" dataDxfId="654" dataCellStyle="%"/>
    <tableColumn id="2" xr3:uid="{00000000-0010-0000-0000-000002000000}" name="Pause" dataDxfId="653" dataCellStyle="Normal 2"/>
    <tableColumn id="3" xr3:uid="{00000000-0010-0000-0000-000003000000}" name="Colonne1" dataDxfId="652" dataCellStyle="Normal 2"/>
    <tableColumn id="4" xr3:uid="{00000000-0010-0000-0000-000004000000}" name="Fin" dataDxfId="651" dataCellStyle="Normal 2"/>
    <tableColumn id="5" xr3:uid="{00000000-0010-0000-0000-000005000000}" name="Total" dataDxfId="650">
      <calculatedColumnFormula>IFERROR(MOD(I4-F4,1)-(H4-G4),"")</calculatedColumnFormula>
    </tableColumn>
    <tableColumn id="6" xr3:uid="{00000000-0010-0000-0000-000006000000}" name="Début2" dataDxfId="649" dataCellStyle="Normal 2"/>
    <tableColumn id="7" xr3:uid="{00000000-0010-0000-0000-000007000000}" name="Pause3" dataDxfId="648" dataCellStyle="Normal 2"/>
    <tableColumn id="8" xr3:uid="{00000000-0010-0000-0000-000008000000}" name="Colonne4" dataDxfId="647" dataCellStyle="Normal 2"/>
    <tableColumn id="9" xr3:uid="{00000000-0010-0000-0000-000009000000}" name="Fin5" dataDxfId="646" dataCellStyle="Normal 2"/>
    <tableColumn id="10" xr3:uid="{00000000-0010-0000-0000-00000A000000}" name="Total6" dataDxfId="645">
      <calculatedColumnFormula>IFERROR(MOD(N4-K4,1)-(M4-L4),"")</calculatedColumnFormula>
    </tableColumn>
    <tableColumn id="11" xr3:uid="{00000000-0010-0000-0000-00000B000000}" name="Début7" dataDxfId="644" dataCellStyle="%"/>
    <tableColumn id="12" xr3:uid="{00000000-0010-0000-0000-00000C000000}" name="Pause8" dataDxfId="643" dataCellStyle="Normal 2"/>
    <tableColumn id="13" xr3:uid="{00000000-0010-0000-0000-00000D000000}" name="Colonne9" dataDxfId="642" dataCellStyle="Normal 2"/>
    <tableColumn id="14" xr3:uid="{00000000-0010-0000-0000-00000E000000}" name="Fin10" dataDxfId="641" dataCellStyle="Normal 2"/>
    <tableColumn id="15" xr3:uid="{00000000-0010-0000-0000-00000F000000}" name="Total11" dataDxfId="640">
      <calculatedColumnFormula>IFERROR(MOD(S4-P4,1)-(R4-Q4),"")</calculatedColumnFormula>
    </tableColumn>
    <tableColumn id="16" xr3:uid="{00000000-0010-0000-0000-000010000000}" name="Début12"/>
    <tableColumn id="17" xr3:uid="{00000000-0010-0000-0000-000011000000}" name="Pause13" dataDxfId="639" dataCellStyle="Normal 2"/>
    <tableColumn id="18" xr3:uid="{00000000-0010-0000-0000-000012000000}" name="Colonne14" dataDxfId="638" dataCellStyle="Normal 2"/>
    <tableColumn id="19" xr3:uid="{00000000-0010-0000-0000-000013000000}" name="Fin15"/>
    <tableColumn id="20" xr3:uid="{00000000-0010-0000-0000-000014000000}" name="Total16" dataDxfId="637">
      <calculatedColumnFormula>IFERROR(MOD(X4-U4,1)-(W4-V4),"")</calculatedColumnFormula>
    </tableColumn>
    <tableColumn id="21" xr3:uid="{00000000-0010-0000-0000-000015000000}" name="Début17" dataDxfId="636" dataCellStyle="%"/>
    <tableColumn id="22" xr3:uid="{00000000-0010-0000-0000-000016000000}" name="Pause18" dataDxfId="635" dataCellStyle="Normal 2"/>
    <tableColumn id="23" xr3:uid="{00000000-0010-0000-0000-000017000000}" name="Colonne19" dataDxfId="634" dataCellStyle="Normal 2"/>
    <tableColumn id="24" xr3:uid="{00000000-0010-0000-0000-000018000000}" name="Fin20" dataDxfId="633" dataCellStyle="Normal 2"/>
    <tableColumn id="25" xr3:uid="{00000000-0010-0000-0000-000019000000}" name="Total21" dataDxfId="632">
      <calculatedColumnFormula>IFERROR(MOD(AC4-Z4,1)-(AB4-AA4),"")</calculatedColumnFormula>
    </tableColumn>
    <tableColumn id="26" xr3:uid="{00000000-0010-0000-0000-00001A000000}" name="Début22" dataDxfId="631" dataCellStyle="%"/>
    <tableColumn id="27" xr3:uid="{00000000-0010-0000-0000-00001B000000}" name="Pause23" dataDxfId="630" dataCellStyle="Normal 2"/>
    <tableColumn id="28" xr3:uid="{00000000-0010-0000-0000-00001C000000}" name="Colonne24" dataDxfId="629" dataCellStyle="Normal 2"/>
    <tableColumn id="29" xr3:uid="{00000000-0010-0000-0000-00001D000000}" name="Fin25" dataDxfId="628" dataCellStyle="Normal 2"/>
    <tableColumn id="30" xr3:uid="{00000000-0010-0000-0000-00001E000000}" name="Total26" dataDxfId="627">
      <calculatedColumnFormula>IFERROR(MOD(AH4-AE4,1)-(AG4-AF4),"")</calculatedColumnFormula>
    </tableColumn>
    <tableColumn id="31" xr3:uid="{00000000-0010-0000-0000-00001F000000}" name="Début27" dataDxfId="626" dataCellStyle="Normal 2"/>
    <tableColumn id="32" xr3:uid="{00000000-0010-0000-0000-000020000000}" name="Pause28" dataDxfId="625" dataCellStyle="Normal 2"/>
    <tableColumn id="33" xr3:uid="{00000000-0010-0000-0000-000021000000}" name="Colonne29" dataDxfId="624" dataCellStyle="Normal 2"/>
    <tableColumn id="34" xr3:uid="{00000000-0010-0000-0000-000022000000}" name="Fin30" dataDxfId="623" dataCellStyle="Normal 2"/>
    <tableColumn id="35" xr3:uid="{00000000-0010-0000-0000-000023000000}" name="Total31" dataDxfId="622">
      <calculatedColumnFormula>IFERROR(MOD(AM4-AJ4,1)-(AL4-AK4),"")</calculatedColumnFormula>
    </tableColumn>
    <tableColumn id="36" xr3:uid="{00000000-0010-0000-0000-000024000000}" name="Total32" dataDxfId="621" dataCellStyle="%">
      <calculatedColumnFormula>SUM(J4,O4,T4,Y4,AD4,AI4,AN4)</calculatedColumnFormula>
    </tableColumn>
    <tableColumn id="37" xr3:uid="{00000000-0010-0000-0000-000025000000}" name="formation/réunion équipe" dataDxfId="62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au1" displayName="Tableau1" ref="A2:H177" totalsRowShown="0">
  <autoFilter ref="A2:H177" xr:uid="{00000000-0009-0000-0100-000001000000}"/>
  <tableColumns count="8">
    <tableColumn id="1" xr3:uid="{00000000-0010-0000-0100-000001000000}" name="Colonne1">
      <calculatedColumnFormula>#REF!</calculatedColumnFormula>
    </tableColumn>
    <tableColumn id="2" xr3:uid="{00000000-0010-0000-0100-000002000000}" name="lundi" dataDxfId="619">
      <calculatedColumnFormula>#REF!</calculatedColumnFormula>
    </tableColumn>
    <tableColumn id="3" xr3:uid="{00000000-0010-0000-0100-000003000000}" name="mardi" dataDxfId="618">
      <calculatedColumnFormula>#REF!</calculatedColumnFormula>
    </tableColumn>
    <tableColumn id="4" xr3:uid="{00000000-0010-0000-0100-000004000000}" name="mercredi" dataDxfId="617">
      <calculatedColumnFormula>#REF!</calculatedColumnFormula>
    </tableColumn>
    <tableColumn id="5" xr3:uid="{00000000-0010-0000-0100-000005000000}" name="jeudi" dataDxfId="616">
      <calculatedColumnFormula>#REF!</calculatedColumnFormula>
    </tableColumn>
    <tableColumn id="6" xr3:uid="{00000000-0010-0000-0100-000006000000}" name="vendredi" dataDxfId="615">
      <calculatedColumnFormula>#REF!</calculatedColumnFormula>
    </tableColumn>
    <tableColumn id="7" xr3:uid="{00000000-0010-0000-0100-000007000000}" name="samedi" dataDxfId="614">
      <calculatedColumnFormula>#REF!</calculatedColumnFormula>
    </tableColumn>
    <tableColumn id="8" xr3:uid="{00000000-0010-0000-0100-000008000000}" name="dimanche" dataDxfId="613">
      <calculatedColumnFormula>#REF!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au13" displayName="Tableau13" ref="J2:Q177" totalsRowShown="0">
  <autoFilter ref="J2:Q177" xr:uid="{00000000-0009-0000-0100-000002000000}"/>
  <tableColumns count="8">
    <tableColumn id="1" xr3:uid="{00000000-0010-0000-0200-000001000000}" name="Colonne1" dataDxfId="612">
      <calculatedColumnFormula>#REF!</calculatedColumnFormula>
    </tableColumn>
    <tableColumn id="2" xr3:uid="{00000000-0010-0000-0200-000002000000}" name="lundi" dataDxfId="611">
      <calculatedColumnFormula>#REF!</calculatedColumnFormula>
    </tableColumn>
    <tableColumn id="3" xr3:uid="{00000000-0010-0000-0200-000003000000}" name="mardi" dataDxfId="610">
      <calculatedColumnFormula>#REF!</calculatedColumnFormula>
    </tableColumn>
    <tableColumn id="4" xr3:uid="{00000000-0010-0000-0200-000004000000}" name="mercredi" dataDxfId="609">
      <calculatedColumnFormula>#REF!</calculatedColumnFormula>
    </tableColumn>
    <tableColumn id="5" xr3:uid="{00000000-0010-0000-0200-000005000000}" name="jeudi" dataDxfId="608">
      <calculatedColumnFormula>#REF!</calculatedColumnFormula>
    </tableColumn>
    <tableColumn id="6" xr3:uid="{00000000-0010-0000-0200-000006000000}" name="vendredi" dataDxfId="607">
      <calculatedColumnFormula>#REF!</calculatedColumnFormula>
    </tableColumn>
    <tableColumn id="7" xr3:uid="{00000000-0010-0000-0200-000007000000}" name="samedi" dataDxfId="606">
      <calculatedColumnFormula>#REF!</calculatedColumnFormula>
    </tableColumn>
    <tableColumn id="8" xr3:uid="{00000000-0010-0000-0200-000008000000}" name="dimanche" dataDxfId="605">
      <calculatedColumnFormula>#REF!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au134" displayName="Tableau134" ref="S2:Z177" totalsRowShown="0">
  <autoFilter ref="S2:Z177" xr:uid="{00000000-0009-0000-0100-000003000000}"/>
  <tableColumns count="8">
    <tableColumn id="1" xr3:uid="{00000000-0010-0000-0300-000001000000}" name="Colonne1" dataDxfId="604">
      <calculatedColumnFormula>DA!B4</calculatedColumnFormula>
    </tableColumn>
    <tableColumn id="2" xr3:uid="{00000000-0010-0000-0300-000002000000}" name="lundi" dataDxfId="603">
      <calculatedColumnFormula>#REF!</calculatedColumnFormula>
    </tableColumn>
    <tableColumn id="3" xr3:uid="{00000000-0010-0000-0300-000003000000}" name="mardi" dataDxfId="602">
      <calculatedColumnFormula>#REF!</calculatedColumnFormula>
    </tableColumn>
    <tableColumn id="4" xr3:uid="{00000000-0010-0000-0300-000004000000}" name="mercredi" dataDxfId="601">
      <calculatedColumnFormula>#REF!</calculatedColumnFormula>
    </tableColumn>
    <tableColumn id="5" xr3:uid="{00000000-0010-0000-0300-000005000000}" name="jeudi" dataDxfId="600">
      <calculatedColumnFormula>#REF!</calculatedColumnFormula>
    </tableColumn>
    <tableColumn id="6" xr3:uid="{00000000-0010-0000-0300-000006000000}" name="vendredi" dataDxfId="599">
      <calculatedColumnFormula>#REF!</calculatedColumnFormula>
    </tableColumn>
    <tableColumn id="7" xr3:uid="{00000000-0010-0000-0300-000007000000}" name="samedi" dataDxfId="598">
      <calculatedColumnFormula>#REF!</calculatedColumnFormula>
    </tableColumn>
    <tableColumn id="8" xr3:uid="{00000000-0010-0000-0300-000008000000}" name="dimanche" dataDxfId="597">
      <calculatedColumnFormula>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C00000"/>
  </sheetPr>
  <dimension ref="A2:J90"/>
  <sheetViews>
    <sheetView zoomScale="80" zoomScaleNormal="80" workbookViewId="0">
      <selection activeCell="N9" sqref="N9"/>
    </sheetView>
  </sheetViews>
  <sheetFormatPr baseColWidth="10" defaultRowHeight="15" x14ac:dyDescent="0.25"/>
  <cols>
    <col min="2" max="2" width="17.85546875" style="167" customWidth="1"/>
    <col min="3" max="3" width="14.5703125" customWidth="1"/>
    <col min="4" max="10" width="12.140625" customWidth="1"/>
  </cols>
  <sheetData>
    <row r="2" spans="1:10" ht="15.75" thickBot="1" x14ac:dyDescent="0.3"/>
    <row r="3" spans="1:10" ht="15.75" thickBot="1" x14ac:dyDescent="0.3">
      <c r="C3" s="498" t="s">
        <v>34</v>
      </c>
      <c r="D3" s="499"/>
      <c r="E3" s="499"/>
      <c r="F3" s="49" t="str">
        <f>"S"&amp;_xlfn.ISOWEEKNUM(H3)</f>
        <v>S20</v>
      </c>
      <c r="G3" s="50" t="s">
        <v>32</v>
      </c>
      <c r="H3" s="168">
        <v>46153</v>
      </c>
      <c r="I3" s="50" t="s">
        <v>33</v>
      </c>
      <c r="J3" s="169">
        <f>H3+6</f>
        <v>46159</v>
      </c>
    </row>
    <row r="4" spans="1:10" ht="15.75" thickBot="1" x14ac:dyDescent="0.3"/>
    <row r="5" spans="1:10" ht="15.75" thickBot="1" x14ac:dyDescent="0.3">
      <c r="C5" s="232" t="s">
        <v>405</v>
      </c>
      <c r="D5" s="233">
        <f>H3</f>
        <v>46153</v>
      </c>
      <c r="E5" s="234">
        <f t="shared" ref="E5:J5" si="0">D5+1</f>
        <v>46154</v>
      </c>
      <c r="F5" s="234">
        <f t="shared" si="0"/>
        <v>46155</v>
      </c>
      <c r="G5" s="234">
        <f t="shared" si="0"/>
        <v>46156</v>
      </c>
      <c r="H5" s="235">
        <f t="shared" si="0"/>
        <v>46157</v>
      </c>
      <c r="I5" s="235">
        <f t="shared" si="0"/>
        <v>46158</v>
      </c>
      <c r="J5" s="235">
        <f t="shared" si="0"/>
        <v>46159</v>
      </c>
    </row>
    <row r="6" spans="1:10" ht="15.75" thickBot="1" x14ac:dyDescent="0.3">
      <c r="B6" s="236" t="s">
        <v>67</v>
      </c>
      <c r="C6" s="297" t="s">
        <v>406</v>
      </c>
      <c r="D6" s="239" t="s">
        <v>409</v>
      </c>
      <c r="E6" s="239" t="s">
        <v>409</v>
      </c>
      <c r="F6" s="237" t="s">
        <v>407</v>
      </c>
      <c r="G6" s="237" t="s">
        <v>407</v>
      </c>
      <c r="H6" s="237" t="s">
        <v>407</v>
      </c>
      <c r="I6" s="276" t="s">
        <v>465</v>
      </c>
      <c r="J6" s="276" t="s">
        <v>465</v>
      </c>
    </row>
    <row r="7" spans="1:10" ht="15.75" thickBot="1" x14ac:dyDescent="0.3">
      <c r="A7" s="167"/>
      <c r="B7" s="240" t="s">
        <v>99</v>
      </c>
      <c r="C7" s="298" t="s">
        <v>410</v>
      </c>
      <c r="D7" s="238" t="s">
        <v>75</v>
      </c>
      <c r="E7" s="237" t="s">
        <v>407</v>
      </c>
      <c r="F7" s="237" t="s">
        <v>407</v>
      </c>
      <c r="G7" s="467" t="s">
        <v>648</v>
      </c>
      <c r="H7" s="276" t="s">
        <v>465</v>
      </c>
      <c r="I7" s="239" t="s">
        <v>409</v>
      </c>
      <c r="J7" s="239" t="s">
        <v>409</v>
      </c>
    </row>
    <row r="8" spans="1:10" ht="15.75" thickBot="1" x14ac:dyDescent="0.3">
      <c r="B8" s="241" t="s">
        <v>70</v>
      </c>
      <c r="C8" s="298" t="s">
        <v>411</v>
      </c>
      <c r="D8" s="276" t="s">
        <v>465</v>
      </c>
      <c r="E8" s="276" t="s">
        <v>465</v>
      </c>
      <c r="F8" s="239" t="s">
        <v>409</v>
      </c>
      <c r="G8" s="467" t="s">
        <v>648</v>
      </c>
      <c r="H8" s="239" t="s">
        <v>409</v>
      </c>
      <c r="I8" s="237" t="s">
        <v>407</v>
      </c>
      <c r="J8" s="276" t="s">
        <v>465</v>
      </c>
    </row>
    <row r="9" spans="1:10" ht="15.75" thickBot="1" x14ac:dyDescent="0.3">
      <c r="B9" s="242" t="s">
        <v>68</v>
      </c>
      <c r="C9" s="298" t="s">
        <v>412</v>
      </c>
      <c r="D9" s="237" t="s">
        <v>407</v>
      </c>
      <c r="E9" s="237" t="s">
        <v>407</v>
      </c>
      <c r="F9" s="276" t="s">
        <v>465</v>
      </c>
      <c r="G9" s="276" t="s">
        <v>465</v>
      </c>
      <c r="H9" s="309" t="s">
        <v>19</v>
      </c>
      <c r="I9" s="239" t="s">
        <v>409</v>
      </c>
      <c r="J9" s="239" t="s">
        <v>409</v>
      </c>
    </row>
    <row r="10" spans="1:10" ht="15.75" thickBot="1" x14ac:dyDescent="0.3">
      <c r="B10" s="243" t="s">
        <v>69</v>
      </c>
      <c r="C10" s="298" t="s">
        <v>413</v>
      </c>
      <c r="D10" s="276" t="s">
        <v>465</v>
      </c>
      <c r="E10" s="309" t="s">
        <v>19</v>
      </c>
      <c r="F10" s="239" t="s">
        <v>409</v>
      </c>
      <c r="G10" s="467" t="s">
        <v>648</v>
      </c>
      <c r="H10" s="239" t="s">
        <v>409</v>
      </c>
      <c r="I10" s="237" t="s">
        <v>407</v>
      </c>
      <c r="J10" s="237" t="s">
        <v>407</v>
      </c>
    </row>
    <row r="11" spans="1:10" ht="15.75" thickBot="1" x14ac:dyDescent="0.3">
      <c r="B11" s="244" t="s">
        <v>414</v>
      </c>
      <c r="C11" s="299" t="s">
        <v>415</v>
      </c>
      <c r="D11" s="237" t="s">
        <v>407</v>
      </c>
      <c r="E11" s="276" t="s">
        <v>465</v>
      </c>
      <c r="F11" s="276" t="s">
        <v>465</v>
      </c>
      <c r="G11" s="467" t="s">
        <v>648</v>
      </c>
      <c r="H11" s="239" t="s">
        <v>409</v>
      </c>
      <c r="I11" s="239" t="s">
        <v>409</v>
      </c>
      <c r="J11" s="237" t="s">
        <v>407</v>
      </c>
    </row>
    <row r="14" spans="1:10" ht="15.75" thickBot="1" x14ac:dyDescent="0.3"/>
    <row r="15" spans="1:10" ht="15.75" customHeight="1" thickBot="1" x14ac:dyDescent="0.3">
      <c r="B15" s="500" t="s">
        <v>416</v>
      </c>
      <c r="C15" s="245" t="str">
        <f>"GF_"&amp;F3</f>
        <v>GF_S20</v>
      </c>
      <c r="D15" s="246">
        <f>D5</f>
        <v>46153</v>
      </c>
      <c r="E15" s="235">
        <f t="shared" ref="E15:J15" si="1">E5</f>
        <v>46154</v>
      </c>
      <c r="F15" s="235">
        <f t="shared" si="1"/>
        <v>46155</v>
      </c>
      <c r="G15" s="235">
        <f t="shared" si="1"/>
        <v>46156</v>
      </c>
      <c r="H15" s="235">
        <f t="shared" si="1"/>
        <v>46157</v>
      </c>
      <c r="I15" s="235">
        <f t="shared" si="1"/>
        <v>46158</v>
      </c>
      <c r="J15" s="247">
        <f t="shared" si="1"/>
        <v>46159</v>
      </c>
    </row>
    <row r="16" spans="1:10" x14ac:dyDescent="0.25">
      <c r="B16" s="500"/>
      <c r="C16" s="325" t="s">
        <v>417</v>
      </c>
      <c r="D16" s="428" t="s">
        <v>407</v>
      </c>
      <c r="E16" s="428" t="s">
        <v>407</v>
      </c>
      <c r="F16" s="428" t="s">
        <v>407</v>
      </c>
      <c r="G16" s="428" t="s">
        <v>407</v>
      </c>
      <c r="H16" s="428" t="s">
        <v>407</v>
      </c>
      <c r="I16" s="425" t="s">
        <v>15</v>
      </c>
      <c r="J16" s="429" t="s">
        <v>15</v>
      </c>
    </row>
    <row r="17" spans="2:10" x14ac:dyDescent="0.25">
      <c r="B17" s="500"/>
      <c r="C17" s="326" t="s">
        <v>418</v>
      </c>
      <c r="D17" s="277" t="s">
        <v>407</v>
      </c>
      <c r="E17" s="277" t="s">
        <v>407</v>
      </c>
      <c r="F17" s="277" t="s">
        <v>407</v>
      </c>
      <c r="G17" s="467" t="s">
        <v>648</v>
      </c>
      <c r="H17" s="277" t="s">
        <v>407</v>
      </c>
      <c r="I17" s="248" t="s">
        <v>15</v>
      </c>
      <c r="J17" s="336" t="s">
        <v>15</v>
      </c>
    </row>
    <row r="18" spans="2:10" ht="15.75" thickBot="1" x14ac:dyDescent="0.3">
      <c r="B18" s="500"/>
      <c r="C18" s="430" t="s">
        <v>419</v>
      </c>
      <c r="D18" s="461" t="s">
        <v>407</v>
      </c>
      <c r="E18" s="461" t="s">
        <v>407</v>
      </c>
      <c r="F18" s="461" t="s">
        <v>407</v>
      </c>
      <c r="G18" s="461" t="s">
        <v>407</v>
      </c>
      <c r="H18" s="461" t="s">
        <v>407</v>
      </c>
      <c r="I18" s="462" t="s">
        <v>15</v>
      </c>
      <c r="J18" s="463" t="s">
        <v>15</v>
      </c>
    </row>
    <row r="19" spans="2:10" x14ac:dyDescent="0.25">
      <c r="B19" s="500"/>
      <c r="C19" s="315" t="s">
        <v>420</v>
      </c>
      <c r="D19" s="474" t="s">
        <v>15</v>
      </c>
      <c r="E19" s="425" t="s">
        <v>15</v>
      </c>
      <c r="F19" s="469" t="s">
        <v>407</v>
      </c>
      <c r="G19" s="424" t="s">
        <v>407</v>
      </c>
      <c r="H19" s="469" t="s">
        <v>407</v>
      </c>
      <c r="I19" s="473" t="s">
        <v>465</v>
      </c>
      <c r="J19" s="464" t="s">
        <v>465</v>
      </c>
    </row>
    <row r="20" spans="2:10" x14ac:dyDescent="0.25">
      <c r="B20" s="500"/>
      <c r="C20" s="316" t="s">
        <v>421</v>
      </c>
      <c r="D20" s="470" t="s">
        <v>407</v>
      </c>
      <c r="E20" s="255" t="s">
        <v>407</v>
      </c>
      <c r="F20" s="255" t="s">
        <v>407</v>
      </c>
      <c r="G20" s="276" t="s">
        <v>465</v>
      </c>
      <c r="H20" s="276" t="s">
        <v>465</v>
      </c>
      <c r="I20" s="248" t="s">
        <v>15</v>
      </c>
      <c r="J20" s="336" t="s">
        <v>15</v>
      </c>
    </row>
    <row r="21" spans="2:10" x14ac:dyDescent="0.25">
      <c r="B21" s="500"/>
      <c r="C21" s="316" t="s">
        <v>422</v>
      </c>
      <c r="D21" s="471" t="s">
        <v>465</v>
      </c>
      <c r="E21" s="276" t="s">
        <v>465</v>
      </c>
      <c r="F21" s="248" t="s">
        <v>15</v>
      </c>
      <c r="G21" s="467" t="s">
        <v>648</v>
      </c>
      <c r="H21" s="248" t="s">
        <v>15</v>
      </c>
      <c r="I21" s="255" t="s">
        <v>407</v>
      </c>
      <c r="J21" s="465" t="s">
        <v>407</v>
      </c>
    </row>
    <row r="22" spans="2:10" ht="15.75" thickBot="1" x14ac:dyDescent="0.3">
      <c r="B22" s="500"/>
      <c r="C22" s="317" t="s">
        <v>423</v>
      </c>
      <c r="D22" s="466" t="s">
        <v>407</v>
      </c>
      <c r="E22" s="468" t="s">
        <v>407</v>
      </c>
      <c r="F22" s="426" t="s">
        <v>465</v>
      </c>
      <c r="G22" s="472" t="s">
        <v>648</v>
      </c>
      <c r="H22" s="360" t="s">
        <v>407</v>
      </c>
      <c r="I22" s="356" t="s">
        <v>15</v>
      </c>
      <c r="J22" s="427" t="s">
        <v>15</v>
      </c>
    </row>
    <row r="25" spans="2:10" ht="15.75" thickBot="1" x14ac:dyDescent="0.3"/>
    <row r="26" spans="2:10" x14ac:dyDescent="0.25">
      <c r="B26" s="501" t="s">
        <v>424</v>
      </c>
      <c r="C26" s="245" t="str">
        <f>"BU_VIZION_"&amp;F3</f>
        <v>BU_VIZION_S20</v>
      </c>
      <c r="D26" s="249">
        <f t="shared" ref="D26:J26" si="2">D15</f>
        <v>46153</v>
      </c>
      <c r="E26" s="249">
        <f t="shared" si="2"/>
        <v>46154</v>
      </c>
      <c r="F26" s="249">
        <f t="shared" si="2"/>
        <v>46155</v>
      </c>
      <c r="G26" s="249">
        <f t="shared" si="2"/>
        <v>46156</v>
      </c>
      <c r="H26" s="250">
        <f t="shared" si="2"/>
        <v>46157</v>
      </c>
      <c r="I26" s="250">
        <f t="shared" si="2"/>
        <v>46158</v>
      </c>
      <c r="J26" s="251">
        <f t="shared" si="2"/>
        <v>46159</v>
      </c>
    </row>
    <row r="27" spans="2:10" x14ac:dyDescent="0.25">
      <c r="B27" s="501"/>
      <c r="C27" s="254" t="s">
        <v>426</v>
      </c>
      <c r="D27" s="255" t="s">
        <v>407</v>
      </c>
      <c r="E27" s="255" t="s">
        <v>407</v>
      </c>
      <c r="F27" s="276" t="s">
        <v>465</v>
      </c>
      <c r="G27" s="255" t="s">
        <v>407</v>
      </c>
      <c r="H27" s="276" t="s">
        <v>465</v>
      </c>
      <c r="I27" s="253" t="s">
        <v>15</v>
      </c>
      <c r="J27" s="253" t="s">
        <v>15</v>
      </c>
    </row>
    <row r="28" spans="2:10" x14ac:dyDescent="0.25">
      <c r="B28" s="501"/>
      <c r="C28" s="252" t="s">
        <v>425</v>
      </c>
      <c r="D28" s="276" t="s">
        <v>465</v>
      </c>
      <c r="E28" s="276" t="s">
        <v>465</v>
      </c>
      <c r="F28" s="253" t="s">
        <v>15</v>
      </c>
      <c r="G28" s="467" t="s">
        <v>648</v>
      </c>
      <c r="H28" s="253" t="s">
        <v>15</v>
      </c>
      <c r="I28" s="255" t="s">
        <v>407</v>
      </c>
      <c r="J28" s="255" t="s">
        <v>407</v>
      </c>
    </row>
    <row r="29" spans="2:10" x14ac:dyDescent="0.25">
      <c r="B29" s="501"/>
    </row>
    <row r="30" spans="2:10" x14ac:dyDescent="0.25">
      <c r="B30" s="501"/>
      <c r="C30" s="256" t="s">
        <v>427</v>
      </c>
      <c r="D30" s="255" t="s">
        <v>407</v>
      </c>
      <c r="E30" s="255" t="s">
        <v>407</v>
      </c>
      <c r="F30" s="255" t="s">
        <v>407</v>
      </c>
      <c r="G30" s="467" t="s">
        <v>648</v>
      </c>
      <c r="H30" s="255" t="s">
        <v>407</v>
      </c>
      <c r="I30" s="253" t="s">
        <v>15</v>
      </c>
      <c r="J30" s="253" t="s">
        <v>15</v>
      </c>
    </row>
    <row r="32" spans="2:10" ht="15.75" thickBot="1" x14ac:dyDescent="0.3"/>
    <row r="33" spans="1:10" x14ac:dyDescent="0.25">
      <c r="C33" s="257" t="str">
        <f>"RE_"&amp;F3</f>
        <v>RE_S20</v>
      </c>
      <c r="D33" s="249">
        <f>D26</f>
        <v>46153</v>
      </c>
      <c r="E33" s="249">
        <f t="shared" ref="E33:J33" si="3">E26</f>
        <v>46154</v>
      </c>
      <c r="F33" s="249">
        <f t="shared" si="3"/>
        <v>46155</v>
      </c>
      <c r="G33" s="249">
        <f t="shared" si="3"/>
        <v>46156</v>
      </c>
      <c r="H33" s="249">
        <f t="shared" si="3"/>
        <v>46157</v>
      </c>
      <c r="I33" s="249">
        <f t="shared" si="3"/>
        <v>46158</v>
      </c>
      <c r="J33" s="249">
        <f t="shared" si="3"/>
        <v>46159</v>
      </c>
    </row>
    <row r="34" spans="1:10" x14ac:dyDescent="0.25">
      <c r="B34" s="258" t="s">
        <v>24</v>
      </c>
      <c r="C34" s="285" t="s">
        <v>428</v>
      </c>
      <c r="D34" s="259" t="s">
        <v>15</v>
      </c>
      <c r="E34" s="259" t="s">
        <v>15</v>
      </c>
      <c r="F34" s="255" t="s">
        <v>407</v>
      </c>
      <c r="G34" s="467" t="s">
        <v>648</v>
      </c>
      <c r="H34" s="276" t="s">
        <v>465</v>
      </c>
      <c r="I34" s="276" t="s">
        <v>465</v>
      </c>
      <c r="J34" s="276" t="s">
        <v>465</v>
      </c>
    </row>
    <row r="35" spans="1:10" x14ac:dyDescent="0.25">
      <c r="B35" s="258" t="s">
        <v>108</v>
      </c>
      <c r="C35" s="295" t="s">
        <v>514</v>
      </c>
      <c r="D35" s="284"/>
      <c r="E35" s="284"/>
      <c r="F35" s="284"/>
      <c r="G35" s="467" t="s">
        <v>648</v>
      </c>
      <c r="H35" s="255"/>
      <c r="I35" s="255"/>
      <c r="J35" s="259" t="s">
        <v>15</v>
      </c>
    </row>
    <row r="36" spans="1:10" x14ac:dyDescent="0.25">
      <c r="B36" s="258" t="s">
        <v>26</v>
      </c>
      <c r="C36" s="295" t="s">
        <v>515</v>
      </c>
      <c r="D36" s="255"/>
      <c r="E36" s="255"/>
      <c r="F36" s="255"/>
      <c r="G36" s="255"/>
      <c r="H36" s="255"/>
      <c r="I36" s="259" t="s">
        <v>15</v>
      </c>
      <c r="J36" s="259" t="s">
        <v>15</v>
      </c>
    </row>
    <row r="37" spans="1:10" x14ac:dyDescent="0.25">
      <c r="B37" s="258" t="s">
        <v>166</v>
      </c>
      <c r="C37" s="285" t="s">
        <v>513</v>
      </c>
      <c r="D37" s="314" t="s">
        <v>408</v>
      </c>
      <c r="E37" s="314" t="s">
        <v>408</v>
      </c>
      <c r="F37" s="259" t="s">
        <v>15</v>
      </c>
      <c r="G37" s="314" t="s">
        <v>408</v>
      </c>
      <c r="H37" s="314" t="s">
        <v>408</v>
      </c>
      <c r="I37" s="259" t="s">
        <v>15</v>
      </c>
      <c r="J37" s="314" t="s">
        <v>408</v>
      </c>
    </row>
    <row r="38" spans="1:10" x14ac:dyDescent="0.25">
      <c r="B38" s="258" t="s">
        <v>120</v>
      </c>
      <c r="C38" s="295" t="s">
        <v>518</v>
      </c>
      <c r="D38" s="276" t="s">
        <v>465</v>
      </c>
      <c r="E38" s="276" t="s">
        <v>465</v>
      </c>
      <c r="F38" s="276" t="s">
        <v>465</v>
      </c>
      <c r="G38" s="276" t="s">
        <v>465</v>
      </c>
      <c r="H38" s="89" t="s">
        <v>15</v>
      </c>
      <c r="I38" s="89" t="s">
        <v>15</v>
      </c>
      <c r="J38" s="255" t="s">
        <v>407</v>
      </c>
    </row>
    <row r="39" spans="1:10" x14ac:dyDescent="0.25">
      <c r="B39" s="258" t="s">
        <v>22</v>
      </c>
      <c r="C39" s="295" t="s">
        <v>429</v>
      </c>
      <c r="D39" s="255" t="s">
        <v>407</v>
      </c>
      <c r="E39" s="314" t="s">
        <v>408</v>
      </c>
      <c r="F39" s="314" t="s">
        <v>408</v>
      </c>
      <c r="G39" s="276" t="s">
        <v>465</v>
      </c>
      <c r="H39" s="276" t="s">
        <v>465</v>
      </c>
      <c r="I39" s="89" t="s">
        <v>15</v>
      </c>
      <c r="J39" s="89" t="s">
        <v>15</v>
      </c>
    </row>
    <row r="40" spans="1:10" x14ac:dyDescent="0.25">
      <c r="B40" s="258" t="s">
        <v>155</v>
      </c>
      <c r="C40" s="295" t="s">
        <v>430</v>
      </c>
      <c r="D40" s="276" t="s">
        <v>465</v>
      </c>
      <c r="E40" s="276" t="s">
        <v>465</v>
      </c>
      <c r="F40" s="89" t="s">
        <v>15</v>
      </c>
      <c r="G40" s="89" t="s">
        <v>15</v>
      </c>
      <c r="H40" s="255" t="s">
        <v>407</v>
      </c>
      <c r="I40" s="255" t="s">
        <v>407</v>
      </c>
      <c r="J40" s="314" t="s">
        <v>408</v>
      </c>
    </row>
    <row r="41" spans="1:10" x14ac:dyDescent="0.25">
      <c r="B41" s="258" t="s">
        <v>391</v>
      </c>
      <c r="C41" s="286" t="s">
        <v>431</v>
      </c>
      <c r="D41" s="255" t="s">
        <v>407</v>
      </c>
      <c r="E41" s="255" t="s">
        <v>407</v>
      </c>
      <c r="F41" s="276" t="s">
        <v>465</v>
      </c>
      <c r="G41" s="309" t="s">
        <v>19</v>
      </c>
      <c r="H41" s="259" t="s">
        <v>15</v>
      </c>
      <c r="I41" s="259" t="s">
        <v>15</v>
      </c>
      <c r="J41" s="255" t="s">
        <v>407</v>
      </c>
    </row>
    <row r="42" spans="1:10" x14ac:dyDescent="0.25">
      <c r="B42" s="258" t="s">
        <v>19</v>
      </c>
      <c r="C42" s="286" t="s">
        <v>223</v>
      </c>
      <c r="D42" s="309" t="s">
        <v>19</v>
      </c>
      <c r="E42" s="259" t="s">
        <v>15</v>
      </c>
      <c r="F42" s="309" t="s">
        <v>19</v>
      </c>
      <c r="G42" s="467" t="s">
        <v>648</v>
      </c>
      <c r="H42" s="259" t="s">
        <v>15</v>
      </c>
      <c r="I42" s="309" t="s">
        <v>19</v>
      </c>
      <c r="J42" s="309" t="s">
        <v>19</v>
      </c>
    </row>
    <row r="43" spans="1:10" x14ac:dyDescent="0.25">
      <c r="B43" s="258" t="s">
        <v>246</v>
      </c>
      <c r="C43" s="286" t="s">
        <v>432</v>
      </c>
      <c r="D43" s="276" t="s">
        <v>465</v>
      </c>
      <c r="E43" s="276" t="s">
        <v>465</v>
      </c>
      <c r="F43" s="276" t="s">
        <v>465</v>
      </c>
      <c r="G43" s="89" t="s">
        <v>15</v>
      </c>
      <c r="H43" s="89" t="s">
        <v>15</v>
      </c>
      <c r="I43" s="255" t="s">
        <v>407</v>
      </c>
      <c r="J43" s="276" t="s">
        <v>465</v>
      </c>
    </row>
    <row r="44" spans="1:10" x14ac:dyDescent="0.25">
      <c r="B44" s="278" t="s">
        <v>467</v>
      </c>
      <c r="C44" s="287" t="s">
        <v>433</v>
      </c>
      <c r="D44" s="259" t="s">
        <v>15</v>
      </c>
      <c r="E44" s="255" t="s">
        <v>407</v>
      </c>
      <c r="F44" s="255" t="s">
        <v>407</v>
      </c>
      <c r="G44" s="255" t="s">
        <v>407</v>
      </c>
      <c r="H44" s="276" t="s">
        <v>465</v>
      </c>
      <c r="I44" s="276" t="s">
        <v>465</v>
      </c>
      <c r="J44" s="259" t="s">
        <v>15</v>
      </c>
    </row>
    <row r="45" spans="1:10" x14ac:dyDescent="0.25">
      <c r="A45" t="s">
        <v>464</v>
      </c>
      <c r="B45" s="278" t="s">
        <v>520</v>
      </c>
      <c r="C45" s="279" t="s">
        <v>122</v>
      </c>
      <c r="D45" s="314" t="s">
        <v>408</v>
      </c>
      <c r="E45" s="314" t="s">
        <v>408</v>
      </c>
      <c r="F45" s="89" t="s">
        <v>15</v>
      </c>
      <c r="G45" s="467" t="s">
        <v>648</v>
      </c>
      <c r="H45" s="314" t="s">
        <v>408</v>
      </c>
      <c r="I45" s="276" t="s">
        <v>465</v>
      </c>
      <c r="J45" s="259" t="s">
        <v>15</v>
      </c>
    </row>
    <row r="46" spans="1:10" x14ac:dyDescent="0.25">
      <c r="B46" s="278" t="s">
        <v>527</v>
      </c>
      <c r="C46" s="296" t="s">
        <v>519</v>
      </c>
      <c r="D46" s="304" t="s">
        <v>644</v>
      </c>
      <c r="E46" s="304" t="s">
        <v>644</v>
      </c>
      <c r="F46" s="304" t="s">
        <v>644</v>
      </c>
      <c r="G46" s="304" t="s">
        <v>644</v>
      </c>
      <c r="H46" s="304" t="s">
        <v>644</v>
      </c>
      <c r="I46" s="304" t="s">
        <v>644</v>
      </c>
      <c r="J46" s="304" t="s">
        <v>644</v>
      </c>
    </row>
    <row r="48" spans="1:10" x14ac:dyDescent="0.25">
      <c r="B48"/>
    </row>
    <row r="49" spans="2:10" x14ac:dyDescent="0.25">
      <c r="B49"/>
    </row>
    <row r="52" spans="2:10" ht="15.75" thickBot="1" x14ac:dyDescent="0.3">
      <c r="B52" s="502" t="s">
        <v>351</v>
      </c>
      <c r="C52" s="288" t="s">
        <v>434</v>
      </c>
      <c r="D52" s="255" t="s">
        <v>407</v>
      </c>
      <c r="E52" s="255" t="s">
        <v>407</v>
      </c>
      <c r="F52" s="276" t="s">
        <v>465</v>
      </c>
      <c r="G52" s="467" t="s">
        <v>648</v>
      </c>
      <c r="H52" s="276" t="s">
        <v>465</v>
      </c>
      <c r="I52" s="89" t="s">
        <v>15</v>
      </c>
      <c r="J52" s="89" t="s">
        <v>15</v>
      </c>
    </row>
    <row r="53" spans="2:10" ht="15.75" thickBot="1" x14ac:dyDescent="0.3">
      <c r="B53" s="502"/>
      <c r="C53" s="260" t="s">
        <v>435</v>
      </c>
      <c r="D53" s="304" t="s">
        <v>649</v>
      </c>
      <c r="E53" s="304" t="s">
        <v>649</v>
      </c>
      <c r="F53" s="304" t="s">
        <v>649</v>
      </c>
      <c r="G53" s="304" t="s">
        <v>649</v>
      </c>
      <c r="H53" s="304" t="s">
        <v>649</v>
      </c>
      <c r="I53" s="304" t="s">
        <v>649</v>
      </c>
      <c r="J53" s="304" t="s">
        <v>649</v>
      </c>
    </row>
    <row r="54" spans="2:10" ht="15.75" thickBot="1" x14ac:dyDescent="0.3">
      <c r="B54" s="502"/>
      <c r="C54" s="261" t="s">
        <v>436</v>
      </c>
      <c r="D54" s="276" t="s">
        <v>465</v>
      </c>
      <c r="E54" s="89" t="s">
        <v>15</v>
      </c>
      <c r="F54" s="89" t="s">
        <v>15</v>
      </c>
      <c r="G54" s="255" t="s">
        <v>407</v>
      </c>
      <c r="H54" s="255" t="s">
        <v>407</v>
      </c>
      <c r="I54" s="276" t="s">
        <v>465</v>
      </c>
      <c r="J54" s="276" t="s">
        <v>517</v>
      </c>
    </row>
    <row r="56" spans="2:10" x14ac:dyDescent="0.25">
      <c r="B56" s="503" t="s">
        <v>326</v>
      </c>
      <c r="C56" s="262" t="s">
        <v>437</v>
      </c>
      <c r="D56" s="178" t="s">
        <v>407</v>
      </c>
      <c r="E56" s="178" t="s">
        <v>407</v>
      </c>
      <c r="F56" s="178" t="s">
        <v>407</v>
      </c>
      <c r="G56" s="467" t="s">
        <v>648</v>
      </c>
      <c r="H56" s="178" t="s">
        <v>407</v>
      </c>
      <c r="I56" s="89" t="s">
        <v>15</v>
      </c>
      <c r="J56" s="89" t="s">
        <v>15</v>
      </c>
    </row>
    <row r="57" spans="2:10" x14ac:dyDescent="0.25">
      <c r="B57" s="503"/>
      <c r="C57" s="262" t="s">
        <v>438</v>
      </c>
      <c r="D57" s="178" t="s">
        <v>407</v>
      </c>
      <c r="E57" s="178" t="s">
        <v>407</v>
      </c>
      <c r="F57" s="178" t="s">
        <v>407</v>
      </c>
      <c r="G57" s="467" t="s">
        <v>648</v>
      </c>
      <c r="H57" s="178" t="s">
        <v>407</v>
      </c>
      <c r="I57" s="89" t="s">
        <v>15</v>
      </c>
      <c r="J57" s="89" t="s">
        <v>15</v>
      </c>
    </row>
    <row r="59" spans="2:10" ht="15.75" thickBot="1" x14ac:dyDescent="0.3">
      <c r="B59" s="494" t="s">
        <v>327</v>
      </c>
      <c r="C59" s="263" t="str">
        <f>"EM_"&amp;F3</f>
        <v>EM_S20</v>
      </c>
      <c r="D59" s="264">
        <f t="shared" ref="D59:J59" si="4">D33</f>
        <v>46153</v>
      </c>
      <c r="E59" s="264">
        <f t="shared" si="4"/>
        <v>46154</v>
      </c>
      <c r="F59" s="264">
        <f t="shared" si="4"/>
        <v>46155</v>
      </c>
      <c r="G59" s="264">
        <f t="shared" si="4"/>
        <v>46156</v>
      </c>
      <c r="H59" s="264">
        <f t="shared" si="4"/>
        <v>46157</v>
      </c>
      <c r="I59" s="264">
        <f t="shared" si="4"/>
        <v>46158</v>
      </c>
      <c r="J59" s="264">
        <f t="shared" si="4"/>
        <v>46159</v>
      </c>
    </row>
    <row r="60" spans="2:10" ht="15.75" thickBot="1" x14ac:dyDescent="0.3">
      <c r="B60" s="494"/>
      <c r="C60" s="265" t="s">
        <v>440</v>
      </c>
      <c r="D60" s="304" t="s">
        <v>408</v>
      </c>
      <c r="E60" s="304" t="s">
        <v>408</v>
      </c>
      <c r="F60" s="304" t="s">
        <v>408</v>
      </c>
      <c r="G60" s="467" t="s">
        <v>648</v>
      </c>
      <c r="H60" s="304" t="s">
        <v>408</v>
      </c>
      <c r="I60" s="89" t="s">
        <v>15</v>
      </c>
      <c r="J60" s="89" t="s">
        <v>15</v>
      </c>
    </row>
    <row r="61" spans="2:10" ht="15.75" thickBot="1" x14ac:dyDescent="0.3">
      <c r="B61" s="494"/>
      <c r="C61" s="265" t="s">
        <v>441</v>
      </c>
      <c r="D61" s="310" t="s">
        <v>407</v>
      </c>
      <c r="E61" s="310" t="s">
        <v>407</v>
      </c>
      <c r="F61" s="310" t="s">
        <v>407</v>
      </c>
      <c r="G61" s="467" t="s">
        <v>648</v>
      </c>
      <c r="H61" s="266" t="s">
        <v>407</v>
      </c>
      <c r="I61" s="89" t="s">
        <v>15</v>
      </c>
      <c r="J61" s="89" t="s">
        <v>15</v>
      </c>
    </row>
    <row r="62" spans="2:10" ht="15.75" thickBot="1" x14ac:dyDescent="0.3">
      <c r="B62" s="494"/>
      <c r="C62" s="265" t="s">
        <v>439</v>
      </c>
      <c r="D62" s="304" t="s">
        <v>165</v>
      </c>
      <c r="E62" s="304" t="s">
        <v>165</v>
      </c>
      <c r="F62" s="304" t="s">
        <v>165</v>
      </c>
      <c r="G62" s="304" t="s">
        <v>165</v>
      </c>
      <c r="H62" s="304" t="s">
        <v>165</v>
      </c>
      <c r="I62" s="304" t="s">
        <v>165</v>
      </c>
      <c r="J62" s="304" t="s">
        <v>165</v>
      </c>
    </row>
    <row r="64" spans="2:10" ht="15.75" thickBot="1" x14ac:dyDescent="0.3"/>
    <row r="65" spans="2:10" x14ac:dyDescent="0.25">
      <c r="B65" s="504" t="s">
        <v>328</v>
      </c>
      <c r="C65" s="267" t="str">
        <f>"CQ_"&amp;F3</f>
        <v>CQ_S20</v>
      </c>
      <c r="D65" s="170">
        <f t="shared" ref="D65:J65" si="5">D59</f>
        <v>46153</v>
      </c>
      <c r="E65" s="170">
        <f t="shared" si="5"/>
        <v>46154</v>
      </c>
      <c r="F65" s="170">
        <f t="shared" si="5"/>
        <v>46155</v>
      </c>
      <c r="G65" s="170">
        <f t="shared" si="5"/>
        <v>46156</v>
      </c>
      <c r="H65" s="268">
        <f t="shared" si="5"/>
        <v>46157</v>
      </c>
      <c r="I65" s="268">
        <f t="shared" si="5"/>
        <v>46158</v>
      </c>
      <c r="J65" s="269">
        <f t="shared" si="5"/>
        <v>46159</v>
      </c>
    </row>
    <row r="66" spans="2:10" ht="15.75" thickBot="1" x14ac:dyDescent="0.3">
      <c r="B66" s="504"/>
      <c r="C66" s="272" t="s">
        <v>443</v>
      </c>
      <c r="D66" s="301" t="s">
        <v>466</v>
      </c>
      <c r="E66" s="270" t="s">
        <v>407</v>
      </c>
      <c r="F66" s="270" t="s">
        <v>407</v>
      </c>
      <c r="G66" s="270" t="s">
        <v>650</v>
      </c>
      <c r="H66" s="301" t="s">
        <v>466</v>
      </c>
      <c r="I66" s="89" t="s">
        <v>15</v>
      </c>
      <c r="J66" s="89" t="s">
        <v>15</v>
      </c>
    </row>
    <row r="67" spans="2:10" ht="15.75" thickBot="1" x14ac:dyDescent="0.3">
      <c r="B67" s="504"/>
      <c r="C67" s="271" t="s">
        <v>444</v>
      </c>
      <c r="D67" s="270" t="s">
        <v>407</v>
      </c>
      <c r="E67" s="301" t="s">
        <v>466</v>
      </c>
      <c r="F67" s="301" t="s">
        <v>466</v>
      </c>
      <c r="G67" s="270" t="s">
        <v>650</v>
      </c>
      <c r="H67" s="89" t="s">
        <v>15</v>
      </c>
      <c r="I67" s="301" t="s">
        <v>466</v>
      </c>
      <c r="J67" s="89" t="s">
        <v>15</v>
      </c>
    </row>
    <row r="68" spans="2:10" ht="15.75" thickBot="1" x14ac:dyDescent="0.3">
      <c r="B68" s="504"/>
      <c r="C68" s="271" t="s">
        <v>445</v>
      </c>
      <c r="D68" s="339" t="s">
        <v>408</v>
      </c>
      <c r="E68" s="89" t="s">
        <v>15</v>
      </c>
      <c r="F68" s="339" t="s">
        <v>408</v>
      </c>
      <c r="G68" s="467" t="s">
        <v>648</v>
      </c>
      <c r="H68" s="89" t="s">
        <v>15</v>
      </c>
      <c r="I68" s="339" t="s">
        <v>408</v>
      </c>
      <c r="J68" s="339" t="s">
        <v>408</v>
      </c>
    </row>
    <row r="69" spans="2:10" ht="15.75" thickBot="1" x14ac:dyDescent="0.3">
      <c r="B69" s="504"/>
      <c r="C69" s="271" t="s">
        <v>446</v>
      </c>
      <c r="D69" s="301" t="s">
        <v>466</v>
      </c>
      <c r="E69" s="301" t="s">
        <v>466</v>
      </c>
      <c r="F69" s="270" t="s">
        <v>407</v>
      </c>
      <c r="G69" s="301" t="s">
        <v>651</v>
      </c>
      <c r="H69" s="89" t="s">
        <v>15</v>
      </c>
      <c r="I69" s="89" t="s">
        <v>15</v>
      </c>
      <c r="J69" s="301" t="s">
        <v>466</v>
      </c>
    </row>
    <row r="70" spans="2:10" ht="15.75" thickBot="1" x14ac:dyDescent="0.3">
      <c r="B70" s="504"/>
      <c r="C70" s="271" t="s">
        <v>447</v>
      </c>
      <c r="D70" s="270" t="s">
        <v>407</v>
      </c>
      <c r="E70" s="270" t="s">
        <v>407</v>
      </c>
      <c r="F70" s="270" t="s">
        <v>407</v>
      </c>
      <c r="G70" s="301" t="s">
        <v>652</v>
      </c>
      <c r="H70" s="301" t="s">
        <v>466</v>
      </c>
      <c r="I70" s="89" t="s">
        <v>15</v>
      </c>
      <c r="J70" s="89" t="s">
        <v>15</v>
      </c>
    </row>
    <row r="71" spans="2:10" ht="15.75" thickBot="1" x14ac:dyDescent="0.3">
      <c r="B71" s="504"/>
      <c r="C71" s="272" t="s">
        <v>448</v>
      </c>
      <c r="D71" s="338" t="s">
        <v>159</v>
      </c>
      <c r="E71" s="338" t="s">
        <v>159</v>
      </c>
      <c r="F71" s="338" t="s">
        <v>159</v>
      </c>
      <c r="G71" s="338" t="s">
        <v>159</v>
      </c>
      <c r="H71" s="338" t="s">
        <v>159</v>
      </c>
      <c r="I71" s="338" t="s">
        <v>159</v>
      </c>
      <c r="J71" s="338" t="s">
        <v>159</v>
      </c>
    </row>
    <row r="72" spans="2:10" ht="15.75" thickBot="1" x14ac:dyDescent="0.3">
      <c r="B72" s="504"/>
      <c r="C72" s="273" t="s">
        <v>442</v>
      </c>
      <c r="D72" s="270" t="s">
        <v>407</v>
      </c>
      <c r="E72" s="270" t="s">
        <v>407</v>
      </c>
      <c r="F72" s="301" t="s">
        <v>466</v>
      </c>
      <c r="G72" s="467" t="s">
        <v>648</v>
      </c>
      <c r="H72" s="270" t="s">
        <v>407</v>
      </c>
      <c r="I72" s="89" t="s">
        <v>15</v>
      </c>
      <c r="J72" s="89" t="s">
        <v>15</v>
      </c>
    </row>
    <row r="73" spans="2:10" x14ac:dyDescent="0.25">
      <c r="B73" s="504"/>
      <c r="C73" s="319" t="s">
        <v>516</v>
      </c>
      <c r="D73" s="301" t="s">
        <v>466</v>
      </c>
      <c r="E73" s="301" t="s">
        <v>466</v>
      </c>
      <c r="F73" s="301" t="s">
        <v>466</v>
      </c>
      <c r="G73" s="467" t="s">
        <v>648</v>
      </c>
      <c r="H73" s="89" t="s">
        <v>15</v>
      </c>
      <c r="I73" s="270" t="s">
        <v>407</v>
      </c>
      <c r="J73" s="89" t="s">
        <v>15</v>
      </c>
    </row>
    <row r="75" spans="2:10" ht="15.75" thickBot="1" x14ac:dyDescent="0.3"/>
    <row r="76" spans="2:10" ht="15.75" thickBot="1" x14ac:dyDescent="0.3">
      <c r="B76" s="497" t="s">
        <v>85</v>
      </c>
      <c r="C76" s="162" t="str">
        <f>"AS_"&amp;F3</f>
        <v>AS_S20</v>
      </c>
      <c r="D76" s="170">
        <f t="shared" ref="D76:J76" si="6">D65</f>
        <v>46153</v>
      </c>
      <c r="E76" s="170">
        <f t="shared" si="6"/>
        <v>46154</v>
      </c>
      <c r="F76" s="170">
        <f t="shared" si="6"/>
        <v>46155</v>
      </c>
      <c r="G76" s="170">
        <f t="shared" si="6"/>
        <v>46156</v>
      </c>
      <c r="H76" s="268">
        <f t="shared" si="6"/>
        <v>46157</v>
      </c>
      <c r="I76" s="268">
        <f t="shared" si="6"/>
        <v>46158</v>
      </c>
      <c r="J76" s="269">
        <f t="shared" si="6"/>
        <v>46159</v>
      </c>
    </row>
    <row r="77" spans="2:10" ht="15.75" thickBot="1" x14ac:dyDescent="0.3">
      <c r="B77" s="497"/>
      <c r="C77" s="274" t="s">
        <v>449</v>
      </c>
      <c r="D77" s="102" t="s">
        <v>75</v>
      </c>
      <c r="E77" s="102" t="s">
        <v>75</v>
      </c>
      <c r="F77" s="102" t="s">
        <v>75</v>
      </c>
      <c r="G77" s="467" t="s">
        <v>648</v>
      </c>
      <c r="H77" s="89" t="s">
        <v>15</v>
      </c>
      <c r="I77" s="102" t="s">
        <v>75</v>
      </c>
      <c r="J77" s="89" t="s">
        <v>15</v>
      </c>
    </row>
    <row r="78" spans="2:10" ht="15.75" thickBot="1" x14ac:dyDescent="0.3">
      <c r="B78" s="497"/>
      <c r="C78" s="275" t="s">
        <v>451</v>
      </c>
      <c r="D78" s="102" t="s">
        <v>75</v>
      </c>
      <c r="E78" s="102" t="s">
        <v>75</v>
      </c>
      <c r="F78" s="102" t="s">
        <v>75</v>
      </c>
      <c r="G78" s="102" t="s">
        <v>75</v>
      </c>
      <c r="H78" s="102" t="s">
        <v>75</v>
      </c>
      <c r="I78" s="89" t="s">
        <v>15</v>
      </c>
      <c r="J78" s="89" t="s">
        <v>15</v>
      </c>
    </row>
    <row r="79" spans="2:10" ht="15.75" thickBot="1" x14ac:dyDescent="0.3">
      <c r="B79" s="497"/>
      <c r="C79" s="282" t="s">
        <v>450</v>
      </c>
      <c r="D79" s="102" t="s">
        <v>75</v>
      </c>
      <c r="E79" s="102" t="s">
        <v>75</v>
      </c>
      <c r="F79" s="102" t="s">
        <v>75</v>
      </c>
      <c r="G79" s="467" t="s">
        <v>648</v>
      </c>
      <c r="H79" s="102" t="s">
        <v>75</v>
      </c>
      <c r="I79" s="89" t="s">
        <v>15</v>
      </c>
      <c r="J79" s="89" t="s">
        <v>15</v>
      </c>
    </row>
    <row r="81" spans="2:10" x14ac:dyDescent="0.25">
      <c r="B81" s="496" t="s">
        <v>401</v>
      </c>
      <c r="C81" s="283" t="s">
        <v>511</v>
      </c>
      <c r="D81" s="102" t="s">
        <v>75</v>
      </c>
      <c r="E81" s="102" t="s">
        <v>75</v>
      </c>
      <c r="F81" s="102" t="s">
        <v>75</v>
      </c>
      <c r="G81" s="89" t="s">
        <v>15</v>
      </c>
      <c r="H81" s="89" t="s">
        <v>15</v>
      </c>
      <c r="I81" s="102" t="s">
        <v>75</v>
      </c>
      <c r="J81" s="102" t="s">
        <v>75</v>
      </c>
    </row>
    <row r="82" spans="2:10" x14ac:dyDescent="0.25">
      <c r="B82" s="496"/>
      <c r="C82" s="321" t="s">
        <v>356</v>
      </c>
      <c r="D82" s="102" t="s">
        <v>75</v>
      </c>
      <c r="E82" s="102" t="s">
        <v>75</v>
      </c>
      <c r="F82" s="102" t="s">
        <v>75</v>
      </c>
      <c r="G82" s="102" t="s">
        <v>75</v>
      </c>
      <c r="H82" s="102" t="s">
        <v>75</v>
      </c>
      <c r="I82" s="89" t="s">
        <v>15</v>
      </c>
      <c r="J82" s="89" t="s">
        <v>15</v>
      </c>
    </row>
    <row r="83" spans="2:10" x14ac:dyDescent="0.25">
      <c r="B83" s="496"/>
      <c r="C83" s="321" t="s">
        <v>333</v>
      </c>
      <c r="D83" s="102" t="s">
        <v>75</v>
      </c>
      <c r="E83" s="102" t="s">
        <v>75</v>
      </c>
      <c r="F83" s="102" t="s">
        <v>75</v>
      </c>
      <c r="G83" s="102" t="s">
        <v>75</v>
      </c>
      <c r="H83" s="102" t="s">
        <v>75</v>
      </c>
      <c r="I83" s="89" t="s">
        <v>15</v>
      </c>
      <c r="J83" s="89" t="s">
        <v>15</v>
      </c>
    </row>
    <row r="84" spans="2:10" ht="15.75" thickBot="1" x14ac:dyDescent="0.3"/>
    <row r="85" spans="2:10" ht="15.75" thickBot="1" x14ac:dyDescent="0.3">
      <c r="B85" s="494" t="s">
        <v>325</v>
      </c>
      <c r="C85" s="162" t="str">
        <f>"TS_"&amp;F3</f>
        <v>TS_S20</v>
      </c>
      <c r="D85" s="170">
        <f t="shared" ref="D85:J85" si="7">D76</f>
        <v>46153</v>
      </c>
      <c r="E85" s="170">
        <f t="shared" si="7"/>
        <v>46154</v>
      </c>
      <c r="F85" s="170">
        <f t="shared" si="7"/>
        <v>46155</v>
      </c>
      <c r="G85" s="170">
        <f t="shared" si="7"/>
        <v>46156</v>
      </c>
      <c r="H85" s="170">
        <f t="shared" si="7"/>
        <v>46157</v>
      </c>
      <c r="I85" s="170">
        <f t="shared" si="7"/>
        <v>46158</v>
      </c>
      <c r="J85" s="170">
        <f t="shared" si="7"/>
        <v>46159</v>
      </c>
    </row>
    <row r="86" spans="2:10" x14ac:dyDescent="0.25">
      <c r="B86" s="494"/>
      <c r="C86" s="332" t="s">
        <v>212</v>
      </c>
      <c r="D86" s="270" t="s">
        <v>407</v>
      </c>
      <c r="E86" s="276" t="s">
        <v>465</v>
      </c>
      <c r="F86" s="276" t="s">
        <v>465</v>
      </c>
      <c r="G86" s="276" t="s">
        <v>465</v>
      </c>
      <c r="H86" s="89" t="s">
        <v>15</v>
      </c>
      <c r="I86" s="89" t="s">
        <v>15</v>
      </c>
      <c r="J86" s="270" t="s">
        <v>407</v>
      </c>
    </row>
    <row r="87" spans="2:10" x14ac:dyDescent="0.25">
      <c r="B87" s="494"/>
      <c r="C87" s="331" t="s">
        <v>96</v>
      </c>
      <c r="D87" s="270" t="s">
        <v>407</v>
      </c>
      <c r="E87" s="276" t="s">
        <v>465</v>
      </c>
      <c r="F87" s="238" t="s">
        <v>75</v>
      </c>
      <c r="G87" s="89" t="s">
        <v>15</v>
      </c>
      <c r="H87" s="89" t="s">
        <v>15</v>
      </c>
      <c r="I87" s="270" t="s">
        <v>407</v>
      </c>
      <c r="J87" s="270" t="s">
        <v>407</v>
      </c>
    </row>
    <row r="88" spans="2:10" ht="15.75" thickBot="1" x14ac:dyDescent="0.3"/>
    <row r="89" spans="2:10" x14ac:dyDescent="0.25">
      <c r="B89" s="495" t="s">
        <v>524</v>
      </c>
      <c r="C89" s="481" t="str">
        <f>F3</f>
        <v>S20</v>
      </c>
      <c r="D89" s="170">
        <f>D85</f>
        <v>46153</v>
      </c>
      <c r="E89" s="170">
        <f>E85</f>
        <v>46154</v>
      </c>
      <c r="F89" s="170">
        <f t="shared" ref="F89:J89" si="8">F85</f>
        <v>46155</v>
      </c>
      <c r="G89" s="170">
        <f t="shared" si="8"/>
        <v>46156</v>
      </c>
      <c r="H89" s="170">
        <f t="shared" si="8"/>
        <v>46157</v>
      </c>
      <c r="I89" s="170">
        <f t="shared" si="8"/>
        <v>46158</v>
      </c>
      <c r="J89" s="170">
        <f t="shared" si="8"/>
        <v>46159</v>
      </c>
    </row>
    <row r="90" spans="2:10" x14ac:dyDescent="0.25">
      <c r="B90" s="495"/>
      <c r="C90" s="476" t="s">
        <v>53</v>
      </c>
      <c r="D90" s="102" t="s">
        <v>408</v>
      </c>
      <c r="E90" s="102" t="s">
        <v>408</v>
      </c>
      <c r="F90" s="102" t="s">
        <v>408</v>
      </c>
      <c r="G90" s="102" t="s">
        <v>408</v>
      </c>
      <c r="H90" s="102" t="s">
        <v>408</v>
      </c>
      <c r="I90" s="89" t="s">
        <v>15</v>
      </c>
      <c r="J90" s="89" t="s">
        <v>15</v>
      </c>
    </row>
  </sheetData>
  <mergeCells count="11">
    <mergeCell ref="B85:B87"/>
    <mergeCell ref="B89:B90"/>
    <mergeCell ref="B81:B83"/>
    <mergeCell ref="B76:B79"/>
    <mergeCell ref="C3:E3"/>
    <mergeCell ref="B15:B22"/>
    <mergeCell ref="B26:B30"/>
    <mergeCell ref="B52:B54"/>
    <mergeCell ref="B56:B57"/>
    <mergeCell ref="B59:B62"/>
    <mergeCell ref="B65:B73"/>
  </mergeCells>
  <phoneticPr fontId="17" type="noConversion"/>
  <conditionalFormatting sqref="G7:G8">
    <cfRule type="cellIs" dxfId="596" priority="22" operator="greaterThan">
      <formula>0</formula>
    </cfRule>
  </conditionalFormatting>
  <conditionalFormatting sqref="G10:G11">
    <cfRule type="cellIs" dxfId="595" priority="20" operator="greaterThan">
      <formula>0</formula>
    </cfRule>
  </conditionalFormatting>
  <conditionalFormatting sqref="G17">
    <cfRule type="cellIs" dxfId="594" priority="19" operator="greaterThan">
      <formula>0</formula>
    </cfRule>
  </conditionalFormatting>
  <conditionalFormatting sqref="G21:G22">
    <cfRule type="cellIs" dxfId="593" priority="17" operator="greaterThan">
      <formula>0</formula>
    </cfRule>
  </conditionalFormatting>
  <conditionalFormatting sqref="G28">
    <cfRule type="cellIs" dxfId="592" priority="16" operator="greaterThan">
      <formula>0</formula>
    </cfRule>
  </conditionalFormatting>
  <conditionalFormatting sqref="G30">
    <cfRule type="cellIs" dxfId="591" priority="15" operator="greaterThan">
      <formula>0</formula>
    </cfRule>
  </conditionalFormatting>
  <conditionalFormatting sqref="G34:G35">
    <cfRule type="cellIs" dxfId="590" priority="13" operator="greaterThan">
      <formula>0</formula>
    </cfRule>
  </conditionalFormatting>
  <conditionalFormatting sqref="G42">
    <cfRule type="cellIs" dxfId="589" priority="12" operator="greaterThan">
      <formula>0</formula>
    </cfRule>
  </conditionalFormatting>
  <conditionalFormatting sqref="G45">
    <cfRule type="cellIs" dxfId="588" priority="11" operator="greaterThan">
      <formula>0</formula>
    </cfRule>
  </conditionalFormatting>
  <conditionalFormatting sqref="G52">
    <cfRule type="cellIs" dxfId="587" priority="10" operator="greaterThan">
      <formula>0</formula>
    </cfRule>
  </conditionalFormatting>
  <conditionalFormatting sqref="G56:G57">
    <cfRule type="cellIs" dxfId="586" priority="8" operator="greaterThan">
      <formula>0</formula>
    </cfRule>
  </conditionalFormatting>
  <conditionalFormatting sqref="G60:G61">
    <cfRule type="cellIs" dxfId="585" priority="6" operator="greaterThan">
      <formula>0</formula>
    </cfRule>
  </conditionalFormatting>
  <conditionalFormatting sqref="G68">
    <cfRule type="cellIs" dxfId="584" priority="5" operator="greaterThan">
      <formula>0</formula>
    </cfRule>
  </conditionalFormatting>
  <conditionalFormatting sqref="G72:G73">
    <cfRule type="cellIs" dxfId="583" priority="3" operator="greaterThan">
      <formula>0</formula>
    </cfRule>
  </conditionalFormatting>
  <conditionalFormatting sqref="G77">
    <cfRule type="cellIs" dxfId="582" priority="2" operator="greaterThan">
      <formula>0</formula>
    </cfRule>
  </conditionalFormatting>
  <conditionalFormatting sqref="G79">
    <cfRule type="cellIs" dxfId="581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0">
    <tabColor rgb="FFFF0000"/>
  </sheetPr>
  <dimension ref="C1:L28"/>
  <sheetViews>
    <sheetView zoomScale="80" zoomScaleNormal="80" workbookViewId="0">
      <selection activeCell="G19" sqref="G19"/>
    </sheetView>
  </sheetViews>
  <sheetFormatPr baseColWidth="10" defaultColWidth="12" defaultRowHeight="18.75" x14ac:dyDescent="0.3"/>
  <cols>
    <col min="1" max="2" width="12" style="136"/>
    <col min="3" max="3" width="10.28515625" style="136" bestFit="1" customWidth="1"/>
    <col min="4" max="4" width="10.5703125" style="136" bestFit="1" customWidth="1"/>
    <col min="5" max="5" width="23.42578125" style="136" bestFit="1" customWidth="1"/>
    <col min="6" max="6" width="24.28515625" style="136" bestFit="1" customWidth="1"/>
    <col min="7" max="7" width="27" style="136" bestFit="1" customWidth="1"/>
    <col min="8" max="8" width="23.42578125" style="136" bestFit="1" customWidth="1"/>
    <col min="9" max="9" width="26.7109375" style="137" bestFit="1" customWidth="1"/>
    <col min="10" max="10" width="25.5703125" style="136" bestFit="1" customWidth="1"/>
    <col min="11" max="11" width="27.7109375" style="136" bestFit="1" customWidth="1"/>
    <col min="12" max="12" width="31.140625" style="136" bestFit="1" customWidth="1"/>
    <col min="13" max="16384" width="12" style="136"/>
  </cols>
  <sheetData>
    <row r="1" spans="3:12" ht="21" customHeight="1" x14ac:dyDescent="0.3"/>
    <row r="3" spans="3:12" s="137" customFormat="1" ht="23.25" x14ac:dyDescent="0.35">
      <c r="C3" s="505" t="s">
        <v>525</v>
      </c>
      <c r="D3" s="506"/>
      <c r="E3" s="506"/>
      <c r="F3" s="506"/>
      <c r="G3" s="506"/>
      <c r="H3" s="160"/>
      <c r="I3" s="160"/>
      <c r="J3" s="160"/>
      <c r="K3" s="160"/>
      <c r="L3" s="160"/>
    </row>
    <row r="4" spans="3:12" ht="8.25" customHeight="1" x14ac:dyDescent="0.3">
      <c r="I4" s="160"/>
    </row>
    <row r="5" spans="3:12" ht="19.5" thickBot="1" x14ac:dyDescent="0.35">
      <c r="F5" s="143"/>
    </row>
    <row r="6" spans="3:12" x14ac:dyDescent="0.3">
      <c r="C6" s="507" t="s">
        <v>526</v>
      </c>
      <c r="D6" s="188" t="s">
        <v>345</v>
      </c>
      <c r="E6" s="189">
        <f>'S&amp;E'!H3</f>
        <v>46153</v>
      </c>
      <c r="F6" s="189">
        <f t="shared" ref="F6:K6" si="0">E6+1</f>
        <v>46154</v>
      </c>
      <c r="G6" s="189">
        <f t="shared" si="0"/>
        <v>46155</v>
      </c>
      <c r="H6" s="189">
        <f t="shared" si="0"/>
        <v>46156</v>
      </c>
      <c r="I6" s="189">
        <f t="shared" si="0"/>
        <v>46157</v>
      </c>
      <c r="J6" s="189">
        <f t="shared" si="0"/>
        <v>46158</v>
      </c>
      <c r="K6" s="189">
        <f t="shared" si="0"/>
        <v>46159</v>
      </c>
    </row>
    <row r="7" spans="3:12" x14ac:dyDescent="0.3">
      <c r="C7" s="507"/>
      <c r="D7" s="303" t="s">
        <v>546</v>
      </c>
      <c r="E7" s="335"/>
      <c r="F7" s="304"/>
      <c r="G7" s="335"/>
      <c r="H7" s="304"/>
      <c r="I7" s="304"/>
      <c r="J7" s="304"/>
      <c r="K7" s="304"/>
    </row>
    <row r="8" spans="3:12" x14ac:dyDescent="0.3">
      <c r="C8" s="507"/>
      <c r="D8" s="303"/>
      <c r="E8" s="304"/>
      <c r="F8" s="304"/>
      <c r="G8" s="304"/>
      <c r="H8" s="304"/>
      <c r="I8" s="304"/>
      <c r="J8" s="304"/>
      <c r="K8" s="304"/>
    </row>
    <row r="9" spans="3:12" x14ac:dyDescent="0.3">
      <c r="C9" s="507"/>
      <c r="D9" s="303"/>
      <c r="E9" s="304"/>
      <c r="F9" s="304"/>
      <c r="G9" s="304"/>
      <c r="H9" s="304"/>
      <c r="I9" s="304"/>
      <c r="J9" s="304"/>
      <c r="K9" s="304"/>
    </row>
    <row r="10" spans="3:12" x14ac:dyDescent="0.3">
      <c r="C10" s="507"/>
      <c r="D10" s="303"/>
      <c r="E10" s="304"/>
      <c r="F10" s="304"/>
      <c r="G10" s="304"/>
      <c r="H10" s="304"/>
      <c r="I10" s="304"/>
      <c r="J10" s="304"/>
      <c r="K10" s="304"/>
    </row>
    <row r="11" spans="3:12" x14ac:dyDescent="0.3">
      <c r="C11" s="507"/>
      <c r="D11" s="303"/>
      <c r="E11" s="304"/>
      <c r="F11" s="304"/>
      <c r="G11" s="304"/>
      <c r="H11" s="304"/>
      <c r="I11" s="304"/>
      <c r="J11" s="304"/>
      <c r="K11" s="304"/>
    </row>
    <row r="12" spans="3:12" x14ac:dyDescent="0.3">
      <c r="C12" s="507"/>
      <c r="D12" s="303"/>
      <c r="E12" s="304"/>
      <c r="F12" s="304"/>
      <c r="G12" s="304"/>
      <c r="H12" s="304"/>
      <c r="I12" s="304"/>
      <c r="J12" s="304"/>
      <c r="K12" s="304"/>
    </row>
    <row r="13" spans="3:12" x14ac:dyDescent="0.3">
      <c r="C13" s="507"/>
      <c r="D13" s="303"/>
      <c r="E13" s="304"/>
      <c r="F13" s="304"/>
      <c r="G13" s="304"/>
      <c r="H13" s="304"/>
      <c r="I13" s="304"/>
      <c r="J13" s="304"/>
      <c r="K13" s="304"/>
    </row>
    <row r="14" spans="3:12" x14ac:dyDescent="0.3">
      <c r="C14" s="507"/>
      <c r="D14" s="303"/>
      <c r="E14" s="304"/>
      <c r="F14" s="304"/>
      <c r="G14" s="304"/>
      <c r="H14" s="304"/>
      <c r="I14" s="304"/>
      <c r="J14" s="304"/>
      <c r="K14" s="304"/>
    </row>
    <row r="15" spans="3:12" x14ac:dyDescent="0.3">
      <c r="C15" s="507"/>
      <c r="D15" s="303"/>
      <c r="E15" s="304"/>
      <c r="F15" s="304"/>
      <c r="G15" s="304"/>
      <c r="H15" s="304"/>
      <c r="I15" s="304"/>
      <c r="J15" s="304"/>
      <c r="K15" s="304"/>
    </row>
    <row r="21" spans="7:9" x14ac:dyDescent="0.3">
      <c r="I21" s="136"/>
    </row>
    <row r="22" spans="7:9" x14ac:dyDescent="0.3">
      <c r="G22" s="210"/>
    </row>
    <row r="24" spans="7:9" x14ac:dyDescent="0.3">
      <c r="I24" s="136"/>
    </row>
    <row r="25" spans="7:9" x14ac:dyDescent="0.3">
      <c r="I25" s="136"/>
    </row>
    <row r="26" spans="7:9" x14ac:dyDescent="0.3">
      <c r="I26" s="136"/>
    </row>
    <row r="27" spans="7:9" x14ac:dyDescent="0.3">
      <c r="I27" s="136"/>
    </row>
    <row r="28" spans="7:9" x14ac:dyDescent="0.3">
      <c r="I28" s="136"/>
    </row>
  </sheetData>
  <mergeCells count="2">
    <mergeCell ref="C3:G3"/>
    <mergeCell ref="C6:C15"/>
  </mergeCells>
  <phoneticPr fontId="17" type="noConversion"/>
  <conditionalFormatting sqref="H1:H5 H16 I21 H21:H23 H29:H1048576">
    <cfRule type="cellIs" dxfId="580" priority="7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BT266"/>
  <sheetViews>
    <sheetView zoomScale="80" zoomScaleNormal="80" workbookViewId="0">
      <pane xSplit="2" ySplit="3" topLeftCell="C238" activePane="bottomRight" state="frozen"/>
      <selection pane="topRight" activeCell="C1" sqref="C1"/>
      <selection pane="bottomLeft" activeCell="A20" sqref="A20"/>
      <selection pane="bottomRight" activeCell="B249" sqref="B249:L266"/>
    </sheetView>
  </sheetViews>
  <sheetFormatPr baseColWidth="10" defaultColWidth="11.42578125" defaultRowHeight="12.75" x14ac:dyDescent="0.2"/>
  <cols>
    <col min="1" max="1" width="7.85546875" style="384" hidden="1" customWidth="1"/>
    <col min="2" max="2" width="26" style="385" customWidth="1"/>
    <col min="3" max="3" width="7.42578125" style="385" customWidth="1"/>
    <col min="4" max="4" width="16.7109375" style="385" bestFit="1" customWidth="1"/>
    <col min="5" max="5" width="7.42578125" style="385" customWidth="1"/>
    <col min="6" max="6" width="9.42578125" style="385" bestFit="1" customWidth="1"/>
    <col min="7" max="7" width="8.7109375" style="385" bestFit="1" customWidth="1"/>
    <col min="8" max="8" width="8.140625" style="385" customWidth="1"/>
    <col min="9" max="9" width="8.7109375" style="385" bestFit="1" customWidth="1"/>
    <col min="10" max="10" width="11" style="385" bestFit="1" customWidth="1"/>
    <col min="11" max="11" width="9.28515625" style="385" bestFit="1" customWidth="1"/>
    <col min="12" max="12" width="9.85546875" style="385" bestFit="1" customWidth="1"/>
    <col min="13" max="13" width="6.42578125" style="385" bestFit="1" customWidth="1"/>
    <col min="14" max="14" width="7.28515625" style="385" bestFit="1" customWidth="1"/>
    <col min="15" max="15" width="9.85546875" style="385" bestFit="1" customWidth="1"/>
    <col min="16" max="16" width="9.28515625" style="385" bestFit="1" customWidth="1"/>
    <col min="17" max="18" width="6.42578125" style="385" bestFit="1" customWidth="1"/>
    <col min="19" max="19" width="8.42578125" style="385" customWidth="1"/>
    <col min="20" max="20" width="9.85546875" style="385" bestFit="1" customWidth="1"/>
    <col min="21" max="21" width="9.28515625" style="385" bestFit="1" customWidth="1"/>
    <col min="22" max="22" width="6.42578125" style="385" bestFit="1" customWidth="1"/>
    <col min="23" max="23" width="9.140625" style="385" bestFit="1" customWidth="1"/>
    <col min="24" max="24" width="7.28515625" style="385" bestFit="1" customWidth="1"/>
    <col min="25" max="25" width="9.85546875" style="385" bestFit="1" customWidth="1"/>
    <col min="26" max="26" width="9.28515625" style="385" bestFit="1" customWidth="1"/>
    <col min="27" max="27" width="9.5703125" style="385" bestFit="1" customWidth="1"/>
    <col min="28" max="28" width="6.42578125" style="385" bestFit="1" customWidth="1"/>
    <col min="29" max="29" width="7.85546875" style="385" bestFit="1" customWidth="1"/>
    <col min="30" max="30" width="9.85546875" style="385" bestFit="1" customWidth="1"/>
    <col min="31" max="32" width="9.28515625" style="385" bestFit="1" customWidth="1"/>
    <col min="33" max="33" width="6.42578125" style="385" bestFit="1" customWidth="1"/>
    <col min="34" max="34" width="9.140625" style="385" bestFit="1" customWidth="1"/>
    <col min="35" max="35" width="9.85546875" style="385" bestFit="1" customWidth="1"/>
    <col min="36" max="36" width="9.5703125" style="385" bestFit="1" customWidth="1"/>
    <col min="37" max="37" width="6.42578125" style="385" bestFit="1" customWidth="1"/>
    <col min="38" max="38" width="10.28515625" style="385" bestFit="1" customWidth="1"/>
    <col min="39" max="39" width="7.28515625" style="385" bestFit="1" customWidth="1"/>
    <col min="40" max="40" width="9.85546875" style="385" bestFit="1" customWidth="1"/>
    <col min="41" max="41" width="10.85546875" style="385" bestFit="1" customWidth="1"/>
    <col min="42" max="42" width="8.5703125" style="385" customWidth="1"/>
    <col min="43" max="43" width="20.85546875" style="385" bestFit="1" customWidth="1"/>
    <col min="44" max="44" width="22.28515625" style="385" bestFit="1" customWidth="1"/>
    <col min="45" max="45" width="12.28515625" style="385" bestFit="1" customWidth="1"/>
    <col min="46" max="46" width="8.7109375" style="385" bestFit="1" customWidth="1"/>
    <col min="47" max="47" width="5.85546875" style="385" bestFit="1" customWidth="1"/>
    <col min="48" max="48" width="6.28515625" style="385" bestFit="1" customWidth="1"/>
    <col min="49" max="49" width="8.7109375" style="385" bestFit="1" customWidth="1"/>
    <col min="50" max="50" width="5.7109375" style="385" bestFit="1" customWidth="1"/>
    <col min="51" max="51" width="9.140625" style="385" bestFit="1" customWidth="1"/>
    <col min="52" max="52" width="7.28515625" style="385" bestFit="1" customWidth="1"/>
    <col min="53" max="53" width="9.5703125" style="385" bestFit="1" customWidth="1"/>
    <col min="54" max="54" width="2.28515625" style="385" bestFit="1" customWidth="1"/>
    <col min="55" max="55" width="6" style="385" bestFit="1" customWidth="1"/>
    <col min="56" max="56" width="5.85546875" style="385" bestFit="1" customWidth="1"/>
    <col min="57" max="57" width="6.28515625" style="385" bestFit="1" customWidth="1"/>
    <col min="58" max="58" width="9.140625" style="385" bestFit="1" customWidth="1"/>
    <col min="59" max="59" width="5.7109375" style="385" bestFit="1" customWidth="1"/>
    <col min="60" max="60" width="9.140625" style="385" bestFit="1" customWidth="1"/>
    <col min="61" max="61" width="7.28515625" style="385" bestFit="1" customWidth="1"/>
    <col min="62" max="62" width="9.5703125" style="385" bestFit="1" customWidth="1"/>
    <col min="63" max="63" width="11.42578125" style="385"/>
    <col min="64" max="64" width="6" style="385" bestFit="1" customWidth="1"/>
    <col min="65" max="66" width="6.7109375" style="385" bestFit="1" customWidth="1"/>
    <col min="67" max="67" width="9.140625" style="385" bestFit="1" customWidth="1"/>
    <col min="68" max="68" width="6.7109375" style="385" bestFit="1" customWidth="1"/>
    <col min="69" max="69" width="9.140625" style="385" bestFit="1" customWidth="1"/>
    <col min="70" max="70" width="7.28515625" style="385" bestFit="1" customWidth="1"/>
    <col min="71" max="71" width="9.5703125" style="385" bestFit="1" customWidth="1"/>
    <col min="72" max="72" width="1.7109375" style="385" bestFit="1" customWidth="1"/>
    <col min="73" max="16384" width="11.42578125" style="385"/>
  </cols>
  <sheetData>
    <row r="1" spans="1:72" s="387" customFormat="1" ht="20.25" customHeight="1" thickBot="1" x14ac:dyDescent="0.25">
      <c r="A1" s="386"/>
      <c r="B1" s="51" t="str">
        <f>"S"&amp;_xlfn.ISOWEEKNUM(F1)</f>
        <v>S19</v>
      </c>
      <c r="C1" s="385"/>
      <c r="D1" s="385"/>
      <c r="E1" s="385"/>
      <c r="F1" s="508">
        <v>46146</v>
      </c>
      <c r="G1" s="509"/>
      <c r="H1" s="509"/>
      <c r="I1" s="509"/>
      <c r="J1" s="510"/>
      <c r="K1" s="508">
        <f>F1+1</f>
        <v>46147</v>
      </c>
      <c r="L1" s="509"/>
      <c r="M1" s="509"/>
      <c r="N1" s="509"/>
      <c r="O1" s="510"/>
      <c r="P1" s="508">
        <f t="shared" ref="P1" si="0">K1+1</f>
        <v>46148</v>
      </c>
      <c r="Q1" s="509"/>
      <c r="R1" s="509"/>
      <c r="S1" s="509"/>
      <c r="T1" s="510"/>
      <c r="U1" s="508">
        <f t="shared" ref="U1" si="1">P1+1</f>
        <v>46149</v>
      </c>
      <c r="V1" s="509"/>
      <c r="W1" s="509"/>
      <c r="X1" s="509"/>
      <c r="Y1" s="510"/>
      <c r="Z1" s="508">
        <f>U1+1</f>
        <v>46150</v>
      </c>
      <c r="AA1" s="509"/>
      <c r="AB1" s="509"/>
      <c r="AC1" s="509"/>
      <c r="AD1" s="510"/>
      <c r="AE1" s="508">
        <f>Z1+1</f>
        <v>46151</v>
      </c>
      <c r="AF1" s="509"/>
      <c r="AG1" s="509"/>
      <c r="AH1" s="509"/>
      <c r="AI1" s="510"/>
      <c r="AJ1" s="511">
        <f>AE1+1</f>
        <v>46152</v>
      </c>
      <c r="AK1" s="512"/>
      <c r="AL1" s="512"/>
      <c r="AM1" s="512"/>
      <c r="AN1" s="513"/>
      <c r="AO1" s="2">
        <v>1.6666666666666665</v>
      </c>
      <c r="AP1" s="3">
        <f>AO2/AO1</f>
        <v>135.98749999999976</v>
      </c>
      <c r="AR1" s="388">
        <f>SUM(AR14:AR158)</f>
        <v>0</v>
      </c>
      <c r="AS1" s="389">
        <f>SUM(AS14:AS48)</f>
        <v>0</v>
      </c>
      <c r="BT1" s="387" t="s">
        <v>0</v>
      </c>
    </row>
    <row r="2" spans="1:72" ht="14.25" thickTop="1" thickBot="1" x14ac:dyDescent="0.25">
      <c r="F2" s="5" t="s">
        <v>1</v>
      </c>
      <c r="G2" s="6">
        <f>J2/"8:00:00"</f>
        <v>110.49999999999999</v>
      </c>
      <c r="H2" s="390">
        <f>J2/$AO$2</f>
        <v>0.16251493703465419</v>
      </c>
      <c r="I2" s="391">
        <f>COUNT(F4:F158)</f>
        <v>129</v>
      </c>
      <c r="J2" s="9">
        <f>SUM(J4:J158)</f>
        <v>36.833333333333329</v>
      </c>
      <c r="K2" s="5" t="s">
        <v>1</v>
      </c>
      <c r="L2" s="6">
        <f>O2/"8:00:00"</f>
        <v>100.99999999999989</v>
      </c>
      <c r="M2" s="390">
        <f>O2/$AO$2</f>
        <v>0.14854306461991001</v>
      </c>
      <c r="N2" s="391">
        <f>COUNT(K4:K158)</f>
        <v>122</v>
      </c>
      <c r="O2" s="9">
        <f>SUM(O4:O158)</f>
        <v>33.666666666666629</v>
      </c>
      <c r="P2" s="5" t="s">
        <v>1</v>
      </c>
      <c r="Q2" s="6">
        <f>T2/"8:00:00"</f>
        <v>106.99999999999991</v>
      </c>
      <c r="R2" s="390">
        <f>T2/$AO$2</f>
        <v>0.15736740509237998</v>
      </c>
      <c r="S2" s="391">
        <f>COUNT(P4:P158)</f>
        <v>124</v>
      </c>
      <c r="T2" s="9">
        <f>SUM(T4:T158)</f>
        <v>35.666666666666636</v>
      </c>
      <c r="U2" s="5" t="s">
        <v>1</v>
      </c>
      <c r="V2" s="6">
        <f>Y2/"8:00:00"</f>
        <v>93.312499999999901</v>
      </c>
      <c r="W2" s="390">
        <f>Y2/$AO$2</f>
        <v>0.13723687838955798</v>
      </c>
      <c r="X2" s="391">
        <f>COUNT(U4:U158)</f>
        <v>109</v>
      </c>
      <c r="Y2" s="9">
        <f>SUM(Y4:Y158)</f>
        <v>31.104166666666632</v>
      </c>
      <c r="Z2" s="5" t="s">
        <v>1</v>
      </c>
      <c r="AA2" s="6">
        <f>AD2/"8:00:00"</f>
        <v>94.999999999999886</v>
      </c>
      <c r="AB2" s="390">
        <f>AD2/$AO$2</f>
        <v>0.1397187241474401</v>
      </c>
      <c r="AC2" s="391">
        <f>COUNT(Z4:Z158)</f>
        <v>111</v>
      </c>
      <c r="AD2" s="9">
        <f>SUM(AD4:AD158)</f>
        <v>31.666666666666625</v>
      </c>
      <c r="AE2" s="5" t="s">
        <v>1</v>
      </c>
      <c r="AF2" s="6">
        <f>AI2/"8:00:00"</f>
        <v>91.499999999999929</v>
      </c>
      <c r="AG2" s="390">
        <f>AI2/$AO$2</f>
        <v>0.13457119220516606</v>
      </c>
      <c r="AH2" s="391">
        <f>COUNT(AE4:AE158)</f>
        <v>95</v>
      </c>
      <c r="AI2" s="9">
        <f>SUM(AI4:AI158)</f>
        <v>30.499999999999975</v>
      </c>
      <c r="AJ2" s="5" t="s">
        <v>1</v>
      </c>
      <c r="AK2" s="6">
        <f>AN2/"8:00:00"</f>
        <v>81.624999999999929</v>
      </c>
      <c r="AL2" s="390">
        <f>AN2/$AO$2</f>
        <v>0.12004779851089264</v>
      </c>
      <c r="AM2" s="391">
        <f>COUNT(AJ4:AJ158)</f>
        <v>83</v>
      </c>
      <c r="AN2" s="9">
        <f>SUM(AN4:AN158)</f>
        <v>27.208333333333307</v>
      </c>
      <c r="AO2" s="9">
        <f>SUM(AO4:AO158)</f>
        <v>226.64583333333292</v>
      </c>
      <c r="AP2" s="9" t="s">
        <v>3</v>
      </c>
      <c r="AQ2" s="392" t="s">
        <v>4</v>
      </c>
      <c r="AR2" s="393">
        <v>596</v>
      </c>
      <c r="AT2" s="394">
        <v>0.33333333333333331</v>
      </c>
      <c r="AW2" s="395">
        <v>1.6666666666666667</v>
      </c>
    </row>
    <row r="3" spans="1:72" s="401" customFormat="1" ht="14.25" customHeight="1" thickBot="1" x14ac:dyDescent="0.3">
      <c r="A3" s="396"/>
      <c r="B3" s="14" t="s">
        <v>6</v>
      </c>
      <c r="C3" s="15" t="s">
        <v>7</v>
      </c>
      <c r="D3" s="16" t="s">
        <v>646</v>
      </c>
      <c r="E3" s="16" t="s">
        <v>645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  <c r="AP3" s="24" t="s">
        <v>3</v>
      </c>
      <c r="AQ3" s="397"/>
      <c r="AR3" s="398" t="s">
        <v>587</v>
      </c>
      <c r="AS3" s="399" t="s">
        <v>588</v>
      </c>
      <c r="AT3" s="400"/>
    </row>
    <row r="4" spans="1:72" s="1" customFormat="1" ht="16.149999999999999" customHeight="1" x14ac:dyDescent="0.25">
      <c r="A4" s="402"/>
      <c r="B4" s="442" t="s">
        <v>539</v>
      </c>
      <c r="C4" s="311"/>
      <c r="D4" s="451" t="s">
        <v>527</v>
      </c>
      <c r="E4" s="440" t="s">
        <v>79</v>
      </c>
      <c r="F4" s="431" t="s">
        <v>15</v>
      </c>
      <c r="G4" s="127" t="s">
        <v>15</v>
      </c>
      <c r="H4" s="127" t="s">
        <v>15</v>
      </c>
      <c r="I4" s="431" t="s">
        <v>15</v>
      </c>
      <c r="J4" s="84" t="str">
        <f t="shared" ref="J4:J35" si="2">IFERROR(MOD(I4-F4,1)-MOD(H4-G4,1),"")</f>
        <v/>
      </c>
      <c r="K4" s="431" t="s">
        <v>15</v>
      </c>
      <c r="L4" s="127" t="s">
        <v>15</v>
      </c>
      <c r="M4" s="127" t="s">
        <v>15</v>
      </c>
      <c r="N4" s="431" t="s">
        <v>15</v>
      </c>
      <c r="O4" s="84" t="str">
        <f t="shared" ref="O4:O16" si="3">IFERROR(MOD(N4-K4,1)-MOD(M4-L4,1),"")</f>
        <v/>
      </c>
      <c r="P4" s="176">
        <v>0.5</v>
      </c>
      <c r="Q4" s="127">
        <v>0.72916666666666663</v>
      </c>
      <c r="R4" s="127">
        <v>0.77083333333333337</v>
      </c>
      <c r="S4" s="176">
        <v>0.91666666666666663</v>
      </c>
      <c r="T4" s="84">
        <f t="shared" ref="T4:T19" si="4">IFERROR(MOD(S4-P4,1)-MOD(R4-Q4,1),"")</f>
        <v>0.37499999999999989</v>
      </c>
      <c r="U4" s="176">
        <v>0.45833333333333331</v>
      </c>
      <c r="V4" s="127">
        <v>0.625</v>
      </c>
      <c r="W4" s="127">
        <v>0.66666666666666663</v>
      </c>
      <c r="X4" s="176">
        <v>0.875</v>
      </c>
      <c r="Y4" s="84">
        <f t="shared" ref="Y4:Y35" si="5">IFERROR(MOD(X4-U4,1)-MOD(W4-V4,1),"")</f>
        <v>0.37500000000000006</v>
      </c>
      <c r="Z4" s="176">
        <v>0.5</v>
      </c>
      <c r="AA4" s="127">
        <v>0.72916666666666663</v>
      </c>
      <c r="AB4" s="127">
        <v>0.77083333333333337</v>
      </c>
      <c r="AC4" s="176">
        <v>0.875</v>
      </c>
      <c r="AD4" s="84">
        <f t="shared" ref="AD4:AD21" si="6">IFERROR(MOD(AC4-Z4,1)-MOD(AB4-AA4,1),"")</f>
        <v>0.33333333333333326</v>
      </c>
      <c r="AE4" s="176">
        <v>0.29166666666666669</v>
      </c>
      <c r="AF4" s="127">
        <v>0.54166666666666663</v>
      </c>
      <c r="AG4" s="127">
        <v>0.625</v>
      </c>
      <c r="AH4" s="176">
        <v>0.70833333333333337</v>
      </c>
      <c r="AI4" s="84">
        <f t="shared" ref="AI4:AI35" si="7">IFERROR(MOD(AH4-AE4,1)-MOD(AG4-AF4,1),"")</f>
        <v>0.33333333333333331</v>
      </c>
      <c r="AJ4" s="176">
        <v>0.29166666666666669</v>
      </c>
      <c r="AK4" s="127">
        <v>0.54166666666666663</v>
      </c>
      <c r="AL4" s="127">
        <v>0.625</v>
      </c>
      <c r="AM4" s="176">
        <v>0.70833333333333337</v>
      </c>
      <c r="AN4" s="84">
        <f>IFERROR(MOD(AM4-AJ4,1)-MOD(AL4-AK4,1),"")</f>
        <v>0.33333333333333331</v>
      </c>
      <c r="AO4" s="28">
        <f t="shared" ref="AO4:AO35" si="8">SUM(J4,O4,T4,Y4,AD4,AI4,AN4)</f>
        <v>1.7499999999999998</v>
      </c>
      <c r="AP4" s="385"/>
      <c r="AQ4" s="403"/>
      <c r="AR4" s="385"/>
      <c r="AS4" s="385"/>
      <c r="AT4" s="385"/>
      <c r="AU4" s="385"/>
      <c r="AV4" s="385"/>
      <c r="AW4" s="385"/>
      <c r="AX4" s="385"/>
      <c r="AY4" s="385"/>
      <c r="AZ4" s="385"/>
      <c r="BA4" s="385"/>
      <c r="BB4" s="385"/>
      <c r="BC4" s="385"/>
      <c r="BD4" s="385"/>
      <c r="BE4" s="385"/>
      <c r="BF4" s="385"/>
      <c r="BG4" s="385"/>
      <c r="BH4" s="385"/>
      <c r="BI4" s="385"/>
      <c r="BJ4" s="385"/>
      <c r="BK4" s="385"/>
      <c r="BL4" s="385"/>
      <c r="BM4" s="385"/>
      <c r="BN4" s="385"/>
      <c r="BO4" s="385"/>
      <c r="BP4" s="385"/>
      <c r="BQ4" s="385"/>
      <c r="BR4" s="385"/>
      <c r="BS4" s="385"/>
      <c r="BT4" s="385"/>
    </row>
    <row r="5" spans="1:72" s="1" customFormat="1" ht="14.45" customHeight="1" x14ac:dyDescent="0.25">
      <c r="A5" s="409"/>
      <c r="B5" s="442" t="s">
        <v>381</v>
      </c>
      <c r="C5" s="311"/>
      <c r="D5" s="451" t="s">
        <v>527</v>
      </c>
      <c r="E5" s="440" t="s">
        <v>79</v>
      </c>
      <c r="F5" s="431" t="s">
        <v>15</v>
      </c>
      <c r="G5" s="127" t="s">
        <v>15</v>
      </c>
      <c r="H5" s="127" t="s">
        <v>15</v>
      </c>
      <c r="I5" s="431" t="s">
        <v>15</v>
      </c>
      <c r="J5" s="84" t="str">
        <f t="shared" si="2"/>
        <v/>
      </c>
      <c r="K5" s="431" t="s">
        <v>15</v>
      </c>
      <c r="L5" s="127" t="s">
        <v>15</v>
      </c>
      <c r="M5" s="127" t="s">
        <v>15</v>
      </c>
      <c r="N5" s="431" t="s">
        <v>15</v>
      </c>
      <c r="O5" s="84" t="str">
        <f t="shared" si="3"/>
        <v/>
      </c>
      <c r="P5" s="176">
        <v>0.29166666666666669</v>
      </c>
      <c r="Q5" s="127">
        <v>0.54166666666666663</v>
      </c>
      <c r="R5" s="127">
        <v>0.625</v>
      </c>
      <c r="S5" s="176">
        <v>0.70833333333333337</v>
      </c>
      <c r="T5" s="84">
        <f t="shared" si="4"/>
        <v>0.33333333333333331</v>
      </c>
      <c r="U5" s="176">
        <v>0.52083333333333337</v>
      </c>
      <c r="V5" s="127">
        <v>0.75</v>
      </c>
      <c r="W5" s="127">
        <v>0.79166666666666663</v>
      </c>
      <c r="X5" s="176">
        <v>0.9375</v>
      </c>
      <c r="Y5" s="84">
        <f t="shared" si="5"/>
        <v>0.375</v>
      </c>
      <c r="Z5" s="176">
        <v>0.54166666666666663</v>
      </c>
      <c r="AA5" s="127">
        <v>0.75</v>
      </c>
      <c r="AB5" s="127">
        <v>0.79166666666666663</v>
      </c>
      <c r="AC5" s="176">
        <v>0.9375</v>
      </c>
      <c r="AD5" s="84">
        <f t="shared" si="6"/>
        <v>0.35416666666666674</v>
      </c>
      <c r="AE5" s="85">
        <v>0.83333333333333337</v>
      </c>
      <c r="AF5" s="127"/>
      <c r="AG5" s="127"/>
      <c r="AH5" s="85">
        <v>1</v>
      </c>
      <c r="AI5" s="84">
        <f t="shared" si="7"/>
        <v>0.16666666666666663</v>
      </c>
      <c r="AJ5" s="85">
        <v>0</v>
      </c>
      <c r="AK5" s="127">
        <v>0.29166666666666669</v>
      </c>
      <c r="AL5" s="127">
        <v>0.83333333333333337</v>
      </c>
      <c r="AM5" s="85">
        <v>1</v>
      </c>
      <c r="AN5" s="84">
        <v>0.375</v>
      </c>
      <c r="AO5" s="28">
        <f t="shared" si="8"/>
        <v>1.6041666666666665</v>
      </c>
      <c r="AP5" s="385"/>
      <c r="AQ5" s="405"/>
      <c r="AR5" s="385"/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5"/>
      <c r="BD5" s="385"/>
      <c r="BE5" s="385"/>
      <c r="BF5" s="385"/>
      <c r="BG5" s="385"/>
      <c r="BH5" s="385"/>
      <c r="BI5" s="385"/>
      <c r="BJ5" s="385"/>
      <c r="BK5" s="385"/>
      <c r="BL5" s="385"/>
      <c r="BM5" s="385"/>
      <c r="BN5" s="385"/>
      <c r="BO5" s="385"/>
      <c r="BP5" s="385"/>
      <c r="BQ5" s="385"/>
      <c r="BR5" s="385"/>
      <c r="BS5" s="385"/>
      <c r="BT5" s="385"/>
    </row>
    <row r="6" spans="1:72" s="31" customFormat="1" ht="14.45" customHeight="1" x14ac:dyDescent="0.25">
      <c r="A6" s="409" t="s">
        <v>609</v>
      </c>
      <c r="B6" s="442" t="s">
        <v>382</v>
      </c>
      <c r="C6" s="311"/>
      <c r="D6" s="451" t="s">
        <v>527</v>
      </c>
      <c r="E6" s="440" t="s">
        <v>79</v>
      </c>
      <c r="F6" s="176">
        <v>0.41666666666666669</v>
      </c>
      <c r="G6" s="127">
        <v>0.66666666666666663</v>
      </c>
      <c r="H6" s="127">
        <v>0.75</v>
      </c>
      <c r="I6" s="176">
        <v>0.83333333333333337</v>
      </c>
      <c r="J6" s="84">
        <f t="shared" si="2"/>
        <v>0.33333333333333331</v>
      </c>
      <c r="K6" s="176">
        <v>0.33333333333333331</v>
      </c>
      <c r="L6" s="127" t="s">
        <v>655</v>
      </c>
      <c r="M6" s="127" t="s">
        <v>656</v>
      </c>
      <c r="N6" s="176">
        <v>0.66666666666666663</v>
      </c>
      <c r="O6" s="84" t="str">
        <f t="shared" si="3"/>
        <v/>
      </c>
      <c r="P6" s="176">
        <v>0.5</v>
      </c>
      <c r="Q6" s="127">
        <v>0.625</v>
      </c>
      <c r="R6" s="127">
        <v>0.66666666666666663</v>
      </c>
      <c r="S6" s="176">
        <v>0.875</v>
      </c>
      <c r="T6" s="84">
        <f t="shared" si="4"/>
        <v>0.33333333333333337</v>
      </c>
      <c r="U6" s="431" t="s">
        <v>15</v>
      </c>
      <c r="V6" s="127" t="s">
        <v>15</v>
      </c>
      <c r="W6" s="127" t="s">
        <v>15</v>
      </c>
      <c r="X6" s="431" t="s">
        <v>15</v>
      </c>
      <c r="Y6" s="84" t="str">
        <f t="shared" si="5"/>
        <v/>
      </c>
      <c r="Z6" s="431" t="s">
        <v>15</v>
      </c>
      <c r="AA6" s="127" t="s">
        <v>15</v>
      </c>
      <c r="AB6" s="127" t="s">
        <v>15</v>
      </c>
      <c r="AC6" s="431" t="s">
        <v>15</v>
      </c>
      <c r="AD6" s="84" t="str">
        <f t="shared" si="6"/>
        <v/>
      </c>
      <c r="AE6" s="176">
        <v>0.29166666666666669</v>
      </c>
      <c r="AF6" s="127">
        <v>0.54166666666666663</v>
      </c>
      <c r="AG6" s="127">
        <v>0.625</v>
      </c>
      <c r="AH6" s="176">
        <v>0.70833333333333337</v>
      </c>
      <c r="AI6" s="84">
        <f t="shared" si="7"/>
        <v>0.33333333333333331</v>
      </c>
      <c r="AJ6" s="176">
        <v>0.29166666666666669</v>
      </c>
      <c r="AK6" s="127">
        <v>0.54166666666666663</v>
      </c>
      <c r="AL6" s="127">
        <v>0.625</v>
      </c>
      <c r="AM6" s="176">
        <v>0.70833333333333337</v>
      </c>
      <c r="AN6" s="84">
        <f t="shared" ref="AN6:AN37" si="9">IFERROR(MOD(AM6-AJ6,1)-MOD(AL6-AK6,1),"")</f>
        <v>0.33333333333333331</v>
      </c>
      <c r="AO6" s="28">
        <f t="shared" si="8"/>
        <v>1.3333333333333333</v>
      </c>
      <c r="AP6" s="385"/>
      <c r="AQ6" s="405"/>
      <c r="AR6" s="385"/>
      <c r="AS6" s="414"/>
      <c r="AT6" s="385"/>
      <c r="AU6" s="385"/>
      <c r="AV6" s="385"/>
      <c r="AW6" s="404"/>
      <c r="AX6" s="385"/>
      <c r="AY6" s="385"/>
      <c r="AZ6" s="385"/>
      <c r="BA6" s="385"/>
      <c r="BB6" s="385"/>
      <c r="BC6" s="385"/>
      <c r="BD6" s="385"/>
      <c r="BE6" s="385"/>
      <c r="BF6" s="385"/>
      <c r="BG6" s="385"/>
      <c r="BH6" s="385"/>
      <c r="BI6" s="385"/>
      <c r="BJ6" s="385"/>
      <c r="BK6" s="385"/>
      <c r="BL6" s="385"/>
      <c r="BM6" s="385"/>
      <c r="BN6" s="385"/>
      <c r="BO6" s="385"/>
      <c r="BP6" s="385"/>
      <c r="BQ6" s="385"/>
      <c r="BR6" s="385"/>
      <c r="BS6" s="385"/>
      <c r="BT6" s="385"/>
    </row>
    <row r="7" spans="1:72" s="1" customFormat="1" ht="14.45" customHeight="1" x14ac:dyDescent="0.25">
      <c r="A7" s="409"/>
      <c r="B7" s="442" t="s">
        <v>389</v>
      </c>
      <c r="C7" s="311"/>
      <c r="D7" s="451" t="s">
        <v>527</v>
      </c>
      <c r="E7" s="440" t="s">
        <v>79</v>
      </c>
      <c r="F7" s="176">
        <v>0.52083333333333337</v>
      </c>
      <c r="G7" s="127">
        <v>0.75</v>
      </c>
      <c r="H7" s="127">
        <v>0.79166666666666663</v>
      </c>
      <c r="I7" s="176">
        <v>0.9375</v>
      </c>
      <c r="J7" s="84">
        <f t="shared" si="2"/>
        <v>0.375</v>
      </c>
      <c r="K7" s="176">
        <v>0.52083333333333337</v>
      </c>
      <c r="L7" s="127">
        <v>0.75</v>
      </c>
      <c r="M7" s="127">
        <v>0.79166666666666663</v>
      </c>
      <c r="N7" s="176">
        <v>0.9375</v>
      </c>
      <c r="O7" s="84">
        <f t="shared" si="3"/>
        <v>0.375</v>
      </c>
      <c r="P7" s="176">
        <v>0.52083333333333337</v>
      </c>
      <c r="Q7" s="127">
        <v>0.75</v>
      </c>
      <c r="R7" s="127">
        <v>0.79166666666666663</v>
      </c>
      <c r="S7" s="176">
        <v>0.9375</v>
      </c>
      <c r="T7" s="84">
        <f t="shared" si="4"/>
        <v>0.375</v>
      </c>
      <c r="U7" s="431" t="s">
        <v>15</v>
      </c>
      <c r="V7" s="127" t="s">
        <v>15</v>
      </c>
      <c r="W7" s="127" t="s">
        <v>15</v>
      </c>
      <c r="X7" s="431" t="s">
        <v>15</v>
      </c>
      <c r="Y7" s="84" t="str">
        <f t="shared" si="5"/>
        <v/>
      </c>
      <c r="Z7" s="431" t="s">
        <v>15</v>
      </c>
      <c r="AA7" s="127" t="s">
        <v>15</v>
      </c>
      <c r="AB7" s="127" t="s">
        <v>15</v>
      </c>
      <c r="AC7" s="431" t="s">
        <v>15</v>
      </c>
      <c r="AD7" s="84" t="str">
        <f t="shared" si="6"/>
        <v/>
      </c>
      <c r="AE7" s="176">
        <v>0.33333333333333331</v>
      </c>
      <c r="AF7" s="127">
        <v>0.58333333333333337</v>
      </c>
      <c r="AG7" s="127">
        <v>0.66666666666666663</v>
      </c>
      <c r="AH7" s="176">
        <v>0.75</v>
      </c>
      <c r="AI7" s="84">
        <f t="shared" si="7"/>
        <v>0.33333333333333343</v>
      </c>
      <c r="AJ7" s="176">
        <v>0.45833333333333331</v>
      </c>
      <c r="AK7" s="127">
        <v>0.64583333333333337</v>
      </c>
      <c r="AL7" s="127">
        <v>0.72916666666666663</v>
      </c>
      <c r="AM7" s="176">
        <v>0.875</v>
      </c>
      <c r="AN7" s="84">
        <f t="shared" si="9"/>
        <v>0.33333333333333343</v>
      </c>
      <c r="AO7" s="28">
        <f t="shared" si="8"/>
        <v>1.791666666666667</v>
      </c>
      <c r="AP7" s="385"/>
      <c r="AQ7" s="403"/>
      <c r="AR7" s="385"/>
      <c r="AS7" s="414"/>
      <c r="AT7" s="385"/>
      <c r="AU7" s="385"/>
      <c r="AV7" s="385"/>
      <c r="AW7" s="404"/>
      <c r="AX7" s="385"/>
      <c r="AY7" s="385"/>
      <c r="AZ7" s="385"/>
      <c r="BA7" s="385"/>
      <c r="BB7" s="385"/>
      <c r="BC7" s="385"/>
      <c r="BD7" s="385"/>
      <c r="BE7" s="385"/>
      <c r="BF7" s="385"/>
      <c r="BG7" s="385"/>
      <c r="BH7" s="385"/>
      <c r="BI7" s="385"/>
      <c r="BJ7" s="385"/>
      <c r="BK7" s="385"/>
      <c r="BL7" s="385"/>
      <c r="BM7" s="385"/>
      <c r="BN7" s="385"/>
      <c r="BO7" s="385"/>
      <c r="BP7" s="385"/>
      <c r="BQ7" s="385"/>
      <c r="BR7" s="385"/>
      <c r="BS7" s="385"/>
      <c r="BT7" s="385"/>
    </row>
    <row r="8" spans="1:72" s="1" customFormat="1" ht="14.45" customHeight="1" x14ac:dyDescent="0.25">
      <c r="A8" s="409" t="s">
        <v>284</v>
      </c>
      <c r="B8" s="442" t="s">
        <v>386</v>
      </c>
      <c r="C8" s="311">
        <v>6</v>
      </c>
      <c r="D8" s="451" t="s">
        <v>527</v>
      </c>
      <c r="E8" s="440" t="s">
        <v>79</v>
      </c>
      <c r="F8" s="176">
        <v>0.66666666666666663</v>
      </c>
      <c r="G8" s="127"/>
      <c r="H8" s="127"/>
      <c r="I8" s="176">
        <v>0.9375</v>
      </c>
      <c r="J8" s="84">
        <f t="shared" si="2"/>
        <v>0.27083333333333337</v>
      </c>
      <c r="K8" s="176">
        <v>0.66666666666666663</v>
      </c>
      <c r="L8" s="127"/>
      <c r="M8" s="127"/>
      <c r="N8" s="176">
        <v>0.9375</v>
      </c>
      <c r="O8" s="84">
        <f t="shared" si="3"/>
        <v>0.27083333333333337</v>
      </c>
      <c r="P8" s="176">
        <v>0.66666666666666663</v>
      </c>
      <c r="Q8" s="127"/>
      <c r="R8" s="127"/>
      <c r="S8" s="176">
        <v>0.9375</v>
      </c>
      <c r="T8" s="84">
        <f t="shared" si="4"/>
        <v>0.27083333333333337</v>
      </c>
      <c r="U8" s="431" t="s">
        <v>15</v>
      </c>
      <c r="V8" s="127" t="s">
        <v>15</v>
      </c>
      <c r="W8" s="127" t="s">
        <v>15</v>
      </c>
      <c r="X8" s="431" t="s">
        <v>15</v>
      </c>
      <c r="Y8" s="84" t="str">
        <f t="shared" si="5"/>
        <v/>
      </c>
      <c r="Z8" s="431" t="s">
        <v>15</v>
      </c>
      <c r="AA8" s="127" t="s">
        <v>15</v>
      </c>
      <c r="AB8" s="127" t="s">
        <v>15</v>
      </c>
      <c r="AC8" s="431" t="s">
        <v>15</v>
      </c>
      <c r="AD8" s="84" t="str">
        <f t="shared" si="6"/>
        <v/>
      </c>
      <c r="AE8" s="176">
        <v>0.29166666666666669</v>
      </c>
      <c r="AF8" s="127"/>
      <c r="AG8" s="127"/>
      <c r="AH8" s="176">
        <v>0.5625</v>
      </c>
      <c r="AI8" s="84">
        <f t="shared" si="7"/>
        <v>0.27083333333333331</v>
      </c>
      <c r="AJ8" s="176">
        <v>0.29166666666666669</v>
      </c>
      <c r="AK8" s="127"/>
      <c r="AL8" s="127"/>
      <c r="AM8" s="176">
        <v>0.5625</v>
      </c>
      <c r="AN8" s="84">
        <f t="shared" si="9"/>
        <v>0.27083333333333331</v>
      </c>
      <c r="AO8" s="28">
        <f t="shared" si="8"/>
        <v>1.3541666666666667</v>
      </c>
      <c r="AP8" s="385"/>
      <c r="AQ8" s="405"/>
      <c r="AR8" s="385"/>
      <c r="AS8" s="414"/>
      <c r="AT8" s="385"/>
      <c r="AU8" s="385"/>
      <c r="AV8" s="385"/>
      <c r="AW8" s="404"/>
      <c r="AX8" s="385"/>
      <c r="AY8" s="385"/>
      <c r="AZ8" s="385"/>
      <c r="BA8" s="385"/>
      <c r="BB8" s="385"/>
      <c r="BC8" s="385"/>
      <c r="BD8" s="385"/>
      <c r="BE8" s="385"/>
      <c r="BF8" s="385"/>
      <c r="BG8" s="385"/>
      <c r="BH8" s="385"/>
      <c r="BI8" s="385"/>
      <c r="BJ8" s="385"/>
      <c r="BK8" s="385"/>
      <c r="BL8" s="385"/>
      <c r="BM8" s="385"/>
      <c r="BN8" s="385"/>
      <c r="BO8" s="385"/>
      <c r="BP8" s="385"/>
      <c r="BQ8" s="385"/>
      <c r="BR8" s="385"/>
      <c r="BS8" s="385"/>
      <c r="BT8" s="385"/>
    </row>
    <row r="9" spans="1:72" s="1" customFormat="1" ht="14.45" customHeight="1" x14ac:dyDescent="0.25">
      <c r="A9" s="409" t="s">
        <v>265</v>
      </c>
      <c r="B9" s="442" t="s">
        <v>388</v>
      </c>
      <c r="C9" s="311"/>
      <c r="D9" s="451" t="s">
        <v>527</v>
      </c>
      <c r="E9" s="440" t="s">
        <v>79</v>
      </c>
      <c r="F9" s="431" t="s">
        <v>15</v>
      </c>
      <c r="G9" s="127" t="s">
        <v>15</v>
      </c>
      <c r="H9" s="127" t="s">
        <v>15</v>
      </c>
      <c r="I9" s="431" t="s">
        <v>15</v>
      </c>
      <c r="J9" s="84" t="str">
        <f t="shared" si="2"/>
        <v/>
      </c>
      <c r="K9" s="176">
        <v>0.45833333333333331</v>
      </c>
      <c r="L9" s="127">
        <v>0.70833333333333337</v>
      </c>
      <c r="M9" s="127">
        <v>0.75</v>
      </c>
      <c r="N9" s="176">
        <v>0.875</v>
      </c>
      <c r="O9" s="84">
        <f t="shared" si="3"/>
        <v>0.37500000000000006</v>
      </c>
      <c r="P9" s="176">
        <v>0.35416666666666669</v>
      </c>
      <c r="Q9" s="127">
        <v>0.58333333333333337</v>
      </c>
      <c r="R9" s="127">
        <v>0.66666666666666663</v>
      </c>
      <c r="S9" s="176">
        <v>0.77083333333333337</v>
      </c>
      <c r="T9" s="84">
        <f t="shared" si="4"/>
        <v>0.33333333333333343</v>
      </c>
      <c r="U9" s="176">
        <v>0.52083333333333337</v>
      </c>
      <c r="V9" s="127">
        <v>0.70833333333333337</v>
      </c>
      <c r="W9" s="127">
        <v>0.75</v>
      </c>
      <c r="X9" s="176">
        <v>0.9375</v>
      </c>
      <c r="Y9" s="84">
        <f t="shared" si="5"/>
        <v>0.375</v>
      </c>
      <c r="Z9" s="176">
        <v>0.52083333333333337</v>
      </c>
      <c r="AA9" s="127">
        <v>0.72916666666666663</v>
      </c>
      <c r="AB9" s="127">
        <v>0.77083333333333337</v>
      </c>
      <c r="AC9" s="176">
        <v>0.9375</v>
      </c>
      <c r="AD9" s="84">
        <f t="shared" si="6"/>
        <v>0.37499999999999989</v>
      </c>
      <c r="AE9" s="431" t="s">
        <v>15</v>
      </c>
      <c r="AF9" s="127" t="s">
        <v>15</v>
      </c>
      <c r="AG9" s="127" t="s">
        <v>15</v>
      </c>
      <c r="AH9" s="431" t="s">
        <v>15</v>
      </c>
      <c r="AI9" s="84" t="str">
        <f t="shared" si="7"/>
        <v/>
      </c>
      <c r="AJ9" s="176">
        <v>0.33333333333333331</v>
      </c>
      <c r="AK9" s="127">
        <v>0.58333333333333337</v>
      </c>
      <c r="AL9" s="127">
        <v>0.66666666666666663</v>
      </c>
      <c r="AM9" s="176">
        <v>0.75</v>
      </c>
      <c r="AN9" s="84">
        <f t="shared" si="9"/>
        <v>0.33333333333333343</v>
      </c>
      <c r="AO9" s="28">
        <f t="shared" si="8"/>
        <v>1.791666666666667</v>
      </c>
      <c r="AP9" s="385"/>
      <c r="AQ9" s="403"/>
      <c r="AR9" s="385"/>
      <c r="AS9" s="414"/>
      <c r="AT9" s="385"/>
      <c r="AU9" s="385"/>
      <c r="AV9" s="385"/>
      <c r="AW9" s="404"/>
      <c r="AX9" s="385"/>
      <c r="AY9" s="385"/>
      <c r="AZ9" s="385"/>
      <c r="BA9" s="385"/>
      <c r="BB9" s="385"/>
      <c r="BC9" s="385"/>
      <c r="BD9" s="385"/>
      <c r="BE9" s="385"/>
      <c r="BF9" s="385"/>
      <c r="BG9" s="385"/>
      <c r="BH9" s="385"/>
      <c r="BI9" s="385"/>
      <c r="BJ9" s="385"/>
      <c r="BK9" s="385"/>
      <c r="BL9" s="385"/>
      <c r="BM9" s="385"/>
      <c r="BN9" s="385"/>
      <c r="BO9" s="385"/>
      <c r="BP9" s="385"/>
      <c r="BQ9" s="385"/>
      <c r="BR9" s="385"/>
      <c r="BS9" s="385"/>
      <c r="BT9" s="385"/>
    </row>
    <row r="10" spans="1:72" s="1" customFormat="1" ht="14.45" customHeight="1" x14ac:dyDescent="0.25">
      <c r="A10" s="402" t="s">
        <v>597</v>
      </c>
      <c r="B10" s="442" t="s">
        <v>530</v>
      </c>
      <c r="C10" s="311"/>
      <c r="D10" s="451" t="s">
        <v>527</v>
      </c>
      <c r="E10" s="440" t="s">
        <v>79</v>
      </c>
      <c r="F10" s="176">
        <v>0.45833333333333331</v>
      </c>
      <c r="G10" s="127">
        <v>0.6875</v>
      </c>
      <c r="H10" s="127">
        <v>0.77083333333333337</v>
      </c>
      <c r="I10" s="176">
        <v>0.875</v>
      </c>
      <c r="J10" s="84">
        <f t="shared" si="2"/>
        <v>0.33333333333333331</v>
      </c>
      <c r="K10" s="176">
        <v>0.5</v>
      </c>
      <c r="L10" s="127">
        <v>0.75</v>
      </c>
      <c r="M10" s="127">
        <v>0.79166666666666663</v>
      </c>
      <c r="N10" s="176">
        <v>0.91666666666666663</v>
      </c>
      <c r="O10" s="84">
        <f t="shared" si="3"/>
        <v>0.375</v>
      </c>
      <c r="P10" s="176">
        <v>0.54166666666666663</v>
      </c>
      <c r="Q10" s="127">
        <v>0.75</v>
      </c>
      <c r="R10" s="127">
        <v>0.79166666666666663</v>
      </c>
      <c r="S10" s="176">
        <v>0.9375</v>
      </c>
      <c r="T10" s="84">
        <f t="shared" si="4"/>
        <v>0.35416666666666674</v>
      </c>
      <c r="U10" s="431" t="s">
        <v>15</v>
      </c>
      <c r="V10" s="127" t="s">
        <v>15</v>
      </c>
      <c r="W10" s="127" t="s">
        <v>15</v>
      </c>
      <c r="X10" s="431" t="s">
        <v>15</v>
      </c>
      <c r="Y10" s="84" t="str">
        <f t="shared" si="5"/>
        <v/>
      </c>
      <c r="Z10" s="431" t="s">
        <v>15</v>
      </c>
      <c r="AA10" s="127" t="s">
        <v>15</v>
      </c>
      <c r="AB10" s="127" t="s">
        <v>15</v>
      </c>
      <c r="AC10" s="431" t="s">
        <v>15</v>
      </c>
      <c r="AD10" s="84" t="str">
        <f t="shared" si="6"/>
        <v/>
      </c>
      <c r="AE10" s="176">
        <v>0.29166666666666669</v>
      </c>
      <c r="AF10" s="127">
        <v>0.5</v>
      </c>
      <c r="AG10" s="127">
        <v>0.54166666666666663</v>
      </c>
      <c r="AH10" s="176">
        <v>0.66666666666666663</v>
      </c>
      <c r="AI10" s="84">
        <f t="shared" si="7"/>
        <v>0.33333333333333331</v>
      </c>
      <c r="AJ10" s="176">
        <v>0.29166666666666669</v>
      </c>
      <c r="AK10" s="127">
        <v>0.5</v>
      </c>
      <c r="AL10" s="127">
        <v>0.54166666666666663</v>
      </c>
      <c r="AM10" s="176">
        <v>0.66666666666666663</v>
      </c>
      <c r="AN10" s="84">
        <f t="shared" si="9"/>
        <v>0.33333333333333331</v>
      </c>
      <c r="AO10" s="28">
        <f t="shared" si="8"/>
        <v>1.7291666666666665</v>
      </c>
      <c r="AP10" s="385"/>
      <c r="AQ10" s="405"/>
      <c r="AR10" s="385"/>
      <c r="AS10" s="414"/>
      <c r="AT10" s="385"/>
      <c r="AU10" s="385"/>
      <c r="AV10" s="385"/>
      <c r="AW10" s="404"/>
      <c r="AX10" s="385"/>
      <c r="AY10" s="385"/>
      <c r="AZ10" s="385"/>
      <c r="BA10" s="385"/>
      <c r="BB10" s="385"/>
      <c r="BC10" s="385"/>
      <c r="BD10" s="385"/>
      <c r="BE10" s="385"/>
      <c r="BF10" s="385"/>
      <c r="BG10" s="385"/>
      <c r="BH10" s="385"/>
      <c r="BI10" s="385"/>
      <c r="BJ10" s="385"/>
      <c r="BK10" s="385"/>
      <c r="BL10" s="385"/>
      <c r="BM10" s="385"/>
      <c r="BN10" s="385"/>
      <c r="BO10" s="385"/>
      <c r="BP10" s="385"/>
      <c r="BQ10" s="385"/>
      <c r="BR10" s="385"/>
      <c r="BS10" s="385"/>
      <c r="BT10" s="385"/>
    </row>
    <row r="11" spans="1:72" s="1" customFormat="1" ht="14.45" customHeight="1" x14ac:dyDescent="0.25">
      <c r="A11" s="402" t="s">
        <v>266</v>
      </c>
      <c r="B11" s="442" t="s">
        <v>390</v>
      </c>
      <c r="C11" s="311"/>
      <c r="D11" s="451" t="s">
        <v>527</v>
      </c>
      <c r="E11" s="440" t="s">
        <v>79</v>
      </c>
      <c r="F11" s="431" t="s">
        <v>15</v>
      </c>
      <c r="G11" s="127" t="s">
        <v>15</v>
      </c>
      <c r="H11" s="127" t="s">
        <v>15</v>
      </c>
      <c r="I11" s="431" t="s">
        <v>15</v>
      </c>
      <c r="J11" s="84" t="str">
        <f t="shared" si="2"/>
        <v/>
      </c>
      <c r="K11" s="176">
        <v>0.6875</v>
      </c>
      <c r="L11" s="127"/>
      <c r="M11" s="127"/>
      <c r="N11" s="176">
        <v>0.9375</v>
      </c>
      <c r="O11" s="84">
        <f t="shared" si="3"/>
        <v>0.25</v>
      </c>
      <c r="P11" s="176">
        <v>0.52083333333333337</v>
      </c>
      <c r="Q11" s="127">
        <v>0.6875</v>
      </c>
      <c r="R11" s="127">
        <v>0.75</v>
      </c>
      <c r="S11" s="176">
        <v>0.9375</v>
      </c>
      <c r="T11" s="84">
        <f t="shared" si="4"/>
        <v>0.35416666666666663</v>
      </c>
      <c r="U11" s="176">
        <v>0.66666666666666663</v>
      </c>
      <c r="V11" s="127"/>
      <c r="W11" s="127"/>
      <c r="X11" s="176">
        <v>0.9375</v>
      </c>
      <c r="Y11" s="84">
        <f t="shared" si="5"/>
        <v>0.27083333333333337</v>
      </c>
      <c r="Z11" s="176">
        <v>0.66666666666666663</v>
      </c>
      <c r="AA11" s="127"/>
      <c r="AB11" s="127"/>
      <c r="AC11" s="176">
        <v>0.9375</v>
      </c>
      <c r="AD11" s="84">
        <f t="shared" si="6"/>
        <v>0.27083333333333337</v>
      </c>
      <c r="AE11" s="176">
        <v>0.54166666666666663</v>
      </c>
      <c r="AF11" s="127">
        <v>0.70833333333333337</v>
      </c>
      <c r="AG11" s="127">
        <v>0.75</v>
      </c>
      <c r="AH11" s="176">
        <v>0.9375</v>
      </c>
      <c r="AI11" s="84">
        <f t="shared" si="7"/>
        <v>0.35416666666666674</v>
      </c>
      <c r="AJ11" s="431" t="s">
        <v>15</v>
      </c>
      <c r="AK11" s="127" t="s">
        <v>15</v>
      </c>
      <c r="AL11" s="127" t="s">
        <v>15</v>
      </c>
      <c r="AM11" s="431" t="s">
        <v>15</v>
      </c>
      <c r="AN11" s="84" t="str">
        <f t="shared" si="9"/>
        <v/>
      </c>
      <c r="AO11" s="28">
        <f t="shared" si="8"/>
        <v>1.5000000000000002</v>
      </c>
      <c r="AP11" s="385"/>
      <c r="AQ11" s="403"/>
      <c r="AR11" s="385"/>
      <c r="AS11" s="385"/>
      <c r="AT11" s="385"/>
      <c r="AU11" s="385"/>
      <c r="AV11" s="385"/>
      <c r="AW11" s="385"/>
      <c r="AX11" s="385"/>
      <c r="AY11" s="385"/>
      <c r="AZ11" s="385"/>
      <c r="BA11" s="385"/>
      <c r="BB11" s="385"/>
      <c r="BC11" s="385"/>
      <c r="BD11" s="385"/>
      <c r="BE11" s="385"/>
      <c r="BF11" s="385"/>
      <c r="BG11" s="385"/>
      <c r="BH11" s="385"/>
      <c r="BI11" s="385"/>
      <c r="BJ11" s="385"/>
      <c r="BK11" s="385"/>
      <c r="BL11" s="385"/>
      <c r="BM11" s="385"/>
      <c r="BN11" s="385"/>
      <c r="BO11" s="385"/>
      <c r="BP11" s="385"/>
      <c r="BQ11" s="385"/>
      <c r="BR11" s="385"/>
      <c r="BS11" s="385"/>
      <c r="BT11" s="385"/>
    </row>
    <row r="12" spans="1:72" s="1" customFormat="1" ht="14.45" customHeight="1" x14ac:dyDescent="0.25">
      <c r="A12" s="402" t="s">
        <v>604</v>
      </c>
      <c r="B12" s="442" t="s">
        <v>383</v>
      </c>
      <c r="C12" s="311">
        <v>6</v>
      </c>
      <c r="D12" s="451" t="s">
        <v>527</v>
      </c>
      <c r="E12" s="440" t="s">
        <v>79</v>
      </c>
      <c r="F12" s="176">
        <v>0.6875</v>
      </c>
      <c r="G12" s="127"/>
      <c r="H12" s="127"/>
      <c r="I12" s="176">
        <v>0.9375</v>
      </c>
      <c r="J12" s="84">
        <f t="shared" si="2"/>
        <v>0.25</v>
      </c>
      <c r="K12" s="176">
        <v>0.6875</v>
      </c>
      <c r="L12" s="127"/>
      <c r="M12" s="127"/>
      <c r="N12" s="176">
        <v>0.9375</v>
      </c>
      <c r="O12" s="84">
        <f t="shared" si="3"/>
        <v>0.25</v>
      </c>
      <c r="P12" s="431" t="s">
        <v>15</v>
      </c>
      <c r="Q12" s="127" t="s">
        <v>15</v>
      </c>
      <c r="R12" s="127" t="s">
        <v>15</v>
      </c>
      <c r="S12" s="431" t="s">
        <v>15</v>
      </c>
      <c r="T12" s="84" t="str">
        <f t="shared" si="4"/>
        <v/>
      </c>
      <c r="U12" s="176">
        <v>0.6875</v>
      </c>
      <c r="V12" s="127"/>
      <c r="W12" s="127"/>
      <c r="X12" s="176">
        <v>0.9375</v>
      </c>
      <c r="Y12" s="84">
        <f t="shared" si="5"/>
        <v>0.25</v>
      </c>
      <c r="Z12" s="176">
        <v>0.6875</v>
      </c>
      <c r="AA12" s="127"/>
      <c r="AB12" s="127"/>
      <c r="AC12" s="176">
        <v>0.9375</v>
      </c>
      <c r="AD12" s="84">
        <f t="shared" si="6"/>
        <v>0.25</v>
      </c>
      <c r="AE12" s="176">
        <v>0.6875</v>
      </c>
      <c r="AF12" s="127"/>
      <c r="AG12" s="127"/>
      <c r="AH12" s="176">
        <v>0.9375</v>
      </c>
      <c r="AI12" s="84">
        <f t="shared" si="7"/>
        <v>0.25</v>
      </c>
      <c r="AJ12" s="431" t="s">
        <v>15</v>
      </c>
      <c r="AK12" s="127" t="s">
        <v>15</v>
      </c>
      <c r="AL12" s="127" t="s">
        <v>15</v>
      </c>
      <c r="AM12" s="431" t="s">
        <v>15</v>
      </c>
      <c r="AN12" s="84" t="str">
        <f t="shared" si="9"/>
        <v/>
      </c>
      <c r="AO12" s="28">
        <f t="shared" si="8"/>
        <v>1.25</v>
      </c>
      <c r="AP12" s="385"/>
      <c r="AQ12" s="405"/>
      <c r="AR12" s="385"/>
      <c r="AS12" s="414"/>
      <c r="AT12" s="385"/>
      <c r="AU12" s="385"/>
      <c r="AV12" s="385"/>
      <c r="AW12" s="404"/>
      <c r="AX12" s="385"/>
      <c r="AY12" s="385"/>
      <c r="AZ12" s="385"/>
      <c r="BA12" s="385"/>
      <c r="BB12" s="385"/>
      <c r="BC12" s="385"/>
      <c r="BD12" s="385"/>
      <c r="BE12" s="385"/>
      <c r="BF12" s="385"/>
      <c r="BG12" s="385"/>
      <c r="BH12" s="385"/>
      <c r="BI12" s="385"/>
      <c r="BJ12" s="385"/>
      <c r="BK12" s="385"/>
      <c r="BL12" s="385"/>
      <c r="BM12" s="385"/>
      <c r="BN12" s="385"/>
      <c r="BO12" s="385"/>
      <c r="BP12" s="385"/>
      <c r="BQ12" s="385"/>
      <c r="BR12" s="385"/>
      <c r="BS12" s="385"/>
      <c r="BT12" s="385"/>
    </row>
    <row r="13" spans="1:72" s="1" customFormat="1" ht="14.45" customHeight="1" x14ac:dyDescent="0.25">
      <c r="A13" s="409" t="s">
        <v>284</v>
      </c>
      <c r="B13" s="442" t="s">
        <v>384</v>
      </c>
      <c r="C13" s="311">
        <v>6</v>
      </c>
      <c r="D13" s="451" t="s">
        <v>527</v>
      </c>
      <c r="E13" s="440" t="s">
        <v>79</v>
      </c>
      <c r="F13" s="176">
        <v>0.6875</v>
      </c>
      <c r="G13" s="127"/>
      <c r="H13" s="127"/>
      <c r="I13" s="176">
        <v>0.9375</v>
      </c>
      <c r="J13" s="84">
        <f t="shared" si="2"/>
        <v>0.25</v>
      </c>
      <c r="K13" s="176">
        <v>0.6875</v>
      </c>
      <c r="L13" s="127"/>
      <c r="M13" s="127"/>
      <c r="N13" s="176">
        <v>0.9375</v>
      </c>
      <c r="O13" s="84">
        <f t="shared" si="3"/>
        <v>0.25</v>
      </c>
      <c r="P13" s="176">
        <v>0.6875</v>
      </c>
      <c r="Q13" s="127"/>
      <c r="R13" s="127"/>
      <c r="S13" s="176">
        <v>0.9375</v>
      </c>
      <c r="T13" s="84">
        <f t="shared" si="4"/>
        <v>0.25</v>
      </c>
      <c r="U13" s="176">
        <v>0.6875</v>
      </c>
      <c r="V13" s="127"/>
      <c r="W13" s="127"/>
      <c r="X13" s="176">
        <v>0.9375</v>
      </c>
      <c r="Y13" s="84">
        <f t="shared" si="5"/>
        <v>0.25</v>
      </c>
      <c r="Z13" s="85">
        <v>0.83333333333333337</v>
      </c>
      <c r="AA13" s="127"/>
      <c r="AB13" s="127"/>
      <c r="AC13" s="85">
        <v>1</v>
      </c>
      <c r="AD13" s="84">
        <f t="shared" si="6"/>
        <v>0.16666666666666663</v>
      </c>
      <c r="AE13" s="85">
        <v>0</v>
      </c>
      <c r="AF13" s="127">
        <v>0.125</v>
      </c>
      <c r="AG13" s="127">
        <v>0.20833333333333334</v>
      </c>
      <c r="AH13" s="85">
        <v>0.29166666666666669</v>
      </c>
      <c r="AI13" s="84">
        <f t="shared" si="7"/>
        <v>0.20833333333333334</v>
      </c>
      <c r="AJ13" s="431" t="s">
        <v>15</v>
      </c>
      <c r="AK13" s="127" t="s">
        <v>15</v>
      </c>
      <c r="AL13" s="127" t="s">
        <v>15</v>
      </c>
      <c r="AM13" s="431" t="s">
        <v>15</v>
      </c>
      <c r="AN13" s="84" t="str">
        <f t="shared" si="9"/>
        <v/>
      </c>
      <c r="AO13" s="28">
        <f t="shared" si="8"/>
        <v>1.3749999999999998</v>
      </c>
      <c r="AP13" s="385"/>
      <c r="AQ13" s="405"/>
      <c r="AR13" s="385"/>
      <c r="AS13" s="414"/>
      <c r="AT13" s="385"/>
      <c r="AU13" s="385"/>
      <c r="AV13" s="385"/>
      <c r="AW13" s="404"/>
      <c r="AX13" s="385"/>
      <c r="AY13" s="385"/>
      <c r="AZ13" s="385"/>
      <c r="BA13" s="385"/>
      <c r="BB13" s="385"/>
      <c r="BC13" s="385"/>
      <c r="BD13" s="385"/>
      <c r="BE13" s="385"/>
      <c r="BF13" s="385"/>
      <c r="BG13" s="385"/>
      <c r="BH13" s="385"/>
      <c r="BI13" s="385"/>
      <c r="BJ13" s="385"/>
      <c r="BK13" s="385"/>
      <c r="BL13" s="385"/>
      <c r="BM13" s="385"/>
      <c r="BN13" s="385"/>
      <c r="BO13" s="385"/>
      <c r="BP13" s="385"/>
      <c r="BQ13" s="385"/>
      <c r="BR13" s="385"/>
      <c r="BS13" s="385"/>
      <c r="BT13" s="385"/>
    </row>
    <row r="14" spans="1:72" s="404" customFormat="1" ht="14.45" customHeight="1" x14ac:dyDescent="0.25">
      <c r="A14" s="402" t="s">
        <v>592</v>
      </c>
      <c r="B14" s="442" t="s">
        <v>306</v>
      </c>
      <c r="C14" s="311">
        <v>6</v>
      </c>
      <c r="D14" s="451" t="s">
        <v>527</v>
      </c>
      <c r="E14" s="440" t="s">
        <v>79</v>
      </c>
      <c r="F14" s="85">
        <v>0.83333333333333337</v>
      </c>
      <c r="G14" s="127"/>
      <c r="H14" s="127"/>
      <c r="I14" s="85">
        <v>1</v>
      </c>
      <c r="J14" s="84">
        <f t="shared" si="2"/>
        <v>0.16666666666666663</v>
      </c>
      <c r="K14" s="85">
        <v>0</v>
      </c>
      <c r="L14" s="127">
        <v>0.125</v>
      </c>
      <c r="M14" s="127">
        <v>0.20833333333333334</v>
      </c>
      <c r="N14" s="85">
        <v>0.29166666666666669</v>
      </c>
      <c r="O14" s="84">
        <f t="shared" si="3"/>
        <v>0.20833333333333334</v>
      </c>
      <c r="P14" s="431" t="s">
        <v>15</v>
      </c>
      <c r="Q14" s="127" t="s">
        <v>15</v>
      </c>
      <c r="R14" s="127" t="s">
        <v>15</v>
      </c>
      <c r="S14" s="431" t="s">
        <v>15</v>
      </c>
      <c r="T14" s="84" t="str">
        <f t="shared" si="4"/>
        <v/>
      </c>
      <c r="U14" s="176">
        <v>0.6875</v>
      </c>
      <c r="V14" s="127"/>
      <c r="W14" s="127"/>
      <c r="X14" s="176">
        <v>0.9375</v>
      </c>
      <c r="Y14" s="84">
        <f t="shared" si="5"/>
        <v>0.25</v>
      </c>
      <c r="Z14" s="176">
        <v>0.6875</v>
      </c>
      <c r="AA14" s="127"/>
      <c r="AB14" s="127"/>
      <c r="AC14" s="176">
        <v>0.9375</v>
      </c>
      <c r="AD14" s="84">
        <f t="shared" si="6"/>
        <v>0.25</v>
      </c>
      <c r="AE14" s="176">
        <v>0.6875</v>
      </c>
      <c r="AF14" s="127"/>
      <c r="AG14" s="127"/>
      <c r="AH14" s="176">
        <v>0.9375</v>
      </c>
      <c r="AI14" s="84">
        <f t="shared" si="7"/>
        <v>0.25</v>
      </c>
      <c r="AJ14" s="176">
        <v>0.6875</v>
      </c>
      <c r="AK14" s="127"/>
      <c r="AL14" s="127"/>
      <c r="AM14" s="176">
        <v>0.9375</v>
      </c>
      <c r="AN14" s="84">
        <f t="shared" si="9"/>
        <v>0.25</v>
      </c>
      <c r="AO14" s="28">
        <f t="shared" si="8"/>
        <v>1.375</v>
      </c>
      <c r="AP14" s="410"/>
      <c r="AQ14" s="403"/>
      <c r="AR14" s="385"/>
      <c r="AS14" s="414"/>
      <c r="AT14" s="385"/>
      <c r="AU14" s="385"/>
      <c r="AV14" s="385"/>
      <c r="AX14" s="385"/>
      <c r="AY14" s="385"/>
      <c r="AZ14" s="385"/>
      <c r="BA14" s="385"/>
      <c r="BB14" s="385"/>
      <c r="BC14" s="385"/>
      <c r="BD14" s="385"/>
      <c r="BE14" s="385"/>
      <c r="BF14" s="385"/>
      <c r="BG14" s="385"/>
      <c r="BH14" s="385"/>
      <c r="BI14" s="385"/>
      <c r="BJ14" s="385"/>
      <c r="BK14" s="385"/>
      <c r="BL14" s="385"/>
      <c r="BM14" s="385"/>
      <c r="BN14" s="385"/>
      <c r="BO14" s="385"/>
      <c r="BP14" s="385"/>
      <c r="BQ14" s="385"/>
      <c r="BR14" s="385"/>
      <c r="BS14" s="385"/>
      <c r="BT14" s="385"/>
    </row>
    <row r="15" spans="1:72" s="404" customFormat="1" ht="14.45" customHeight="1" x14ac:dyDescent="0.25">
      <c r="A15" s="402" t="s">
        <v>262</v>
      </c>
      <c r="B15" s="442" t="s">
        <v>385</v>
      </c>
      <c r="C15" s="311">
        <v>6</v>
      </c>
      <c r="D15" s="451" t="s">
        <v>527</v>
      </c>
      <c r="E15" s="440" t="s">
        <v>79</v>
      </c>
      <c r="F15" s="176">
        <v>0.6875</v>
      </c>
      <c r="G15" s="127"/>
      <c r="H15" s="127"/>
      <c r="I15" s="176">
        <v>0.9375</v>
      </c>
      <c r="J15" s="84">
        <f t="shared" si="2"/>
        <v>0.25</v>
      </c>
      <c r="K15" s="85">
        <v>0.91666666666666663</v>
      </c>
      <c r="L15" s="127"/>
      <c r="M15" s="127"/>
      <c r="N15" s="85">
        <v>1</v>
      </c>
      <c r="O15" s="84">
        <f t="shared" si="3"/>
        <v>8.333333333333337E-2</v>
      </c>
      <c r="P15" s="85">
        <v>0</v>
      </c>
      <c r="Q15" s="127">
        <v>4.1666666666666664E-2</v>
      </c>
      <c r="R15" s="127">
        <v>0.125</v>
      </c>
      <c r="S15" s="85">
        <v>0.29166666666666669</v>
      </c>
      <c r="T15" s="84">
        <f t="shared" si="4"/>
        <v>0.20833333333333334</v>
      </c>
      <c r="U15" s="431" t="s">
        <v>15</v>
      </c>
      <c r="V15" s="127" t="s">
        <v>15</v>
      </c>
      <c r="W15" s="127" t="s">
        <v>15</v>
      </c>
      <c r="X15" s="431" t="s">
        <v>15</v>
      </c>
      <c r="Y15" s="84" t="str">
        <f t="shared" si="5"/>
        <v/>
      </c>
      <c r="Z15" s="176">
        <v>0.6875</v>
      </c>
      <c r="AA15" s="127"/>
      <c r="AB15" s="127"/>
      <c r="AC15" s="176">
        <v>0.9375</v>
      </c>
      <c r="AD15" s="84">
        <f t="shared" si="6"/>
        <v>0.25</v>
      </c>
      <c r="AE15" s="176">
        <v>0.6875</v>
      </c>
      <c r="AF15" s="127"/>
      <c r="AG15" s="127"/>
      <c r="AH15" s="176">
        <v>0.9375</v>
      </c>
      <c r="AI15" s="84">
        <f t="shared" si="7"/>
        <v>0.25</v>
      </c>
      <c r="AJ15" s="176">
        <v>0.6875</v>
      </c>
      <c r="AK15" s="127"/>
      <c r="AL15" s="127"/>
      <c r="AM15" s="176">
        <v>0.9375</v>
      </c>
      <c r="AN15" s="84">
        <f t="shared" si="9"/>
        <v>0.25</v>
      </c>
      <c r="AO15" s="28">
        <f t="shared" si="8"/>
        <v>1.2916666666666667</v>
      </c>
      <c r="AP15" s="385"/>
      <c r="AQ15" s="405"/>
      <c r="AR15" s="385"/>
      <c r="AS15" s="414"/>
      <c r="AT15" s="385"/>
      <c r="AU15" s="385"/>
      <c r="AV15" s="385"/>
      <c r="AX15" s="385"/>
      <c r="AY15" s="385"/>
      <c r="AZ15" s="385"/>
      <c r="BA15" s="385"/>
      <c r="BB15" s="385"/>
      <c r="BC15" s="385"/>
      <c r="BD15" s="385"/>
      <c r="BE15" s="385"/>
      <c r="BF15" s="385"/>
      <c r="BG15" s="385"/>
      <c r="BH15" s="385"/>
      <c r="BI15" s="385"/>
      <c r="BJ15" s="385"/>
      <c r="BK15" s="385"/>
      <c r="BL15" s="385"/>
      <c r="BM15" s="385"/>
      <c r="BN15" s="385"/>
      <c r="BO15" s="385"/>
      <c r="BP15" s="385"/>
      <c r="BQ15" s="385"/>
      <c r="BR15" s="385"/>
      <c r="BS15" s="385"/>
      <c r="BT15" s="385"/>
    </row>
    <row r="16" spans="1:72" ht="14.45" customHeight="1" x14ac:dyDescent="0.25">
      <c r="A16" s="402" t="s">
        <v>610</v>
      </c>
      <c r="B16" s="442" t="s">
        <v>387</v>
      </c>
      <c r="C16" s="311"/>
      <c r="D16" s="451" t="s">
        <v>527</v>
      </c>
      <c r="E16" s="440" t="s">
        <v>79</v>
      </c>
      <c r="F16" s="431" t="s">
        <v>15</v>
      </c>
      <c r="G16" s="127" t="s">
        <v>15</v>
      </c>
      <c r="H16" s="127" t="s">
        <v>15</v>
      </c>
      <c r="I16" s="431" t="s">
        <v>15</v>
      </c>
      <c r="J16" s="84" t="str">
        <f t="shared" si="2"/>
        <v/>
      </c>
      <c r="K16" s="176">
        <v>0.29166666666666669</v>
      </c>
      <c r="L16" s="127">
        <v>0.54166666666666663</v>
      </c>
      <c r="M16" s="127">
        <v>0.58333333333333337</v>
      </c>
      <c r="N16" s="176">
        <v>0.70833333333333337</v>
      </c>
      <c r="O16" s="84">
        <f t="shared" si="3"/>
        <v>0.37499999999999994</v>
      </c>
      <c r="P16" s="176">
        <v>0.3125</v>
      </c>
      <c r="Q16" s="127">
        <v>0.54166666666666663</v>
      </c>
      <c r="R16" s="127">
        <v>0.625</v>
      </c>
      <c r="S16" s="176">
        <v>0.72916666666666663</v>
      </c>
      <c r="T16" s="84">
        <f t="shared" si="4"/>
        <v>0.33333333333333326</v>
      </c>
      <c r="U16" s="431" t="s">
        <v>15</v>
      </c>
      <c r="V16" s="127" t="s">
        <v>15</v>
      </c>
      <c r="W16" s="127" t="s">
        <v>15</v>
      </c>
      <c r="X16" s="431" t="s">
        <v>15</v>
      </c>
      <c r="Y16" s="84" t="str">
        <f t="shared" si="5"/>
        <v/>
      </c>
      <c r="Z16" s="176">
        <v>0.29166666666666669</v>
      </c>
      <c r="AA16" s="127">
        <v>0.54166666666666663</v>
      </c>
      <c r="AB16" s="127">
        <v>0.625</v>
      </c>
      <c r="AC16" s="176">
        <v>0.70833333333333337</v>
      </c>
      <c r="AD16" s="84">
        <f t="shared" si="6"/>
        <v>0.33333333333333331</v>
      </c>
      <c r="AE16" s="176">
        <v>0.54166666666666663</v>
      </c>
      <c r="AF16" s="127">
        <v>0.70833333333333337</v>
      </c>
      <c r="AG16" s="127">
        <v>0.75</v>
      </c>
      <c r="AH16" s="176">
        <v>0.9375</v>
      </c>
      <c r="AI16" s="84">
        <f t="shared" si="7"/>
        <v>0.35416666666666674</v>
      </c>
      <c r="AJ16" s="176">
        <v>0.54166666666666663</v>
      </c>
      <c r="AK16" s="127">
        <v>0.70833333333333337</v>
      </c>
      <c r="AL16" s="127">
        <v>0.75</v>
      </c>
      <c r="AM16" s="176">
        <v>0.9375</v>
      </c>
      <c r="AN16" s="84">
        <f t="shared" si="9"/>
        <v>0.35416666666666674</v>
      </c>
      <c r="AO16" s="28">
        <f t="shared" si="8"/>
        <v>1.75</v>
      </c>
      <c r="AQ16" s="403"/>
      <c r="AS16" s="414"/>
      <c r="AW16" s="404"/>
    </row>
    <row r="17" spans="1:72" s="408" customFormat="1" ht="14.45" customHeight="1" x14ac:dyDescent="0.25">
      <c r="A17" s="290"/>
      <c r="B17" s="443" t="s">
        <v>186</v>
      </c>
      <c r="C17" s="311"/>
      <c r="D17" s="452" t="s">
        <v>155</v>
      </c>
      <c r="E17" s="164" t="s">
        <v>347</v>
      </c>
      <c r="F17" s="441">
        <v>0.83333333333333337</v>
      </c>
      <c r="G17" s="127"/>
      <c r="H17" s="127"/>
      <c r="I17" s="441">
        <v>1</v>
      </c>
      <c r="J17" s="84">
        <f t="shared" si="2"/>
        <v>0.16666666666666663</v>
      </c>
      <c r="K17" s="441">
        <v>0</v>
      </c>
      <c r="L17" s="127">
        <v>0.29166666666666669</v>
      </c>
      <c r="M17" s="127">
        <v>0.83333333333333337</v>
      </c>
      <c r="N17" s="441">
        <v>1</v>
      </c>
      <c r="O17" s="84">
        <v>0.375</v>
      </c>
      <c r="P17" s="441">
        <v>0</v>
      </c>
      <c r="Q17" s="127">
        <v>0.125</v>
      </c>
      <c r="R17" s="127">
        <v>0.20833333333333334</v>
      </c>
      <c r="S17" s="441">
        <v>0.29166666666666669</v>
      </c>
      <c r="T17" s="84">
        <f t="shared" si="4"/>
        <v>0.20833333333333334</v>
      </c>
      <c r="U17" s="431" t="s">
        <v>15</v>
      </c>
      <c r="V17" s="127" t="s">
        <v>15</v>
      </c>
      <c r="W17" s="127" t="s">
        <v>15</v>
      </c>
      <c r="X17" s="431" t="s">
        <v>15</v>
      </c>
      <c r="Y17" s="84" t="str">
        <f t="shared" si="5"/>
        <v/>
      </c>
      <c r="Z17" s="176">
        <v>0.27083333333333331</v>
      </c>
      <c r="AA17" s="127">
        <v>0.41666666666666669</v>
      </c>
      <c r="AB17" s="127">
        <v>0.5</v>
      </c>
      <c r="AC17" s="176">
        <v>0.6875</v>
      </c>
      <c r="AD17" s="84">
        <f t="shared" si="6"/>
        <v>0.33333333333333337</v>
      </c>
      <c r="AE17" s="176">
        <v>0.5625</v>
      </c>
      <c r="AF17" s="127">
        <v>0.66666666666666663</v>
      </c>
      <c r="AG17" s="127">
        <v>0.70833333333333337</v>
      </c>
      <c r="AH17" s="176">
        <v>0.9375</v>
      </c>
      <c r="AI17" s="84">
        <f t="shared" si="7"/>
        <v>0.33333333333333326</v>
      </c>
      <c r="AJ17" s="176">
        <v>0.5625</v>
      </c>
      <c r="AK17" s="127">
        <v>0.75</v>
      </c>
      <c r="AL17" s="127">
        <v>0.79166666666666663</v>
      </c>
      <c r="AM17" s="176">
        <v>0.9375</v>
      </c>
      <c r="AN17" s="84">
        <f t="shared" si="9"/>
        <v>0.33333333333333337</v>
      </c>
      <c r="AO17" s="28">
        <f t="shared" si="8"/>
        <v>1.75</v>
      </c>
      <c r="AP17" s="1"/>
      <c r="AQ17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</row>
    <row r="18" spans="1:72" s="404" customFormat="1" ht="14.45" customHeight="1" x14ac:dyDescent="0.25">
      <c r="A18" s="290"/>
      <c r="B18" s="443" t="s">
        <v>121</v>
      </c>
      <c r="C18" s="311"/>
      <c r="D18" s="452" t="s">
        <v>155</v>
      </c>
      <c r="E18" s="164" t="s">
        <v>347</v>
      </c>
      <c r="F18" s="176">
        <v>0.41666666666666669</v>
      </c>
      <c r="G18" s="127">
        <v>0.58333333333333337</v>
      </c>
      <c r="H18" s="127">
        <v>0.66666666666666663</v>
      </c>
      <c r="I18" s="176">
        <v>0.83333333333333337</v>
      </c>
      <c r="J18" s="84">
        <f t="shared" si="2"/>
        <v>0.33333333333333343</v>
      </c>
      <c r="K18" s="176">
        <v>0.54166666666666663</v>
      </c>
      <c r="L18" s="127">
        <v>0.75</v>
      </c>
      <c r="M18" s="127">
        <v>0.79166666666666663</v>
      </c>
      <c r="N18" s="176">
        <v>0.9375</v>
      </c>
      <c r="O18" s="84">
        <f t="shared" ref="O18:O49" si="10">IFERROR(MOD(N18-K18,1)-MOD(M18-L18,1),"")</f>
        <v>0.35416666666666674</v>
      </c>
      <c r="P18" s="176">
        <v>0.54166666666666663</v>
      </c>
      <c r="Q18" s="127">
        <v>0.79166666666666663</v>
      </c>
      <c r="R18" s="127">
        <v>0.83333333333333337</v>
      </c>
      <c r="S18" s="176">
        <v>0.9375</v>
      </c>
      <c r="T18" s="84">
        <f t="shared" si="4"/>
        <v>0.35416666666666663</v>
      </c>
      <c r="U18" s="431" t="s">
        <v>15</v>
      </c>
      <c r="V18" s="127" t="s">
        <v>15</v>
      </c>
      <c r="W18" s="127" t="s">
        <v>15</v>
      </c>
      <c r="X18" s="431" t="s">
        <v>15</v>
      </c>
      <c r="Y18" s="84" t="str">
        <f t="shared" si="5"/>
        <v/>
      </c>
      <c r="Z18" s="431" t="s">
        <v>15</v>
      </c>
      <c r="AA18" s="127" t="s">
        <v>15</v>
      </c>
      <c r="AB18" s="127" t="s">
        <v>15</v>
      </c>
      <c r="AC18" s="431" t="s">
        <v>15</v>
      </c>
      <c r="AD18" s="84" t="str">
        <f t="shared" si="6"/>
        <v/>
      </c>
      <c r="AE18" s="176">
        <v>0.29166666666666669</v>
      </c>
      <c r="AF18" s="127">
        <v>0.54166666666666663</v>
      </c>
      <c r="AG18" s="127">
        <v>0.625</v>
      </c>
      <c r="AH18" s="176">
        <v>0.70833333333333337</v>
      </c>
      <c r="AI18" s="84">
        <f t="shared" si="7"/>
        <v>0.33333333333333331</v>
      </c>
      <c r="AJ18" s="176">
        <v>0.29166666666666669</v>
      </c>
      <c r="AK18" s="127">
        <v>0.54166666666666663</v>
      </c>
      <c r="AL18" s="127">
        <v>0.625</v>
      </c>
      <c r="AM18" s="176">
        <v>0.70833333333333337</v>
      </c>
      <c r="AN18" s="84">
        <f t="shared" si="9"/>
        <v>0.33333333333333331</v>
      </c>
      <c r="AO18" s="28">
        <f t="shared" si="8"/>
        <v>1.7083333333333335</v>
      </c>
      <c r="AP18" s="1"/>
      <c r="AQ18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4.45" customHeight="1" x14ac:dyDescent="0.25">
      <c r="A19" s="177"/>
      <c r="B19" s="443" t="s">
        <v>187</v>
      </c>
      <c r="C19" s="311"/>
      <c r="D19" s="452" t="s">
        <v>155</v>
      </c>
      <c r="E19" s="164" t="s">
        <v>347</v>
      </c>
      <c r="F19" s="176">
        <v>0.41666666666666669</v>
      </c>
      <c r="G19" s="127">
        <v>0.58333333333333337</v>
      </c>
      <c r="H19" s="127">
        <v>0.66666666666666663</v>
      </c>
      <c r="I19" s="176">
        <v>0.83333333333333337</v>
      </c>
      <c r="J19" s="84">
        <f t="shared" si="2"/>
        <v>0.33333333333333343</v>
      </c>
      <c r="K19" s="431" t="s">
        <v>15</v>
      </c>
      <c r="L19" s="127" t="s">
        <v>15</v>
      </c>
      <c r="M19" s="127" t="s">
        <v>15</v>
      </c>
      <c r="N19" s="431" t="s">
        <v>15</v>
      </c>
      <c r="O19" s="84" t="str">
        <f t="shared" si="10"/>
        <v/>
      </c>
      <c r="P19" s="431" t="s">
        <v>15</v>
      </c>
      <c r="Q19" s="127" t="s">
        <v>15</v>
      </c>
      <c r="R19" s="127" t="s">
        <v>15</v>
      </c>
      <c r="S19" s="431" t="s">
        <v>15</v>
      </c>
      <c r="T19" s="84" t="str">
        <f t="shared" si="4"/>
        <v/>
      </c>
      <c r="U19" s="176">
        <v>0.45833333333333331</v>
      </c>
      <c r="V19" s="127">
        <v>0.625</v>
      </c>
      <c r="W19" s="127">
        <v>0.66666666666666663</v>
      </c>
      <c r="X19" s="176">
        <v>0.83333333333333337</v>
      </c>
      <c r="Y19" s="84">
        <f t="shared" si="5"/>
        <v>0.33333333333333343</v>
      </c>
      <c r="Z19" s="176">
        <v>0.29166666666666669</v>
      </c>
      <c r="AA19" s="127">
        <v>0.54166666666666663</v>
      </c>
      <c r="AB19" s="127">
        <v>0.625</v>
      </c>
      <c r="AC19" s="176">
        <v>0.70833333333333337</v>
      </c>
      <c r="AD19" s="84">
        <f t="shared" si="6"/>
        <v>0.33333333333333331</v>
      </c>
      <c r="AE19" s="176">
        <v>0.54166666666666663</v>
      </c>
      <c r="AF19" s="127">
        <v>0.66666666666666663</v>
      </c>
      <c r="AG19" s="127">
        <v>0.70833333333333337</v>
      </c>
      <c r="AH19" s="176">
        <v>0.9375</v>
      </c>
      <c r="AI19" s="84">
        <f t="shared" si="7"/>
        <v>0.35416666666666663</v>
      </c>
      <c r="AJ19" s="176">
        <v>0.41666666666666669</v>
      </c>
      <c r="AK19" s="127">
        <v>0.625</v>
      </c>
      <c r="AL19" s="127">
        <v>0.70833333333333337</v>
      </c>
      <c r="AM19" s="176">
        <v>0.83333333333333337</v>
      </c>
      <c r="AN19" s="84">
        <f t="shared" si="9"/>
        <v>0.33333333333333331</v>
      </c>
      <c r="AO19" s="28">
        <f t="shared" si="8"/>
        <v>1.6875000000000002</v>
      </c>
      <c r="AP19" s="1"/>
      <c r="AQ19" s="302"/>
      <c r="AR19" s="29"/>
      <c r="AS19" s="29"/>
      <c r="AT19" s="29"/>
      <c r="AU19" s="29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</row>
    <row r="20" spans="1:72" ht="14.45" customHeight="1" x14ac:dyDescent="0.25">
      <c r="A20" s="290" t="s">
        <v>594</v>
      </c>
      <c r="B20" s="443" t="s">
        <v>321</v>
      </c>
      <c r="C20" s="311"/>
      <c r="D20" s="452" t="s">
        <v>155</v>
      </c>
      <c r="E20" s="164" t="s">
        <v>347</v>
      </c>
      <c r="F20" s="176">
        <v>0.5</v>
      </c>
      <c r="G20" s="127">
        <v>0.625</v>
      </c>
      <c r="H20" s="127">
        <v>0.66666666666666663</v>
      </c>
      <c r="I20" s="176">
        <v>0.875</v>
      </c>
      <c r="J20" s="84">
        <f t="shared" si="2"/>
        <v>0.33333333333333337</v>
      </c>
      <c r="K20" s="441">
        <v>0.83333333333333337</v>
      </c>
      <c r="L20" s="127"/>
      <c r="M20" s="127"/>
      <c r="N20" s="441">
        <v>1</v>
      </c>
      <c r="O20" s="84">
        <f t="shared" si="10"/>
        <v>0.16666666666666663</v>
      </c>
      <c r="P20" s="441">
        <v>0</v>
      </c>
      <c r="Q20" s="127">
        <v>0.29166666666666669</v>
      </c>
      <c r="R20" s="127">
        <v>0.83333333333333337</v>
      </c>
      <c r="S20" s="441">
        <v>1</v>
      </c>
      <c r="T20" s="84">
        <v>0.375</v>
      </c>
      <c r="U20" s="441">
        <v>0</v>
      </c>
      <c r="V20" s="127">
        <v>0.16666666666666666</v>
      </c>
      <c r="W20" s="127">
        <v>0.25</v>
      </c>
      <c r="X20" s="441">
        <v>0.29166666666666669</v>
      </c>
      <c r="Y20" s="84">
        <f t="shared" si="5"/>
        <v>0.20833333333333334</v>
      </c>
      <c r="Z20" s="431" t="s">
        <v>15</v>
      </c>
      <c r="AA20" s="127" t="s">
        <v>15</v>
      </c>
      <c r="AB20" s="127" t="s">
        <v>15</v>
      </c>
      <c r="AC20" s="431" t="s">
        <v>15</v>
      </c>
      <c r="AD20" s="84" t="str">
        <f t="shared" si="6"/>
        <v/>
      </c>
      <c r="AE20" s="176">
        <v>0.25</v>
      </c>
      <c r="AF20" s="127">
        <v>0.5</v>
      </c>
      <c r="AG20" s="127">
        <v>0.58333333333333337</v>
      </c>
      <c r="AH20" s="176">
        <v>0.66666666666666663</v>
      </c>
      <c r="AI20" s="84">
        <f t="shared" si="7"/>
        <v>0.33333333333333326</v>
      </c>
      <c r="AJ20" s="176">
        <v>0.54166666666666663</v>
      </c>
      <c r="AK20" s="127">
        <v>0.70833333333333337</v>
      </c>
      <c r="AL20" s="127">
        <v>0.75</v>
      </c>
      <c r="AM20" s="176">
        <v>0.9375</v>
      </c>
      <c r="AN20" s="84">
        <f t="shared" si="9"/>
        <v>0.35416666666666674</v>
      </c>
      <c r="AO20" s="28">
        <f t="shared" si="8"/>
        <v>1.7708333333333333</v>
      </c>
      <c r="AP20" s="1"/>
      <c r="AQ20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6.149999999999999" customHeight="1" x14ac:dyDescent="0.25">
      <c r="A21" s="290" t="s">
        <v>595</v>
      </c>
      <c r="B21" s="443" t="s">
        <v>125</v>
      </c>
      <c r="C21" s="311"/>
      <c r="D21" s="452" t="s">
        <v>155</v>
      </c>
      <c r="E21" s="164" t="s">
        <v>347</v>
      </c>
      <c r="F21" s="176">
        <v>0.33333333333333331</v>
      </c>
      <c r="G21" s="127">
        <v>0.54166666666666663</v>
      </c>
      <c r="H21" s="127">
        <v>0.54166666666666663</v>
      </c>
      <c r="I21" s="176">
        <v>0.66666666666666663</v>
      </c>
      <c r="J21" s="84">
        <f t="shared" si="2"/>
        <v>0.33333333333333331</v>
      </c>
      <c r="K21" s="176">
        <v>0.39583333333333331</v>
      </c>
      <c r="L21" s="127">
        <v>0.58333333333333337</v>
      </c>
      <c r="M21" s="127">
        <v>0.66666666666666663</v>
      </c>
      <c r="N21" s="176">
        <v>0.8125</v>
      </c>
      <c r="O21" s="84">
        <f t="shared" si="10"/>
        <v>0.33333333333333343</v>
      </c>
      <c r="P21" s="176">
        <v>0.41666666666666669</v>
      </c>
      <c r="Q21" s="127">
        <v>0.66666666666666663</v>
      </c>
      <c r="R21" s="127">
        <v>0.75</v>
      </c>
      <c r="S21" s="176">
        <v>0.83333333333333337</v>
      </c>
      <c r="T21" s="84">
        <f t="shared" ref="T21:T66" si="11">IFERROR(MOD(S21-P21,1)-MOD(R21-Q21,1),"")</f>
        <v>0.33333333333333331</v>
      </c>
      <c r="U21" s="176">
        <v>0.5</v>
      </c>
      <c r="V21" s="127">
        <v>0.66666666666666663</v>
      </c>
      <c r="W21" s="127">
        <v>0.70833333333333337</v>
      </c>
      <c r="X21" s="176">
        <v>0.875</v>
      </c>
      <c r="Y21" s="84">
        <f t="shared" si="5"/>
        <v>0.33333333333333326</v>
      </c>
      <c r="Z21" s="176">
        <v>0.54166666666666663</v>
      </c>
      <c r="AA21" s="127">
        <v>0.75</v>
      </c>
      <c r="AB21" s="127">
        <v>0.79166666666666663</v>
      </c>
      <c r="AC21" s="176">
        <v>0.9375</v>
      </c>
      <c r="AD21" s="84">
        <f t="shared" si="6"/>
        <v>0.35416666666666674</v>
      </c>
      <c r="AE21" s="431" t="s">
        <v>15</v>
      </c>
      <c r="AF21" s="127" t="s">
        <v>15</v>
      </c>
      <c r="AG21" s="127" t="s">
        <v>15</v>
      </c>
      <c r="AH21" s="431" t="s">
        <v>15</v>
      </c>
      <c r="AI21" s="84" t="str">
        <f t="shared" si="7"/>
        <v/>
      </c>
      <c r="AJ21" s="431" t="s">
        <v>15</v>
      </c>
      <c r="AK21" s="127" t="s">
        <v>15</v>
      </c>
      <c r="AL21" s="127" t="s">
        <v>15</v>
      </c>
      <c r="AM21" s="431" t="s">
        <v>15</v>
      </c>
      <c r="AN21" s="84" t="str">
        <f t="shared" si="9"/>
        <v/>
      </c>
      <c r="AO21" s="28">
        <f t="shared" si="8"/>
        <v>1.6875</v>
      </c>
      <c r="AP21" s="1"/>
      <c r="AQ21" s="302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s="404" customFormat="1" ht="14.45" customHeight="1" x14ac:dyDescent="0.25">
      <c r="A22" s="177" t="s">
        <v>596</v>
      </c>
      <c r="B22" s="443" t="s">
        <v>154</v>
      </c>
      <c r="C22" s="311"/>
      <c r="D22" s="452" t="s">
        <v>155</v>
      </c>
      <c r="E22" s="164" t="s">
        <v>347</v>
      </c>
      <c r="F22" s="176">
        <v>0.27083333333333331</v>
      </c>
      <c r="G22" s="127">
        <v>0.41666666666666669</v>
      </c>
      <c r="H22" s="127">
        <v>0.5</v>
      </c>
      <c r="I22" s="176">
        <v>0.6875</v>
      </c>
      <c r="J22" s="84">
        <f t="shared" si="2"/>
        <v>0.33333333333333337</v>
      </c>
      <c r="K22" s="176">
        <v>0.375</v>
      </c>
      <c r="L22" s="127">
        <v>0.625</v>
      </c>
      <c r="M22" s="127">
        <v>0.70833333333333337</v>
      </c>
      <c r="N22" s="176">
        <v>0.79166666666666663</v>
      </c>
      <c r="O22" s="84">
        <f t="shared" si="10"/>
        <v>0.33333333333333326</v>
      </c>
      <c r="P22" s="176">
        <v>0.25</v>
      </c>
      <c r="Q22" s="127">
        <v>0.41666666666666669</v>
      </c>
      <c r="R22" s="127">
        <v>0.5</v>
      </c>
      <c r="S22" s="176">
        <v>0.66666666666666663</v>
      </c>
      <c r="T22" s="84">
        <f t="shared" si="11"/>
        <v>0.33333333333333331</v>
      </c>
      <c r="U22" s="441">
        <v>0.83333333333333337</v>
      </c>
      <c r="V22" s="127"/>
      <c r="W22" s="127"/>
      <c r="X22" s="441">
        <v>1</v>
      </c>
      <c r="Y22" s="84">
        <f t="shared" si="5"/>
        <v>0.16666666666666663</v>
      </c>
      <c r="Z22" s="441">
        <v>0</v>
      </c>
      <c r="AA22" s="127">
        <v>0.29166666666666669</v>
      </c>
      <c r="AB22" s="127">
        <v>0.83333333333333337</v>
      </c>
      <c r="AC22" s="441">
        <v>1</v>
      </c>
      <c r="AD22" s="84">
        <v>0.375</v>
      </c>
      <c r="AE22" s="441">
        <v>0</v>
      </c>
      <c r="AF22" s="127">
        <v>8.3333333333333329E-2</v>
      </c>
      <c r="AG22" s="127">
        <v>0.16666666666666666</v>
      </c>
      <c r="AH22" s="441">
        <v>0.29166666666666669</v>
      </c>
      <c r="AI22" s="84">
        <f t="shared" si="7"/>
        <v>0.20833333333333337</v>
      </c>
      <c r="AJ22" s="431" t="s">
        <v>15</v>
      </c>
      <c r="AK22" s="127" t="s">
        <v>15</v>
      </c>
      <c r="AL22" s="127" t="s">
        <v>15</v>
      </c>
      <c r="AM22" s="431" t="s">
        <v>15</v>
      </c>
      <c r="AN22" s="84" t="str">
        <f t="shared" si="9"/>
        <v/>
      </c>
      <c r="AO22" s="28">
        <f t="shared" si="8"/>
        <v>1.75</v>
      </c>
      <c r="AP22" s="1"/>
      <c r="AQ22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</row>
    <row r="23" spans="1:72" s="404" customFormat="1" ht="14.45" customHeight="1" x14ac:dyDescent="0.25">
      <c r="A23" s="290" t="s">
        <v>263</v>
      </c>
      <c r="B23" s="443" t="s">
        <v>232</v>
      </c>
      <c r="C23" s="311"/>
      <c r="D23" s="452" t="s">
        <v>155</v>
      </c>
      <c r="E23" s="164" t="s">
        <v>347</v>
      </c>
      <c r="F23" s="176">
        <v>0.54166666666666663</v>
      </c>
      <c r="G23" s="127">
        <v>0.66666666666666663</v>
      </c>
      <c r="H23" s="127">
        <v>0.70833333333333337</v>
      </c>
      <c r="I23" s="176">
        <v>0.9375</v>
      </c>
      <c r="J23" s="84">
        <f t="shared" si="2"/>
        <v>0.35416666666666663</v>
      </c>
      <c r="K23" s="431" t="s">
        <v>15</v>
      </c>
      <c r="L23" s="127" t="s">
        <v>15</v>
      </c>
      <c r="M23" s="127" t="s">
        <v>15</v>
      </c>
      <c r="N23" s="431" t="s">
        <v>15</v>
      </c>
      <c r="O23" s="84" t="str">
        <f t="shared" si="10"/>
        <v/>
      </c>
      <c r="P23" s="431" t="s">
        <v>15</v>
      </c>
      <c r="Q23" s="127" t="s">
        <v>15</v>
      </c>
      <c r="R23" s="127" t="s">
        <v>15</v>
      </c>
      <c r="S23" s="431" t="s">
        <v>15</v>
      </c>
      <c r="T23" s="84" t="str">
        <f t="shared" si="11"/>
        <v/>
      </c>
      <c r="U23" s="176">
        <v>0.29166666666666669</v>
      </c>
      <c r="V23" s="127">
        <v>0.54166666666666663</v>
      </c>
      <c r="W23" s="127">
        <v>0.625</v>
      </c>
      <c r="X23" s="176">
        <v>0.70833333333333337</v>
      </c>
      <c r="Y23" s="84">
        <f t="shared" si="5"/>
        <v>0.33333333333333331</v>
      </c>
      <c r="Z23" s="176">
        <v>0.33333333333333331</v>
      </c>
      <c r="AA23" s="127">
        <v>0.58333333333333337</v>
      </c>
      <c r="AB23" s="127">
        <v>0.66666666666666663</v>
      </c>
      <c r="AC23" s="176">
        <v>0.75</v>
      </c>
      <c r="AD23" s="84">
        <f t="shared" ref="AD23:AD67" si="12">IFERROR(MOD(AC23-Z23,1)-MOD(AB23-AA23,1),"")</f>
        <v>0.33333333333333343</v>
      </c>
      <c r="AE23" s="176">
        <v>0.5</v>
      </c>
      <c r="AF23" s="127">
        <v>0.625</v>
      </c>
      <c r="AG23" s="127">
        <v>0.66666666666666663</v>
      </c>
      <c r="AH23" s="176">
        <v>0.875</v>
      </c>
      <c r="AI23" s="84">
        <f t="shared" si="7"/>
        <v>0.33333333333333337</v>
      </c>
      <c r="AJ23" s="176">
        <v>0.4375</v>
      </c>
      <c r="AK23" s="127">
        <v>0.625</v>
      </c>
      <c r="AL23" s="127">
        <v>0.70833333333333337</v>
      </c>
      <c r="AM23" s="176">
        <v>0.85416666666666663</v>
      </c>
      <c r="AN23" s="84">
        <f t="shared" si="9"/>
        <v>0.33333333333333326</v>
      </c>
      <c r="AO23" s="28">
        <f t="shared" si="8"/>
        <v>1.6875000000000002</v>
      </c>
      <c r="AP23" s="1"/>
      <c r="AQ23" s="302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s="408" customFormat="1" ht="14.45" customHeight="1" x14ac:dyDescent="0.25">
      <c r="A24" s="291" t="s">
        <v>597</v>
      </c>
      <c r="B24" s="443" t="s">
        <v>324</v>
      </c>
      <c r="C24" s="311"/>
      <c r="D24" s="452" t="s">
        <v>155</v>
      </c>
      <c r="E24" s="164" t="s">
        <v>347</v>
      </c>
      <c r="F24" s="176">
        <v>0.54166666666666663</v>
      </c>
      <c r="G24" s="127">
        <v>0.66666666666666663</v>
      </c>
      <c r="H24" s="127">
        <v>0.70833333333333337</v>
      </c>
      <c r="I24" s="176">
        <v>0.91666666666666663</v>
      </c>
      <c r="J24" s="84">
        <f t="shared" si="2"/>
        <v>0.33333333333333326</v>
      </c>
      <c r="K24" s="431" t="s">
        <v>15</v>
      </c>
      <c r="L24" s="127" t="s">
        <v>15</v>
      </c>
      <c r="M24" s="127" t="s">
        <v>15</v>
      </c>
      <c r="N24" s="431" t="s">
        <v>15</v>
      </c>
      <c r="O24" s="84" t="str">
        <f t="shared" si="10"/>
        <v/>
      </c>
      <c r="P24" s="431" t="s">
        <v>15</v>
      </c>
      <c r="Q24" s="127" t="s">
        <v>15</v>
      </c>
      <c r="R24" s="127" t="s">
        <v>15</v>
      </c>
      <c r="S24" s="431" t="s">
        <v>15</v>
      </c>
      <c r="T24" s="84" t="str">
        <f t="shared" si="11"/>
        <v/>
      </c>
      <c r="U24" s="176">
        <v>0.29166666666666669</v>
      </c>
      <c r="V24" s="127">
        <v>0.54166666666666663</v>
      </c>
      <c r="W24" s="127">
        <v>0.625</v>
      </c>
      <c r="X24" s="176">
        <v>0.70833333333333337</v>
      </c>
      <c r="Y24" s="84">
        <f t="shared" si="5"/>
        <v>0.33333333333333331</v>
      </c>
      <c r="Z24" s="176">
        <v>0.375</v>
      </c>
      <c r="AA24" s="127">
        <v>0.625</v>
      </c>
      <c r="AB24" s="127">
        <v>0.70833333333333337</v>
      </c>
      <c r="AC24" s="176">
        <v>0.79166666666666663</v>
      </c>
      <c r="AD24" s="84">
        <f t="shared" si="12"/>
        <v>0.33333333333333326</v>
      </c>
      <c r="AE24" s="176">
        <v>0.5</v>
      </c>
      <c r="AF24" s="127">
        <v>0.625</v>
      </c>
      <c r="AG24" s="127">
        <v>0.66666666666666663</v>
      </c>
      <c r="AH24" s="176">
        <v>0.875</v>
      </c>
      <c r="AI24" s="84">
        <f t="shared" si="7"/>
        <v>0.33333333333333337</v>
      </c>
      <c r="AJ24" s="176">
        <v>0.52083333333333337</v>
      </c>
      <c r="AK24" s="127">
        <v>0.66666666666666663</v>
      </c>
      <c r="AL24" s="127">
        <v>0.70833333333333337</v>
      </c>
      <c r="AM24" s="176">
        <v>0.89583333333333337</v>
      </c>
      <c r="AN24" s="84">
        <f t="shared" si="9"/>
        <v>0.33333333333333326</v>
      </c>
      <c r="AO24" s="28">
        <f t="shared" si="8"/>
        <v>1.6666666666666663</v>
      </c>
      <c r="AP24" s="1"/>
      <c r="AQ24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s="408" customFormat="1" ht="14.45" customHeight="1" x14ac:dyDescent="0.25">
      <c r="A25" s="291" t="s">
        <v>284</v>
      </c>
      <c r="B25" s="443" t="s">
        <v>183</v>
      </c>
      <c r="C25" s="311"/>
      <c r="D25" s="452" t="s">
        <v>155</v>
      </c>
      <c r="E25" s="164" t="s">
        <v>347</v>
      </c>
      <c r="F25" s="176">
        <v>0.29166666666666669</v>
      </c>
      <c r="G25" s="127">
        <v>0.41666666666666669</v>
      </c>
      <c r="H25" s="127">
        <v>0.5</v>
      </c>
      <c r="I25" s="176">
        <v>0.70833333333333337</v>
      </c>
      <c r="J25" s="84">
        <f t="shared" si="2"/>
        <v>0.33333333333333337</v>
      </c>
      <c r="K25" s="176">
        <v>0.33333333333333331</v>
      </c>
      <c r="L25" s="127">
        <v>0.54166666666666663</v>
      </c>
      <c r="M25" s="127">
        <v>0.625</v>
      </c>
      <c r="N25" s="176">
        <v>0.75</v>
      </c>
      <c r="O25" s="84">
        <f t="shared" si="10"/>
        <v>0.33333333333333331</v>
      </c>
      <c r="P25" s="176">
        <v>0.41666666666666669</v>
      </c>
      <c r="Q25" s="127">
        <v>0.66666666666666663</v>
      </c>
      <c r="R25" s="127">
        <v>0.75</v>
      </c>
      <c r="S25" s="176">
        <v>0.83333333333333337</v>
      </c>
      <c r="T25" s="84">
        <f t="shared" si="11"/>
        <v>0.33333333333333331</v>
      </c>
      <c r="U25" s="176">
        <v>0.54166666666666663</v>
      </c>
      <c r="V25" s="127">
        <v>0.70833333333333337</v>
      </c>
      <c r="W25" s="127">
        <v>0.75</v>
      </c>
      <c r="X25" s="176">
        <v>0.9375</v>
      </c>
      <c r="Y25" s="84">
        <f t="shared" si="5"/>
        <v>0.35416666666666674</v>
      </c>
      <c r="Z25" s="176">
        <v>0.54166666666666663</v>
      </c>
      <c r="AA25" s="127">
        <v>0.75</v>
      </c>
      <c r="AB25" s="127">
        <v>0.79166666666666663</v>
      </c>
      <c r="AC25" s="176">
        <v>0.91666666666666663</v>
      </c>
      <c r="AD25" s="84">
        <f t="shared" si="12"/>
        <v>0.33333333333333337</v>
      </c>
      <c r="AE25" s="431" t="s">
        <v>15</v>
      </c>
      <c r="AF25" s="127" t="s">
        <v>15</v>
      </c>
      <c r="AG25" s="127" t="s">
        <v>15</v>
      </c>
      <c r="AH25" s="431" t="s">
        <v>15</v>
      </c>
      <c r="AI25" s="84" t="str">
        <f t="shared" si="7"/>
        <v/>
      </c>
      <c r="AJ25" s="431" t="s">
        <v>15</v>
      </c>
      <c r="AK25" s="127" t="s">
        <v>15</v>
      </c>
      <c r="AL25" s="127" t="s">
        <v>15</v>
      </c>
      <c r="AM25" s="431" t="s">
        <v>15</v>
      </c>
      <c r="AN25" s="84" t="str">
        <f t="shared" si="9"/>
        <v/>
      </c>
      <c r="AO25" s="28">
        <f t="shared" si="8"/>
        <v>1.6875</v>
      </c>
      <c r="AP25" s="1"/>
      <c r="AQ25" s="302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s="408" customFormat="1" ht="14.45" customHeight="1" x14ac:dyDescent="0.25">
      <c r="A26" s="292" t="s">
        <v>598</v>
      </c>
      <c r="B26" s="443" t="s">
        <v>563</v>
      </c>
      <c r="C26" s="311"/>
      <c r="D26" s="452" t="s">
        <v>155</v>
      </c>
      <c r="E26" s="164" t="s">
        <v>347</v>
      </c>
      <c r="F26" s="176">
        <v>0.29166666666666669</v>
      </c>
      <c r="G26" s="127">
        <v>0.5</v>
      </c>
      <c r="H26" s="127">
        <v>0.58333333333333337</v>
      </c>
      <c r="I26" s="176">
        <v>0.70833333333333337</v>
      </c>
      <c r="J26" s="84">
        <f t="shared" si="2"/>
        <v>0.33333333333333331</v>
      </c>
      <c r="K26" s="176">
        <v>0.3125</v>
      </c>
      <c r="L26" s="127">
        <v>0.41666666666666669</v>
      </c>
      <c r="M26" s="127">
        <v>0.5</v>
      </c>
      <c r="N26" s="176">
        <v>0.72916666666666663</v>
      </c>
      <c r="O26" s="84">
        <f t="shared" si="10"/>
        <v>0.33333333333333331</v>
      </c>
      <c r="P26" s="176">
        <v>0.3125</v>
      </c>
      <c r="Q26" s="127">
        <v>0.54166666666666663</v>
      </c>
      <c r="R26" s="127">
        <v>0.625</v>
      </c>
      <c r="S26" s="176">
        <v>0.72916666666666663</v>
      </c>
      <c r="T26" s="84">
        <f t="shared" si="11"/>
        <v>0.33333333333333326</v>
      </c>
      <c r="U26" s="176">
        <v>0.375</v>
      </c>
      <c r="V26" s="127">
        <v>0.625</v>
      </c>
      <c r="W26" s="127">
        <v>0.70833333333333337</v>
      </c>
      <c r="X26" s="176">
        <v>0.79166666666666663</v>
      </c>
      <c r="Y26" s="84">
        <f t="shared" si="5"/>
        <v>0.33333333333333326</v>
      </c>
      <c r="Z26" s="176">
        <v>0.375</v>
      </c>
      <c r="AA26" s="127">
        <v>0.58333333333333337</v>
      </c>
      <c r="AB26" s="127">
        <v>0.66666666666666663</v>
      </c>
      <c r="AC26" s="176">
        <v>0.79166666666666663</v>
      </c>
      <c r="AD26" s="84">
        <f t="shared" si="12"/>
        <v>0.33333333333333337</v>
      </c>
      <c r="AE26" s="431" t="s">
        <v>15</v>
      </c>
      <c r="AF26" s="127" t="s">
        <v>15</v>
      </c>
      <c r="AG26" s="127" t="s">
        <v>15</v>
      </c>
      <c r="AH26" s="431" t="s">
        <v>15</v>
      </c>
      <c r="AI26" s="84" t="str">
        <f t="shared" si="7"/>
        <v/>
      </c>
      <c r="AJ26" s="431" t="s">
        <v>15</v>
      </c>
      <c r="AK26" s="127" t="s">
        <v>15</v>
      </c>
      <c r="AL26" s="127" t="s">
        <v>15</v>
      </c>
      <c r="AM26" s="431" t="s">
        <v>15</v>
      </c>
      <c r="AN26" s="84" t="str">
        <f t="shared" si="9"/>
        <v/>
      </c>
      <c r="AO26" s="28">
        <f t="shared" si="8"/>
        <v>1.6666666666666665</v>
      </c>
      <c r="AP26" s="1"/>
      <c r="AQ26"/>
      <c r="AR26" s="34"/>
      <c r="AS26" s="33"/>
      <c r="AT26" s="33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</row>
    <row r="27" spans="1:72" s="408" customFormat="1" ht="14.45" customHeight="1" x14ac:dyDescent="0.25">
      <c r="A27" s="290" t="s">
        <v>263</v>
      </c>
      <c r="B27" s="443" t="s">
        <v>126</v>
      </c>
      <c r="C27" s="311" t="s">
        <v>396</v>
      </c>
      <c r="D27" s="452" t="s">
        <v>155</v>
      </c>
      <c r="E27" s="164" t="s">
        <v>347</v>
      </c>
      <c r="F27" s="176">
        <v>0.33333333333333331</v>
      </c>
      <c r="G27" s="127">
        <v>0.54166666666666663</v>
      </c>
      <c r="H27" s="127">
        <v>0.58333333333333337</v>
      </c>
      <c r="I27" s="176">
        <v>0.66666666666666663</v>
      </c>
      <c r="J27" s="84">
        <f t="shared" si="2"/>
        <v>0.29166666666666657</v>
      </c>
      <c r="K27" s="176">
        <v>0.33333333333333331</v>
      </c>
      <c r="L27" s="127">
        <v>0.54166666666666663</v>
      </c>
      <c r="M27" s="127">
        <v>0.58333333333333337</v>
      </c>
      <c r="N27" s="176">
        <v>0.66666666666666663</v>
      </c>
      <c r="O27" s="84">
        <f t="shared" si="10"/>
        <v>0.29166666666666657</v>
      </c>
      <c r="P27" s="176">
        <v>0.35416666666666669</v>
      </c>
      <c r="Q27" s="127">
        <v>0.58333333333333337</v>
      </c>
      <c r="R27" s="127">
        <v>0.625</v>
      </c>
      <c r="S27" s="176">
        <v>0.6875</v>
      </c>
      <c r="T27" s="84">
        <f t="shared" si="11"/>
        <v>0.29166666666666669</v>
      </c>
      <c r="U27" s="431" t="s">
        <v>15</v>
      </c>
      <c r="V27" s="127" t="s">
        <v>15</v>
      </c>
      <c r="W27" s="127" t="s">
        <v>15</v>
      </c>
      <c r="X27" s="431" t="s">
        <v>15</v>
      </c>
      <c r="Y27" s="84" t="str">
        <f t="shared" si="5"/>
        <v/>
      </c>
      <c r="Z27" s="431" t="s">
        <v>15</v>
      </c>
      <c r="AA27" s="127" t="s">
        <v>15</v>
      </c>
      <c r="AB27" s="127" t="s">
        <v>15</v>
      </c>
      <c r="AC27" s="431" t="s">
        <v>15</v>
      </c>
      <c r="AD27" s="84" t="str">
        <f t="shared" si="12"/>
        <v/>
      </c>
      <c r="AE27" s="176">
        <v>0.35416666666666669</v>
      </c>
      <c r="AF27" s="127">
        <v>0.58333333333333337</v>
      </c>
      <c r="AG27" s="127">
        <v>0.625</v>
      </c>
      <c r="AH27" s="176">
        <v>0.6875</v>
      </c>
      <c r="AI27" s="84">
        <f t="shared" si="7"/>
        <v>0.29166666666666669</v>
      </c>
      <c r="AJ27" s="176">
        <v>0.35416666666666669</v>
      </c>
      <c r="AK27" s="127">
        <v>0.54166666666666663</v>
      </c>
      <c r="AL27" s="127">
        <v>0.58333333333333337</v>
      </c>
      <c r="AM27" s="176">
        <v>0.6875</v>
      </c>
      <c r="AN27" s="84">
        <f t="shared" si="9"/>
        <v>0.29166666666666657</v>
      </c>
      <c r="AO27" s="28">
        <f t="shared" si="8"/>
        <v>1.458333333333333</v>
      </c>
      <c r="AP27" s="1"/>
      <c r="AQ27"/>
      <c r="AR27" s="34"/>
      <c r="AS27" s="33"/>
      <c r="AT27" s="33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</row>
    <row r="28" spans="1:72" s="408" customFormat="1" ht="14.45" customHeight="1" x14ac:dyDescent="0.25">
      <c r="A28" s="177" t="s">
        <v>258</v>
      </c>
      <c r="B28" s="443" t="s">
        <v>461</v>
      </c>
      <c r="C28" s="311" t="s">
        <v>457</v>
      </c>
      <c r="D28" s="452" t="s">
        <v>155</v>
      </c>
      <c r="E28" s="164" t="s">
        <v>347</v>
      </c>
      <c r="F28" s="176">
        <v>0.66666666666666663</v>
      </c>
      <c r="G28" s="127"/>
      <c r="H28" s="127"/>
      <c r="I28" s="176">
        <v>0.9375</v>
      </c>
      <c r="J28" s="84">
        <f t="shared" si="2"/>
        <v>0.27083333333333337</v>
      </c>
      <c r="K28" s="176">
        <v>0.66666666666666663</v>
      </c>
      <c r="L28" s="127"/>
      <c r="M28" s="127"/>
      <c r="N28" s="176">
        <v>0.9375</v>
      </c>
      <c r="O28" s="84">
        <f t="shared" si="10"/>
        <v>0.27083333333333337</v>
      </c>
      <c r="P28" s="176">
        <v>0.66666666666666663</v>
      </c>
      <c r="Q28" s="127"/>
      <c r="R28" s="127"/>
      <c r="S28" s="176">
        <v>0.9375</v>
      </c>
      <c r="T28" s="84">
        <f t="shared" si="11"/>
        <v>0.27083333333333337</v>
      </c>
      <c r="U28" s="431" t="s">
        <v>15</v>
      </c>
      <c r="V28" s="127" t="s">
        <v>15</v>
      </c>
      <c r="W28" s="127" t="s">
        <v>15</v>
      </c>
      <c r="X28" s="431" t="s">
        <v>15</v>
      </c>
      <c r="Y28" s="84" t="str">
        <f t="shared" si="5"/>
        <v/>
      </c>
      <c r="Z28" s="431" t="s">
        <v>15</v>
      </c>
      <c r="AA28" s="127" t="s">
        <v>15</v>
      </c>
      <c r="AB28" s="127" t="s">
        <v>15</v>
      </c>
      <c r="AC28" s="431" t="s">
        <v>15</v>
      </c>
      <c r="AD28" s="84" t="str">
        <f t="shared" si="12"/>
        <v/>
      </c>
      <c r="AE28" s="176">
        <v>0.66666666666666663</v>
      </c>
      <c r="AF28" s="127"/>
      <c r="AG28" s="127"/>
      <c r="AH28" s="176">
        <v>0.9375</v>
      </c>
      <c r="AI28" s="84">
        <f t="shared" si="7"/>
        <v>0.27083333333333337</v>
      </c>
      <c r="AJ28" s="176">
        <v>0.66666666666666663</v>
      </c>
      <c r="AK28" s="127"/>
      <c r="AL28" s="127"/>
      <c r="AM28" s="176">
        <v>0.9375</v>
      </c>
      <c r="AN28" s="84">
        <f t="shared" si="9"/>
        <v>0.27083333333333337</v>
      </c>
      <c r="AO28" s="28">
        <f t="shared" si="8"/>
        <v>1.354166666666667</v>
      </c>
      <c r="AP28" s="1"/>
      <c r="AQ28" s="302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</row>
    <row r="29" spans="1:72" s="408" customFormat="1" ht="14.45" customHeight="1" x14ac:dyDescent="0.25">
      <c r="A29" s="487"/>
      <c r="B29" s="442" t="s">
        <v>123</v>
      </c>
      <c r="C29" s="311"/>
      <c r="D29" s="452" t="s">
        <v>155</v>
      </c>
      <c r="E29" s="439" t="s">
        <v>346</v>
      </c>
      <c r="F29" s="176">
        <v>0.29166666666666669</v>
      </c>
      <c r="G29" s="127">
        <v>0.54166666666666663</v>
      </c>
      <c r="H29" s="127">
        <v>0.625</v>
      </c>
      <c r="I29" s="176">
        <v>0.70833333333333337</v>
      </c>
      <c r="J29" s="84">
        <f t="shared" si="2"/>
        <v>0.33333333333333331</v>
      </c>
      <c r="K29" s="176">
        <v>0.29166666666666669</v>
      </c>
      <c r="L29" s="127">
        <v>0.54166666666666663</v>
      </c>
      <c r="M29" s="127">
        <v>0.58333333333333337</v>
      </c>
      <c r="N29" s="176">
        <v>0.66666666666666663</v>
      </c>
      <c r="O29" s="84">
        <f t="shared" si="10"/>
        <v>0.3333333333333332</v>
      </c>
      <c r="P29" s="176">
        <v>0.5</v>
      </c>
      <c r="Q29" s="127">
        <v>0.625</v>
      </c>
      <c r="R29" s="127">
        <v>0.66666666666666663</v>
      </c>
      <c r="S29" s="176">
        <v>0.875</v>
      </c>
      <c r="T29" s="84">
        <f t="shared" si="11"/>
        <v>0.33333333333333337</v>
      </c>
      <c r="U29" s="176">
        <v>0.54166666666666663</v>
      </c>
      <c r="V29" s="127">
        <v>0.66666666666666663</v>
      </c>
      <c r="W29" s="127">
        <v>0.70833333333333337</v>
      </c>
      <c r="X29" s="176">
        <v>0.91666666666666663</v>
      </c>
      <c r="Y29" s="84">
        <f t="shared" si="5"/>
        <v>0.33333333333333326</v>
      </c>
      <c r="Z29" s="176">
        <v>0.54166666666666663</v>
      </c>
      <c r="AA29" s="127">
        <v>0.625</v>
      </c>
      <c r="AB29" s="127">
        <v>0.66666666666666663</v>
      </c>
      <c r="AC29" s="176">
        <v>0.91666666666666663</v>
      </c>
      <c r="AD29" s="84">
        <f t="shared" si="12"/>
        <v>0.33333333333333337</v>
      </c>
      <c r="AE29" s="431" t="s">
        <v>15</v>
      </c>
      <c r="AF29" s="127" t="s">
        <v>15</v>
      </c>
      <c r="AG29" s="127" t="s">
        <v>15</v>
      </c>
      <c r="AH29" s="431" t="s">
        <v>15</v>
      </c>
      <c r="AI29" s="84" t="str">
        <f t="shared" si="7"/>
        <v/>
      </c>
      <c r="AJ29" s="431" t="s">
        <v>15</v>
      </c>
      <c r="AK29" s="127" t="s">
        <v>15</v>
      </c>
      <c r="AL29" s="127" t="s">
        <v>15</v>
      </c>
      <c r="AM29" s="431" t="s">
        <v>15</v>
      </c>
      <c r="AN29" s="84" t="str">
        <f t="shared" si="9"/>
        <v/>
      </c>
      <c r="AO29" s="28">
        <f t="shared" si="8"/>
        <v>1.6666666666666665</v>
      </c>
      <c r="AP29" s="385"/>
      <c r="AQ29" s="385"/>
      <c r="AR29" s="385"/>
      <c r="AS29" s="385"/>
      <c r="AT29" s="385"/>
      <c r="AU29" s="385"/>
      <c r="AV29" s="385"/>
      <c r="AW29" s="385"/>
      <c r="AX29" s="385"/>
      <c r="AY29" s="385"/>
      <c r="AZ29" s="385"/>
      <c r="BA29" s="385"/>
      <c r="BB29" s="385"/>
      <c r="BC29" s="385"/>
      <c r="BD29" s="385"/>
      <c r="BE29" s="385"/>
      <c r="BF29" s="385"/>
      <c r="BG29" s="385"/>
      <c r="BH29" s="385"/>
      <c r="BI29" s="385"/>
      <c r="BJ29" s="385"/>
      <c r="BK29" s="385"/>
      <c r="BL29" s="385"/>
      <c r="BM29" s="385"/>
      <c r="BN29" s="385"/>
      <c r="BO29" s="385"/>
      <c r="BP29" s="385"/>
      <c r="BQ29" s="385"/>
      <c r="BR29" s="385"/>
      <c r="BS29" s="385"/>
      <c r="BT29" s="385"/>
    </row>
    <row r="30" spans="1:72" ht="14.45" customHeight="1" x14ac:dyDescent="0.25">
      <c r="A30" s="177"/>
      <c r="B30" s="444" t="s">
        <v>248</v>
      </c>
      <c r="C30" s="311"/>
      <c r="D30" s="453" t="s">
        <v>108</v>
      </c>
      <c r="E30" s="164" t="s">
        <v>347</v>
      </c>
      <c r="F30" s="176">
        <v>0.5</v>
      </c>
      <c r="G30" s="127">
        <v>0.625</v>
      </c>
      <c r="H30" s="127">
        <v>0.66666666666666663</v>
      </c>
      <c r="I30" s="176">
        <v>0.875</v>
      </c>
      <c r="J30" s="84">
        <f t="shared" si="2"/>
        <v>0.33333333333333337</v>
      </c>
      <c r="K30" s="176">
        <v>0.41666666666666669</v>
      </c>
      <c r="L30" s="127">
        <v>0.625</v>
      </c>
      <c r="M30" s="127">
        <v>0.70833333333333337</v>
      </c>
      <c r="N30" s="176">
        <v>0.83333333333333337</v>
      </c>
      <c r="O30" s="84">
        <f t="shared" si="10"/>
        <v>0.33333333333333331</v>
      </c>
      <c r="P30" s="176">
        <v>0.52083333333333337</v>
      </c>
      <c r="Q30" s="127">
        <v>0.75</v>
      </c>
      <c r="R30" s="127">
        <v>0.79166666666666663</v>
      </c>
      <c r="S30" s="176">
        <v>0.89583333333333337</v>
      </c>
      <c r="T30" s="84">
        <f t="shared" si="11"/>
        <v>0.33333333333333337</v>
      </c>
      <c r="U30" s="431" t="s">
        <v>15</v>
      </c>
      <c r="V30" s="127" t="s">
        <v>15</v>
      </c>
      <c r="W30" s="127" t="s">
        <v>15</v>
      </c>
      <c r="X30" s="431" t="s">
        <v>15</v>
      </c>
      <c r="Y30" s="84" t="str">
        <f t="shared" si="5"/>
        <v/>
      </c>
      <c r="Z30" s="431" t="s">
        <v>15</v>
      </c>
      <c r="AA30" s="127" t="s">
        <v>15</v>
      </c>
      <c r="AB30" s="127" t="s">
        <v>15</v>
      </c>
      <c r="AC30" s="431" t="s">
        <v>15</v>
      </c>
      <c r="AD30" s="84" t="str">
        <f t="shared" si="12"/>
        <v/>
      </c>
      <c r="AE30" s="176">
        <v>0.29166666666666669</v>
      </c>
      <c r="AF30" s="127">
        <v>0.54166666666666663</v>
      </c>
      <c r="AG30" s="127">
        <v>0.625</v>
      </c>
      <c r="AH30" s="176">
        <v>0.70833333333333337</v>
      </c>
      <c r="AI30" s="84">
        <f t="shared" si="7"/>
        <v>0.33333333333333331</v>
      </c>
      <c r="AJ30" s="176">
        <v>0.29166666666666669</v>
      </c>
      <c r="AK30" s="127">
        <v>0.54166666666666663</v>
      </c>
      <c r="AL30" s="127">
        <v>0.625</v>
      </c>
      <c r="AM30" s="176">
        <v>0.70833333333333337</v>
      </c>
      <c r="AN30" s="84">
        <f t="shared" si="9"/>
        <v>0.33333333333333331</v>
      </c>
      <c r="AO30" s="28">
        <f t="shared" si="8"/>
        <v>1.6666666666666665</v>
      </c>
      <c r="AP30" s="174"/>
      <c r="AQ30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4.45" customHeight="1" x14ac:dyDescent="0.25">
      <c r="A31" s="290" t="s">
        <v>263</v>
      </c>
      <c r="B31" s="444" t="s">
        <v>128</v>
      </c>
      <c r="C31" s="311"/>
      <c r="D31" s="453" t="s">
        <v>108</v>
      </c>
      <c r="E31" s="164" t="s">
        <v>347</v>
      </c>
      <c r="F31" s="441">
        <v>0.83333333333333337</v>
      </c>
      <c r="G31" s="127"/>
      <c r="H31" s="127"/>
      <c r="I31" s="441">
        <v>1</v>
      </c>
      <c r="J31" s="84">
        <f t="shared" si="2"/>
        <v>0.16666666666666663</v>
      </c>
      <c r="K31" s="441">
        <v>0</v>
      </c>
      <c r="L31" s="127">
        <v>0.125</v>
      </c>
      <c r="M31" s="127">
        <v>0.20833333333333334</v>
      </c>
      <c r="N31" s="441">
        <v>0.29166666666666669</v>
      </c>
      <c r="O31" s="84">
        <f t="shared" si="10"/>
        <v>0.20833333333333334</v>
      </c>
      <c r="P31" s="431" t="s">
        <v>15</v>
      </c>
      <c r="Q31" s="127" t="s">
        <v>15</v>
      </c>
      <c r="R31" s="127" t="s">
        <v>15</v>
      </c>
      <c r="S31" s="431" t="s">
        <v>15</v>
      </c>
      <c r="T31" s="84" t="str">
        <f t="shared" si="11"/>
        <v/>
      </c>
      <c r="U31" s="176">
        <v>0.27083333333333331</v>
      </c>
      <c r="V31" s="127">
        <v>0.41666666666666669</v>
      </c>
      <c r="W31" s="127">
        <v>0.5</v>
      </c>
      <c r="X31" s="176">
        <v>0.6875</v>
      </c>
      <c r="Y31" s="84">
        <f t="shared" si="5"/>
        <v>0.33333333333333337</v>
      </c>
      <c r="Z31" s="176">
        <v>0.27083333333333331</v>
      </c>
      <c r="AA31" s="127">
        <v>0.41666666666666669</v>
      </c>
      <c r="AB31" s="127">
        <v>0.5</v>
      </c>
      <c r="AC31" s="176">
        <v>0.6875</v>
      </c>
      <c r="AD31" s="84">
        <f t="shared" si="12"/>
        <v>0.33333333333333337</v>
      </c>
      <c r="AE31" s="176">
        <v>0.5625</v>
      </c>
      <c r="AF31" s="127">
        <v>0.66666666666666663</v>
      </c>
      <c r="AG31" s="127">
        <v>0.70833333333333337</v>
      </c>
      <c r="AH31" s="176">
        <v>0.9375</v>
      </c>
      <c r="AI31" s="84">
        <f t="shared" si="7"/>
        <v>0.33333333333333326</v>
      </c>
      <c r="AJ31" s="176">
        <v>0.5625</v>
      </c>
      <c r="AK31" s="127">
        <v>0.75</v>
      </c>
      <c r="AL31" s="127">
        <v>0.79166666666666663</v>
      </c>
      <c r="AM31" s="176">
        <v>0.9375</v>
      </c>
      <c r="AN31" s="84">
        <f t="shared" si="9"/>
        <v>0.33333333333333337</v>
      </c>
      <c r="AO31" s="28">
        <f t="shared" si="8"/>
        <v>1.7083333333333335</v>
      </c>
      <c r="AP31" s="1"/>
      <c r="AQ31" s="302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4.45" customHeight="1" x14ac:dyDescent="0.25">
      <c r="A32" s="409" t="s">
        <v>593</v>
      </c>
      <c r="B32" s="444" t="s">
        <v>127</v>
      </c>
      <c r="C32" s="311"/>
      <c r="D32" s="453" t="s">
        <v>108</v>
      </c>
      <c r="E32" s="164" t="s">
        <v>347</v>
      </c>
      <c r="F32" s="176">
        <v>0.54166666666666663</v>
      </c>
      <c r="G32" s="127">
        <v>0.66666666666666663</v>
      </c>
      <c r="H32" s="127">
        <v>0.70833333333333337</v>
      </c>
      <c r="I32" s="176">
        <v>0.9375</v>
      </c>
      <c r="J32" s="84">
        <f t="shared" si="2"/>
        <v>0.35416666666666663</v>
      </c>
      <c r="K32" s="431" t="s">
        <v>15</v>
      </c>
      <c r="L32" s="127" t="s">
        <v>15</v>
      </c>
      <c r="M32" s="127" t="s">
        <v>15</v>
      </c>
      <c r="N32" s="431" t="s">
        <v>15</v>
      </c>
      <c r="O32" s="84" t="str">
        <f t="shared" si="10"/>
        <v/>
      </c>
      <c r="P32" s="431" t="s">
        <v>15</v>
      </c>
      <c r="Q32" s="127" t="s">
        <v>15</v>
      </c>
      <c r="R32" s="127" t="s">
        <v>15</v>
      </c>
      <c r="S32" s="431" t="s">
        <v>15</v>
      </c>
      <c r="T32" s="84" t="str">
        <f t="shared" si="11"/>
        <v/>
      </c>
      <c r="U32" s="176">
        <v>0.29166666666666669</v>
      </c>
      <c r="V32" s="127">
        <v>0.54166666666666663</v>
      </c>
      <c r="W32" s="127">
        <v>0.625</v>
      </c>
      <c r="X32" s="176">
        <v>0.70833333333333337</v>
      </c>
      <c r="Y32" s="84">
        <f t="shared" si="5"/>
        <v>0.33333333333333331</v>
      </c>
      <c r="Z32" s="176">
        <v>0.41666666666666669</v>
      </c>
      <c r="AA32" s="127">
        <v>0.66666666666666663</v>
      </c>
      <c r="AB32" s="127">
        <v>0.75</v>
      </c>
      <c r="AC32" s="176">
        <v>0.83333333333333337</v>
      </c>
      <c r="AD32" s="84">
        <f t="shared" si="12"/>
        <v>0.33333333333333331</v>
      </c>
      <c r="AE32" s="176">
        <v>0.4375</v>
      </c>
      <c r="AF32" s="127">
        <v>0.58333333333333337</v>
      </c>
      <c r="AG32" s="127">
        <v>0.66666666666666663</v>
      </c>
      <c r="AH32" s="176">
        <v>0.85416666666666663</v>
      </c>
      <c r="AI32" s="84">
        <f t="shared" si="7"/>
        <v>0.33333333333333337</v>
      </c>
      <c r="AJ32" s="176">
        <v>0.52083333333333337</v>
      </c>
      <c r="AK32" s="127">
        <v>0.66666666666666663</v>
      </c>
      <c r="AL32" s="127">
        <v>0.70833333333333337</v>
      </c>
      <c r="AM32" s="176">
        <v>0.89583333333333337</v>
      </c>
      <c r="AN32" s="84">
        <f t="shared" si="9"/>
        <v>0.33333333333333326</v>
      </c>
      <c r="AO32" s="28">
        <f t="shared" si="8"/>
        <v>1.6874999999999998</v>
      </c>
      <c r="AQ32" s="403"/>
    </row>
    <row r="33" spans="1:72" ht="14.45" customHeight="1" x14ac:dyDescent="0.25">
      <c r="A33" s="402" t="s">
        <v>263</v>
      </c>
      <c r="B33" s="444" t="s">
        <v>182</v>
      </c>
      <c r="C33" s="311"/>
      <c r="D33" s="453" t="s">
        <v>108</v>
      </c>
      <c r="E33" s="164" t="s">
        <v>347</v>
      </c>
      <c r="F33" s="176">
        <v>0.5625</v>
      </c>
      <c r="G33" s="127">
        <v>0.79166666666666663</v>
      </c>
      <c r="H33" s="127">
        <v>0.83333333333333337</v>
      </c>
      <c r="I33" s="176">
        <v>0.9375</v>
      </c>
      <c r="J33" s="84">
        <f t="shared" si="2"/>
        <v>0.33333333333333326</v>
      </c>
      <c r="K33" s="431" t="s">
        <v>15</v>
      </c>
      <c r="L33" s="127" t="s">
        <v>15</v>
      </c>
      <c r="M33" s="127" t="s">
        <v>15</v>
      </c>
      <c r="N33" s="431" t="s">
        <v>15</v>
      </c>
      <c r="O33" s="84" t="str">
        <f t="shared" si="10"/>
        <v/>
      </c>
      <c r="P33" s="431" t="s">
        <v>15</v>
      </c>
      <c r="Q33" s="127" t="s">
        <v>15</v>
      </c>
      <c r="R33" s="127" t="s">
        <v>15</v>
      </c>
      <c r="S33" s="431" t="s">
        <v>15</v>
      </c>
      <c r="T33" s="84" t="str">
        <f t="shared" si="11"/>
        <v/>
      </c>
      <c r="U33" s="176">
        <v>0.33333333333333331</v>
      </c>
      <c r="V33" s="127">
        <v>0.58333333333333337</v>
      </c>
      <c r="W33" s="127">
        <v>0.66666666666666663</v>
      </c>
      <c r="X33" s="176">
        <v>0.75</v>
      </c>
      <c r="Y33" s="84">
        <f t="shared" si="5"/>
        <v>0.33333333333333343</v>
      </c>
      <c r="Z33" s="176">
        <v>0.3125</v>
      </c>
      <c r="AA33" s="127">
        <v>0.54166666666666663</v>
      </c>
      <c r="AB33" s="127">
        <v>0.625</v>
      </c>
      <c r="AC33" s="176">
        <v>0.72916666666666663</v>
      </c>
      <c r="AD33" s="84">
        <f t="shared" si="12"/>
        <v>0.33333333333333326</v>
      </c>
      <c r="AE33" s="176">
        <v>0.5</v>
      </c>
      <c r="AF33" s="127">
        <v>0.625</v>
      </c>
      <c r="AG33" s="127">
        <v>0.66666666666666663</v>
      </c>
      <c r="AH33" s="176">
        <v>0.875</v>
      </c>
      <c r="AI33" s="84">
        <f t="shared" si="7"/>
        <v>0.33333333333333337</v>
      </c>
      <c r="AJ33" s="176">
        <v>0.39583333333333331</v>
      </c>
      <c r="AK33" s="127">
        <v>0.625</v>
      </c>
      <c r="AL33" s="127">
        <v>0.70833333333333337</v>
      </c>
      <c r="AM33" s="176">
        <v>0.8125</v>
      </c>
      <c r="AN33" s="84">
        <f t="shared" si="9"/>
        <v>0.33333333333333331</v>
      </c>
      <c r="AO33" s="28">
        <f t="shared" si="8"/>
        <v>1.6666666666666667</v>
      </c>
      <c r="AQ33" s="405"/>
    </row>
    <row r="34" spans="1:72" s="31" customFormat="1" ht="14.45" customHeight="1" x14ac:dyDescent="0.25">
      <c r="A34" s="409" t="s">
        <v>292</v>
      </c>
      <c r="B34" s="444" t="s">
        <v>130</v>
      </c>
      <c r="C34" s="311"/>
      <c r="D34" s="453" t="s">
        <v>108</v>
      </c>
      <c r="E34" s="164" t="s">
        <v>347</v>
      </c>
      <c r="F34" s="176">
        <v>0.29166666666666669</v>
      </c>
      <c r="G34" s="127">
        <v>0.54166666666666663</v>
      </c>
      <c r="H34" s="127">
        <v>0.625</v>
      </c>
      <c r="I34" s="176">
        <v>0.70833333333333337</v>
      </c>
      <c r="J34" s="84">
        <f t="shared" si="2"/>
        <v>0.33333333333333331</v>
      </c>
      <c r="K34" s="176">
        <v>0.29166666666666669</v>
      </c>
      <c r="L34" s="127">
        <v>0.54166666666666663</v>
      </c>
      <c r="M34" s="127">
        <v>0.625</v>
      </c>
      <c r="N34" s="176">
        <v>0.70833333333333337</v>
      </c>
      <c r="O34" s="84">
        <f t="shared" si="10"/>
        <v>0.33333333333333331</v>
      </c>
      <c r="P34" s="176">
        <v>0.39583333333333331</v>
      </c>
      <c r="Q34" s="127">
        <v>0.625</v>
      </c>
      <c r="R34" s="127">
        <v>0.70833333333333337</v>
      </c>
      <c r="S34" s="176">
        <v>0.8125</v>
      </c>
      <c r="T34" s="84">
        <f t="shared" si="11"/>
        <v>0.33333333333333331</v>
      </c>
      <c r="U34" s="176">
        <v>0.5</v>
      </c>
      <c r="V34" s="127">
        <v>0.66666666666666663</v>
      </c>
      <c r="W34" s="127">
        <v>0.70833333333333337</v>
      </c>
      <c r="X34" s="176">
        <v>0.875</v>
      </c>
      <c r="Y34" s="84">
        <f t="shared" si="5"/>
        <v>0.33333333333333326</v>
      </c>
      <c r="Z34" s="176">
        <v>0.45833333333333331</v>
      </c>
      <c r="AA34" s="127">
        <v>0.70833333333333337</v>
      </c>
      <c r="AB34" s="127">
        <v>0.75</v>
      </c>
      <c r="AC34" s="176">
        <v>0.83333333333333337</v>
      </c>
      <c r="AD34" s="84">
        <f t="shared" si="12"/>
        <v>0.33333333333333343</v>
      </c>
      <c r="AE34" s="431" t="s">
        <v>15</v>
      </c>
      <c r="AF34" s="127" t="s">
        <v>15</v>
      </c>
      <c r="AG34" s="127" t="s">
        <v>15</v>
      </c>
      <c r="AH34" s="431" t="s">
        <v>15</v>
      </c>
      <c r="AI34" s="84" t="str">
        <f t="shared" si="7"/>
        <v/>
      </c>
      <c r="AJ34" s="431" t="s">
        <v>15</v>
      </c>
      <c r="AK34" s="127" t="s">
        <v>15</v>
      </c>
      <c r="AL34" s="127" t="s">
        <v>15</v>
      </c>
      <c r="AM34" s="431" t="s">
        <v>15</v>
      </c>
      <c r="AN34" s="84" t="str">
        <f t="shared" si="9"/>
        <v/>
      </c>
      <c r="AO34" s="28">
        <f t="shared" si="8"/>
        <v>1.6666666666666667</v>
      </c>
      <c r="AP34" s="385"/>
      <c r="AQ34" s="405"/>
      <c r="AR34" s="385"/>
      <c r="AS34" s="385"/>
      <c r="AT34" s="385"/>
      <c r="AU34" s="385"/>
      <c r="AV34" s="385"/>
      <c r="AW34" s="385"/>
      <c r="AX34" s="385"/>
      <c r="AY34" s="385"/>
      <c r="AZ34" s="385"/>
      <c r="BA34" s="385"/>
      <c r="BB34" s="385"/>
      <c r="BC34" s="385"/>
      <c r="BD34" s="385"/>
      <c r="BE34" s="385"/>
      <c r="BF34" s="385"/>
      <c r="BG34" s="385"/>
      <c r="BH34" s="385"/>
      <c r="BI34" s="385"/>
      <c r="BJ34" s="385"/>
      <c r="BK34" s="385"/>
      <c r="BL34" s="385"/>
      <c r="BM34" s="385"/>
      <c r="BN34" s="385"/>
      <c r="BO34" s="385"/>
      <c r="BP34" s="385"/>
      <c r="BQ34" s="385"/>
      <c r="BR34" s="385"/>
      <c r="BS34" s="385"/>
      <c r="BT34" s="385"/>
    </row>
    <row r="35" spans="1:72" s="33" customFormat="1" ht="14.45" customHeight="1" x14ac:dyDescent="0.25">
      <c r="A35" s="402" t="s">
        <v>594</v>
      </c>
      <c r="B35" s="444" t="s">
        <v>112</v>
      </c>
      <c r="C35" s="311"/>
      <c r="D35" s="453" t="s">
        <v>108</v>
      </c>
      <c r="E35" s="164" t="s">
        <v>347</v>
      </c>
      <c r="F35" s="176">
        <v>0.29166666666666669</v>
      </c>
      <c r="G35" s="127">
        <v>0.5</v>
      </c>
      <c r="H35" s="127">
        <v>0.58333333333333337</v>
      </c>
      <c r="I35" s="176">
        <v>0.70833333333333337</v>
      </c>
      <c r="J35" s="84">
        <f t="shared" si="2"/>
        <v>0.33333333333333331</v>
      </c>
      <c r="K35" s="176">
        <v>0.3125</v>
      </c>
      <c r="L35" s="127">
        <v>0.41666666666666669</v>
      </c>
      <c r="M35" s="127">
        <v>0.5</v>
      </c>
      <c r="N35" s="176">
        <v>0.72916666666666663</v>
      </c>
      <c r="O35" s="84">
        <f t="shared" si="10"/>
        <v>0.33333333333333331</v>
      </c>
      <c r="P35" s="176">
        <v>0.3125</v>
      </c>
      <c r="Q35" s="127">
        <v>0.54166666666666663</v>
      </c>
      <c r="R35" s="127">
        <v>0.625</v>
      </c>
      <c r="S35" s="176">
        <v>0.72916666666666663</v>
      </c>
      <c r="T35" s="84">
        <f t="shared" si="11"/>
        <v>0.33333333333333326</v>
      </c>
      <c r="U35" s="176">
        <v>0.5</v>
      </c>
      <c r="V35" s="127">
        <v>0.70833333333333337</v>
      </c>
      <c r="W35" s="127">
        <v>0.75</v>
      </c>
      <c r="X35" s="176">
        <v>0.875</v>
      </c>
      <c r="Y35" s="84">
        <f t="shared" si="5"/>
        <v>0.33333333333333337</v>
      </c>
      <c r="Z35" s="176">
        <v>0.54166666666666663</v>
      </c>
      <c r="AA35" s="127">
        <v>0.75</v>
      </c>
      <c r="AB35" s="127">
        <v>0.79166666666666663</v>
      </c>
      <c r="AC35" s="176">
        <v>0.9375</v>
      </c>
      <c r="AD35" s="84">
        <f t="shared" si="12"/>
        <v>0.35416666666666674</v>
      </c>
      <c r="AE35" s="431" t="s">
        <v>15</v>
      </c>
      <c r="AF35" s="127" t="s">
        <v>15</v>
      </c>
      <c r="AG35" s="127" t="s">
        <v>15</v>
      </c>
      <c r="AH35" s="431" t="s">
        <v>15</v>
      </c>
      <c r="AI35" s="84" t="str">
        <f t="shared" si="7"/>
        <v/>
      </c>
      <c r="AJ35" s="431" t="s">
        <v>15</v>
      </c>
      <c r="AK35" s="127" t="s">
        <v>15</v>
      </c>
      <c r="AL35" s="127" t="s">
        <v>15</v>
      </c>
      <c r="AM35" s="431" t="s">
        <v>15</v>
      </c>
      <c r="AN35" s="84" t="str">
        <f t="shared" si="9"/>
        <v/>
      </c>
      <c r="AO35" s="28">
        <f t="shared" si="8"/>
        <v>1.6875</v>
      </c>
      <c r="AP35" s="385"/>
      <c r="AQ35" s="403"/>
      <c r="AR35" s="385"/>
      <c r="AS35" s="385"/>
      <c r="AT35" s="385"/>
      <c r="AU35" s="385"/>
      <c r="AV35" s="385"/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  <c r="BN35" s="385"/>
      <c r="BO35" s="385"/>
      <c r="BP35" s="385"/>
      <c r="BQ35" s="385"/>
      <c r="BR35" s="385"/>
      <c r="BS35" s="385"/>
      <c r="BT35" s="385"/>
    </row>
    <row r="36" spans="1:72" s="33" customFormat="1" ht="14.45" customHeight="1" x14ac:dyDescent="0.25">
      <c r="A36" s="402" t="s">
        <v>595</v>
      </c>
      <c r="B36" s="444" t="s">
        <v>533</v>
      </c>
      <c r="C36" s="311"/>
      <c r="D36" s="453" t="s">
        <v>108</v>
      </c>
      <c r="E36" s="164" t="s">
        <v>347</v>
      </c>
      <c r="F36" s="176">
        <v>0.41666666666666669</v>
      </c>
      <c r="G36" s="127">
        <v>0.58333333333333337</v>
      </c>
      <c r="H36" s="127">
        <v>0.66666666666666663</v>
      </c>
      <c r="I36" s="176">
        <v>0.83333333333333337</v>
      </c>
      <c r="J36" s="84">
        <f t="shared" ref="J36:J67" si="13">IFERROR(MOD(I36-F36,1)-MOD(H36-G36,1),"")</f>
        <v>0.33333333333333343</v>
      </c>
      <c r="K36" s="176">
        <v>0.39583333333333331</v>
      </c>
      <c r="L36" s="127">
        <v>0.58333333333333337</v>
      </c>
      <c r="M36" s="127">
        <v>0.66666666666666663</v>
      </c>
      <c r="N36" s="176">
        <v>0.8125</v>
      </c>
      <c r="O36" s="84">
        <f t="shared" si="10"/>
        <v>0.33333333333333343</v>
      </c>
      <c r="P36" s="431" t="s">
        <v>15</v>
      </c>
      <c r="Q36" s="127" t="s">
        <v>15</v>
      </c>
      <c r="R36" s="127" t="s">
        <v>15</v>
      </c>
      <c r="S36" s="431" t="s">
        <v>15</v>
      </c>
      <c r="T36" s="84" t="str">
        <f t="shared" si="11"/>
        <v/>
      </c>
      <c r="U36" s="431" t="s">
        <v>15</v>
      </c>
      <c r="V36" s="127" t="s">
        <v>15</v>
      </c>
      <c r="W36" s="127" t="s">
        <v>15</v>
      </c>
      <c r="X36" s="431" t="s">
        <v>15</v>
      </c>
      <c r="Y36" s="84" t="str">
        <f t="shared" ref="Y36:Y67" si="14">IFERROR(MOD(X36-U36,1)-MOD(W36-V36,1),"")</f>
        <v/>
      </c>
      <c r="Z36" s="176">
        <v>0.29166666666666669</v>
      </c>
      <c r="AA36" s="127">
        <v>0.54166666666666663</v>
      </c>
      <c r="AB36" s="127">
        <v>0.625</v>
      </c>
      <c r="AC36" s="176">
        <v>0.70833333333333337</v>
      </c>
      <c r="AD36" s="84">
        <f t="shared" si="12"/>
        <v>0.33333333333333331</v>
      </c>
      <c r="AE36" s="176">
        <v>0.29166666666666669</v>
      </c>
      <c r="AF36" s="127">
        <v>0.54166666666666663</v>
      </c>
      <c r="AG36" s="127">
        <v>0.625</v>
      </c>
      <c r="AH36" s="176">
        <v>0.70833333333333337</v>
      </c>
      <c r="AI36" s="84">
        <f t="shared" ref="AI36:AI67" si="15">IFERROR(MOD(AH36-AE36,1)-MOD(AG36-AF36,1),"")</f>
        <v>0.33333333333333331</v>
      </c>
      <c r="AJ36" s="176">
        <v>0.3125</v>
      </c>
      <c r="AK36" s="127">
        <v>0.54166666666666663</v>
      </c>
      <c r="AL36" s="127">
        <v>0.625</v>
      </c>
      <c r="AM36" s="176">
        <v>0.72916666666666663</v>
      </c>
      <c r="AN36" s="84">
        <f t="shared" si="9"/>
        <v>0.33333333333333326</v>
      </c>
      <c r="AO36" s="28">
        <f t="shared" ref="AO36:AO67" si="16">SUM(J36,O36,T36,Y36,AD36,AI36,AN36)</f>
        <v>1.6666666666666667</v>
      </c>
      <c r="AP36" s="385"/>
      <c r="AQ36" s="405"/>
      <c r="AR36" s="385"/>
      <c r="AS36" s="385"/>
      <c r="AT36" s="385"/>
      <c r="AU36" s="385"/>
      <c r="AV36" s="385"/>
      <c r="AW36" s="385"/>
      <c r="AX36" s="385"/>
      <c r="AY36" s="385"/>
      <c r="AZ36" s="385"/>
      <c r="BA36" s="385"/>
      <c r="BB36" s="385"/>
      <c r="BC36" s="385"/>
      <c r="BD36" s="385"/>
      <c r="BE36" s="385"/>
      <c r="BF36" s="385"/>
      <c r="BG36" s="385"/>
      <c r="BH36" s="385"/>
      <c r="BI36" s="385"/>
      <c r="BJ36" s="385"/>
      <c r="BK36" s="385"/>
      <c r="BL36" s="385"/>
      <c r="BM36" s="385"/>
      <c r="BN36" s="385"/>
      <c r="BO36" s="385"/>
      <c r="BP36" s="385"/>
      <c r="BQ36" s="385"/>
      <c r="BR36" s="385"/>
      <c r="BS36" s="385"/>
      <c r="BT36" s="385"/>
    </row>
    <row r="37" spans="1:72" s="33" customFormat="1" ht="14.45" customHeight="1" x14ac:dyDescent="0.25">
      <c r="A37" s="409" t="s">
        <v>596</v>
      </c>
      <c r="B37" s="444" t="s">
        <v>314</v>
      </c>
      <c r="C37" s="311"/>
      <c r="D37" s="453" t="s">
        <v>108</v>
      </c>
      <c r="E37" s="164" t="s">
        <v>347</v>
      </c>
      <c r="F37" s="176">
        <v>0.29166666666666669</v>
      </c>
      <c r="G37" s="127">
        <v>0.54166666666666663</v>
      </c>
      <c r="H37" s="127">
        <v>0.625</v>
      </c>
      <c r="I37" s="176">
        <v>0.70833333333333337</v>
      </c>
      <c r="J37" s="84">
        <f t="shared" si="13"/>
        <v>0.33333333333333331</v>
      </c>
      <c r="K37" s="176">
        <v>0.41666666666666669</v>
      </c>
      <c r="L37" s="127">
        <v>0.58333333333333337</v>
      </c>
      <c r="M37" s="127">
        <v>0.66666666666666663</v>
      </c>
      <c r="N37" s="176">
        <v>0.83333333333333337</v>
      </c>
      <c r="O37" s="84">
        <f t="shared" si="10"/>
        <v>0.33333333333333343</v>
      </c>
      <c r="P37" s="176">
        <v>0.41666666666666669</v>
      </c>
      <c r="Q37" s="127">
        <v>0.66666666666666663</v>
      </c>
      <c r="R37" s="127">
        <v>0.75</v>
      </c>
      <c r="S37" s="176">
        <v>0.83333333333333337</v>
      </c>
      <c r="T37" s="84">
        <f t="shared" si="11"/>
        <v>0.33333333333333331</v>
      </c>
      <c r="U37" s="176">
        <v>0.54166666666666663</v>
      </c>
      <c r="V37" s="127">
        <v>0.70833333333333337</v>
      </c>
      <c r="W37" s="127">
        <v>0.75</v>
      </c>
      <c r="X37" s="176">
        <v>0.9375</v>
      </c>
      <c r="Y37" s="84">
        <f t="shared" si="14"/>
        <v>0.35416666666666674</v>
      </c>
      <c r="Z37" s="431" t="s">
        <v>15</v>
      </c>
      <c r="AA37" s="127" t="s">
        <v>15</v>
      </c>
      <c r="AB37" s="127" t="s">
        <v>15</v>
      </c>
      <c r="AC37" s="431" t="s">
        <v>15</v>
      </c>
      <c r="AD37" s="84" t="str">
        <f t="shared" si="12"/>
        <v/>
      </c>
      <c r="AE37" s="176">
        <v>0.29166666666666669</v>
      </c>
      <c r="AF37" s="127">
        <v>0.54166666666666663</v>
      </c>
      <c r="AG37" s="127">
        <v>0.625</v>
      </c>
      <c r="AH37" s="176">
        <v>0.70833333333333337</v>
      </c>
      <c r="AI37" s="84">
        <f t="shared" si="15"/>
        <v>0.33333333333333331</v>
      </c>
      <c r="AJ37" s="431" t="s">
        <v>15</v>
      </c>
      <c r="AK37" s="127" t="s">
        <v>15</v>
      </c>
      <c r="AL37" s="127" t="s">
        <v>15</v>
      </c>
      <c r="AM37" s="431" t="s">
        <v>15</v>
      </c>
      <c r="AN37" s="84" t="str">
        <f t="shared" si="9"/>
        <v/>
      </c>
      <c r="AO37" s="28">
        <f t="shared" si="16"/>
        <v>1.6875</v>
      </c>
      <c r="AP37" s="385"/>
      <c r="AQ37" s="403"/>
      <c r="AR37" s="385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404"/>
      <c r="BD37" s="404"/>
      <c r="BE37" s="404"/>
      <c r="BF37" s="404"/>
      <c r="BG37" s="404"/>
      <c r="BH37" s="404"/>
      <c r="BI37" s="404"/>
      <c r="BJ37" s="404"/>
      <c r="BK37" s="404"/>
      <c r="BL37" s="404"/>
      <c r="BM37" s="404"/>
      <c r="BN37" s="404"/>
      <c r="BO37" s="404"/>
      <c r="BP37" s="404"/>
      <c r="BQ37" s="404"/>
      <c r="BR37" s="404"/>
      <c r="BS37" s="404"/>
      <c r="BT37" s="404"/>
    </row>
    <row r="38" spans="1:72" s="33" customFormat="1" ht="14.45" customHeight="1" x14ac:dyDescent="0.25">
      <c r="A38" s="402" t="s">
        <v>263</v>
      </c>
      <c r="B38" s="444" t="s">
        <v>82</v>
      </c>
      <c r="C38" s="311" t="s">
        <v>404</v>
      </c>
      <c r="D38" s="453" t="s">
        <v>108</v>
      </c>
      <c r="E38" s="164" t="s">
        <v>404</v>
      </c>
      <c r="F38" s="176"/>
      <c r="G38" s="127"/>
      <c r="H38" s="127"/>
      <c r="I38" s="176"/>
      <c r="J38" s="84">
        <f t="shared" si="13"/>
        <v>0</v>
      </c>
      <c r="K38" s="176"/>
      <c r="L38" s="127"/>
      <c r="M38" s="127"/>
      <c r="N38" s="176"/>
      <c r="O38" s="84">
        <f t="shared" si="10"/>
        <v>0</v>
      </c>
      <c r="P38" s="176"/>
      <c r="Q38" s="127"/>
      <c r="R38" s="127"/>
      <c r="S38" s="176"/>
      <c r="T38" s="84">
        <f t="shared" si="11"/>
        <v>0</v>
      </c>
      <c r="U38" s="176"/>
      <c r="V38" s="127"/>
      <c r="W38" s="127"/>
      <c r="X38" s="176"/>
      <c r="Y38" s="84">
        <f t="shared" si="14"/>
        <v>0</v>
      </c>
      <c r="Z38" s="176"/>
      <c r="AA38" s="127"/>
      <c r="AB38" s="127"/>
      <c r="AC38" s="176"/>
      <c r="AD38" s="84">
        <f t="shared" si="12"/>
        <v>0</v>
      </c>
      <c r="AE38" s="176"/>
      <c r="AF38" s="127"/>
      <c r="AG38" s="127"/>
      <c r="AH38" s="176"/>
      <c r="AI38" s="84">
        <f t="shared" si="15"/>
        <v>0</v>
      </c>
      <c r="AJ38" s="176"/>
      <c r="AK38" s="127"/>
      <c r="AL38" s="127"/>
      <c r="AM38" s="176"/>
      <c r="AN38" s="84">
        <f t="shared" ref="AN38:AN67" si="17">IFERROR(MOD(AM38-AJ38,1)-MOD(AL38-AK38,1),"")</f>
        <v>0</v>
      </c>
      <c r="AO38" s="28">
        <f t="shared" si="16"/>
        <v>0</v>
      </c>
      <c r="AP38" s="385"/>
      <c r="AQ38" s="405"/>
      <c r="AR38" s="385"/>
      <c r="AS38" s="385"/>
      <c r="AT38" s="385"/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5"/>
      <c r="BH38" s="385"/>
      <c r="BI38" s="385"/>
      <c r="BJ38" s="385"/>
      <c r="BK38" s="385"/>
      <c r="BL38" s="385"/>
      <c r="BM38" s="385"/>
      <c r="BN38" s="385"/>
      <c r="BO38" s="385"/>
      <c r="BP38" s="385"/>
      <c r="BQ38" s="385"/>
      <c r="BR38" s="385"/>
      <c r="BS38" s="385"/>
      <c r="BT38" s="385"/>
    </row>
    <row r="39" spans="1:72" s="33" customFormat="1" ht="14.45" customHeight="1" x14ac:dyDescent="0.25">
      <c r="A39" s="411" t="s">
        <v>597</v>
      </c>
      <c r="B39" s="444" t="s">
        <v>83</v>
      </c>
      <c r="C39" s="311" t="s">
        <v>396</v>
      </c>
      <c r="D39" s="453" t="s">
        <v>108</v>
      </c>
      <c r="E39" s="164" t="s">
        <v>347</v>
      </c>
      <c r="F39" s="176">
        <v>0.375</v>
      </c>
      <c r="G39" s="127">
        <v>0.58333333333333337</v>
      </c>
      <c r="H39" s="127">
        <v>0.66666666666666663</v>
      </c>
      <c r="I39" s="176">
        <v>0.70833333333333337</v>
      </c>
      <c r="J39" s="84">
        <f t="shared" si="13"/>
        <v>0.25000000000000011</v>
      </c>
      <c r="K39" s="176">
        <v>0.35416666666666669</v>
      </c>
      <c r="L39" s="127">
        <v>0.54166666666666663</v>
      </c>
      <c r="M39" s="127">
        <v>0.58333333333333337</v>
      </c>
      <c r="N39" s="176">
        <v>0.6875</v>
      </c>
      <c r="O39" s="84">
        <f t="shared" si="10"/>
        <v>0.29166666666666657</v>
      </c>
      <c r="P39" s="176">
        <v>0.35416666666666669</v>
      </c>
      <c r="Q39" s="127">
        <v>0.58333333333333337</v>
      </c>
      <c r="R39" s="127">
        <v>0.625</v>
      </c>
      <c r="S39" s="176">
        <v>0.6875</v>
      </c>
      <c r="T39" s="84">
        <f t="shared" si="11"/>
        <v>0.29166666666666669</v>
      </c>
      <c r="U39" s="431" t="s">
        <v>15</v>
      </c>
      <c r="V39" s="127" t="s">
        <v>15</v>
      </c>
      <c r="W39" s="127" t="s">
        <v>15</v>
      </c>
      <c r="X39" s="431" t="s">
        <v>15</v>
      </c>
      <c r="Y39" s="84" t="str">
        <f t="shared" si="14"/>
        <v/>
      </c>
      <c r="Z39" s="431" t="s">
        <v>15</v>
      </c>
      <c r="AA39" s="127" t="s">
        <v>15</v>
      </c>
      <c r="AB39" s="127" t="s">
        <v>15</v>
      </c>
      <c r="AC39" s="431" t="s">
        <v>15</v>
      </c>
      <c r="AD39" s="84" t="str">
        <f t="shared" si="12"/>
        <v/>
      </c>
      <c r="AE39" s="176">
        <v>0.35416666666666669</v>
      </c>
      <c r="AF39" s="127">
        <v>0.58333333333333337</v>
      </c>
      <c r="AG39" s="127">
        <v>0.625</v>
      </c>
      <c r="AH39" s="176">
        <v>0.6875</v>
      </c>
      <c r="AI39" s="84">
        <f t="shared" si="15"/>
        <v>0.29166666666666669</v>
      </c>
      <c r="AJ39" s="176">
        <v>0.35416666666666669</v>
      </c>
      <c r="AK39" s="127">
        <v>0.54166666666666663</v>
      </c>
      <c r="AL39" s="127">
        <v>0.58333333333333337</v>
      </c>
      <c r="AM39" s="176">
        <v>0.6875</v>
      </c>
      <c r="AN39" s="84">
        <f t="shared" si="17"/>
        <v>0.29166666666666657</v>
      </c>
      <c r="AO39" s="28">
        <f t="shared" si="16"/>
        <v>1.4166666666666667</v>
      </c>
      <c r="AP39" s="385"/>
      <c r="AQ39" s="403"/>
      <c r="AR39" s="385"/>
      <c r="AS39" s="385"/>
      <c r="AT39" s="385"/>
      <c r="AU39" s="385"/>
      <c r="AV39" s="385"/>
      <c r="AW39" s="385"/>
      <c r="AX39" s="385"/>
      <c r="AY39" s="385"/>
      <c r="AZ39" s="385"/>
      <c r="BA39" s="385"/>
      <c r="BB39" s="385"/>
      <c r="BC39" s="385"/>
      <c r="BD39" s="385"/>
      <c r="BE39" s="385"/>
      <c r="BF39" s="385"/>
      <c r="BG39" s="385"/>
      <c r="BH39" s="385"/>
      <c r="BI39" s="385"/>
      <c r="BJ39" s="385"/>
      <c r="BK39" s="385"/>
      <c r="BL39" s="385"/>
      <c r="BM39" s="385"/>
      <c r="BN39" s="385"/>
      <c r="BO39" s="385"/>
      <c r="BP39" s="385"/>
      <c r="BQ39" s="385"/>
      <c r="BR39" s="385"/>
      <c r="BS39" s="385"/>
      <c r="BT39" s="385"/>
    </row>
    <row r="40" spans="1:72" s="1" customFormat="1" ht="14.45" customHeight="1" x14ac:dyDescent="0.25">
      <c r="A40" s="411" t="s">
        <v>284</v>
      </c>
      <c r="B40" s="444" t="s">
        <v>249</v>
      </c>
      <c r="C40" s="311" t="s">
        <v>396</v>
      </c>
      <c r="D40" s="453" t="s">
        <v>108</v>
      </c>
      <c r="E40" s="164" t="s">
        <v>347</v>
      </c>
      <c r="F40" s="176">
        <v>0.35416666666666669</v>
      </c>
      <c r="G40" s="127">
        <v>0.58333333333333337</v>
      </c>
      <c r="H40" s="127">
        <v>0.625</v>
      </c>
      <c r="I40" s="176">
        <v>0.6875</v>
      </c>
      <c r="J40" s="84">
        <f t="shared" si="13"/>
        <v>0.29166666666666669</v>
      </c>
      <c r="K40" s="431" t="s">
        <v>15</v>
      </c>
      <c r="L40" s="127" t="s">
        <v>15</v>
      </c>
      <c r="M40" s="127" t="s">
        <v>15</v>
      </c>
      <c r="N40" s="431" t="s">
        <v>15</v>
      </c>
      <c r="O40" s="84" t="str">
        <f t="shared" si="10"/>
        <v/>
      </c>
      <c r="P40" s="431" t="s">
        <v>15</v>
      </c>
      <c r="Q40" s="127" t="s">
        <v>15</v>
      </c>
      <c r="R40" s="127" t="s">
        <v>15</v>
      </c>
      <c r="S40" s="431" t="s">
        <v>15</v>
      </c>
      <c r="T40" s="84" t="str">
        <f t="shared" si="11"/>
        <v/>
      </c>
      <c r="U40" s="176">
        <v>0.35416666666666669</v>
      </c>
      <c r="V40" s="127">
        <v>0.58333333333333337</v>
      </c>
      <c r="W40" s="127">
        <v>0.625</v>
      </c>
      <c r="X40" s="176">
        <v>0.6875</v>
      </c>
      <c r="Y40" s="84">
        <f t="shared" si="14"/>
        <v>0.29166666666666669</v>
      </c>
      <c r="Z40" s="176">
        <v>0.35416666666666669</v>
      </c>
      <c r="AA40" s="127">
        <v>0.54166666666666663</v>
      </c>
      <c r="AB40" s="127">
        <v>0.58333333333333337</v>
      </c>
      <c r="AC40" s="176">
        <v>0.6875</v>
      </c>
      <c r="AD40" s="84">
        <f t="shared" si="12"/>
        <v>0.29166666666666657</v>
      </c>
      <c r="AE40" s="176">
        <v>0.35416666666666669</v>
      </c>
      <c r="AF40" s="127">
        <v>0.54166666666666663</v>
      </c>
      <c r="AG40" s="127">
        <v>0.58333333333333337</v>
      </c>
      <c r="AH40" s="176">
        <v>0.6875</v>
      </c>
      <c r="AI40" s="84">
        <f t="shared" si="15"/>
        <v>0.29166666666666657</v>
      </c>
      <c r="AJ40" s="176">
        <v>0.35416666666666669</v>
      </c>
      <c r="AK40" s="127">
        <v>0.54166666666666663</v>
      </c>
      <c r="AL40" s="127">
        <v>0.58333333333333337</v>
      </c>
      <c r="AM40" s="176">
        <v>0.6875</v>
      </c>
      <c r="AN40" s="84">
        <f t="shared" si="17"/>
        <v>0.29166666666666657</v>
      </c>
      <c r="AO40" s="28">
        <f t="shared" si="16"/>
        <v>1.458333333333333</v>
      </c>
      <c r="AP40" s="385"/>
      <c r="AQ40" s="405"/>
      <c r="AR40" s="385"/>
      <c r="AS40" s="385"/>
      <c r="AT40" s="385"/>
      <c r="AU40" s="385"/>
      <c r="AV40" s="385"/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5"/>
      <c r="BK40" s="385"/>
      <c r="BL40" s="385"/>
      <c r="BM40" s="385"/>
      <c r="BN40" s="385"/>
      <c r="BO40" s="385"/>
      <c r="BP40" s="385"/>
      <c r="BQ40" s="385"/>
      <c r="BR40" s="385"/>
      <c r="BS40" s="385"/>
      <c r="BT40" s="385"/>
    </row>
    <row r="41" spans="1:72" s="1" customFormat="1" ht="14.45" customHeight="1" x14ac:dyDescent="0.25">
      <c r="A41" s="487"/>
      <c r="B41" s="442" t="s">
        <v>315</v>
      </c>
      <c r="C41" s="311"/>
      <c r="D41" s="453" t="s">
        <v>108</v>
      </c>
      <c r="E41" s="439" t="s">
        <v>346</v>
      </c>
      <c r="F41" s="176">
        <v>0.54166666666666663</v>
      </c>
      <c r="G41" s="127">
        <v>0.66666666666666663</v>
      </c>
      <c r="H41" s="127">
        <v>0.70833333333333337</v>
      </c>
      <c r="I41" s="176">
        <v>0.91666666666666663</v>
      </c>
      <c r="J41" s="84">
        <f t="shared" si="13"/>
        <v>0.33333333333333326</v>
      </c>
      <c r="K41" s="176">
        <v>0.54166666666666663</v>
      </c>
      <c r="L41" s="127">
        <v>0.625</v>
      </c>
      <c r="M41" s="127">
        <v>0.66666666666666663</v>
      </c>
      <c r="N41" s="176">
        <v>0.91666666666666663</v>
      </c>
      <c r="O41" s="84">
        <f t="shared" si="10"/>
        <v>0.33333333333333337</v>
      </c>
      <c r="P41" s="431" t="s">
        <v>15</v>
      </c>
      <c r="Q41" s="127" t="s">
        <v>15</v>
      </c>
      <c r="R41" s="127" t="s">
        <v>15</v>
      </c>
      <c r="S41" s="431" t="s">
        <v>15</v>
      </c>
      <c r="T41" s="84" t="str">
        <f t="shared" si="11"/>
        <v/>
      </c>
      <c r="U41" s="431" t="s">
        <v>15</v>
      </c>
      <c r="V41" s="127" t="s">
        <v>15</v>
      </c>
      <c r="W41" s="127" t="s">
        <v>15</v>
      </c>
      <c r="X41" s="431" t="s">
        <v>15</v>
      </c>
      <c r="Y41" s="84" t="str">
        <f t="shared" si="14"/>
        <v/>
      </c>
      <c r="Z41" s="176">
        <v>0.29166666666666669</v>
      </c>
      <c r="AA41" s="127">
        <v>0.54166666666666663</v>
      </c>
      <c r="AB41" s="127">
        <v>0.625</v>
      </c>
      <c r="AC41" s="176">
        <v>0.70833333333333337</v>
      </c>
      <c r="AD41" s="84">
        <f t="shared" si="12"/>
        <v>0.33333333333333331</v>
      </c>
      <c r="AE41" s="176">
        <v>0.33333333333333331</v>
      </c>
      <c r="AF41" s="127">
        <v>0.58333333333333337</v>
      </c>
      <c r="AG41" s="127">
        <v>0.66666666666666663</v>
      </c>
      <c r="AH41" s="176">
        <v>0.75</v>
      </c>
      <c r="AI41" s="84">
        <f t="shared" si="15"/>
        <v>0.33333333333333343</v>
      </c>
      <c r="AJ41" s="176">
        <v>0.54166666666666663</v>
      </c>
      <c r="AK41" s="127">
        <v>0.66666666666666663</v>
      </c>
      <c r="AL41" s="127">
        <v>0.70833333333333337</v>
      </c>
      <c r="AM41" s="176">
        <v>0.91666666666666663</v>
      </c>
      <c r="AN41" s="84">
        <f t="shared" si="17"/>
        <v>0.33333333333333326</v>
      </c>
      <c r="AO41" s="28">
        <f t="shared" si="16"/>
        <v>1.6666666666666667</v>
      </c>
      <c r="AP41" s="385"/>
      <c r="AQ41" s="385"/>
      <c r="AR41" s="385"/>
      <c r="AS41" s="385"/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5"/>
      <c r="BK41" s="385"/>
      <c r="BL41" s="385"/>
      <c r="BM41" s="385"/>
      <c r="BN41" s="385"/>
      <c r="BO41" s="385"/>
      <c r="BP41" s="385"/>
      <c r="BQ41" s="385"/>
      <c r="BR41" s="385"/>
      <c r="BS41" s="385"/>
      <c r="BT41" s="385"/>
    </row>
    <row r="42" spans="1:72" s="1" customFormat="1" ht="14.45" customHeight="1" x14ac:dyDescent="0.25">
      <c r="A42" s="487"/>
      <c r="B42" s="442" t="s">
        <v>647</v>
      </c>
      <c r="C42" s="311"/>
      <c r="D42" s="453" t="s">
        <v>108</v>
      </c>
      <c r="E42" s="439" t="s">
        <v>346</v>
      </c>
      <c r="F42" s="176">
        <v>0.5625</v>
      </c>
      <c r="G42" s="127">
        <v>0.66666666666666663</v>
      </c>
      <c r="H42" s="127">
        <v>0.70833333333333337</v>
      </c>
      <c r="I42" s="176">
        <v>0.9375</v>
      </c>
      <c r="J42" s="84">
        <f t="shared" si="13"/>
        <v>0.33333333333333326</v>
      </c>
      <c r="K42" s="176">
        <v>0.52083333333333337</v>
      </c>
      <c r="L42" s="127">
        <v>0.66666666666666663</v>
      </c>
      <c r="M42" s="127">
        <v>0.75</v>
      </c>
      <c r="N42" s="176">
        <v>0.9375</v>
      </c>
      <c r="O42" s="84">
        <f t="shared" si="10"/>
        <v>0.33333333333333326</v>
      </c>
      <c r="P42" s="176">
        <v>0.5625</v>
      </c>
      <c r="Q42" s="127">
        <v>0.66666666666666663</v>
      </c>
      <c r="R42" s="127">
        <v>0.70833333333333337</v>
      </c>
      <c r="S42" s="176">
        <v>0.9375</v>
      </c>
      <c r="T42" s="84">
        <f t="shared" si="11"/>
        <v>0.33333333333333326</v>
      </c>
      <c r="U42" s="431" t="s">
        <v>15</v>
      </c>
      <c r="V42" s="127" t="s">
        <v>15</v>
      </c>
      <c r="W42" s="127" t="s">
        <v>15</v>
      </c>
      <c r="X42" s="431" t="s">
        <v>15</v>
      </c>
      <c r="Y42" s="84" t="str">
        <f t="shared" si="14"/>
        <v/>
      </c>
      <c r="Z42" s="431" t="s">
        <v>15</v>
      </c>
      <c r="AA42" s="127" t="s">
        <v>15</v>
      </c>
      <c r="AB42" s="127" t="s">
        <v>15</v>
      </c>
      <c r="AC42" s="431" t="s">
        <v>15</v>
      </c>
      <c r="AD42" s="84" t="str">
        <f t="shared" si="12"/>
        <v/>
      </c>
      <c r="AE42" s="176">
        <v>0.29166666666666669</v>
      </c>
      <c r="AF42" s="127">
        <v>0.54166666666666663</v>
      </c>
      <c r="AG42" s="127">
        <v>0.625</v>
      </c>
      <c r="AH42" s="176">
        <v>0.70833333333333337</v>
      </c>
      <c r="AI42" s="84">
        <f t="shared" si="15"/>
        <v>0.33333333333333331</v>
      </c>
      <c r="AJ42" s="176">
        <v>0.29166666666666669</v>
      </c>
      <c r="AK42" s="127">
        <v>0.54166666666666663</v>
      </c>
      <c r="AL42" s="127">
        <v>0.625</v>
      </c>
      <c r="AM42" s="176">
        <v>0.70833333333333337</v>
      </c>
      <c r="AN42" s="84">
        <f t="shared" si="17"/>
        <v>0.33333333333333331</v>
      </c>
      <c r="AO42" s="28">
        <f t="shared" si="16"/>
        <v>1.6666666666666663</v>
      </c>
      <c r="AP42" s="385"/>
      <c r="AQ42" s="385"/>
      <c r="AR42" s="385"/>
      <c r="AS42" s="385"/>
      <c r="AT42" s="385"/>
      <c r="AU42" s="385"/>
      <c r="AV42" s="385"/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5"/>
      <c r="BK42" s="385"/>
      <c r="BL42" s="385"/>
      <c r="BM42" s="385"/>
      <c r="BN42" s="385"/>
      <c r="BO42" s="385"/>
      <c r="BP42" s="385"/>
      <c r="BQ42" s="385"/>
      <c r="BR42" s="385"/>
      <c r="BS42" s="385"/>
      <c r="BT42" s="385"/>
    </row>
    <row r="43" spans="1:72" s="1" customFormat="1" ht="14.45" customHeight="1" x14ac:dyDescent="0.25">
      <c r="A43" s="402" t="s">
        <v>259</v>
      </c>
      <c r="B43" s="442" t="s">
        <v>212</v>
      </c>
      <c r="C43" s="311"/>
      <c r="D43" s="450" t="s">
        <v>246</v>
      </c>
      <c r="E43" s="440" t="s">
        <v>79</v>
      </c>
      <c r="F43" s="176">
        <v>0.6875</v>
      </c>
      <c r="G43" s="127"/>
      <c r="H43" s="127"/>
      <c r="I43" s="176">
        <v>0.9375</v>
      </c>
      <c r="J43" s="84">
        <f t="shared" si="13"/>
        <v>0.25</v>
      </c>
      <c r="K43" s="85">
        <v>0.83333333333333337</v>
      </c>
      <c r="L43" s="127"/>
      <c r="M43" s="127"/>
      <c r="N43" s="85">
        <v>1</v>
      </c>
      <c r="O43" s="84">
        <f t="shared" si="10"/>
        <v>0.16666666666666663</v>
      </c>
      <c r="P43" s="85">
        <v>0</v>
      </c>
      <c r="Q43" s="127">
        <v>0.125</v>
      </c>
      <c r="R43" s="127">
        <v>0.20833333333333334</v>
      </c>
      <c r="S43" s="85">
        <v>0.29166666666666669</v>
      </c>
      <c r="T43" s="84">
        <f t="shared" si="11"/>
        <v>0.20833333333333334</v>
      </c>
      <c r="U43" s="431" t="s">
        <v>15</v>
      </c>
      <c r="V43" s="127" t="s">
        <v>15</v>
      </c>
      <c r="W43" s="127" t="s">
        <v>15</v>
      </c>
      <c r="X43" s="431" t="s">
        <v>15</v>
      </c>
      <c r="Y43" s="84" t="str">
        <f t="shared" si="14"/>
        <v/>
      </c>
      <c r="Z43" s="176">
        <v>0.29166666666666669</v>
      </c>
      <c r="AA43" s="127">
        <v>0.54166666666666663</v>
      </c>
      <c r="AB43" s="127">
        <v>0.625</v>
      </c>
      <c r="AC43" s="176">
        <v>0.70833333333333337</v>
      </c>
      <c r="AD43" s="84">
        <f t="shared" si="12"/>
        <v>0.33333333333333331</v>
      </c>
      <c r="AE43" s="176">
        <v>0.45833333333333331</v>
      </c>
      <c r="AF43" s="127">
        <v>0.625</v>
      </c>
      <c r="AG43" s="127">
        <v>0.66666666666666663</v>
      </c>
      <c r="AH43" s="176">
        <v>0.875</v>
      </c>
      <c r="AI43" s="84">
        <f t="shared" si="15"/>
        <v>0.37500000000000006</v>
      </c>
      <c r="AJ43" s="176">
        <v>0.54166666666666663</v>
      </c>
      <c r="AK43" s="127">
        <v>0.75</v>
      </c>
      <c r="AL43" s="127">
        <v>0.79166666666666663</v>
      </c>
      <c r="AM43" s="176">
        <v>0.9375</v>
      </c>
      <c r="AN43" s="84">
        <f t="shared" si="17"/>
        <v>0.35416666666666674</v>
      </c>
      <c r="AO43" s="28">
        <f t="shared" si="16"/>
        <v>1.6875</v>
      </c>
      <c r="AP43" s="385"/>
      <c r="AQ43" s="403"/>
      <c r="AR43" s="385"/>
      <c r="AS43" s="414"/>
      <c r="AT43" s="385"/>
      <c r="AU43" s="385"/>
      <c r="AV43" s="385"/>
      <c r="AW43" s="404"/>
      <c r="AX43" s="385"/>
      <c r="AY43" s="385"/>
      <c r="AZ43" s="385"/>
      <c r="BA43" s="385"/>
      <c r="BB43" s="385"/>
      <c r="BC43" s="385"/>
      <c r="BD43" s="385"/>
      <c r="BE43" s="385"/>
      <c r="BF43" s="385"/>
      <c r="BG43" s="385"/>
      <c r="BH43" s="385"/>
      <c r="BI43" s="385"/>
      <c r="BJ43" s="385"/>
      <c r="BK43" s="385"/>
      <c r="BL43" s="385"/>
      <c r="BM43" s="385"/>
      <c r="BN43" s="385"/>
      <c r="BO43" s="385"/>
      <c r="BP43" s="385"/>
      <c r="BQ43" s="385"/>
      <c r="BR43" s="385"/>
      <c r="BS43" s="385"/>
      <c r="BT43" s="385"/>
    </row>
    <row r="44" spans="1:72" s="1" customFormat="1" ht="14.45" customHeight="1" x14ac:dyDescent="0.25">
      <c r="A44" s="402" t="s">
        <v>264</v>
      </c>
      <c r="B44" s="442" t="s">
        <v>532</v>
      </c>
      <c r="C44" s="311"/>
      <c r="D44" s="450" t="s">
        <v>246</v>
      </c>
      <c r="E44" s="440" t="s">
        <v>79</v>
      </c>
      <c r="F44" s="176">
        <v>0.52083333333333337</v>
      </c>
      <c r="G44" s="127">
        <v>0.77083333333333337</v>
      </c>
      <c r="H44" s="127">
        <v>0.8125</v>
      </c>
      <c r="I44" s="176">
        <v>0.9375</v>
      </c>
      <c r="J44" s="84">
        <f t="shared" si="13"/>
        <v>0.375</v>
      </c>
      <c r="K44" s="176">
        <v>0.54166666666666663</v>
      </c>
      <c r="L44" s="127">
        <v>0.75</v>
      </c>
      <c r="M44" s="127">
        <v>0.79166666666666663</v>
      </c>
      <c r="N44" s="176">
        <v>0.9375</v>
      </c>
      <c r="O44" s="84">
        <f t="shared" si="10"/>
        <v>0.35416666666666674</v>
      </c>
      <c r="P44" s="176">
        <v>0.54166666666666663</v>
      </c>
      <c r="Q44" s="127">
        <v>0.66666666666666663</v>
      </c>
      <c r="R44" s="127">
        <v>0.70833333333333337</v>
      </c>
      <c r="S44" s="176">
        <v>0.9375</v>
      </c>
      <c r="T44" s="84">
        <f t="shared" si="11"/>
        <v>0.35416666666666663</v>
      </c>
      <c r="U44" s="431" t="s">
        <v>15</v>
      </c>
      <c r="V44" s="127" t="s">
        <v>15</v>
      </c>
      <c r="W44" s="127" t="s">
        <v>15</v>
      </c>
      <c r="X44" s="431" t="s">
        <v>15</v>
      </c>
      <c r="Y44" s="84" t="str">
        <f t="shared" si="14"/>
        <v/>
      </c>
      <c r="Z44" s="431" t="s">
        <v>15</v>
      </c>
      <c r="AA44" s="127" t="s">
        <v>15</v>
      </c>
      <c r="AB44" s="127" t="s">
        <v>15</v>
      </c>
      <c r="AC44" s="431" t="s">
        <v>15</v>
      </c>
      <c r="AD44" s="84" t="str">
        <f t="shared" si="12"/>
        <v/>
      </c>
      <c r="AE44" s="176">
        <v>0.41666666666666669</v>
      </c>
      <c r="AF44" s="127">
        <v>0.70833333333333337</v>
      </c>
      <c r="AG44" s="127">
        <v>0.75</v>
      </c>
      <c r="AH44" s="176">
        <v>0.83333333333333337</v>
      </c>
      <c r="AI44" s="84">
        <f t="shared" si="15"/>
        <v>0.37500000000000006</v>
      </c>
      <c r="AJ44" s="176">
        <v>0.35416666666666669</v>
      </c>
      <c r="AK44" s="127">
        <v>0.58333333333333337</v>
      </c>
      <c r="AL44" s="127">
        <v>0.66666666666666663</v>
      </c>
      <c r="AM44" s="176">
        <v>0.77083333333333337</v>
      </c>
      <c r="AN44" s="84">
        <f t="shared" si="17"/>
        <v>0.33333333333333343</v>
      </c>
      <c r="AO44" s="28">
        <f t="shared" si="16"/>
        <v>1.791666666666667</v>
      </c>
      <c r="AP44" s="410"/>
      <c r="AQ44" s="403"/>
      <c r="AR44" s="385"/>
      <c r="AS44" s="414"/>
      <c r="AT44" s="385"/>
      <c r="AU44" s="385"/>
      <c r="AV44" s="385"/>
      <c r="AW44" s="404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</row>
    <row r="45" spans="1:72" ht="14.45" customHeight="1" x14ac:dyDescent="0.25">
      <c r="A45" s="177" t="s">
        <v>590</v>
      </c>
      <c r="B45" s="442" t="s">
        <v>311</v>
      </c>
      <c r="C45" s="311"/>
      <c r="D45" s="450" t="s">
        <v>246</v>
      </c>
      <c r="E45" s="440" t="s">
        <v>79</v>
      </c>
      <c r="F45" s="176">
        <v>0.27083333333333331</v>
      </c>
      <c r="G45" s="127">
        <v>0.5</v>
      </c>
      <c r="H45" s="127">
        <v>0.54166666666666663</v>
      </c>
      <c r="I45" s="176">
        <v>0.6875</v>
      </c>
      <c r="J45" s="84">
        <f t="shared" si="13"/>
        <v>0.37500000000000006</v>
      </c>
      <c r="K45" s="176">
        <v>0.29166666666666669</v>
      </c>
      <c r="L45" s="127">
        <v>0.5</v>
      </c>
      <c r="M45" s="127">
        <v>0.54166666666666663</v>
      </c>
      <c r="N45" s="176">
        <v>0.66666666666666663</v>
      </c>
      <c r="O45" s="84">
        <f t="shared" si="10"/>
        <v>0.33333333333333331</v>
      </c>
      <c r="P45" s="176">
        <v>0.54166666666666663</v>
      </c>
      <c r="Q45" s="127">
        <v>0.66666666666666663</v>
      </c>
      <c r="R45" s="127">
        <v>0.70833333333333337</v>
      </c>
      <c r="S45" s="176">
        <v>0.9375</v>
      </c>
      <c r="T45" s="84">
        <f t="shared" si="11"/>
        <v>0.35416666666666663</v>
      </c>
      <c r="U45" s="176">
        <v>0.52083333333333337</v>
      </c>
      <c r="V45" s="127">
        <v>0.72916666666666663</v>
      </c>
      <c r="W45" s="127">
        <v>0.77083333333333337</v>
      </c>
      <c r="X45" s="176">
        <v>0.9375</v>
      </c>
      <c r="Y45" s="84">
        <f t="shared" si="14"/>
        <v>0.37499999999999989</v>
      </c>
      <c r="Z45" s="431" t="s">
        <v>15</v>
      </c>
      <c r="AA45" s="127" t="s">
        <v>15</v>
      </c>
      <c r="AB45" s="127" t="s">
        <v>15</v>
      </c>
      <c r="AC45" s="431" t="s">
        <v>15</v>
      </c>
      <c r="AD45" s="84" t="str">
        <f t="shared" si="12"/>
        <v/>
      </c>
      <c r="AE45" s="431" t="s">
        <v>15</v>
      </c>
      <c r="AF45" s="127" t="s">
        <v>15</v>
      </c>
      <c r="AG45" s="127" t="s">
        <v>15</v>
      </c>
      <c r="AH45" s="431" t="s">
        <v>15</v>
      </c>
      <c r="AI45" s="84" t="str">
        <f t="shared" si="15"/>
        <v/>
      </c>
      <c r="AJ45" s="176">
        <v>0.29166666666666669</v>
      </c>
      <c r="AK45" s="127">
        <v>0.54166666666666663</v>
      </c>
      <c r="AL45" s="127">
        <v>0.58333333333333337</v>
      </c>
      <c r="AM45" s="176">
        <v>0.70833333333333337</v>
      </c>
      <c r="AN45" s="84">
        <f t="shared" si="17"/>
        <v>0.37499999999999994</v>
      </c>
      <c r="AO45" s="28">
        <f t="shared" si="16"/>
        <v>1.8125</v>
      </c>
      <c r="AP45" s="1"/>
      <c r="AQ45" s="302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4.45" customHeight="1" x14ac:dyDescent="0.25">
      <c r="A46" s="290" t="s">
        <v>276</v>
      </c>
      <c r="B46" s="442" t="s">
        <v>207</v>
      </c>
      <c r="C46" s="311"/>
      <c r="D46" s="450" t="s">
        <v>246</v>
      </c>
      <c r="E46" s="440" t="s">
        <v>79</v>
      </c>
      <c r="F46" s="176">
        <v>0.5</v>
      </c>
      <c r="G46" s="127">
        <v>0.72916666666666663</v>
      </c>
      <c r="H46" s="127">
        <v>0.77083333333333337</v>
      </c>
      <c r="I46" s="176">
        <v>0.89583333333333337</v>
      </c>
      <c r="J46" s="84">
        <f t="shared" si="13"/>
        <v>0.35416666666666663</v>
      </c>
      <c r="K46" s="176">
        <v>0.27083333333333331</v>
      </c>
      <c r="L46" s="127">
        <v>0.54166666666666663</v>
      </c>
      <c r="M46" s="127">
        <v>0.625</v>
      </c>
      <c r="N46" s="176">
        <v>0.6875</v>
      </c>
      <c r="O46" s="84">
        <f t="shared" si="10"/>
        <v>0.33333333333333331</v>
      </c>
      <c r="P46" s="176">
        <v>0.41666666666666669</v>
      </c>
      <c r="Q46" s="127">
        <v>0.625</v>
      </c>
      <c r="R46" s="127">
        <v>0.70833333333333337</v>
      </c>
      <c r="S46" s="176">
        <v>0.83333333333333337</v>
      </c>
      <c r="T46" s="84">
        <f t="shared" si="11"/>
        <v>0.33333333333333331</v>
      </c>
      <c r="U46" s="85">
        <v>0.83333333333333337</v>
      </c>
      <c r="V46" s="127"/>
      <c r="W46" s="127"/>
      <c r="X46" s="85">
        <v>1</v>
      </c>
      <c r="Y46" s="84">
        <f t="shared" si="14"/>
        <v>0.16666666666666663</v>
      </c>
      <c r="Z46" s="85">
        <v>0</v>
      </c>
      <c r="AA46" s="127">
        <v>0.125</v>
      </c>
      <c r="AB46" s="127">
        <v>0.20833333333333334</v>
      </c>
      <c r="AC46" s="85">
        <v>0.29166666666666669</v>
      </c>
      <c r="AD46" s="84">
        <f t="shared" si="12"/>
        <v>0.20833333333333334</v>
      </c>
      <c r="AE46" s="176">
        <v>0.375</v>
      </c>
      <c r="AF46" s="127">
        <v>0.58333333333333337</v>
      </c>
      <c r="AG46" s="127">
        <v>0.66666666666666663</v>
      </c>
      <c r="AH46" s="176">
        <v>0.79166666666666663</v>
      </c>
      <c r="AI46" s="84">
        <f t="shared" si="15"/>
        <v>0.33333333333333337</v>
      </c>
      <c r="AJ46" s="431" t="s">
        <v>15</v>
      </c>
      <c r="AK46" s="127" t="s">
        <v>15</v>
      </c>
      <c r="AL46" s="127" t="s">
        <v>15</v>
      </c>
      <c r="AM46" s="431" t="s">
        <v>15</v>
      </c>
      <c r="AN46" s="84" t="str">
        <f t="shared" si="17"/>
        <v/>
      </c>
      <c r="AO46" s="28">
        <f t="shared" si="16"/>
        <v>1.7291666666666665</v>
      </c>
      <c r="AP46" s="1"/>
      <c r="AQ46" s="302"/>
      <c r="AR46" s="29"/>
      <c r="AS46" s="29"/>
      <c r="AT46" s="29"/>
      <c r="AU46" s="29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</row>
    <row r="47" spans="1:72" ht="14.45" customHeight="1" x14ac:dyDescent="0.25">
      <c r="A47" s="402"/>
      <c r="B47" s="442" t="s">
        <v>312</v>
      </c>
      <c r="C47" s="311"/>
      <c r="D47" s="450" t="s">
        <v>246</v>
      </c>
      <c r="E47" s="440" t="s">
        <v>79</v>
      </c>
      <c r="F47" s="431" t="s">
        <v>15</v>
      </c>
      <c r="G47" s="127" t="s">
        <v>15</v>
      </c>
      <c r="H47" s="127" t="s">
        <v>15</v>
      </c>
      <c r="I47" s="431" t="s">
        <v>15</v>
      </c>
      <c r="J47" s="84" t="str">
        <f t="shared" si="13"/>
        <v/>
      </c>
      <c r="K47" s="431" t="s">
        <v>15</v>
      </c>
      <c r="L47" s="127" t="s">
        <v>15</v>
      </c>
      <c r="M47" s="127" t="s">
        <v>15</v>
      </c>
      <c r="N47" s="431" t="s">
        <v>15</v>
      </c>
      <c r="O47" s="84" t="str">
        <f t="shared" si="10"/>
        <v/>
      </c>
      <c r="P47" s="176">
        <v>0.27083333333333331</v>
      </c>
      <c r="Q47" s="127">
        <v>0.41666666666666669</v>
      </c>
      <c r="R47" s="127">
        <v>0.5</v>
      </c>
      <c r="S47" s="176">
        <v>0.6875</v>
      </c>
      <c r="T47" s="84">
        <f t="shared" si="11"/>
        <v>0.33333333333333337</v>
      </c>
      <c r="U47" s="176">
        <v>0.52083333333333337</v>
      </c>
      <c r="V47" s="127">
        <v>0.75</v>
      </c>
      <c r="W47" s="127">
        <v>0.79166666666666663</v>
      </c>
      <c r="X47" s="176">
        <v>0.9375</v>
      </c>
      <c r="Y47" s="84">
        <f t="shared" si="14"/>
        <v>0.375</v>
      </c>
      <c r="Z47" s="176">
        <v>0.39583333333333331</v>
      </c>
      <c r="AA47" s="127">
        <v>0.625</v>
      </c>
      <c r="AB47" s="127">
        <v>0.70833333333333337</v>
      </c>
      <c r="AC47" s="176">
        <v>0.8125</v>
      </c>
      <c r="AD47" s="84">
        <f t="shared" si="12"/>
        <v>0.33333333333333331</v>
      </c>
      <c r="AE47" s="176">
        <v>0.54166666666666663</v>
      </c>
      <c r="AF47" s="127">
        <v>0.70833333333333337</v>
      </c>
      <c r="AG47" s="127">
        <v>0.75</v>
      </c>
      <c r="AH47" s="176">
        <v>0.9375</v>
      </c>
      <c r="AI47" s="84">
        <f t="shared" si="15"/>
        <v>0.35416666666666674</v>
      </c>
      <c r="AJ47" s="176">
        <v>0.54166666666666663</v>
      </c>
      <c r="AK47" s="127">
        <v>0.75</v>
      </c>
      <c r="AL47" s="127">
        <v>0.79166666666666663</v>
      </c>
      <c r="AM47" s="176">
        <v>0.9375</v>
      </c>
      <c r="AN47" s="84">
        <f t="shared" si="17"/>
        <v>0.35416666666666674</v>
      </c>
      <c r="AO47" s="28">
        <f t="shared" si="16"/>
        <v>1.7500000000000002</v>
      </c>
      <c r="AQ47" s="405"/>
      <c r="AS47" s="414"/>
      <c r="AW47" s="404"/>
    </row>
    <row r="48" spans="1:72" ht="14.45" customHeight="1" x14ac:dyDescent="0.25">
      <c r="A48" s="402"/>
      <c r="B48" s="442" t="s">
        <v>209</v>
      </c>
      <c r="C48" s="311"/>
      <c r="D48" s="450" t="s">
        <v>246</v>
      </c>
      <c r="E48" s="440" t="s">
        <v>79</v>
      </c>
      <c r="F48" s="176">
        <v>0.45833333333333331</v>
      </c>
      <c r="G48" s="127">
        <v>0.6875</v>
      </c>
      <c r="H48" s="127">
        <v>0.77083333333333337</v>
      </c>
      <c r="I48" s="176">
        <v>0.875</v>
      </c>
      <c r="J48" s="84">
        <f t="shared" si="13"/>
        <v>0.33333333333333331</v>
      </c>
      <c r="K48" s="176">
        <v>0.45833333333333331</v>
      </c>
      <c r="L48" s="127">
        <v>0.72916666666666663</v>
      </c>
      <c r="M48" s="127">
        <v>0.77083333333333337</v>
      </c>
      <c r="N48" s="176">
        <v>0.875</v>
      </c>
      <c r="O48" s="84">
        <f t="shared" si="10"/>
        <v>0.37499999999999994</v>
      </c>
      <c r="P48" s="176">
        <v>0.45833333333333331</v>
      </c>
      <c r="Q48" s="127">
        <v>0.66666666666666663</v>
      </c>
      <c r="R48" s="127">
        <v>0.70833333333333337</v>
      </c>
      <c r="S48" s="176">
        <v>0.875</v>
      </c>
      <c r="T48" s="84">
        <f t="shared" si="11"/>
        <v>0.37499999999999994</v>
      </c>
      <c r="U48" s="431" t="s">
        <v>15</v>
      </c>
      <c r="V48" s="127" t="s">
        <v>15</v>
      </c>
      <c r="W48" s="127" t="s">
        <v>15</v>
      </c>
      <c r="X48" s="431" t="s">
        <v>15</v>
      </c>
      <c r="Y48" s="84" t="str">
        <f t="shared" si="14"/>
        <v/>
      </c>
      <c r="Z48" s="431" t="s">
        <v>15</v>
      </c>
      <c r="AA48" s="127" t="s">
        <v>15</v>
      </c>
      <c r="AB48" s="127" t="s">
        <v>15</v>
      </c>
      <c r="AC48" s="431" t="s">
        <v>15</v>
      </c>
      <c r="AD48" s="84" t="str">
        <f t="shared" si="12"/>
        <v/>
      </c>
      <c r="AE48" s="176">
        <v>0.45833333333333331</v>
      </c>
      <c r="AF48" s="127">
        <v>0.66666666666666663</v>
      </c>
      <c r="AG48" s="127">
        <v>0.70833333333333337</v>
      </c>
      <c r="AH48" s="176">
        <v>0.875</v>
      </c>
      <c r="AI48" s="84">
        <f t="shared" si="15"/>
        <v>0.37499999999999994</v>
      </c>
      <c r="AJ48" s="176">
        <v>0.45833333333333331</v>
      </c>
      <c r="AK48" s="127">
        <v>0.64583333333333337</v>
      </c>
      <c r="AL48" s="127">
        <v>0.72916666666666663</v>
      </c>
      <c r="AM48" s="176">
        <v>0.875</v>
      </c>
      <c r="AN48" s="84">
        <f t="shared" si="17"/>
        <v>0.33333333333333343</v>
      </c>
      <c r="AO48" s="28">
        <f t="shared" si="16"/>
        <v>1.7916666666666667</v>
      </c>
      <c r="AQ48" s="403"/>
      <c r="AS48" s="414"/>
      <c r="AW48" s="404"/>
    </row>
    <row r="49" spans="1:72" ht="14.45" customHeight="1" x14ac:dyDescent="0.25">
      <c r="A49" s="402"/>
      <c r="B49" s="442" t="s">
        <v>310</v>
      </c>
      <c r="C49" s="311"/>
      <c r="D49" s="450" t="s">
        <v>246</v>
      </c>
      <c r="E49" s="440" t="s">
        <v>79</v>
      </c>
      <c r="F49" s="431" t="s">
        <v>15</v>
      </c>
      <c r="G49" s="127" t="s">
        <v>15</v>
      </c>
      <c r="H49" s="127" t="s">
        <v>15</v>
      </c>
      <c r="I49" s="431" t="s">
        <v>15</v>
      </c>
      <c r="J49" s="84" t="str">
        <f t="shared" si="13"/>
        <v/>
      </c>
      <c r="K49" s="431" t="s">
        <v>15</v>
      </c>
      <c r="L49" s="127" t="s">
        <v>15</v>
      </c>
      <c r="M49" s="127" t="s">
        <v>15</v>
      </c>
      <c r="N49" s="431" t="s">
        <v>15</v>
      </c>
      <c r="O49" s="84" t="str">
        <f t="shared" si="10"/>
        <v/>
      </c>
      <c r="P49" s="176">
        <v>0.41666666666666669</v>
      </c>
      <c r="Q49" s="127">
        <v>0.58333333333333337</v>
      </c>
      <c r="R49" s="127">
        <v>0.66666666666666663</v>
      </c>
      <c r="S49" s="176">
        <v>0.83333333333333337</v>
      </c>
      <c r="T49" s="84">
        <f t="shared" si="11"/>
        <v>0.33333333333333343</v>
      </c>
      <c r="U49" s="176">
        <v>0.47916666666666669</v>
      </c>
      <c r="V49" s="127">
        <v>0.625</v>
      </c>
      <c r="W49" s="127">
        <v>0.66666666666666663</v>
      </c>
      <c r="X49" s="176">
        <v>0.89583333333333337</v>
      </c>
      <c r="Y49" s="84">
        <f t="shared" si="14"/>
        <v>0.37500000000000006</v>
      </c>
      <c r="Z49" s="176">
        <v>0.52083333333333337</v>
      </c>
      <c r="AA49" s="127">
        <v>0.77083333333333337</v>
      </c>
      <c r="AB49" s="127">
        <v>0.8125</v>
      </c>
      <c r="AC49" s="176">
        <v>0.9375</v>
      </c>
      <c r="AD49" s="84">
        <f t="shared" si="12"/>
        <v>0.375</v>
      </c>
      <c r="AE49" s="176">
        <v>0.54166666666666663</v>
      </c>
      <c r="AF49" s="127">
        <v>0.70833333333333337</v>
      </c>
      <c r="AG49" s="127">
        <v>0.75</v>
      </c>
      <c r="AH49" s="176">
        <v>0.9375</v>
      </c>
      <c r="AI49" s="84">
        <f t="shared" si="15"/>
        <v>0.35416666666666674</v>
      </c>
      <c r="AJ49" s="176">
        <v>0.6875</v>
      </c>
      <c r="AK49" s="127"/>
      <c r="AL49" s="127"/>
      <c r="AM49" s="176">
        <v>0.9375</v>
      </c>
      <c r="AN49" s="84">
        <f t="shared" si="17"/>
        <v>0.25</v>
      </c>
      <c r="AO49" s="28">
        <f t="shared" si="16"/>
        <v>1.6875000000000002</v>
      </c>
      <c r="AQ49" s="405"/>
      <c r="AS49" s="414"/>
      <c r="AW49" s="404"/>
    </row>
    <row r="50" spans="1:72" ht="14.45" customHeight="1" x14ac:dyDescent="0.25">
      <c r="A50" s="402"/>
      <c r="B50" s="442" t="s">
        <v>210</v>
      </c>
      <c r="C50" s="311"/>
      <c r="D50" s="450" t="s">
        <v>246</v>
      </c>
      <c r="E50" s="440" t="s">
        <v>79</v>
      </c>
      <c r="F50" s="176" t="s">
        <v>165</v>
      </c>
      <c r="G50" s="127" t="s">
        <v>165</v>
      </c>
      <c r="H50" s="127" t="s">
        <v>165</v>
      </c>
      <c r="I50" s="176" t="s">
        <v>165</v>
      </c>
      <c r="J50" s="84" t="str">
        <f t="shared" si="13"/>
        <v/>
      </c>
      <c r="K50" s="176" t="s">
        <v>165</v>
      </c>
      <c r="L50" s="127" t="s">
        <v>165</v>
      </c>
      <c r="M50" s="127" t="s">
        <v>165</v>
      </c>
      <c r="N50" s="176" t="s">
        <v>165</v>
      </c>
      <c r="O50" s="84" t="str">
        <f t="shared" ref="O50:O67" si="18">IFERROR(MOD(N50-K50,1)-MOD(M50-L50,1),"")</f>
        <v/>
      </c>
      <c r="P50" s="176" t="s">
        <v>165</v>
      </c>
      <c r="Q50" s="127" t="s">
        <v>165</v>
      </c>
      <c r="R50" s="127" t="s">
        <v>165</v>
      </c>
      <c r="S50" s="176" t="s">
        <v>165</v>
      </c>
      <c r="T50" s="84" t="str">
        <f t="shared" si="11"/>
        <v/>
      </c>
      <c r="U50" s="176" t="s">
        <v>165</v>
      </c>
      <c r="V50" s="127" t="s">
        <v>165</v>
      </c>
      <c r="W50" s="127" t="s">
        <v>165</v>
      </c>
      <c r="X50" s="176" t="s">
        <v>165</v>
      </c>
      <c r="Y50" s="84" t="str">
        <f t="shared" si="14"/>
        <v/>
      </c>
      <c r="Z50" s="176" t="s">
        <v>165</v>
      </c>
      <c r="AA50" s="127" t="s">
        <v>165</v>
      </c>
      <c r="AB50" s="127" t="s">
        <v>165</v>
      </c>
      <c r="AC50" s="176" t="s">
        <v>165</v>
      </c>
      <c r="AD50" s="84" t="str">
        <f t="shared" si="12"/>
        <v/>
      </c>
      <c r="AE50" s="176" t="s">
        <v>165</v>
      </c>
      <c r="AF50" s="127" t="s">
        <v>165</v>
      </c>
      <c r="AG50" s="127" t="s">
        <v>165</v>
      </c>
      <c r="AH50" s="176" t="s">
        <v>165</v>
      </c>
      <c r="AI50" s="84" t="str">
        <f t="shared" si="15"/>
        <v/>
      </c>
      <c r="AJ50" s="176" t="s">
        <v>165</v>
      </c>
      <c r="AK50" s="127" t="s">
        <v>165</v>
      </c>
      <c r="AL50" s="127" t="s">
        <v>165</v>
      </c>
      <c r="AM50" s="176" t="s">
        <v>165</v>
      </c>
      <c r="AN50" s="84" t="str">
        <f t="shared" si="17"/>
        <v/>
      </c>
      <c r="AO50" s="28">
        <f t="shared" si="16"/>
        <v>0</v>
      </c>
      <c r="AQ50" s="403"/>
      <c r="AS50" s="414"/>
      <c r="AW50" s="404"/>
    </row>
    <row r="51" spans="1:72" ht="14.45" customHeight="1" x14ac:dyDescent="0.25">
      <c r="A51" s="402"/>
      <c r="B51" s="442" t="s">
        <v>192</v>
      </c>
      <c r="C51" s="311"/>
      <c r="D51" s="450" t="s">
        <v>246</v>
      </c>
      <c r="E51" s="440" t="s">
        <v>79</v>
      </c>
      <c r="F51" s="176">
        <v>0.66666666666666663</v>
      </c>
      <c r="G51" s="127"/>
      <c r="H51" s="127"/>
      <c r="I51" s="176">
        <v>0.9375</v>
      </c>
      <c r="J51" s="84">
        <f t="shared" si="13"/>
        <v>0.27083333333333337</v>
      </c>
      <c r="K51" s="176">
        <v>0.66666666666666663</v>
      </c>
      <c r="L51" s="127"/>
      <c r="M51" s="127"/>
      <c r="N51" s="176">
        <v>0.9375</v>
      </c>
      <c r="O51" s="84">
        <f t="shared" si="18"/>
        <v>0.27083333333333337</v>
      </c>
      <c r="P51" s="431" t="s">
        <v>15</v>
      </c>
      <c r="Q51" s="127" t="s">
        <v>15</v>
      </c>
      <c r="R51" s="127" t="s">
        <v>15</v>
      </c>
      <c r="S51" s="431" t="s">
        <v>15</v>
      </c>
      <c r="T51" s="84" t="str">
        <f t="shared" si="11"/>
        <v/>
      </c>
      <c r="U51" s="431" t="s">
        <v>15</v>
      </c>
      <c r="V51" s="127" t="s">
        <v>15</v>
      </c>
      <c r="W51" s="127" t="s">
        <v>15</v>
      </c>
      <c r="X51" s="431" t="s">
        <v>15</v>
      </c>
      <c r="Y51" s="84" t="str">
        <f t="shared" si="14"/>
        <v/>
      </c>
      <c r="Z51" s="176">
        <v>0.3125</v>
      </c>
      <c r="AA51" s="127">
        <v>0.5</v>
      </c>
      <c r="AB51" s="127">
        <v>0.58333333333333337</v>
      </c>
      <c r="AC51" s="176">
        <v>0.6875</v>
      </c>
      <c r="AD51" s="84">
        <f t="shared" si="12"/>
        <v>0.29166666666666663</v>
      </c>
      <c r="AE51" s="176">
        <v>0.45833333333333331</v>
      </c>
      <c r="AF51" s="127">
        <v>0.625</v>
      </c>
      <c r="AG51" s="127">
        <v>0.66666666666666663</v>
      </c>
      <c r="AH51" s="176">
        <v>0.875</v>
      </c>
      <c r="AI51" s="84">
        <f t="shared" si="15"/>
        <v>0.37500000000000006</v>
      </c>
      <c r="AJ51" s="176">
        <v>0.66666666666666663</v>
      </c>
      <c r="AK51" s="127"/>
      <c r="AL51" s="127"/>
      <c r="AM51" s="176">
        <v>0.9375</v>
      </c>
      <c r="AN51" s="84">
        <f t="shared" si="17"/>
        <v>0.27083333333333337</v>
      </c>
      <c r="AO51" s="28">
        <f t="shared" si="16"/>
        <v>1.479166666666667</v>
      </c>
      <c r="AQ51" s="405"/>
      <c r="AS51" s="414"/>
      <c r="AW51" s="404"/>
    </row>
    <row r="52" spans="1:72" ht="14.45" customHeight="1" x14ac:dyDescent="0.25">
      <c r="A52" s="409"/>
      <c r="B52" s="442" t="s">
        <v>543</v>
      </c>
      <c r="C52" s="311"/>
      <c r="D52" s="450" t="s">
        <v>246</v>
      </c>
      <c r="E52" s="440" t="s">
        <v>79</v>
      </c>
      <c r="F52" s="176">
        <v>0.27083333333333331</v>
      </c>
      <c r="G52" s="127">
        <v>0.5</v>
      </c>
      <c r="H52" s="127">
        <v>0.54166666666666663</v>
      </c>
      <c r="I52" s="176">
        <v>0.6875</v>
      </c>
      <c r="J52" s="84">
        <f t="shared" si="13"/>
        <v>0.37500000000000006</v>
      </c>
      <c r="K52" s="176">
        <v>0.4375</v>
      </c>
      <c r="L52" s="127">
        <v>0.70833333333333337</v>
      </c>
      <c r="M52" s="127">
        <v>0.75</v>
      </c>
      <c r="N52" s="176">
        <v>0.85416666666666663</v>
      </c>
      <c r="O52" s="84">
        <f t="shared" si="18"/>
        <v>0.375</v>
      </c>
      <c r="P52" s="431" t="s">
        <v>15</v>
      </c>
      <c r="Q52" s="127" t="s">
        <v>15</v>
      </c>
      <c r="R52" s="127" t="s">
        <v>15</v>
      </c>
      <c r="S52" s="431" t="s">
        <v>15</v>
      </c>
      <c r="T52" s="84" t="str">
        <f t="shared" si="11"/>
        <v/>
      </c>
      <c r="U52" s="431" t="s">
        <v>15</v>
      </c>
      <c r="V52" s="127" t="s">
        <v>15</v>
      </c>
      <c r="W52" s="127" t="s">
        <v>15</v>
      </c>
      <c r="X52" s="431" t="s">
        <v>15</v>
      </c>
      <c r="Y52" s="84" t="str">
        <f t="shared" si="14"/>
        <v/>
      </c>
      <c r="Z52" s="176">
        <v>0.52083333333333337</v>
      </c>
      <c r="AA52" s="127">
        <v>0.75</v>
      </c>
      <c r="AB52" s="127">
        <v>0.79166666666666663</v>
      </c>
      <c r="AC52" s="176">
        <v>0.9375</v>
      </c>
      <c r="AD52" s="84">
        <f t="shared" si="12"/>
        <v>0.375</v>
      </c>
      <c r="AE52" s="176">
        <v>0.54166666666666663</v>
      </c>
      <c r="AF52" s="127">
        <v>0.72916666666666663</v>
      </c>
      <c r="AG52" s="127">
        <v>0.77083333333333337</v>
      </c>
      <c r="AH52" s="176">
        <v>0.9375</v>
      </c>
      <c r="AI52" s="84">
        <f t="shared" si="15"/>
        <v>0.35416666666666663</v>
      </c>
      <c r="AJ52" s="176">
        <v>0.625</v>
      </c>
      <c r="AK52" s="127"/>
      <c r="AL52" s="127"/>
      <c r="AM52" s="176">
        <v>0.91666666666666663</v>
      </c>
      <c r="AN52" s="84">
        <f t="shared" si="17"/>
        <v>0.29166666666666663</v>
      </c>
      <c r="AO52" s="28">
        <f t="shared" si="16"/>
        <v>1.770833333333333</v>
      </c>
      <c r="AQ52" s="403"/>
      <c r="AS52" s="414"/>
      <c r="AW52" s="404"/>
    </row>
    <row r="53" spans="1:72" ht="14.45" customHeight="1" x14ac:dyDescent="0.25">
      <c r="A53" s="402"/>
      <c r="B53" s="442" t="s">
        <v>211</v>
      </c>
      <c r="C53" s="311"/>
      <c r="D53" s="450" t="s">
        <v>246</v>
      </c>
      <c r="E53" s="440" t="s">
        <v>79</v>
      </c>
      <c r="F53" s="176">
        <v>0.45833333333333331</v>
      </c>
      <c r="G53" s="127">
        <v>0.6875</v>
      </c>
      <c r="H53" s="127">
        <v>0.77083333333333337</v>
      </c>
      <c r="I53" s="176">
        <v>0.875</v>
      </c>
      <c r="J53" s="84">
        <f t="shared" si="13"/>
        <v>0.33333333333333331</v>
      </c>
      <c r="K53" s="176">
        <v>0.41666666666666669</v>
      </c>
      <c r="L53" s="127">
        <v>0.70833333333333337</v>
      </c>
      <c r="M53" s="127">
        <v>0.75</v>
      </c>
      <c r="N53" s="176">
        <v>0.83333333333333337</v>
      </c>
      <c r="O53" s="84">
        <f t="shared" si="18"/>
        <v>0.37500000000000006</v>
      </c>
      <c r="P53" s="431" t="s">
        <v>15</v>
      </c>
      <c r="Q53" s="127" t="s">
        <v>15</v>
      </c>
      <c r="R53" s="127" t="s">
        <v>15</v>
      </c>
      <c r="S53" s="431" t="s">
        <v>15</v>
      </c>
      <c r="T53" s="84" t="str">
        <f t="shared" si="11"/>
        <v/>
      </c>
      <c r="U53" s="176">
        <v>0.45833333333333331</v>
      </c>
      <c r="V53" s="127">
        <v>0.72916666666666663</v>
      </c>
      <c r="W53" s="127">
        <v>0.77083333333333337</v>
      </c>
      <c r="X53" s="176">
        <v>0.875</v>
      </c>
      <c r="Y53" s="84">
        <f t="shared" si="14"/>
        <v>0.37499999999999994</v>
      </c>
      <c r="Z53" s="431" t="s">
        <v>15</v>
      </c>
      <c r="AA53" s="127" t="s">
        <v>15</v>
      </c>
      <c r="AB53" s="127" t="s">
        <v>15</v>
      </c>
      <c r="AC53" s="431" t="s">
        <v>15</v>
      </c>
      <c r="AD53" s="84" t="str">
        <f t="shared" si="12"/>
        <v/>
      </c>
      <c r="AE53" s="176">
        <v>0.29166666666666669</v>
      </c>
      <c r="AF53" s="127">
        <v>0.58333333333333337</v>
      </c>
      <c r="AG53" s="127">
        <v>0.625</v>
      </c>
      <c r="AH53" s="176">
        <v>0.70833333333333337</v>
      </c>
      <c r="AI53" s="84">
        <f t="shared" si="15"/>
        <v>0.37500000000000006</v>
      </c>
      <c r="AJ53" s="176">
        <v>0.54166666666666663</v>
      </c>
      <c r="AK53" s="127">
        <v>0.72916666666666663</v>
      </c>
      <c r="AL53" s="127">
        <v>0.77083333333333337</v>
      </c>
      <c r="AM53" s="176">
        <v>0.9375</v>
      </c>
      <c r="AN53" s="84">
        <f t="shared" si="17"/>
        <v>0.35416666666666663</v>
      </c>
      <c r="AO53" s="28">
        <f t="shared" si="16"/>
        <v>1.8125</v>
      </c>
      <c r="AQ53" s="405"/>
      <c r="AS53" s="414"/>
      <c r="AW53" s="404"/>
    </row>
    <row r="54" spans="1:72" s="33" customFormat="1" ht="14.45" customHeight="1" x14ac:dyDescent="0.25">
      <c r="A54" s="409"/>
      <c r="B54" s="442" t="s">
        <v>219</v>
      </c>
      <c r="C54" s="311"/>
      <c r="D54" s="450" t="s">
        <v>246</v>
      </c>
      <c r="E54" s="440" t="s">
        <v>79</v>
      </c>
      <c r="F54" s="176">
        <v>0.52083333333333337</v>
      </c>
      <c r="G54" s="127">
        <v>0.75</v>
      </c>
      <c r="H54" s="127">
        <v>0.79166666666666663</v>
      </c>
      <c r="I54" s="176">
        <v>0.9375</v>
      </c>
      <c r="J54" s="84">
        <f t="shared" si="13"/>
        <v>0.375</v>
      </c>
      <c r="K54" s="176">
        <v>0.33333333333333331</v>
      </c>
      <c r="L54" s="127">
        <v>0.54166666666666663</v>
      </c>
      <c r="M54" s="127">
        <v>0.58333333333333337</v>
      </c>
      <c r="N54" s="176">
        <v>0.66666666666666663</v>
      </c>
      <c r="O54" s="84">
        <f t="shared" si="18"/>
        <v>0.29166666666666657</v>
      </c>
      <c r="P54" s="176">
        <v>0.54166666666666663</v>
      </c>
      <c r="Q54" s="127">
        <v>0.66666666666666663</v>
      </c>
      <c r="R54" s="127">
        <v>0.70833333333333337</v>
      </c>
      <c r="S54" s="176">
        <v>0.9375</v>
      </c>
      <c r="T54" s="84">
        <f t="shared" si="11"/>
        <v>0.35416666666666663</v>
      </c>
      <c r="U54" s="431" t="s">
        <v>15</v>
      </c>
      <c r="V54" s="127" t="s">
        <v>15</v>
      </c>
      <c r="W54" s="127" t="s">
        <v>15</v>
      </c>
      <c r="X54" s="431" t="s">
        <v>15</v>
      </c>
      <c r="Y54" s="84" t="str">
        <f t="shared" si="14"/>
        <v/>
      </c>
      <c r="Z54" s="431" t="s">
        <v>15</v>
      </c>
      <c r="AA54" s="127" t="s">
        <v>15</v>
      </c>
      <c r="AB54" s="127" t="s">
        <v>15</v>
      </c>
      <c r="AC54" s="431" t="s">
        <v>15</v>
      </c>
      <c r="AD54" s="84" t="str">
        <f t="shared" si="12"/>
        <v/>
      </c>
      <c r="AE54" s="176">
        <v>0.5</v>
      </c>
      <c r="AF54" s="127">
        <v>0.66666666666666663</v>
      </c>
      <c r="AG54" s="127">
        <v>0.70833333333333337</v>
      </c>
      <c r="AH54" s="176">
        <v>0.91666666666666663</v>
      </c>
      <c r="AI54" s="84">
        <f t="shared" si="15"/>
        <v>0.37499999999999989</v>
      </c>
      <c r="AJ54" s="176">
        <v>0.54166666666666663</v>
      </c>
      <c r="AK54" s="127">
        <v>0.72916666666666663</v>
      </c>
      <c r="AL54" s="127">
        <v>0.77083333333333337</v>
      </c>
      <c r="AM54" s="176">
        <v>0.9375</v>
      </c>
      <c r="AN54" s="84">
        <f t="shared" si="17"/>
        <v>0.35416666666666663</v>
      </c>
      <c r="AO54" s="28">
        <f t="shared" si="16"/>
        <v>1.7499999999999996</v>
      </c>
      <c r="AP54" s="385"/>
      <c r="AQ54" s="403"/>
      <c r="AR54" s="385"/>
      <c r="AS54" s="414"/>
      <c r="AT54" s="385"/>
      <c r="AU54" s="385"/>
      <c r="AV54" s="385"/>
      <c r="AW54" s="404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  <c r="BP54" s="385"/>
      <c r="BQ54" s="385"/>
      <c r="BR54" s="385"/>
      <c r="BS54" s="385"/>
      <c r="BT54" s="385"/>
    </row>
    <row r="55" spans="1:72" ht="14.45" customHeight="1" x14ac:dyDescent="0.25">
      <c r="A55" s="409"/>
      <c r="B55" s="442" t="s">
        <v>208</v>
      </c>
      <c r="C55" s="311" t="s">
        <v>299</v>
      </c>
      <c r="D55" s="450" t="s">
        <v>246</v>
      </c>
      <c r="E55" s="440" t="s">
        <v>79</v>
      </c>
      <c r="F55" s="176">
        <v>0.35416666666666669</v>
      </c>
      <c r="G55" s="127">
        <v>0.5625</v>
      </c>
      <c r="H55" s="127">
        <v>0.83333333333333337</v>
      </c>
      <c r="I55" s="176">
        <v>1</v>
      </c>
      <c r="J55" s="84">
        <f t="shared" si="13"/>
        <v>0.37499999999999989</v>
      </c>
      <c r="K55" s="176">
        <v>0.39583333333333331</v>
      </c>
      <c r="L55" s="127">
        <v>0.625</v>
      </c>
      <c r="M55" s="127">
        <v>0.85416666666666663</v>
      </c>
      <c r="N55" s="176">
        <v>1</v>
      </c>
      <c r="O55" s="84">
        <f t="shared" si="18"/>
        <v>0.37500000000000011</v>
      </c>
      <c r="P55" s="85">
        <v>0.83333333333333337</v>
      </c>
      <c r="Q55" s="127"/>
      <c r="R55" s="127"/>
      <c r="S55" s="85">
        <v>1</v>
      </c>
      <c r="T55" s="84">
        <f t="shared" si="11"/>
        <v>0.16666666666666663</v>
      </c>
      <c r="U55" s="85">
        <v>0</v>
      </c>
      <c r="V55" s="127">
        <v>8.3333333333333329E-2</v>
      </c>
      <c r="W55" s="127">
        <v>0.16666666666666666</v>
      </c>
      <c r="X55" s="85">
        <v>0.29166666666666669</v>
      </c>
      <c r="Y55" s="84">
        <f t="shared" si="14"/>
        <v>0.20833333333333337</v>
      </c>
      <c r="Z55" s="85">
        <v>0</v>
      </c>
      <c r="AA55" s="127">
        <v>8.3333333333333329E-2</v>
      </c>
      <c r="AB55" s="127">
        <v>0.16666666666666666</v>
      </c>
      <c r="AC55" s="85">
        <v>0.29166666666666669</v>
      </c>
      <c r="AD55" s="84">
        <f t="shared" si="12"/>
        <v>0.20833333333333337</v>
      </c>
      <c r="AE55" s="431" t="s">
        <v>15</v>
      </c>
      <c r="AF55" s="127" t="s">
        <v>15</v>
      </c>
      <c r="AG55" s="127" t="s">
        <v>15</v>
      </c>
      <c r="AH55" s="431" t="s">
        <v>15</v>
      </c>
      <c r="AI55" s="84" t="str">
        <f t="shared" si="15"/>
        <v/>
      </c>
      <c r="AJ55" s="176">
        <v>0.33333333333333331</v>
      </c>
      <c r="AK55" s="127">
        <v>0.58333333333333337</v>
      </c>
      <c r="AL55" s="127">
        <v>0.66666666666666663</v>
      </c>
      <c r="AM55" s="176">
        <v>0.75</v>
      </c>
      <c r="AN55" s="84">
        <f t="shared" si="17"/>
        <v>0.33333333333333343</v>
      </c>
      <c r="AO55" s="28">
        <f t="shared" si="16"/>
        <v>1.666666666666667</v>
      </c>
      <c r="AQ55" s="405"/>
      <c r="AS55" s="414"/>
      <c r="AW55" s="404"/>
    </row>
    <row r="56" spans="1:72" ht="14.25" customHeight="1" x14ac:dyDescent="0.25">
      <c r="A56" s="412" t="s">
        <v>598</v>
      </c>
      <c r="B56" s="444" t="s">
        <v>188</v>
      </c>
      <c r="C56" s="311"/>
      <c r="D56" s="460" t="s">
        <v>467</v>
      </c>
      <c r="E56" s="164" t="s">
        <v>347</v>
      </c>
      <c r="F56" s="176">
        <v>0.52083333333333337</v>
      </c>
      <c r="G56" s="127">
        <v>0.66666666666666663</v>
      </c>
      <c r="H56" s="127">
        <v>0.70833333333333337</v>
      </c>
      <c r="I56" s="176">
        <v>0.9375</v>
      </c>
      <c r="J56" s="84">
        <f t="shared" si="13"/>
        <v>0.37499999999999989</v>
      </c>
      <c r="K56" s="176">
        <v>0.54166666666666663</v>
      </c>
      <c r="L56" s="127">
        <v>0.70833333333333337</v>
      </c>
      <c r="M56" s="127">
        <v>0.75</v>
      </c>
      <c r="N56" s="176">
        <v>0.9375</v>
      </c>
      <c r="O56" s="84">
        <f t="shared" si="18"/>
        <v>0.35416666666666674</v>
      </c>
      <c r="P56" s="176">
        <v>0.54166666666666663</v>
      </c>
      <c r="Q56" s="127">
        <v>0.79166666666666663</v>
      </c>
      <c r="R56" s="127">
        <v>0.83333333333333337</v>
      </c>
      <c r="S56" s="176">
        <v>0.9375</v>
      </c>
      <c r="T56" s="84">
        <f t="shared" si="11"/>
        <v>0.35416666666666663</v>
      </c>
      <c r="U56" s="431" t="s">
        <v>15</v>
      </c>
      <c r="V56" s="127" t="s">
        <v>15</v>
      </c>
      <c r="W56" s="127" t="s">
        <v>15</v>
      </c>
      <c r="X56" s="431" t="s">
        <v>15</v>
      </c>
      <c r="Y56" s="84" t="str">
        <f t="shared" si="14"/>
        <v/>
      </c>
      <c r="Z56" s="431" t="s">
        <v>15</v>
      </c>
      <c r="AA56" s="127" t="s">
        <v>15</v>
      </c>
      <c r="AB56" s="127" t="s">
        <v>15</v>
      </c>
      <c r="AC56" s="431" t="s">
        <v>15</v>
      </c>
      <c r="AD56" s="84" t="str">
        <f t="shared" si="12"/>
        <v/>
      </c>
      <c r="AE56" s="176">
        <v>0.25</v>
      </c>
      <c r="AF56" s="127">
        <v>0.5</v>
      </c>
      <c r="AG56" s="127">
        <v>0.58333333333333337</v>
      </c>
      <c r="AH56" s="176">
        <v>0.66666666666666663</v>
      </c>
      <c r="AI56" s="84">
        <f t="shared" si="15"/>
        <v>0.33333333333333326</v>
      </c>
      <c r="AJ56" s="176">
        <v>0.25</v>
      </c>
      <c r="AK56" s="127">
        <v>0.5</v>
      </c>
      <c r="AL56" s="127">
        <v>0.58333333333333337</v>
      </c>
      <c r="AM56" s="176">
        <v>0.66666666666666663</v>
      </c>
      <c r="AN56" s="84">
        <f t="shared" si="17"/>
        <v>0.33333333333333326</v>
      </c>
      <c r="AO56" s="28">
        <f t="shared" si="16"/>
        <v>1.7499999999999998</v>
      </c>
      <c r="AQ56" s="403"/>
      <c r="AS56" s="408"/>
      <c r="AT56" s="408"/>
      <c r="AU56" s="404"/>
      <c r="AV56" s="404"/>
      <c r="AW56" s="404"/>
      <c r="AX56" s="404"/>
      <c r="AY56" s="404"/>
      <c r="AZ56" s="404"/>
      <c r="BA56" s="404"/>
      <c r="BB56" s="404"/>
      <c r="BC56" s="404"/>
      <c r="BD56" s="404"/>
      <c r="BE56" s="404"/>
      <c r="BF56" s="404"/>
      <c r="BG56" s="404"/>
      <c r="BH56" s="404"/>
      <c r="BI56" s="404"/>
      <c r="BJ56" s="404"/>
      <c r="BK56" s="404"/>
      <c r="BL56" s="404"/>
      <c r="BM56" s="404"/>
      <c r="BN56" s="404"/>
      <c r="BO56" s="404"/>
      <c r="BP56" s="404"/>
      <c r="BQ56" s="404"/>
      <c r="BR56" s="404"/>
      <c r="BS56" s="404"/>
      <c r="BT56" s="404"/>
    </row>
    <row r="57" spans="1:72" ht="14.45" customHeight="1" x14ac:dyDescent="0.25">
      <c r="A57" s="402" t="s">
        <v>263</v>
      </c>
      <c r="B57" s="444" t="s">
        <v>238</v>
      </c>
      <c r="C57" s="311"/>
      <c r="D57" s="460" t="s">
        <v>467</v>
      </c>
      <c r="E57" s="164" t="s">
        <v>347</v>
      </c>
      <c r="F57" s="176">
        <v>0.29166666666666669</v>
      </c>
      <c r="G57" s="127">
        <v>0.54166666666666663</v>
      </c>
      <c r="H57" s="127">
        <v>0.625</v>
      </c>
      <c r="I57" s="176">
        <v>0.70833333333333337</v>
      </c>
      <c r="J57" s="84">
        <f t="shared" si="13"/>
        <v>0.33333333333333331</v>
      </c>
      <c r="K57" s="176">
        <v>0.39583333333333331</v>
      </c>
      <c r="L57" s="127">
        <v>0.58333333333333337</v>
      </c>
      <c r="M57" s="127">
        <v>0.66666666666666663</v>
      </c>
      <c r="N57" s="176">
        <v>0.8125</v>
      </c>
      <c r="O57" s="84">
        <f t="shared" si="18"/>
        <v>0.33333333333333343</v>
      </c>
      <c r="P57" s="176">
        <v>0.52083333333333337</v>
      </c>
      <c r="Q57" s="127">
        <v>0.75</v>
      </c>
      <c r="R57" s="127">
        <v>0.79166666666666663</v>
      </c>
      <c r="S57" s="176">
        <v>0.89583333333333337</v>
      </c>
      <c r="T57" s="84">
        <f t="shared" si="11"/>
        <v>0.33333333333333337</v>
      </c>
      <c r="U57" s="176">
        <v>0.5625</v>
      </c>
      <c r="V57" s="127">
        <v>0.75</v>
      </c>
      <c r="W57" s="127">
        <v>0.79166666666666663</v>
      </c>
      <c r="X57" s="176">
        <v>0.9375</v>
      </c>
      <c r="Y57" s="84">
        <f t="shared" si="14"/>
        <v>0.33333333333333337</v>
      </c>
      <c r="Z57" s="431" t="s">
        <v>15</v>
      </c>
      <c r="AA57" s="127" t="s">
        <v>15</v>
      </c>
      <c r="AB57" s="127" t="s">
        <v>15</v>
      </c>
      <c r="AC57" s="431" t="s">
        <v>15</v>
      </c>
      <c r="AD57" s="84" t="str">
        <f t="shared" si="12"/>
        <v/>
      </c>
      <c r="AE57" s="176">
        <v>0.29166666666666669</v>
      </c>
      <c r="AF57" s="127">
        <v>0.54166666666666663</v>
      </c>
      <c r="AG57" s="127">
        <v>0.625</v>
      </c>
      <c r="AH57" s="176">
        <v>0.70833333333333337</v>
      </c>
      <c r="AI57" s="84">
        <f t="shared" si="15"/>
        <v>0.33333333333333331</v>
      </c>
      <c r="AJ57" s="431" t="s">
        <v>15</v>
      </c>
      <c r="AK57" s="127" t="s">
        <v>15</v>
      </c>
      <c r="AL57" s="127" t="s">
        <v>15</v>
      </c>
      <c r="AM57" s="431" t="s">
        <v>15</v>
      </c>
      <c r="AN57" s="84" t="str">
        <f t="shared" si="17"/>
        <v/>
      </c>
      <c r="AO57" s="28">
        <f t="shared" si="16"/>
        <v>1.6666666666666667</v>
      </c>
      <c r="AQ57" s="403"/>
      <c r="AS57" s="408"/>
      <c r="AT57" s="408"/>
      <c r="AU57" s="404"/>
      <c r="AV57" s="404"/>
      <c r="AW57" s="404"/>
      <c r="AX57" s="404"/>
      <c r="AY57" s="404"/>
      <c r="AZ57" s="404"/>
      <c r="BA57" s="404"/>
      <c r="BB57" s="404"/>
      <c r="BC57" s="404"/>
      <c r="BD57" s="404"/>
      <c r="BE57" s="404"/>
      <c r="BF57" s="404"/>
      <c r="BG57" s="404"/>
      <c r="BH57" s="404"/>
      <c r="BI57" s="404"/>
      <c r="BJ57" s="404"/>
      <c r="BK57" s="404"/>
      <c r="BL57" s="404"/>
      <c r="BM57" s="404"/>
      <c r="BN57" s="404"/>
      <c r="BO57" s="404"/>
      <c r="BP57" s="404"/>
      <c r="BQ57" s="404"/>
      <c r="BR57" s="404"/>
      <c r="BS57" s="404"/>
      <c r="BT57" s="404"/>
    </row>
    <row r="58" spans="1:72" s="31" customFormat="1" ht="14.45" customHeight="1" x14ac:dyDescent="0.25">
      <c r="A58" s="409" t="s">
        <v>258</v>
      </c>
      <c r="B58" s="444" t="s">
        <v>237</v>
      </c>
      <c r="C58" s="311"/>
      <c r="D58" s="460" t="s">
        <v>467</v>
      </c>
      <c r="E58" s="164" t="s">
        <v>347</v>
      </c>
      <c r="F58" s="176">
        <v>0.54166666666666663</v>
      </c>
      <c r="G58" s="127">
        <v>0.70833333333333337</v>
      </c>
      <c r="H58" s="127">
        <v>0.75</v>
      </c>
      <c r="I58" s="176">
        <v>0.91666666666666663</v>
      </c>
      <c r="J58" s="84">
        <f t="shared" si="13"/>
        <v>0.33333333333333337</v>
      </c>
      <c r="K58" s="431" t="s">
        <v>15</v>
      </c>
      <c r="L58" s="127" t="s">
        <v>15</v>
      </c>
      <c r="M58" s="127" t="s">
        <v>15</v>
      </c>
      <c r="N58" s="431" t="s">
        <v>15</v>
      </c>
      <c r="O58" s="84" t="str">
        <f t="shared" si="18"/>
        <v/>
      </c>
      <c r="P58" s="431" t="s">
        <v>15</v>
      </c>
      <c r="Q58" s="127" t="s">
        <v>15</v>
      </c>
      <c r="R58" s="127" t="s">
        <v>15</v>
      </c>
      <c r="S58" s="431" t="s">
        <v>15</v>
      </c>
      <c r="T58" s="84" t="str">
        <f t="shared" si="11"/>
        <v/>
      </c>
      <c r="U58" s="176">
        <v>0.29166666666666669</v>
      </c>
      <c r="V58" s="127">
        <v>0.54166666666666663</v>
      </c>
      <c r="W58" s="127">
        <v>0.625</v>
      </c>
      <c r="X58" s="176">
        <v>0.70833333333333337</v>
      </c>
      <c r="Y58" s="84">
        <f t="shared" si="14"/>
        <v>0.33333333333333331</v>
      </c>
      <c r="Z58" s="176">
        <v>0.33333333333333331</v>
      </c>
      <c r="AA58" s="127">
        <v>0.58333333333333337</v>
      </c>
      <c r="AB58" s="127">
        <v>0.66666666666666663</v>
      </c>
      <c r="AC58" s="176">
        <v>0.75</v>
      </c>
      <c r="AD58" s="84">
        <f t="shared" si="12"/>
        <v>0.33333333333333343</v>
      </c>
      <c r="AE58" s="176">
        <v>0.5</v>
      </c>
      <c r="AF58" s="127">
        <v>0.625</v>
      </c>
      <c r="AG58" s="127">
        <v>0.66666666666666663</v>
      </c>
      <c r="AH58" s="176">
        <v>0.875</v>
      </c>
      <c r="AI58" s="84">
        <f t="shared" si="15"/>
        <v>0.33333333333333337</v>
      </c>
      <c r="AJ58" s="176">
        <v>0.39583333333333331</v>
      </c>
      <c r="AK58" s="127">
        <v>0.625</v>
      </c>
      <c r="AL58" s="127">
        <v>0.70833333333333337</v>
      </c>
      <c r="AM58" s="176">
        <v>0.8125</v>
      </c>
      <c r="AN58" s="84">
        <f t="shared" si="17"/>
        <v>0.33333333333333331</v>
      </c>
      <c r="AO58" s="28">
        <f t="shared" si="16"/>
        <v>1.6666666666666667</v>
      </c>
      <c r="AP58" s="385"/>
      <c r="AQ58" s="405"/>
      <c r="AR58" s="385"/>
      <c r="AS58" s="404"/>
      <c r="AT58" s="404"/>
      <c r="AU58" s="404"/>
      <c r="AV58" s="404"/>
      <c r="AW58" s="404"/>
      <c r="AX58" s="404"/>
      <c r="AY58" s="404"/>
      <c r="AZ58" s="404"/>
      <c r="BA58" s="404"/>
      <c r="BB58" s="404"/>
      <c r="BC58" s="404"/>
      <c r="BD58" s="404"/>
      <c r="BE58" s="404"/>
      <c r="BF58" s="404"/>
      <c r="BG58" s="404"/>
      <c r="BH58" s="404"/>
      <c r="BI58" s="404"/>
      <c r="BJ58" s="404"/>
      <c r="BK58" s="404"/>
      <c r="BL58" s="404"/>
      <c r="BM58" s="404"/>
      <c r="BN58" s="404"/>
      <c r="BO58" s="404"/>
      <c r="BP58" s="404"/>
      <c r="BQ58" s="404"/>
      <c r="BR58" s="404"/>
      <c r="BS58" s="404"/>
      <c r="BT58" s="404"/>
    </row>
    <row r="59" spans="1:72" s="31" customFormat="1" ht="14.45" customHeight="1" x14ac:dyDescent="0.25">
      <c r="A59" s="290" t="s">
        <v>264</v>
      </c>
      <c r="B59" s="444" t="s">
        <v>305</v>
      </c>
      <c r="C59" s="311"/>
      <c r="D59" s="460" t="s">
        <v>467</v>
      </c>
      <c r="E59" s="164" t="s">
        <v>347</v>
      </c>
      <c r="F59" s="431" t="s">
        <v>15</v>
      </c>
      <c r="G59" s="127" t="s">
        <v>15</v>
      </c>
      <c r="H59" s="127" t="s">
        <v>15</v>
      </c>
      <c r="I59" s="431" t="s">
        <v>15</v>
      </c>
      <c r="J59" s="84" t="str">
        <f t="shared" si="13"/>
        <v/>
      </c>
      <c r="K59" s="431" t="s">
        <v>15</v>
      </c>
      <c r="L59" s="127" t="s">
        <v>15</v>
      </c>
      <c r="M59" s="127" t="s">
        <v>15</v>
      </c>
      <c r="N59" s="431" t="s">
        <v>15</v>
      </c>
      <c r="O59" s="84" t="str">
        <f t="shared" si="18"/>
        <v/>
      </c>
      <c r="P59" s="176">
        <v>0.29166666666666669</v>
      </c>
      <c r="Q59" s="127">
        <v>0.5</v>
      </c>
      <c r="R59" s="127">
        <v>0.58333333333333337</v>
      </c>
      <c r="S59" s="176">
        <v>0.70833333333333337</v>
      </c>
      <c r="T59" s="84">
        <f t="shared" si="11"/>
        <v>0.33333333333333331</v>
      </c>
      <c r="U59" s="176">
        <v>0.375</v>
      </c>
      <c r="V59" s="127">
        <v>0.625</v>
      </c>
      <c r="W59" s="127">
        <v>0.70833333333333337</v>
      </c>
      <c r="X59" s="176">
        <v>0.79166666666666663</v>
      </c>
      <c r="Y59" s="84">
        <f t="shared" si="14"/>
        <v>0.33333333333333326</v>
      </c>
      <c r="Z59" s="176">
        <v>0.41666666666666669</v>
      </c>
      <c r="AA59" s="127">
        <v>0.66666666666666663</v>
      </c>
      <c r="AB59" s="127">
        <v>0.75</v>
      </c>
      <c r="AC59" s="176">
        <v>0.83333333333333337</v>
      </c>
      <c r="AD59" s="84">
        <f t="shared" si="12"/>
        <v>0.33333333333333331</v>
      </c>
      <c r="AE59" s="176">
        <v>0.54166666666666663</v>
      </c>
      <c r="AF59" s="127">
        <v>0.66666666666666663</v>
      </c>
      <c r="AG59" s="127">
        <v>0.70833333333333337</v>
      </c>
      <c r="AH59" s="176">
        <v>0.9375</v>
      </c>
      <c r="AI59" s="84">
        <f t="shared" si="15"/>
        <v>0.35416666666666663</v>
      </c>
      <c r="AJ59" s="176">
        <v>0.54166666666666663</v>
      </c>
      <c r="AK59" s="127">
        <v>0.70833333333333337</v>
      </c>
      <c r="AL59" s="127">
        <v>0.75</v>
      </c>
      <c r="AM59" s="176">
        <v>0.9375</v>
      </c>
      <c r="AN59" s="84">
        <f t="shared" si="17"/>
        <v>0.35416666666666674</v>
      </c>
      <c r="AO59" s="28">
        <f t="shared" si="16"/>
        <v>1.7083333333333333</v>
      </c>
      <c r="AP59" s="1"/>
      <c r="AQ59" s="302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s="1" customFormat="1" ht="14.25" customHeight="1" x14ac:dyDescent="0.25">
      <c r="A60" s="409"/>
      <c r="B60" s="444" t="s">
        <v>116</v>
      </c>
      <c r="C60" s="311"/>
      <c r="D60" s="460" t="s">
        <v>467</v>
      </c>
      <c r="E60" s="164" t="s">
        <v>347</v>
      </c>
      <c r="F60" s="431" t="s">
        <v>15</v>
      </c>
      <c r="G60" s="127" t="s">
        <v>15</v>
      </c>
      <c r="H60" s="127" t="s">
        <v>15</v>
      </c>
      <c r="I60" s="431" t="s">
        <v>15</v>
      </c>
      <c r="J60" s="84" t="str">
        <f t="shared" si="13"/>
        <v/>
      </c>
      <c r="K60" s="431" t="s">
        <v>15</v>
      </c>
      <c r="L60" s="127" t="s">
        <v>15</v>
      </c>
      <c r="M60" s="127" t="s">
        <v>15</v>
      </c>
      <c r="N60" s="431" t="s">
        <v>15</v>
      </c>
      <c r="O60" s="84" t="str">
        <f t="shared" si="18"/>
        <v/>
      </c>
      <c r="P60" s="176">
        <v>0.27083333333333331</v>
      </c>
      <c r="Q60" s="127">
        <v>0.41666666666666669</v>
      </c>
      <c r="R60" s="127">
        <v>0.5</v>
      </c>
      <c r="S60" s="176">
        <v>0.6875</v>
      </c>
      <c r="T60" s="84">
        <f t="shared" si="11"/>
        <v>0.33333333333333337</v>
      </c>
      <c r="U60" s="176">
        <v>0.33333333333333331</v>
      </c>
      <c r="V60" s="127">
        <v>0.58333333333333337</v>
      </c>
      <c r="W60" s="127">
        <v>0.66666666666666663</v>
      </c>
      <c r="X60" s="176">
        <v>0.75</v>
      </c>
      <c r="Y60" s="84">
        <f t="shared" si="14"/>
        <v>0.33333333333333343</v>
      </c>
      <c r="Z60" s="176">
        <v>0.54166666666666663</v>
      </c>
      <c r="AA60" s="127">
        <v>0.75</v>
      </c>
      <c r="AB60" s="127">
        <v>0.79166666666666663</v>
      </c>
      <c r="AC60" s="176">
        <v>0.9375</v>
      </c>
      <c r="AD60" s="84">
        <f t="shared" si="12"/>
        <v>0.35416666666666674</v>
      </c>
      <c r="AE60" s="176">
        <v>0.54166666666666663</v>
      </c>
      <c r="AF60" s="127">
        <v>0.66666666666666663</v>
      </c>
      <c r="AG60" s="127">
        <v>0.70833333333333337</v>
      </c>
      <c r="AH60" s="176">
        <v>0.9375</v>
      </c>
      <c r="AI60" s="84">
        <f t="shared" si="15"/>
        <v>0.35416666666666663</v>
      </c>
      <c r="AJ60" s="176">
        <v>0.5625</v>
      </c>
      <c r="AK60" s="127">
        <v>0.75</v>
      </c>
      <c r="AL60" s="127">
        <v>0.79166666666666663</v>
      </c>
      <c r="AM60" s="176">
        <v>0.9375</v>
      </c>
      <c r="AN60" s="84">
        <f t="shared" si="17"/>
        <v>0.33333333333333337</v>
      </c>
      <c r="AO60" s="28">
        <f t="shared" si="16"/>
        <v>1.7083333333333335</v>
      </c>
      <c r="AP60" s="410"/>
      <c r="AQ60" s="403"/>
      <c r="AR60" s="385"/>
      <c r="AS60" s="385"/>
      <c r="AT60" s="385"/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5"/>
      <c r="BH60" s="385"/>
      <c r="BI60" s="385"/>
      <c r="BJ60" s="385"/>
      <c r="BK60" s="385"/>
      <c r="BL60" s="385"/>
      <c r="BM60" s="385"/>
      <c r="BN60" s="385"/>
      <c r="BO60" s="385"/>
      <c r="BP60" s="385"/>
      <c r="BQ60" s="385"/>
      <c r="BR60" s="385"/>
      <c r="BS60" s="385"/>
      <c r="BT60" s="385"/>
    </row>
    <row r="61" spans="1:72" s="31" customFormat="1" ht="14.45" customHeight="1" x14ac:dyDescent="0.25">
      <c r="A61" s="402" t="s">
        <v>271</v>
      </c>
      <c r="B61" s="444" t="s">
        <v>239</v>
      </c>
      <c r="C61" s="311"/>
      <c r="D61" s="460" t="s">
        <v>467</v>
      </c>
      <c r="E61" s="164" t="s">
        <v>347</v>
      </c>
      <c r="F61" s="176">
        <v>0.5</v>
      </c>
      <c r="G61" s="127">
        <v>0.625</v>
      </c>
      <c r="H61" s="127">
        <v>0.66666666666666663</v>
      </c>
      <c r="I61" s="176">
        <v>0.875</v>
      </c>
      <c r="J61" s="84">
        <f t="shared" si="13"/>
        <v>0.33333333333333337</v>
      </c>
      <c r="K61" s="176">
        <v>0.41666666666666669</v>
      </c>
      <c r="L61" s="127">
        <v>0.58333333333333337</v>
      </c>
      <c r="M61" s="127">
        <v>0.66666666666666663</v>
      </c>
      <c r="N61" s="176">
        <v>0.83333333333333337</v>
      </c>
      <c r="O61" s="84">
        <f t="shared" si="18"/>
        <v>0.33333333333333343</v>
      </c>
      <c r="P61" s="176">
        <v>0.54166666666666663</v>
      </c>
      <c r="Q61" s="127">
        <v>0.79166666666666663</v>
      </c>
      <c r="R61" s="127">
        <v>0.83333333333333337</v>
      </c>
      <c r="S61" s="176">
        <v>0.9375</v>
      </c>
      <c r="T61" s="84">
        <f t="shared" si="11"/>
        <v>0.35416666666666663</v>
      </c>
      <c r="U61" s="431" t="s">
        <v>15</v>
      </c>
      <c r="V61" s="127" t="s">
        <v>15</v>
      </c>
      <c r="W61" s="127" t="s">
        <v>15</v>
      </c>
      <c r="X61" s="431" t="s">
        <v>15</v>
      </c>
      <c r="Y61" s="84" t="str">
        <f t="shared" si="14"/>
        <v/>
      </c>
      <c r="Z61" s="431" t="s">
        <v>15</v>
      </c>
      <c r="AA61" s="127" t="s">
        <v>15</v>
      </c>
      <c r="AB61" s="127" t="s">
        <v>15</v>
      </c>
      <c r="AC61" s="431" t="s">
        <v>15</v>
      </c>
      <c r="AD61" s="84" t="str">
        <f t="shared" si="12"/>
        <v/>
      </c>
      <c r="AE61" s="176">
        <v>0.29166666666666669</v>
      </c>
      <c r="AF61" s="127">
        <v>0.54166666666666663</v>
      </c>
      <c r="AG61" s="127">
        <v>0.625</v>
      </c>
      <c r="AH61" s="176">
        <v>0.70833333333333337</v>
      </c>
      <c r="AI61" s="84">
        <f t="shared" si="15"/>
        <v>0.33333333333333331</v>
      </c>
      <c r="AJ61" s="176">
        <v>0.3125</v>
      </c>
      <c r="AK61" s="127">
        <v>0.54166666666666663</v>
      </c>
      <c r="AL61" s="127">
        <v>0.625</v>
      </c>
      <c r="AM61" s="176">
        <v>0.72916666666666663</v>
      </c>
      <c r="AN61" s="84">
        <f t="shared" si="17"/>
        <v>0.33333333333333326</v>
      </c>
      <c r="AO61" s="28">
        <f t="shared" si="16"/>
        <v>1.6875</v>
      </c>
      <c r="AP61" s="385"/>
      <c r="AQ61" s="403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5"/>
      <c r="BC61" s="385"/>
      <c r="BD61" s="385"/>
      <c r="BE61" s="385"/>
      <c r="BF61" s="385"/>
      <c r="BG61" s="385"/>
      <c r="BH61" s="385"/>
      <c r="BI61" s="385"/>
      <c r="BJ61" s="385"/>
      <c r="BK61" s="385"/>
      <c r="BL61" s="385"/>
      <c r="BM61" s="385"/>
      <c r="BN61" s="385"/>
      <c r="BO61" s="385"/>
      <c r="BP61" s="385"/>
      <c r="BQ61" s="385"/>
      <c r="BR61" s="385"/>
      <c r="BS61" s="385"/>
      <c r="BT61" s="385"/>
    </row>
    <row r="62" spans="1:72" s="31" customFormat="1" ht="14.45" customHeight="1" x14ac:dyDescent="0.25">
      <c r="A62" s="402" t="s">
        <v>592</v>
      </c>
      <c r="B62" s="444" t="s">
        <v>297</v>
      </c>
      <c r="C62" s="311"/>
      <c r="D62" s="460" t="s">
        <v>467</v>
      </c>
      <c r="E62" s="164" t="s">
        <v>347</v>
      </c>
      <c r="F62" s="431" t="s">
        <v>15</v>
      </c>
      <c r="G62" s="127" t="s">
        <v>15</v>
      </c>
      <c r="H62" s="127" t="s">
        <v>15</v>
      </c>
      <c r="I62" s="431" t="s">
        <v>15</v>
      </c>
      <c r="J62" s="84" t="str">
        <f t="shared" si="13"/>
        <v/>
      </c>
      <c r="K62" s="431" t="s">
        <v>15</v>
      </c>
      <c r="L62" s="127" t="s">
        <v>15</v>
      </c>
      <c r="M62" s="127" t="s">
        <v>15</v>
      </c>
      <c r="N62" s="431" t="s">
        <v>15</v>
      </c>
      <c r="O62" s="84" t="str">
        <f t="shared" si="18"/>
        <v/>
      </c>
      <c r="P62" s="176">
        <v>0.29166666666666669</v>
      </c>
      <c r="Q62" s="127">
        <v>0.5</v>
      </c>
      <c r="R62" s="127">
        <v>0.58333333333333337</v>
      </c>
      <c r="S62" s="176">
        <v>0.70833333333333337</v>
      </c>
      <c r="T62" s="84">
        <f t="shared" si="11"/>
        <v>0.33333333333333331</v>
      </c>
      <c r="U62" s="176">
        <v>0.375</v>
      </c>
      <c r="V62" s="127">
        <v>0.625</v>
      </c>
      <c r="W62" s="127">
        <v>0.70833333333333337</v>
      </c>
      <c r="X62" s="176">
        <v>0.79166666666666663</v>
      </c>
      <c r="Y62" s="84">
        <f t="shared" si="14"/>
        <v>0.33333333333333326</v>
      </c>
      <c r="Z62" s="176">
        <v>0.41666666666666669</v>
      </c>
      <c r="AA62" s="127">
        <v>0.66666666666666663</v>
      </c>
      <c r="AB62" s="127">
        <v>0.75</v>
      </c>
      <c r="AC62" s="176">
        <v>0.83333333333333337</v>
      </c>
      <c r="AD62" s="84">
        <f t="shared" si="12"/>
        <v>0.33333333333333331</v>
      </c>
      <c r="AE62" s="176">
        <v>0.54166666666666663</v>
      </c>
      <c r="AF62" s="127">
        <v>0.66666666666666663</v>
      </c>
      <c r="AG62" s="127">
        <v>0.70833333333333337</v>
      </c>
      <c r="AH62" s="176">
        <v>0.91666666666666663</v>
      </c>
      <c r="AI62" s="84">
        <f t="shared" si="15"/>
        <v>0.33333333333333326</v>
      </c>
      <c r="AJ62" s="176">
        <v>0.54166666666666663</v>
      </c>
      <c r="AK62" s="127">
        <v>0.70833333333333337</v>
      </c>
      <c r="AL62" s="127">
        <v>0.75</v>
      </c>
      <c r="AM62" s="176">
        <v>0.9375</v>
      </c>
      <c r="AN62" s="84">
        <f t="shared" si="17"/>
        <v>0.35416666666666674</v>
      </c>
      <c r="AO62" s="28">
        <f t="shared" si="16"/>
        <v>1.6874999999999998</v>
      </c>
      <c r="AP62" s="385"/>
      <c r="AQ62" s="40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  <c r="BK62" s="385"/>
      <c r="BL62" s="385"/>
      <c r="BM62" s="385"/>
      <c r="BN62" s="385"/>
      <c r="BO62" s="385"/>
      <c r="BP62" s="385"/>
      <c r="BQ62" s="385"/>
      <c r="BR62" s="385"/>
      <c r="BS62" s="385"/>
      <c r="BT62" s="385"/>
    </row>
    <row r="63" spans="1:72" s="31" customFormat="1" ht="14.45" customHeight="1" x14ac:dyDescent="0.25">
      <c r="A63" s="402" t="s">
        <v>258</v>
      </c>
      <c r="B63" s="444" t="s">
        <v>538</v>
      </c>
      <c r="C63" s="311"/>
      <c r="D63" s="460" t="s">
        <v>467</v>
      </c>
      <c r="E63" s="164" t="s">
        <v>347</v>
      </c>
      <c r="F63" s="176">
        <v>0.5625</v>
      </c>
      <c r="G63" s="127">
        <v>0.79166666666666663</v>
      </c>
      <c r="H63" s="127">
        <v>0.83333333333333337</v>
      </c>
      <c r="I63" s="176">
        <v>0.9375</v>
      </c>
      <c r="J63" s="84">
        <f t="shared" si="13"/>
        <v>0.33333333333333326</v>
      </c>
      <c r="K63" s="176">
        <v>0.5625</v>
      </c>
      <c r="L63" s="127">
        <v>0.79166666666666663</v>
      </c>
      <c r="M63" s="127">
        <v>0.83333333333333337</v>
      </c>
      <c r="N63" s="176">
        <v>0.9375</v>
      </c>
      <c r="O63" s="84">
        <f t="shared" si="18"/>
        <v>0.33333333333333326</v>
      </c>
      <c r="P63" s="176">
        <v>0.54166666666666663</v>
      </c>
      <c r="Q63" s="127">
        <v>0.79166666666666663</v>
      </c>
      <c r="R63" s="127">
        <v>0.83333333333333337</v>
      </c>
      <c r="S63" s="176">
        <v>0.9375</v>
      </c>
      <c r="T63" s="84">
        <f t="shared" si="11"/>
        <v>0.35416666666666663</v>
      </c>
      <c r="U63" s="431" t="s">
        <v>15</v>
      </c>
      <c r="V63" s="127" t="s">
        <v>15</v>
      </c>
      <c r="W63" s="127" t="s">
        <v>15</v>
      </c>
      <c r="X63" s="431" t="s">
        <v>15</v>
      </c>
      <c r="Y63" s="84" t="str">
        <f t="shared" si="14"/>
        <v/>
      </c>
      <c r="Z63" s="431" t="s">
        <v>15</v>
      </c>
      <c r="AA63" s="127" t="s">
        <v>15</v>
      </c>
      <c r="AB63" s="127" t="s">
        <v>15</v>
      </c>
      <c r="AC63" s="431" t="s">
        <v>15</v>
      </c>
      <c r="AD63" s="84" t="str">
        <f t="shared" si="12"/>
        <v/>
      </c>
      <c r="AE63" s="176">
        <v>0.27083333333333331</v>
      </c>
      <c r="AF63" s="127">
        <v>0.5</v>
      </c>
      <c r="AG63" s="127">
        <v>0.58333333333333337</v>
      </c>
      <c r="AH63" s="176">
        <v>0.6875</v>
      </c>
      <c r="AI63" s="84">
        <f t="shared" si="15"/>
        <v>0.33333333333333331</v>
      </c>
      <c r="AJ63" s="176">
        <v>0.5625</v>
      </c>
      <c r="AK63" s="127">
        <v>0.79166666666666663</v>
      </c>
      <c r="AL63" s="127">
        <v>0.83333333333333337</v>
      </c>
      <c r="AM63" s="176">
        <v>0.9375</v>
      </c>
      <c r="AN63" s="84">
        <f t="shared" si="17"/>
        <v>0.33333333333333326</v>
      </c>
      <c r="AO63" s="28">
        <f t="shared" si="16"/>
        <v>1.6874999999999996</v>
      </c>
      <c r="AP63" s="413"/>
      <c r="AQ63" s="403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85"/>
      <c r="BN63" s="385"/>
      <c r="BO63" s="385"/>
      <c r="BP63" s="385"/>
      <c r="BQ63" s="385"/>
      <c r="BR63" s="385"/>
      <c r="BS63" s="385"/>
      <c r="BT63" s="385"/>
    </row>
    <row r="64" spans="1:72" s="31" customFormat="1" ht="14.45" customHeight="1" x14ac:dyDescent="0.25">
      <c r="A64" s="402" t="s">
        <v>264</v>
      </c>
      <c r="B64" s="444" t="s">
        <v>240</v>
      </c>
      <c r="C64" s="311"/>
      <c r="D64" s="460" t="s">
        <v>467</v>
      </c>
      <c r="E64" s="164" t="s">
        <v>347</v>
      </c>
      <c r="F64" s="176">
        <v>0.29166666666666669</v>
      </c>
      <c r="G64" s="127">
        <v>0.54166666666666663</v>
      </c>
      <c r="H64" s="127">
        <v>0.625</v>
      </c>
      <c r="I64" s="176">
        <v>0.70833333333333337</v>
      </c>
      <c r="J64" s="84">
        <f t="shared" si="13"/>
        <v>0.33333333333333331</v>
      </c>
      <c r="K64" s="176">
        <v>0.29166666666666669</v>
      </c>
      <c r="L64" s="127">
        <v>0.54166666666666663</v>
      </c>
      <c r="M64" s="127">
        <v>0.625</v>
      </c>
      <c r="N64" s="176">
        <v>0.70833333333333337</v>
      </c>
      <c r="O64" s="84">
        <f t="shared" si="18"/>
        <v>0.33333333333333331</v>
      </c>
      <c r="P64" s="176">
        <v>0.5</v>
      </c>
      <c r="Q64" s="127">
        <v>0.75</v>
      </c>
      <c r="R64" s="127">
        <v>0.79166666666666663</v>
      </c>
      <c r="S64" s="176">
        <v>0.875</v>
      </c>
      <c r="T64" s="84">
        <f t="shared" si="11"/>
        <v>0.33333333333333337</v>
      </c>
      <c r="U64" s="176">
        <v>0.54166666666666663</v>
      </c>
      <c r="V64" s="127">
        <v>0.70833333333333337</v>
      </c>
      <c r="W64" s="127">
        <v>0.75</v>
      </c>
      <c r="X64" s="176">
        <v>0.9375</v>
      </c>
      <c r="Y64" s="84">
        <f t="shared" si="14"/>
        <v>0.35416666666666674</v>
      </c>
      <c r="Z64" s="176">
        <v>0.5</v>
      </c>
      <c r="AA64" s="127">
        <v>0.75</v>
      </c>
      <c r="AB64" s="127">
        <v>0.79166666666666663</v>
      </c>
      <c r="AC64" s="176">
        <v>0.875</v>
      </c>
      <c r="AD64" s="84">
        <f t="shared" si="12"/>
        <v>0.33333333333333337</v>
      </c>
      <c r="AE64" s="431" t="s">
        <v>15</v>
      </c>
      <c r="AF64" s="127" t="s">
        <v>15</v>
      </c>
      <c r="AG64" s="127" t="s">
        <v>15</v>
      </c>
      <c r="AH64" s="431" t="s">
        <v>15</v>
      </c>
      <c r="AI64" s="84" t="str">
        <f t="shared" si="15"/>
        <v/>
      </c>
      <c r="AJ64" s="431" t="s">
        <v>15</v>
      </c>
      <c r="AK64" s="127" t="s">
        <v>15</v>
      </c>
      <c r="AL64" s="127" t="s">
        <v>15</v>
      </c>
      <c r="AM64" s="431" t="s">
        <v>15</v>
      </c>
      <c r="AN64" s="84" t="str">
        <f t="shared" si="17"/>
        <v/>
      </c>
      <c r="AO64" s="28">
        <f t="shared" si="16"/>
        <v>1.6875</v>
      </c>
      <c r="AP64" s="385"/>
      <c r="AQ64" s="405"/>
      <c r="AR64" s="385"/>
      <c r="AS64" s="408"/>
      <c r="AT64" s="408"/>
      <c r="AU64" s="408"/>
      <c r="AV64" s="408"/>
      <c r="AW64" s="408"/>
      <c r="AX64" s="408"/>
      <c r="AY64" s="408"/>
      <c r="AZ64" s="408"/>
      <c r="BA64" s="408"/>
      <c r="BB64" s="408"/>
      <c r="BC64" s="408"/>
      <c r="BD64" s="408"/>
      <c r="BE64" s="408"/>
      <c r="BF64" s="408"/>
      <c r="BG64" s="408"/>
      <c r="BH64" s="408"/>
      <c r="BI64" s="408"/>
      <c r="BJ64" s="408"/>
      <c r="BK64" s="408"/>
      <c r="BL64" s="408"/>
      <c r="BM64" s="408"/>
      <c r="BN64" s="408"/>
      <c r="BO64" s="408"/>
      <c r="BP64" s="408"/>
      <c r="BQ64" s="408"/>
      <c r="BR64" s="408"/>
      <c r="BS64" s="408"/>
      <c r="BT64" s="408"/>
    </row>
    <row r="65" spans="1:72" s="1" customFormat="1" ht="14.45" customHeight="1" x14ac:dyDescent="0.25">
      <c r="A65" s="409" t="s">
        <v>599</v>
      </c>
      <c r="B65" s="444" t="s">
        <v>241</v>
      </c>
      <c r="C65" s="311"/>
      <c r="D65" s="460" t="s">
        <v>467</v>
      </c>
      <c r="E65" s="164" t="s">
        <v>347</v>
      </c>
      <c r="F65" s="176">
        <v>0.27083333333333331</v>
      </c>
      <c r="G65" s="127">
        <v>0.41666666666666669</v>
      </c>
      <c r="H65" s="127">
        <v>0.5</v>
      </c>
      <c r="I65" s="176">
        <v>0.6875</v>
      </c>
      <c r="J65" s="84">
        <f t="shared" si="13"/>
        <v>0.33333333333333337</v>
      </c>
      <c r="K65" s="176">
        <v>0.27083333333333331</v>
      </c>
      <c r="L65" s="127">
        <v>0.41666666666666669</v>
      </c>
      <c r="M65" s="127">
        <v>0.5</v>
      </c>
      <c r="N65" s="176">
        <v>0.6875</v>
      </c>
      <c r="O65" s="84">
        <f t="shared" si="18"/>
        <v>0.33333333333333337</v>
      </c>
      <c r="P65" s="176">
        <v>0.3125</v>
      </c>
      <c r="Q65" s="127">
        <v>0.54166666666666663</v>
      </c>
      <c r="R65" s="127">
        <v>0.625</v>
      </c>
      <c r="S65" s="176">
        <v>0.72916666666666663</v>
      </c>
      <c r="T65" s="84">
        <f t="shared" si="11"/>
        <v>0.33333333333333326</v>
      </c>
      <c r="U65" s="176">
        <v>0.54166666666666663</v>
      </c>
      <c r="V65" s="127">
        <v>0.70833333333333337</v>
      </c>
      <c r="W65" s="127">
        <v>0.75</v>
      </c>
      <c r="X65" s="176">
        <v>0.9375</v>
      </c>
      <c r="Y65" s="84">
        <f t="shared" si="14"/>
        <v>0.35416666666666674</v>
      </c>
      <c r="Z65" s="176">
        <v>0.5</v>
      </c>
      <c r="AA65" s="127">
        <v>0.75</v>
      </c>
      <c r="AB65" s="127">
        <v>0.79166666666666663</v>
      </c>
      <c r="AC65" s="176">
        <v>0.875</v>
      </c>
      <c r="AD65" s="84">
        <f t="shared" si="12"/>
        <v>0.33333333333333337</v>
      </c>
      <c r="AE65" s="431" t="s">
        <v>15</v>
      </c>
      <c r="AF65" s="127" t="s">
        <v>15</v>
      </c>
      <c r="AG65" s="127" t="s">
        <v>15</v>
      </c>
      <c r="AH65" s="431" t="s">
        <v>15</v>
      </c>
      <c r="AI65" s="84" t="str">
        <f t="shared" si="15"/>
        <v/>
      </c>
      <c r="AJ65" s="431" t="s">
        <v>15</v>
      </c>
      <c r="AK65" s="127" t="s">
        <v>15</v>
      </c>
      <c r="AL65" s="127" t="s">
        <v>15</v>
      </c>
      <c r="AM65" s="431" t="s">
        <v>15</v>
      </c>
      <c r="AN65" s="84" t="str">
        <f t="shared" si="17"/>
        <v/>
      </c>
      <c r="AO65" s="28">
        <f t="shared" si="16"/>
        <v>1.6875</v>
      </c>
      <c r="AP65" s="385"/>
      <c r="AQ65" s="403"/>
      <c r="AR65" s="385"/>
      <c r="AS65" s="404"/>
      <c r="AT65" s="404"/>
      <c r="AU65" s="404"/>
      <c r="AV65" s="404"/>
      <c r="AW65" s="404"/>
      <c r="AX65" s="404"/>
      <c r="AY65" s="404"/>
      <c r="AZ65" s="404"/>
      <c r="BA65" s="404"/>
      <c r="BB65" s="404"/>
      <c r="BC65" s="404"/>
      <c r="BD65" s="404"/>
      <c r="BE65" s="404"/>
      <c r="BF65" s="404"/>
      <c r="BG65" s="404"/>
      <c r="BH65" s="404"/>
      <c r="BI65" s="404"/>
      <c r="BJ65" s="404"/>
      <c r="BK65" s="404"/>
      <c r="BL65" s="404"/>
      <c r="BM65" s="404"/>
      <c r="BN65" s="404"/>
      <c r="BO65" s="404"/>
      <c r="BP65" s="404"/>
      <c r="BQ65" s="404"/>
      <c r="BR65" s="404"/>
      <c r="BS65" s="404"/>
      <c r="BT65" s="404"/>
    </row>
    <row r="66" spans="1:72" s="33" customFormat="1" ht="14.45" customHeight="1" x14ac:dyDescent="0.25">
      <c r="A66" s="402" t="s">
        <v>261</v>
      </c>
      <c r="B66" s="444" t="s">
        <v>242</v>
      </c>
      <c r="C66" s="311"/>
      <c r="D66" s="460" t="s">
        <v>467</v>
      </c>
      <c r="E66" s="164" t="s">
        <v>347</v>
      </c>
      <c r="F66" s="176">
        <v>0.52083333333333337</v>
      </c>
      <c r="G66" s="127">
        <v>0.625</v>
      </c>
      <c r="H66" s="127">
        <v>0.66666666666666663</v>
      </c>
      <c r="I66" s="176">
        <v>0.89583333333333337</v>
      </c>
      <c r="J66" s="84">
        <f t="shared" si="13"/>
        <v>0.33333333333333337</v>
      </c>
      <c r="K66" s="176">
        <v>0.54166666666666663</v>
      </c>
      <c r="L66" s="127">
        <v>0.77083333333333337</v>
      </c>
      <c r="M66" s="127">
        <v>0.8125</v>
      </c>
      <c r="N66" s="176">
        <v>0.9375</v>
      </c>
      <c r="O66" s="84">
        <f t="shared" si="18"/>
        <v>0.35416666666666674</v>
      </c>
      <c r="P66" s="176">
        <v>0.54166666666666663</v>
      </c>
      <c r="Q66" s="127">
        <v>0.79166666666666663</v>
      </c>
      <c r="R66" s="127">
        <v>0.83333333333333337</v>
      </c>
      <c r="S66" s="176">
        <v>0.9375</v>
      </c>
      <c r="T66" s="84">
        <f t="shared" si="11"/>
        <v>0.35416666666666663</v>
      </c>
      <c r="U66" s="431" t="s">
        <v>15</v>
      </c>
      <c r="V66" s="127" t="s">
        <v>15</v>
      </c>
      <c r="W66" s="127" t="s">
        <v>15</v>
      </c>
      <c r="X66" s="431" t="s">
        <v>15</v>
      </c>
      <c r="Y66" s="84" t="str">
        <f t="shared" si="14"/>
        <v/>
      </c>
      <c r="Z66" s="431" t="s">
        <v>15</v>
      </c>
      <c r="AA66" s="127" t="s">
        <v>15</v>
      </c>
      <c r="AB66" s="127" t="s">
        <v>15</v>
      </c>
      <c r="AC66" s="431" t="s">
        <v>15</v>
      </c>
      <c r="AD66" s="84" t="str">
        <f t="shared" si="12"/>
        <v/>
      </c>
      <c r="AE66" s="176">
        <v>0.29166666666666669</v>
      </c>
      <c r="AF66" s="127">
        <v>0.54166666666666663</v>
      </c>
      <c r="AG66" s="127">
        <v>0.625</v>
      </c>
      <c r="AH66" s="176">
        <v>0.70833333333333337</v>
      </c>
      <c r="AI66" s="84">
        <f t="shared" si="15"/>
        <v>0.33333333333333331</v>
      </c>
      <c r="AJ66" s="176">
        <v>0.3125</v>
      </c>
      <c r="AK66" s="127">
        <v>0.54166666666666663</v>
      </c>
      <c r="AL66" s="127">
        <v>0.625</v>
      </c>
      <c r="AM66" s="176">
        <v>0.72916666666666663</v>
      </c>
      <c r="AN66" s="84">
        <f t="shared" si="17"/>
        <v>0.33333333333333326</v>
      </c>
      <c r="AO66" s="28">
        <f t="shared" si="16"/>
        <v>1.7083333333333333</v>
      </c>
      <c r="AP66" s="385"/>
      <c r="AQ66" s="403"/>
      <c r="AR66" s="385"/>
      <c r="AS66" s="404"/>
      <c r="AT66" s="408"/>
      <c r="AU66" s="385"/>
      <c r="AV66" s="385"/>
      <c r="AW66" s="385"/>
      <c r="AX66" s="385"/>
      <c r="AY66" s="385"/>
      <c r="AZ66" s="385"/>
      <c r="BA66" s="385"/>
      <c r="BB66" s="385"/>
      <c r="BC66" s="385"/>
      <c r="BD66" s="385"/>
      <c r="BE66" s="385"/>
      <c r="BF66" s="385"/>
      <c r="BG66" s="385"/>
      <c r="BH66" s="385"/>
      <c r="BI66" s="385"/>
      <c r="BJ66" s="385"/>
      <c r="BK66" s="385"/>
      <c r="BL66" s="385"/>
      <c r="BM66" s="385"/>
      <c r="BN66" s="385"/>
      <c r="BO66" s="385"/>
      <c r="BP66" s="385"/>
      <c r="BQ66" s="385"/>
      <c r="BR66" s="385"/>
      <c r="BS66" s="385"/>
      <c r="BT66" s="385"/>
    </row>
    <row r="67" spans="1:72" s="1" customFormat="1" ht="12.75" customHeight="1" x14ac:dyDescent="0.25">
      <c r="A67" s="487"/>
      <c r="B67" s="442" t="s">
        <v>233</v>
      </c>
      <c r="C67" s="311"/>
      <c r="D67" s="460" t="s">
        <v>467</v>
      </c>
      <c r="E67" s="439" t="s">
        <v>346</v>
      </c>
      <c r="F67" s="176">
        <v>0.54166666666666663</v>
      </c>
      <c r="G67" s="127">
        <v>0.70833333333333337</v>
      </c>
      <c r="H67" s="127">
        <v>0.75</v>
      </c>
      <c r="I67" s="176">
        <v>0.91666666666666663</v>
      </c>
      <c r="J67" s="84">
        <f t="shared" si="13"/>
        <v>0.33333333333333337</v>
      </c>
      <c r="K67" s="85">
        <v>0.875</v>
      </c>
      <c r="L67" s="127"/>
      <c r="M67" s="127"/>
      <c r="N67" s="85">
        <v>1</v>
      </c>
      <c r="O67" s="84">
        <f t="shared" si="18"/>
        <v>0.125</v>
      </c>
      <c r="P67" s="85">
        <v>0</v>
      </c>
      <c r="Q67" s="127">
        <v>0.29166666666666669</v>
      </c>
      <c r="R67" s="127">
        <v>0.875</v>
      </c>
      <c r="S67" s="85">
        <v>1</v>
      </c>
      <c r="T67" s="84">
        <v>0.375</v>
      </c>
      <c r="U67" s="85">
        <v>0</v>
      </c>
      <c r="V67" s="127">
        <v>8.3333333333333329E-2</v>
      </c>
      <c r="W67" s="127">
        <v>0.16666666666666666</v>
      </c>
      <c r="X67" s="85">
        <v>0.29166666666666669</v>
      </c>
      <c r="Y67" s="84">
        <f t="shared" si="14"/>
        <v>0.20833333333333337</v>
      </c>
      <c r="Z67" s="431" t="s">
        <v>15</v>
      </c>
      <c r="AA67" s="127" t="s">
        <v>15</v>
      </c>
      <c r="AB67" s="127" t="s">
        <v>15</v>
      </c>
      <c r="AC67" s="431" t="s">
        <v>15</v>
      </c>
      <c r="AD67" s="84" t="str">
        <f t="shared" si="12"/>
        <v/>
      </c>
      <c r="AE67" s="176">
        <v>0.29166666666666669</v>
      </c>
      <c r="AF67" s="127">
        <v>0.5</v>
      </c>
      <c r="AG67" s="127">
        <v>0.54166666666666663</v>
      </c>
      <c r="AH67" s="176">
        <v>0.66666666666666663</v>
      </c>
      <c r="AI67" s="84">
        <f t="shared" si="15"/>
        <v>0.33333333333333331</v>
      </c>
      <c r="AJ67" s="176">
        <v>0.54166666666666663</v>
      </c>
      <c r="AK67" s="127">
        <v>0.70833333333333337</v>
      </c>
      <c r="AL67" s="127">
        <v>0.75</v>
      </c>
      <c r="AM67" s="176">
        <v>0.91666666666666663</v>
      </c>
      <c r="AN67" s="84">
        <f t="shared" si="17"/>
        <v>0.33333333333333337</v>
      </c>
      <c r="AO67" s="28">
        <f t="shared" si="16"/>
        <v>1.7083333333333335</v>
      </c>
      <c r="AP67" s="385"/>
      <c r="AQ67" s="385"/>
      <c r="AR67" s="385"/>
      <c r="AS67" s="385"/>
      <c r="AT67" s="385"/>
      <c r="AU67" s="385"/>
      <c r="AV67" s="385"/>
      <c r="AW67" s="385"/>
      <c r="AX67" s="385"/>
      <c r="AY67" s="385"/>
      <c r="AZ67" s="385"/>
      <c r="BA67" s="385"/>
      <c r="BB67" s="385"/>
      <c r="BC67" s="385"/>
      <c r="BD67" s="385"/>
      <c r="BE67" s="385"/>
      <c r="BF67" s="385"/>
      <c r="BG67" s="385"/>
      <c r="BH67" s="385"/>
      <c r="BI67" s="385"/>
      <c r="BJ67" s="385"/>
      <c r="BK67" s="385"/>
      <c r="BL67" s="385"/>
      <c r="BM67" s="385"/>
      <c r="BN67" s="385"/>
      <c r="BO67" s="385"/>
      <c r="BP67" s="385"/>
      <c r="BQ67" s="385"/>
      <c r="BR67" s="385"/>
      <c r="BS67" s="385"/>
      <c r="BT67" s="385"/>
    </row>
    <row r="68" spans="1:72" s="31" customFormat="1" ht="14.45" customHeight="1" x14ac:dyDescent="0.25">
      <c r="A68" s="487"/>
      <c r="B68" s="442" t="s">
        <v>204</v>
      </c>
      <c r="C68" s="311" t="s">
        <v>396</v>
      </c>
      <c r="D68" s="459" t="s">
        <v>166</v>
      </c>
      <c r="E68" s="438">
        <v>8911</v>
      </c>
      <c r="F68" s="431" t="s">
        <v>15</v>
      </c>
      <c r="G68" s="127" t="s">
        <v>15</v>
      </c>
      <c r="H68" s="127" t="s">
        <v>15</v>
      </c>
      <c r="I68" s="431" t="s">
        <v>15</v>
      </c>
      <c r="J68" s="84" t="str">
        <f t="shared" ref="J68:J77" si="19">IFERROR(MOD(I68-F68,1)-(H68-G68),"")</f>
        <v/>
      </c>
      <c r="K68" s="176">
        <v>0.29166666666666669</v>
      </c>
      <c r="L68" s="127">
        <v>0.54166666666666663</v>
      </c>
      <c r="M68" s="127">
        <v>0.58333333333333337</v>
      </c>
      <c r="N68" s="176">
        <v>0.625</v>
      </c>
      <c r="O68" s="84">
        <f t="shared" ref="O68:O77" si="20">IFERROR(MOD(N68-K68,1)-(M68-L68),"")</f>
        <v>0.29166666666666657</v>
      </c>
      <c r="P68" s="176">
        <v>0.29166666666666669</v>
      </c>
      <c r="Q68" s="127">
        <v>0.54166666666666663</v>
      </c>
      <c r="R68" s="127">
        <v>0.58333333333333337</v>
      </c>
      <c r="S68" s="176">
        <v>0.625</v>
      </c>
      <c r="T68" s="84">
        <f t="shared" ref="T68:T77" si="21">IFERROR(MOD(S68-P68,1)-(R68-Q68),"")</f>
        <v>0.29166666666666657</v>
      </c>
      <c r="U68" s="176">
        <v>0.29166666666666669</v>
      </c>
      <c r="V68" s="127">
        <v>0.54166666666666663</v>
      </c>
      <c r="W68" s="127">
        <v>0.58333333333333337</v>
      </c>
      <c r="X68" s="176">
        <v>0.625</v>
      </c>
      <c r="Y68" s="84">
        <f t="shared" ref="Y68:Y77" si="22">IFERROR(MOD(X68-U68,1)-(W68-V68),"")</f>
        <v>0.29166666666666657</v>
      </c>
      <c r="Z68" s="176">
        <v>0.29166666666666669</v>
      </c>
      <c r="AA68" s="127">
        <v>0.54166666666666663</v>
      </c>
      <c r="AB68" s="127">
        <v>0.58333333333333337</v>
      </c>
      <c r="AC68" s="176">
        <v>0.625</v>
      </c>
      <c r="AD68" s="84">
        <f t="shared" ref="AD68:AD77" si="23">IFERROR(MOD(AC68-Z68,1)-(AB68-AA68),"")</f>
        <v>0.29166666666666657</v>
      </c>
      <c r="AE68" s="176">
        <v>0.29166666666666669</v>
      </c>
      <c r="AF68" s="127">
        <v>0.54166666666666663</v>
      </c>
      <c r="AG68" s="127">
        <v>0.58333333333333337</v>
      </c>
      <c r="AH68" s="176">
        <v>0.625</v>
      </c>
      <c r="AI68" s="84">
        <f t="shared" ref="AI68:AI77" si="24">IFERROR(MOD(AH68-AE68,1)-(AG68-AF68),"")</f>
        <v>0.29166666666666657</v>
      </c>
      <c r="AJ68" s="431" t="s">
        <v>15</v>
      </c>
      <c r="AK68" s="127" t="s">
        <v>15</v>
      </c>
      <c r="AL68" s="127" t="s">
        <v>15</v>
      </c>
      <c r="AM68" s="431" t="s">
        <v>15</v>
      </c>
      <c r="AN68" s="84" t="str">
        <f t="shared" ref="AN68:AN77" si="25">IFERROR(MOD(AM68-AJ68,1)-(AL68-AK68),"")</f>
        <v/>
      </c>
      <c r="AO68" s="28">
        <f t="shared" ref="AO68:AO99" si="26">SUM(J68,O68,T68,Y68,AD68,AI68,AN68)</f>
        <v>1.4583333333333328</v>
      </c>
      <c r="AP68" s="385"/>
      <c r="AQ68" s="385"/>
      <c r="AR68" s="385"/>
      <c r="AS68" s="385"/>
      <c r="AT68" s="385"/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5"/>
      <c r="BH68" s="385"/>
      <c r="BI68" s="385"/>
      <c r="BJ68" s="385"/>
      <c r="BK68" s="385"/>
      <c r="BL68" s="385"/>
      <c r="BM68" s="385"/>
      <c r="BN68" s="385"/>
      <c r="BO68" s="385"/>
      <c r="BP68" s="385"/>
      <c r="BQ68" s="385"/>
      <c r="BR68" s="385"/>
      <c r="BS68" s="385"/>
      <c r="BT68" s="385"/>
    </row>
    <row r="69" spans="1:72" ht="14.45" customHeight="1" x14ac:dyDescent="0.25">
      <c r="A69" s="487"/>
      <c r="B69" s="442" t="s">
        <v>146</v>
      </c>
      <c r="C69" s="311"/>
      <c r="D69" s="459" t="s">
        <v>166</v>
      </c>
      <c r="E69" s="438">
        <v>8911</v>
      </c>
      <c r="F69" s="431" t="s">
        <v>15</v>
      </c>
      <c r="G69" s="127" t="s">
        <v>15</v>
      </c>
      <c r="H69" s="127" t="s">
        <v>15</v>
      </c>
      <c r="I69" s="431" t="s">
        <v>15</v>
      </c>
      <c r="J69" s="84" t="str">
        <f t="shared" si="19"/>
        <v/>
      </c>
      <c r="K69" s="431" t="s">
        <v>15</v>
      </c>
      <c r="L69" s="127" t="s">
        <v>15</v>
      </c>
      <c r="M69" s="127" t="s">
        <v>15</v>
      </c>
      <c r="N69" s="431" t="s">
        <v>15</v>
      </c>
      <c r="O69" s="84" t="str">
        <f t="shared" si="20"/>
        <v/>
      </c>
      <c r="P69" s="176">
        <v>0.29166666666666669</v>
      </c>
      <c r="Q69" s="127">
        <v>0.54166666666666663</v>
      </c>
      <c r="R69" s="127">
        <v>0.625</v>
      </c>
      <c r="S69" s="176">
        <v>0.70833333333333337</v>
      </c>
      <c r="T69" s="84">
        <f t="shared" si="21"/>
        <v>0.33333333333333331</v>
      </c>
      <c r="U69" s="176">
        <v>0.375</v>
      </c>
      <c r="V69" s="127">
        <v>0.54166666666666663</v>
      </c>
      <c r="W69" s="127">
        <v>0.58333333333333337</v>
      </c>
      <c r="X69" s="176">
        <v>0.75</v>
      </c>
      <c r="Y69" s="84">
        <f t="shared" si="22"/>
        <v>0.33333333333333326</v>
      </c>
      <c r="Z69" s="176">
        <v>0.54166666666666663</v>
      </c>
      <c r="AA69" s="127">
        <v>0.66666666666666663</v>
      </c>
      <c r="AB69" s="127">
        <v>0.70833333333333337</v>
      </c>
      <c r="AC69" s="176">
        <v>0.91666666666666663</v>
      </c>
      <c r="AD69" s="84">
        <f t="shared" si="23"/>
        <v>0.33333333333333326</v>
      </c>
      <c r="AE69" s="176">
        <v>0.54166666666666663</v>
      </c>
      <c r="AF69" s="127">
        <v>0.66666666666666663</v>
      </c>
      <c r="AG69" s="127">
        <v>0.70833333333333337</v>
      </c>
      <c r="AH69" s="176">
        <v>0.91666666666666663</v>
      </c>
      <c r="AI69" s="84">
        <f t="shared" si="24"/>
        <v>0.33333333333333326</v>
      </c>
      <c r="AJ69" s="176">
        <v>0.54166666666666663</v>
      </c>
      <c r="AK69" s="127">
        <v>0.66666666666666663</v>
      </c>
      <c r="AL69" s="127">
        <v>0.70833333333333337</v>
      </c>
      <c r="AM69" s="176">
        <v>0.91666666666666663</v>
      </c>
      <c r="AN69" s="84">
        <f t="shared" si="25"/>
        <v>0.33333333333333326</v>
      </c>
      <c r="AO69" s="28">
        <f t="shared" si="26"/>
        <v>1.6666666666666663</v>
      </c>
    </row>
    <row r="70" spans="1:72" ht="14.45" customHeight="1" x14ac:dyDescent="0.25">
      <c r="A70" s="487"/>
      <c r="B70" s="442" t="s">
        <v>84</v>
      </c>
      <c r="C70" s="311"/>
      <c r="D70" s="459" t="s">
        <v>166</v>
      </c>
      <c r="E70" s="438">
        <v>8911</v>
      </c>
      <c r="F70" s="176">
        <v>0.54166666666666663</v>
      </c>
      <c r="G70" s="127">
        <v>0.66666666666666663</v>
      </c>
      <c r="H70" s="127">
        <v>0.70833333333333337</v>
      </c>
      <c r="I70" s="176">
        <v>0.91666666666666663</v>
      </c>
      <c r="J70" s="84">
        <f t="shared" si="19"/>
        <v>0.33333333333333326</v>
      </c>
      <c r="K70" s="176">
        <v>0.375</v>
      </c>
      <c r="L70" s="127">
        <v>0.54166666666666663</v>
      </c>
      <c r="M70" s="127">
        <v>0.58333333333333337</v>
      </c>
      <c r="N70" s="176">
        <v>0.75</v>
      </c>
      <c r="O70" s="84">
        <f t="shared" si="20"/>
        <v>0.33333333333333326</v>
      </c>
      <c r="P70" s="431" t="s">
        <v>15</v>
      </c>
      <c r="Q70" s="127" t="s">
        <v>15</v>
      </c>
      <c r="R70" s="127" t="s">
        <v>15</v>
      </c>
      <c r="S70" s="431" t="s">
        <v>15</v>
      </c>
      <c r="T70" s="84" t="str">
        <f t="shared" si="21"/>
        <v/>
      </c>
      <c r="U70" s="431" t="s">
        <v>15</v>
      </c>
      <c r="V70" s="127" t="s">
        <v>15</v>
      </c>
      <c r="W70" s="127" t="s">
        <v>15</v>
      </c>
      <c r="X70" s="431" t="s">
        <v>15</v>
      </c>
      <c r="Y70" s="84" t="str">
        <f t="shared" si="22"/>
        <v/>
      </c>
      <c r="Z70" s="176">
        <v>0.33333333333333331</v>
      </c>
      <c r="AA70" s="127">
        <v>0.5</v>
      </c>
      <c r="AB70" s="127">
        <v>0.54166666666666663</v>
      </c>
      <c r="AC70" s="176">
        <v>0.70833333333333337</v>
      </c>
      <c r="AD70" s="84">
        <f t="shared" si="23"/>
        <v>0.33333333333333343</v>
      </c>
      <c r="AE70" s="176">
        <v>0.54166666666666663</v>
      </c>
      <c r="AF70" s="127">
        <v>0.66666666666666663</v>
      </c>
      <c r="AG70" s="127">
        <v>0.70833333333333337</v>
      </c>
      <c r="AH70" s="176">
        <v>0.91666666666666663</v>
      </c>
      <c r="AI70" s="84">
        <f t="shared" si="24"/>
        <v>0.33333333333333326</v>
      </c>
      <c r="AJ70" s="176">
        <v>0.54166666666666663</v>
      </c>
      <c r="AK70" s="127">
        <v>0.66666666666666663</v>
      </c>
      <c r="AL70" s="127">
        <v>0.70833333333333337</v>
      </c>
      <c r="AM70" s="176">
        <v>0.91666666666666663</v>
      </c>
      <c r="AN70" s="84">
        <f t="shared" si="25"/>
        <v>0.33333333333333326</v>
      </c>
      <c r="AO70" s="28">
        <f t="shared" si="26"/>
        <v>1.6666666666666665</v>
      </c>
    </row>
    <row r="71" spans="1:72" ht="14.45" customHeight="1" x14ac:dyDescent="0.25">
      <c r="A71" s="487"/>
      <c r="B71" s="442" t="s">
        <v>178</v>
      </c>
      <c r="C71" s="311"/>
      <c r="D71" s="459" t="s">
        <v>166</v>
      </c>
      <c r="E71" s="438">
        <v>8911</v>
      </c>
      <c r="F71" s="176">
        <v>0.3125</v>
      </c>
      <c r="G71" s="127">
        <v>0.54166666666666663</v>
      </c>
      <c r="H71" s="127">
        <v>0.625</v>
      </c>
      <c r="I71" s="176">
        <v>0.72916666666666663</v>
      </c>
      <c r="J71" s="84">
        <f t="shared" si="19"/>
        <v>0.33333333333333326</v>
      </c>
      <c r="K71" s="176">
        <v>0.54166666666666663</v>
      </c>
      <c r="L71" s="127">
        <v>0.625</v>
      </c>
      <c r="M71" s="127">
        <v>0.66666666666666663</v>
      </c>
      <c r="N71" s="176">
        <v>0.91666666666666663</v>
      </c>
      <c r="O71" s="84">
        <f t="shared" si="20"/>
        <v>0.33333333333333337</v>
      </c>
      <c r="P71" s="176">
        <v>0.54166666666666663</v>
      </c>
      <c r="Q71" s="127">
        <v>0.625</v>
      </c>
      <c r="R71" s="127">
        <v>0.66666666666666663</v>
      </c>
      <c r="S71" s="176">
        <v>0.91666666666666663</v>
      </c>
      <c r="T71" s="84">
        <f t="shared" si="21"/>
        <v>0.33333333333333337</v>
      </c>
      <c r="U71" s="176">
        <v>0.54166666666666663</v>
      </c>
      <c r="V71" s="127">
        <v>0.625</v>
      </c>
      <c r="W71" s="127">
        <v>0.66666666666666663</v>
      </c>
      <c r="X71" s="176">
        <v>0.91666666666666663</v>
      </c>
      <c r="Y71" s="84">
        <f t="shared" si="22"/>
        <v>0.33333333333333337</v>
      </c>
      <c r="Z71" s="431" t="s">
        <v>15</v>
      </c>
      <c r="AA71" s="127" t="s">
        <v>15</v>
      </c>
      <c r="AB71" s="127" t="s">
        <v>15</v>
      </c>
      <c r="AC71" s="431" t="s">
        <v>15</v>
      </c>
      <c r="AD71" s="84" t="str">
        <f t="shared" si="23"/>
        <v/>
      </c>
      <c r="AE71" s="431" t="s">
        <v>15</v>
      </c>
      <c r="AF71" s="127" t="s">
        <v>15</v>
      </c>
      <c r="AG71" s="127" t="s">
        <v>15</v>
      </c>
      <c r="AH71" s="431" t="s">
        <v>15</v>
      </c>
      <c r="AI71" s="84" t="str">
        <f t="shared" si="24"/>
        <v/>
      </c>
      <c r="AJ71" s="176">
        <v>0.29166666666666669</v>
      </c>
      <c r="AK71" s="127">
        <v>0.5</v>
      </c>
      <c r="AL71" s="127">
        <v>0.58333333333333337</v>
      </c>
      <c r="AM71" s="176">
        <v>0.70833333333333337</v>
      </c>
      <c r="AN71" s="84">
        <f t="shared" si="25"/>
        <v>0.33333333333333331</v>
      </c>
      <c r="AO71" s="28">
        <f t="shared" si="26"/>
        <v>1.6666666666666667</v>
      </c>
    </row>
    <row r="72" spans="1:72" ht="14.45" customHeight="1" x14ac:dyDescent="0.25">
      <c r="B72" s="442" t="s">
        <v>150</v>
      </c>
      <c r="C72" s="311"/>
      <c r="D72" s="459" t="s">
        <v>166</v>
      </c>
      <c r="E72" s="438">
        <v>8911</v>
      </c>
      <c r="F72" s="176">
        <v>0.47916666666666669</v>
      </c>
      <c r="G72" s="127">
        <v>0.625</v>
      </c>
      <c r="H72" s="127">
        <v>0.66666666666666663</v>
      </c>
      <c r="I72" s="176">
        <v>0.875</v>
      </c>
      <c r="J72" s="84">
        <f t="shared" si="19"/>
        <v>0.35416666666666669</v>
      </c>
      <c r="K72" s="176">
        <v>0.5</v>
      </c>
      <c r="L72" s="127">
        <v>0.625</v>
      </c>
      <c r="M72" s="127">
        <v>0.66666666666666663</v>
      </c>
      <c r="N72" s="176">
        <v>0.875</v>
      </c>
      <c r="O72" s="84">
        <f t="shared" si="20"/>
        <v>0.33333333333333337</v>
      </c>
      <c r="P72" s="431" t="s">
        <v>15</v>
      </c>
      <c r="Q72" s="127" t="s">
        <v>15</v>
      </c>
      <c r="R72" s="127" t="s">
        <v>15</v>
      </c>
      <c r="S72" s="431" t="s">
        <v>15</v>
      </c>
      <c r="T72" s="84" t="str">
        <f t="shared" si="21"/>
        <v/>
      </c>
      <c r="U72" s="431" t="s">
        <v>15</v>
      </c>
      <c r="V72" s="127" t="s">
        <v>15</v>
      </c>
      <c r="W72" s="127" t="s">
        <v>15</v>
      </c>
      <c r="X72" s="431" t="s">
        <v>15</v>
      </c>
      <c r="Y72" s="84" t="str">
        <f t="shared" si="22"/>
        <v/>
      </c>
      <c r="Z72" s="176">
        <v>0.29166666666666669</v>
      </c>
      <c r="AA72" s="127">
        <v>0.54166666666666663</v>
      </c>
      <c r="AB72" s="127">
        <v>0.625</v>
      </c>
      <c r="AC72" s="176">
        <v>0.70833333333333337</v>
      </c>
      <c r="AD72" s="84">
        <f t="shared" si="23"/>
        <v>0.33333333333333331</v>
      </c>
      <c r="AE72" s="176">
        <v>0.29166666666666669</v>
      </c>
      <c r="AF72" s="127">
        <v>0.54166666666666663</v>
      </c>
      <c r="AG72" s="127">
        <v>0.625</v>
      </c>
      <c r="AH72" s="176">
        <v>0.70833333333333337</v>
      </c>
      <c r="AI72" s="84">
        <f t="shared" si="24"/>
        <v>0.33333333333333331</v>
      </c>
      <c r="AJ72" s="176">
        <v>0.29166666666666669</v>
      </c>
      <c r="AK72" s="127">
        <v>0.54166666666666663</v>
      </c>
      <c r="AL72" s="127">
        <v>0.625</v>
      </c>
      <c r="AM72" s="176">
        <v>0.70833333333333337</v>
      </c>
      <c r="AN72" s="84">
        <f t="shared" si="25"/>
        <v>0.33333333333333331</v>
      </c>
      <c r="AO72" s="28">
        <f t="shared" si="26"/>
        <v>1.6874999999999998</v>
      </c>
    </row>
    <row r="73" spans="1:72" ht="14.45" customHeight="1" x14ac:dyDescent="0.25">
      <c r="A73" s="487"/>
      <c r="B73" s="442" t="s">
        <v>254</v>
      </c>
      <c r="C73" s="311"/>
      <c r="D73" s="459" t="s">
        <v>166</v>
      </c>
      <c r="E73" s="438">
        <v>8911</v>
      </c>
      <c r="F73" s="431" t="s">
        <v>15</v>
      </c>
      <c r="G73" s="127" t="s">
        <v>15</v>
      </c>
      <c r="H73" s="127" t="s">
        <v>15</v>
      </c>
      <c r="I73" s="431" t="s">
        <v>15</v>
      </c>
      <c r="J73" s="84" t="str">
        <f t="shared" si="19"/>
        <v/>
      </c>
      <c r="K73" s="431" t="s">
        <v>15</v>
      </c>
      <c r="L73" s="127" t="s">
        <v>15</v>
      </c>
      <c r="M73" s="127" t="s">
        <v>15</v>
      </c>
      <c r="N73" s="431" t="s">
        <v>15</v>
      </c>
      <c r="O73" s="84" t="str">
        <f t="shared" si="20"/>
        <v/>
      </c>
      <c r="P73" s="176">
        <v>0.29166666666666669</v>
      </c>
      <c r="Q73" s="127">
        <v>0.54166666666666663</v>
      </c>
      <c r="R73" s="127">
        <v>0.58333333333333337</v>
      </c>
      <c r="S73" s="176">
        <v>0.66666666666666663</v>
      </c>
      <c r="T73" s="84">
        <f t="shared" si="21"/>
        <v>0.3333333333333332</v>
      </c>
      <c r="U73" s="176">
        <v>0.29166666666666669</v>
      </c>
      <c r="V73" s="127">
        <v>0.5</v>
      </c>
      <c r="W73" s="127">
        <v>0.54166666666666663</v>
      </c>
      <c r="X73" s="176">
        <v>0.66666666666666663</v>
      </c>
      <c r="Y73" s="84">
        <f t="shared" si="22"/>
        <v>0.33333333333333331</v>
      </c>
      <c r="Z73" s="176">
        <v>0.54166666666666663</v>
      </c>
      <c r="AA73" s="127">
        <v>0.625</v>
      </c>
      <c r="AB73" s="127">
        <v>0.66666666666666663</v>
      </c>
      <c r="AC73" s="176">
        <v>0.91666666666666663</v>
      </c>
      <c r="AD73" s="84">
        <f t="shared" si="23"/>
        <v>0.33333333333333337</v>
      </c>
      <c r="AE73" s="176">
        <v>0.45833333333333331</v>
      </c>
      <c r="AF73" s="127">
        <v>0.58333333333333337</v>
      </c>
      <c r="AG73" s="127">
        <v>0.66666666666666663</v>
      </c>
      <c r="AH73" s="176">
        <v>0.89583333333333337</v>
      </c>
      <c r="AI73" s="84">
        <f t="shared" si="24"/>
        <v>0.3541666666666668</v>
      </c>
      <c r="AJ73" s="176">
        <v>0.54166666666666663</v>
      </c>
      <c r="AK73" s="127">
        <v>0.625</v>
      </c>
      <c r="AL73" s="127">
        <v>0.66666666666666663</v>
      </c>
      <c r="AM73" s="176">
        <v>0.91666666666666663</v>
      </c>
      <c r="AN73" s="84">
        <f t="shared" si="25"/>
        <v>0.33333333333333337</v>
      </c>
      <c r="AO73" s="28">
        <f t="shared" si="26"/>
        <v>1.6875</v>
      </c>
    </row>
    <row r="74" spans="1:72" ht="14.45" customHeight="1" x14ac:dyDescent="0.25">
      <c r="A74" s="487"/>
      <c r="B74" s="442" t="s">
        <v>152</v>
      </c>
      <c r="C74" s="311"/>
      <c r="D74" s="459" t="s">
        <v>166</v>
      </c>
      <c r="E74" s="438">
        <v>8911</v>
      </c>
      <c r="F74" s="176">
        <v>0.33333333333333331</v>
      </c>
      <c r="G74" s="127">
        <v>0.5</v>
      </c>
      <c r="H74" s="127">
        <v>0.54166666666666663</v>
      </c>
      <c r="I74" s="176">
        <v>0.70833333333333337</v>
      </c>
      <c r="J74" s="84">
        <f t="shared" si="19"/>
        <v>0.33333333333333343</v>
      </c>
      <c r="K74" s="176">
        <v>0.29166666666666669</v>
      </c>
      <c r="L74" s="127">
        <v>0.54166666666666663</v>
      </c>
      <c r="M74" s="127">
        <v>0.625</v>
      </c>
      <c r="N74" s="176">
        <v>0.70833333333333337</v>
      </c>
      <c r="O74" s="84">
        <f t="shared" si="20"/>
        <v>0.33333333333333331</v>
      </c>
      <c r="P74" s="176">
        <v>0.5</v>
      </c>
      <c r="Q74" s="127">
        <v>0.625</v>
      </c>
      <c r="R74" s="127">
        <v>0.66666666666666663</v>
      </c>
      <c r="S74" s="176">
        <v>0.89583333333333337</v>
      </c>
      <c r="T74" s="84">
        <f t="shared" si="21"/>
        <v>0.35416666666666674</v>
      </c>
      <c r="U74" s="176">
        <v>0.54166666666666663</v>
      </c>
      <c r="V74" s="127">
        <v>0.66666666666666663</v>
      </c>
      <c r="W74" s="127">
        <v>0.70833333333333337</v>
      </c>
      <c r="X74" s="176">
        <v>0.91666666666666663</v>
      </c>
      <c r="Y74" s="84">
        <f t="shared" si="22"/>
        <v>0.33333333333333326</v>
      </c>
      <c r="Z74" s="176">
        <v>0.5</v>
      </c>
      <c r="AA74" s="127">
        <v>0.625</v>
      </c>
      <c r="AB74" s="127">
        <v>0.66666666666666663</v>
      </c>
      <c r="AC74" s="176">
        <v>0.875</v>
      </c>
      <c r="AD74" s="84">
        <f t="shared" si="23"/>
        <v>0.33333333333333337</v>
      </c>
      <c r="AE74" s="431" t="s">
        <v>15</v>
      </c>
      <c r="AF74" s="127" t="s">
        <v>15</v>
      </c>
      <c r="AG74" s="127" t="s">
        <v>15</v>
      </c>
      <c r="AH74" s="431" t="s">
        <v>15</v>
      </c>
      <c r="AI74" s="84" t="str">
        <f t="shared" si="24"/>
        <v/>
      </c>
      <c r="AJ74" s="431" t="s">
        <v>15</v>
      </c>
      <c r="AK74" s="127" t="s">
        <v>15</v>
      </c>
      <c r="AL74" s="127" t="s">
        <v>15</v>
      </c>
      <c r="AM74" s="431" t="s">
        <v>15</v>
      </c>
      <c r="AN74" s="84" t="str">
        <f t="shared" si="25"/>
        <v/>
      </c>
      <c r="AO74" s="28">
        <f t="shared" si="26"/>
        <v>1.6875</v>
      </c>
    </row>
    <row r="75" spans="1:72" ht="14.45" customHeight="1" x14ac:dyDescent="0.25">
      <c r="A75" s="487"/>
      <c r="B75" s="442" t="s">
        <v>21</v>
      </c>
      <c r="C75" s="311"/>
      <c r="D75" s="459" t="s">
        <v>166</v>
      </c>
      <c r="E75" s="438">
        <v>8911</v>
      </c>
      <c r="F75" s="176">
        <v>0.54166666666666663</v>
      </c>
      <c r="G75" s="127">
        <v>0.625</v>
      </c>
      <c r="H75" s="127">
        <v>0.66666666666666663</v>
      </c>
      <c r="I75" s="176">
        <v>0.91666666666666663</v>
      </c>
      <c r="J75" s="84">
        <f t="shared" si="19"/>
        <v>0.33333333333333337</v>
      </c>
      <c r="K75" s="176">
        <v>0.54166666666666663</v>
      </c>
      <c r="L75" s="127">
        <v>0.66666666666666663</v>
      </c>
      <c r="M75" s="127">
        <v>0.70833333333333337</v>
      </c>
      <c r="N75" s="176">
        <v>0.91666666666666663</v>
      </c>
      <c r="O75" s="84">
        <f t="shared" si="20"/>
        <v>0.33333333333333326</v>
      </c>
      <c r="P75" s="176">
        <v>0.54166666666666663</v>
      </c>
      <c r="Q75" s="127">
        <v>0.66666666666666663</v>
      </c>
      <c r="R75" s="127">
        <v>0.70833333333333337</v>
      </c>
      <c r="S75" s="176">
        <v>0.91666666666666663</v>
      </c>
      <c r="T75" s="84">
        <f t="shared" si="21"/>
        <v>0.33333333333333326</v>
      </c>
      <c r="U75" s="431" t="s">
        <v>15</v>
      </c>
      <c r="V75" s="127" t="s">
        <v>15</v>
      </c>
      <c r="W75" s="127" t="s">
        <v>15</v>
      </c>
      <c r="X75" s="431" t="s">
        <v>15</v>
      </c>
      <c r="Y75" s="84" t="str">
        <f t="shared" si="22"/>
        <v/>
      </c>
      <c r="Z75" s="431" t="s">
        <v>15</v>
      </c>
      <c r="AA75" s="127" t="s">
        <v>15</v>
      </c>
      <c r="AB75" s="127" t="s">
        <v>15</v>
      </c>
      <c r="AC75" s="431" t="s">
        <v>15</v>
      </c>
      <c r="AD75" s="84" t="str">
        <f t="shared" si="23"/>
        <v/>
      </c>
      <c r="AE75" s="176">
        <v>0.29166666666666669</v>
      </c>
      <c r="AF75" s="127">
        <v>0.54166666666666663</v>
      </c>
      <c r="AG75" s="127">
        <v>0.58333333333333337</v>
      </c>
      <c r="AH75" s="176">
        <v>0.66666666666666663</v>
      </c>
      <c r="AI75" s="84">
        <f t="shared" si="24"/>
        <v>0.3333333333333332</v>
      </c>
      <c r="AJ75" s="176">
        <v>0.29166666666666669</v>
      </c>
      <c r="AK75" s="127">
        <v>0.54166666666666663</v>
      </c>
      <c r="AL75" s="127">
        <v>0.625</v>
      </c>
      <c r="AM75" s="176">
        <v>0.70833333333333337</v>
      </c>
      <c r="AN75" s="84">
        <f t="shared" si="25"/>
        <v>0.33333333333333331</v>
      </c>
      <c r="AO75" s="28">
        <f t="shared" si="26"/>
        <v>1.6666666666666663</v>
      </c>
    </row>
    <row r="76" spans="1:72" ht="14.45" customHeight="1" x14ac:dyDescent="0.25">
      <c r="A76" s="487"/>
      <c r="B76" s="442" t="s">
        <v>131</v>
      </c>
      <c r="C76" s="311"/>
      <c r="D76" s="459" t="s">
        <v>166</v>
      </c>
      <c r="E76" s="438">
        <v>8911</v>
      </c>
      <c r="F76" s="176">
        <v>0.5</v>
      </c>
      <c r="G76" s="127">
        <v>0.625</v>
      </c>
      <c r="H76" s="127">
        <v>0.66666666666666663</v>
      </c>
      <c r="I76" s="176">
        <v>0.89583333333333337</v>
      </c>
      <c r="J76" s="84">
        <f t="shared" si="19"/>
        <v>0.35416666666666674</v>
      </c>
      <c r="K76" s="431" t="s">
        <v>15</v>
      </c>
      <c r="L76" s="127" t="s">
        <v>15</v>
      </c>
      <c r="M76" s="127" t="s">
        <v>15</v>
      </c>
      <c r="N76" s="431" t="s">
        <v>15</v>
      </c>
      <c r="O76" s="84" t="str">
        <f t="shared" si="20"/>
        <v/>
      </c>
      <c r="P76" s="431" t="s">
        <v>15</v>
      </c>
      <c r="Q76" s="127" t="s">
        <v>15</v>
      </c>
      <c r="R76" s="127" t="s">
        <v>15</v>
      </c>
      <c r="S76" s="431" t="s">
        <v>15</v>
      </c>
      <c r="T76" s="84" t="str">
        <f t="shared" si="21"/>
        <v/>
      </c>
      <c r="U76" s="176">
        <v>0.29166666666666669</v>
      </c>
      <c r="V76" s="127">
        <v>0.54166666666666663</v>
      </c>
      <c r="W76" s="127">
        <v>0.625</v>
      </c>
      <c r="X76" s="176">
        <v>0.70833333333333337</v>
      </c>
      <c r="Y76" s="84">
        <f t="shared" si="22"/>
        <v>0.33333333333333331</v>
      </c>
      <c r="Z76" s="176">
        <v>0.29166666666666669</v>
      </c>
      <c r="AA76" s="127">
        <v>0.54166666666666663</v>
      </c>
      <c r="AB76" s="127">
        <v>0.625</v>
      </c>
      <c r="AC76" s="176">
        <v>0.70833333333333337</v>
      </c>
      <c r="AD76" s="84">
        <f t="shared" si="23"/>
        <v>0.33333333333333331</v>
      </c>
      <c r="AE76" s="176">
        <v>0.29166666666666669</v>
      </c>
      <c r="AF76" s="127">
        <v>0.54166666666666663</v>
      </c>
      <c r="AG76" s="127">
        <v>0.625</v>
      </c>
      <c r="AH76" s="176">
        <v>0.70833333333333337</v>
      </c>
      <c r="AI76" s="84">
        <f t="shared" si="24"/>
        <v>0.33333333333333331</v>
      </c>
      <c r="AJ76" s="176">
        <v>0.29166666666666669</v>
      </c>
      <c r="AK76" s="127">
        <v>0.54166666666666663</v>
      </c>
      <c r="AL76" s="127">
        <v>0.625</v>
      </c>
      <c r="AM76" s="176">
        <v>0.70833333333333337</v>
      </c>
      <c r="AN76" s="84">
        <f t="shared" si="25"/>
        <v>0.33333333333333331</v>
      </c>
      <c r="AO76" s="28">
        <f t="shared" si="26"/>
        <v>1.6874999999999998</v>
      </c>
    </row>
    <row r="77" spans="1:72" ht="14.45" customHeight="1" x14ac:dyDescent="0.25">
      <c r="A77" s="487"/>
      <c r="B77" s="442" t="s">
        <v>27</v>
      </c>
      <c r="C77" s="311"/>
      <c r="D77" s="459" t="s">
        <v>166</v>
      </c>
      <c r="E77" s="438">
        <v>8911</v>
      </c>
      <c r="F77" s="176">
        <v>0.29166666666666669</v>
      </c>
      <c r="G77" s="127">
        <v>0.54166666666666663</v>
      </c>
      <c r="H77" s="127">
        <v>0.58333333333333337</v>
      </c>
      <c r="I77" s="176">
        <v>0.66666666666666663</v>
      </c>
      <c r="J77" s="84">
        <f t="shared" si="19"/>
        <v>0.3333333333333332</v>
      </c>
      <c r="K77" s="176">
        <v>0.29166666666666669</v>
      </c>
      <c r="L77" s="127">
        <v>0.54166666666666663</v>
      </c>
      <c r="M77" s="127">
        <v>0.60416666666666663</v>
      </c>
      <c r="N77" s="176">
        <v>0.6875</v>
      </c>
      <c r="O77" s="84">
        <f t="shared" si="20"/>
        <v>0.33333333333333331</v>
      </c>
      <c r="P77" s="176">
        <v>0.33333333333333331</v>
      </c>
      <c r="Q77" s="127">
        <v>0.58333333333333337</v>
      </c>
      <c r="R77" s="127">
        <v>0.625</v>
      </c>
      <c r="S77" s="176">
        <v>0.70833333333333337</v>
      </c>
      <c r="T77" s="84">
        <f t="shared" si="21"/>
        <v>0.33333333333333343</v>
      </c>
      <c r="U77" s="176">
        <v>0.5</v>
      </c>
      <c r="V77" s="127">
        <v>0.625</v>
      </c>
      <c r="W77" s="127">
        <v>0.66666666666666663</v>
      </c>
      <c r="X77" s="176">
        <v>0.89583333333333337</v>
      </c>
      <c r="Y77" s="84">
        <f t="shared" si="22"/>
        <v>0.35416666666666674</v>
      </c>
      <c r="Z77" s="176">
        <v>0.5</v>
      </c>
      <c r="AA77" s="127">
        <v>0.625</v>
      </c>
      <c r="AB77" s="127">
        <v>0.66666666666666663</v>
      </c>
      <c r="AC77" s="176">
        <v>0.875</v>
      </c>
      <c r="AD77" s="84">
        <f t="shared" si="23"/>
        <v>0.33333333333333337</v>
      </c>
      <c r="AE77" s="431" t="s">
        <v>15</v>
      </c>
      <c r="AF77" s="127" t="s">
        <v>15</v>
      </c>
      <c r="AG77" s="127" t="s">
        <v>15</v>
      </c>
      <c r="AH77" s="431" t="s">
        <v>15</v>
      </c>
      <c r="AI77" s="84" t="str">
        <f t="shared" si="24"/>
        <v/>
      </c>
      <c r="AJ77" s="431" t="s">
        <v>15</v>
      </c>
      <c r="AK77" s="127" t="s">
        <v>15</v>
      </c>
      <c r="AL77" s="127" t="s">
        <v>15</v>
      </c>
      <c r="AM77" s="431" t="s">
        <v>15</v>
      </c>
      <c r="AN77" s="84" t="str">
        <f t="shared" si="25"/>
        <v/>
      </c>
      <c r="AO77" s="28">
        <f t="shared" si="26"/>
        <v>1.6875</v>
      </c>
    </row>
    <row r="78" spans="1:72" ht="14.45" customHeight="1" x14ac:dyDescent="0.2">
      <c r="A78" s="409"/>
      <c r="B78" s="443" t="s">
        <v>189</v>
      </c>
      <c r="C78" s="311" t="s">
        <v>299</v>
      </c>
      <c r="D78" s="454" t="s">
        <v>120</v>
      </c>
      <c r="E78" s="164" t="s">
        <v>347</v>
      </c>
      <c r="F78" s="176">
        <v>0</v>
      </c>
      <c r="G78" s="127">
        <v>0.16666666666666666</v>
      </c>
      <c r="H78" s="127">
        <v>0.83333333333333337</v>
      </c>
      <c r="I78" s="176">
        <v>1</v>
      </c>
      <c r="J78" s="84">
        <v>0.33333333333333331</v>
      </c>
      <c r="K78" s="431" t="s">
        <v>15</v>
      </c>
      <c r="L78" s="127" t="s">
        <v>15</v>
      </c>
      <c r="M78" s="127" t="s">
        <v>15</v>
      </c>
      <c r="N78" s="431" t="s">
        <v>15</v>
      </c>
      <c r="O78" s="84" t="str">
        <f t="shared" ref="O78:O109" si="27">IFERROR(MOD(N78-K78,1)-MOD(M78-L78,1),"")</f>
        <v/>
      </c>
      <c r="P78" s="176">
        <v>0.54166666666666663</v>
      </c>
      <c r="Q78" s="127">
        <v>0.70833333333333337</v>
      </c>
      <c r="R78" s="127">
        <v>0.83333333333333337</v>
      </c>
      <c r="S78" s="176">
        <v>1</v>
      </c>
      <c r="T78" s="84">
        <f t="shared" ref="T78:T91" si="28">IFERROR(MOD(S78-P78,1)-MOD(R78-Q78,1),"")</f>
        <v>0.33333333333333337</v>
      </c>
      <c r="U78" s="431" t="s">
        <v>15</v>
      </c>
      <c r="V78" s="127" t="s">
        <v>15</v>
      </c>
      <c r="W78" s="127" t="s">
        <v>15</v>
      </c>
      <c r="X78" s="431" t="s">
        <v>15</v>
      </c>
      <c r="Y78" s="84" t="str">
        <f>IFERROR(MOD(X78-U78,1)-MOD(W78-V78,1),"")</f>
        <v/>
      </c>
      <c r="Z78" s="176">
        <v>0.41666666666666669</v>
      </c>
      <c r="AA78" s="127">
        <v>0.58333333333333337</v>
      </c>
      <c r="AB78" s="127">
        <v>0.83333333333333337</v>
      </c>
      <c r="AC78" s="176">
        <v>1</v>
      </c>
      <c r="AD78" s="84">
        <f t="shared" ref="AD78:AD97" si="29">IFERROR(MOD(AC78-Z78,1)-MOD(AB78-AA78,1),"")</f>
        <v>0.33333333333333326</v>
      </c>
      <c r="AE78" s="176">
        <v>0.41666666666666669</v>
      </c>
      <c r="AF78" s="127">
        <v>0.58333333333333337</v>
      </c>
      <c r="AG78" s="127">
        <v>0.83333333333333337</v>
      </c>
      <c r="AH78" s="176">
        <v>1</v>
      </c>
      <c r="AI78" s="84">
        <f t="shared" ref="AI78:AI83" si="30">IFERROR(MOD(AH78-AE78,1)-MOD(AG78-AF78,1),"")</f>
        <v>0.33333333333333326</v>
      </c>
      <c r="AJ78" s="176">
        <v>0.27083333333333331</v>
      </c>
      <c r="AK78" s="127">
        <v>0.4375</v>
      </c>
      <c r="AL78" s="127">
        <v>0.83333333333333337</v>
      </c>
      <c r="AM78" s="176">
        <v>1</v>
      </c>
      <c r="AN78" s="84">
        <f>IFERROR(MOD(AM78-AJ78,1)-MOD(AL78-AK78,1),"")</f>
        <v>0.33333333333333337</v>
      </c>
      <c r="AO78" s="28">
        <f t="shared" si="26"/>
        <v>1.6666666666666665</v>
      </c>
      <c r="AQ78" s="405"/>
    </row>
    <row r="79" spans="1:72" s="1" customFormat="1" ht="12.75" customHeight="1" x14ac:dyDescent="0.2">
      <c r="A79" s="409" t="s">
        <v>600</v>
      </c>
      <c r="B79" s="443" t="s">
        <v>251</v>
      </c>
      <c r="C79" s="311"/>
      <c r="D79" s="454" t="s">
        <v>120</v>
      </c>
      <c r="E79" s="164" t="s">
        <v>347</v>
      </c>
      <c r="F79" s="176">
        <v>0.52083333333333337</v>
      </c>
      <c r="G79" s="127">
        <v>0.625</v>
      </c>
      <c r="H79" s="127">
        <v>0.66666666666666663</v>
      </c>
      <c r="I79" s="176">
        <v>0.89583333333333337</v>
      </c>
      <c r="J79" s="84">
        <f>IFERROR(MOD(I79-F79,1)-MOD(H79-G79,1),"")</f>
        <v>0.33333333333333337</v>
      </c>
      <c r="K79" s="176">
        <v>0.41666666666666669</v>
      </c>
      <c r="L79" s="127">
        <v>0.58333333333333337</v>
      </c>
      <c r="M79" s="127">
        <v>0.66666666666666663</v>
      </c>
      <c r="N79" s="176">
        <v>0.83333333333333337</v>
      </c>
      <c r="O79" s="84">
        <f t="shared" si="27"/>
        <v>0.33333333333333343</v>
      </c>
      <c r="P79" s="176">
        <v>0.375</v>
      </c>
      <c r="Q79" s="127">
        <v>0.625</v>
      </c>
      <c r="R79" s="127">
        <v>0.70833333333333337</v>
      </c>
      <c r="S79" s="176">
        <v>0.79166666666666663</v>
      </c>
      <c r="T79" s="84">
        <f t="shared" si="28"/>
        <v>0.33333333333333326</v>
      </c>
      <c r="U79" s="431" t="s">
        <v>15</v>
      </c>
      <c r="V79" s="127" t="s">
        <v>15</v>
      </c>
      <c r="W79" s="127" t="s">
        <v>15</v>
      </c>
      <c r="X79" s="431" t="s">
        <v>15</v>
      </c>
      <c r="Y79" s="84" t="str">
        <f>IFERROR(MOD(X79-U79,1)-MOD(W79-V79,1),"")</f>
        <v/>
      </c>
      <c r="Z79" s="431" t="s">
        <v>15</v>
      </c>
      <c r="AA79" s="127" t="s">
        <v>15</v>
      </c>
      <c r="AB79" s="127" t="s">
        <v>15</v>
      </c>
      <c r="AC79" s="431" t="s">
        <v>15</v>
      </c>
      <c r="AD79" s="84" t="str">
        <f t="shared" si="29"/>
        <v/>
      </c>
      <c r="AE79" s="176">
        <v>0.29166666666666669</v>
      </c>
      <c r="AF79" s="127">
        <v>0.54166666666666663</v>
      </c>
      <c r="AG79" s="127">
        <v>0.625</v>
      </c>
      <c r="AH79" s="176">
        <v>0.70833333333333337</v>
      </c>
      <c r="AI79" s="84">
        <f t="shared" si="30"/>
        <v>0.33333333333333331</v>
      </c>
      <c r="AJ79" s="176">
        <v>0.3125</v>
      </c>
      <c r="AK79" s="127">
        <v>0.54166666666666663</v>
      </c>
      <c r="AL79" s="127">
        <v>0.625</v>
      </c>
      <c r="AM79" s="176">
        <v>0.72916666666666663</v>
      </c>
      <c r="AN79" s="84">
        <f>IFERROR(MOD(AM79-AJ79,1)-MOD(AL79-AK79,1),"")</f>
        <v>0.33333333333333326</v>
      </c>
      <c r="AO79" s="28">
        <f t="shared" si="26"/>
        <v>1.6666666666666665</v>
      </c>
      <c r="AP79" s="385"/>
      <c r="AQ79" s="405"/>
      <c r="AR79" s="385"/>
      <c r="AS79" s="408"/>
      <c r="AT79" s="385"/>
      <c r="AU79" s="385"/>
      <c r="AV79" s="385"/>
      <c r="AW79" s="385"/>
      <c r="AX79" s="385"/>
      <c r="AY79" s="385"/>
      <c r="AZ79" s="385"/>
      <c r="BA79" s="385"/>
      <c r="BB79" s="385"/>
      <c r="BC79" s="385"/>
      <c r="BD79" s="385"/>
      <c r="BE79" s="385"/>
      <c r="BF79" s="385"/>
      <c r="BG79" s="385"/>
      <c r="BH79" s="385"/>
      <c r="BI79" s="385"/>
      <c r="BJ79" s="385"/>
      <c r="BK79" s="385"/>
      <c r="BL79" s="385"/>
      <c r="BM79" s="385"/>
      <c r="BN79" s="385"/>
      <c r="BO79" s="385"/>
      <c r="BP79" s="385"/>
      <c r="BQ79" s="385"/>
      <c r="BR79" s="385"/>
      <c r="BS79" s="385"/>
      <c r="BT79" s="385"/>
    </row>
    <row r="80" spans="1:72" ht="14.45" customHeight="1" x14ac:dyDescent="0.2">
      <c r="A80" s="402" t="s">
        <v>264</v>
      </c>
      <c r="B80" s="443" t="s">
        <v>148</v>
      </c>
      <c r="C80" s="311"/>
      <c r="D80" s="454" t="s">
        <v>120</v>
      </c>
      <c r="E80" s="164" t="s">
        <v>347</v>
      </c>
      <c r="F80" s="441">
        <v>0.83333333333333337</v>
      </c>
      <c r="G80" s="127"/>
      <c r="H80" s="127"/>
      <c r="I80" s="441">
        <v>1</v>
      </c>
      <c r="J80" s="84">
        <f>IFERROR(MOD(I80-F80,1)-MOD(H80-G80,1),"")</f>
        <v>0.16666666666666663</v>
      </c>
      <c r="K80" s="441">
        <v>0</v>
      </c>
      <c r="L80" s="127">
        <v>4.1666666666666664E-2</v>
      </c>
      <c r="M80" s="127">
        <v>0.125</v>
      </c>
      <c r="N80" s="441">
        <v>0.29166666666666669</v>
      </c>
      <c r="O80" s="84">
        <f t="shared" si="27"/>
        <v>0.20833333333333334</v>
      </c>
      <c r="P80" s="431" t="s">
        <v>15</v>
      </c>
      <c r="Q80" s="127" t="s">
        <v>15</v>
      </c>
      <c r="R80" s="127" t="s">
        <v>15</v>
      </c>
      <c r="S80" s="431" t="s">
        <v>15</v>
      </c>
      <c r="T80" s="84" t="str">
        <f t="shared" si="28"/>
        <v/>
      </c>
      <c r="U80" s="176">
        <v>0.27083333333333331</v>
      </c>
      <c r="V80" s="127">
        <v>0.41666666666666669</v>
      </c>
      <c r="W80" s="127">
        <v>0.5</v>
      </c>
      <c r="X80" s="176">
        <v>0.6875</v>
      </c>
      <c r="Y80" s="84">
        <f>IFERROR(MOD(X80-U80,1)-MOD(W80-V80,1),"")</f>
        <v>0.33333333333333337</v>
      </c>
      <c r="Z80" s="176">
        <v>0.27083333333333331</v>
      </c>
      <c r="AA80" s="127">
        <v>0.41666666666666669</v>
      </c>
      <c r="AB80" s="127">
        <v>0.5</v>
      </c>
      <c r="AC80" s="176">
        <v>0.6875</v>
      </c>
      <c r="AD80" s="84">
        <f t="shared" si="29"/>
        <v>0.33333333333333337</v>
      </c>
      <c r="AE80" s="176">
        <v>0.54166666666666663</v>
      </c>
      <c r="AF80" s="127">
        <v>0.66666666666666663</v>
      </c>
      <c r="AG80" s="127">
        <v>0.70833333333333337</v>
      </c>
      <c r="AH80" s="176">
        <v>0.9375</v>
      </c>
      <c r="AI80" s="84">
        <f t="shared" si="30"/>
        <v>0.35416666666666663</v>
      </c>
      <c r="AJ80" s="176">
        <v>0.5625</v>
      </c>
      <c r="AK80" s="127">
        <v>0.79166666666666663</v>
      </c>
      <c r="AL80" s="127">
        <v>0.83333333333333337</v>
      </c>
      <c r="AM80" s="176">
        <v>0.9375</v>
      </c>
      <c r="AN80" s="84">
        <f>IFERROR(MOD(AM80-AJ80,1)-MOD(AL80-AK80,1),"")</f>
        <v>0.33333333333333326</v>
      </c>
      <c r="AO80" s="28">
        <f t="shared" si="26"/>
        <v>1.7291666666666667</v>
      </c>
      <c r="AP80" s="416"/>
      <c r="AQ80" s="417"/>
    </row>
    <row r="81" spans="1:72" ht="14.45" customHeight="1" x14ac:dyDescent="0.2">
      <c r="A81" s="402" t="s">
        <v>271</v>
      </c>
      <c r="B81" s="443" t="s">
        <v>190</v>
      </c>
      <c r="C81" s="311"/>
      <c r="D81" s="454" t="s">
        <v>120</v>
      </c>
      <c r="E81" s="164" t="s">
        <v>347</v>
      </c>
      <c r="F81" s="431" t="s">
        <v>15</v>
      </c>
      <c r="G81" s="127" t="s">
        <v>15</v>
      </c>
      <c r="H81" s="127" t="s">
        <v>15</v>
      </c>
      <c r="I81" s="431" t="s">
        <v>15</v>
      </c>
      <c r="J81" s="84" t="str">
        <f>IFERROR(MOD(I81-F81,1)-MOD(H81-G81,1),"")</f>
        <v/>
      </c>
      <c r="K81" s="431" t="s">
        <v>15</v>
      </c>
      <c r="L81" s="127" t="s">
        <v>15</v>
      </c>
      <c r="M81" s="127" t="s">
        <v>15</v>
      </c>
      <c r="N81" s="431" t="s">
        <v>15</v>
      </c>
      <c r="O81" s="84" t="str">
        <f t="shared" si="27"/>
        <v/>
      </c>
      <c r="P81" s="176">
        <v>0.33333333333333331</v>
      </c>
      <c r="Q81" s="127">
        <v>0.58333333333333337</v>
      </c>
      <c r="R81" s="127">
        <v>0.66666666666666663</v>
      </c>
      <c r="S81" s="176">
        <v>0.75</v>
      </c>
      <c r="T81" s="84">
        <f t="shared" si="28"/>
        <v>0.33333333333333343</v>
      </c>
      <c r="U81" s="176">
        <v>0.33333333333333331</v>
      </c>
      <c r="V81" s="127">
        <v>0.58333333333333337</v>
      </c>
      <c r="W81" s="127">
        <v>0.66666666666666663</v>
      </c>
      <c r="X81" s="176">
        <v>0.75</v>
      </c>
      <c r="Y81" s="84">
        <f>IFERROR(MOD(X81-U81,1)-MOD(W81-V81,1),"")</f>
        <v>0.33333333333333343</v>
      </c>
      <c r="Z81" s="176">
        <v>0.41666666666666669</v>
      </c>
      <c r="AA81" s="127">
        <v>0.66666666666666663</v>
      </c>
      <c r="AB81" s="127">
        <v>0.75</v>
      </c>
      <c r="AC81" s="176">
        <v>0.83333333333333337</v>
      </c>
      <c r="AD81" s="84">
        <f t="shared" si="29"/>
        <v>0.33333333333333331</v>
      </c>
      <c r="AE81" s="176">
        <v>0.54166666666666663</v>
      </c>
      <c r="AF81" s="127">
        <v>0.66666666666666663</v>
      </c>
      <c r="AG81" s="127">
        <v>0.70833333333333337</v>
      </c>
      <c r="AH81" s="176">
        <v>0.91666666666666663</v>
      </c>
      <c r="AI81" s="84">
        <f t="shared" si="30"/>
        <v>0.33333333333333326</v>
      </c>
      <c r="AJ81" s="176">
        <v>0.375</v>
      </c>
      <c r="AK81" s="127">
        <v>0.625</v>
      </c>
      <c r="AL81" s="127">
        <v>0.70833333333333337</v>
      </c>
      <c r="AM81" s="176">
        <v>0.79166666666666663</v>
      </c>
      <c r="AN81" s="84">
        <f>IFERROR(MOD(AM81-AJ81,1)-MOD(AL81-AK81,1),"")</f>
        <v>0.33333333333333326</v>
      </c>
      <c r="AO81" s="28">
        <f t="shared" si="26"/>
        <v>1.6666666666666667</v>
      </c>
      <c r="AQ81" s="403"/>
    </row>
    <row r="82" spans="1:72" ht="14.45" customHeight="1" x14ac:dyDescent="0.25">
      <c r="A82" s="290" t="s">
        <v>271</v>
      </c>
      <c r="B82" s="443" t="s">
        <v>180</v>
      </c>
      <c r="C82" s="311"/>
      <c r="D82" s="454" t="s">
        <v>120</v>
      </c>
      <c r="E82" s="164" t="s">
        <v>347</v>
      </c>
      <c r="F82" s="176">
        <v>0.27083333333333331</v>
      </c>
      <c r="G82" s="127">
        <v>0.5</v>
      </c>
      <c r="H82" s="127">
        <v>0.58333333333333337</v>
      </c>
      <c r="I82" s="176">
        <v>0.6875</v>
      </c>
      <c r="J82" s="84">
        <f>IFERROR(MOD(I82-F82,1)-MOD(H82-G82,1),"")</f>
        <v>0.33333333333333331</v>
      </c>
      <c r="K82" s="176">
        <v>0.41666666666666669</v>
      </c>
      <c r="L82" s="127">
        <v>0.66666666666666663</v>
      </c>
      <c r="M82" s="127">
        <v>0.75</v>
      </c>
      <c r="N82" s="176">
        <v>0.83333333333333337</v>
      </c>
      <c r="O82" s="84">
        <f t="shared" si="27"/>
        <v>0.33333333333333331</v>
      </c>
      <c r="P82" s="176">
        <v>0.41666666666666669</v>
      </c>
      <c r="Q82" s="127">
        <v>0.625</v>
      </c>
      <c r="R82" s="127">
        <v>0.70833333333333337</v>
      </c>
      <c r="S82" s="176">
        <v>0.83333333333333337</v>
      </c>
      <c r="T82" s="84">
        <f t="shared" si="28"/>
        <v>0.33333333333333331</v>
      </c>
      <c r="U82" s="176">
        <v>0.5</v>
      </c>
      <c r="V82" s="127">
        <v>0.70833333333333337</v>
      </c>
      <c r="W82" s="127">
        <v>0.75</v>
      </c>
      <c r="X82" s="176">
        <v>0.875</v>
      </c>
      <c r="Y82" s="84">
        <f>IFERROR(MOD(X82-U82,1)-MOD(W82-V82,1),"")</f>
        <v>0.33333333333333337</v>
      </c>
      <c r="Z82" s="176">
        <v>0.54166666666666663</v>
      </c>
      <c r="AA82" s="127">
        <v>0.79166666666666663</v>
      </c>
      <c r="AB82" s="127">
        <v>0.83333333333333337</v>
      </c>
      <c r="AC82" s="176">
        <v>0.9375</v>
      </c>
      <c r="AD82" s="84">
        <f t="shared" si="29"/>
        <v>0.35416666666666663</v>
      </c>
      <c r="AE82" s="431" t="s">
        <v>15</v>
      </c>
      <c r="AF82" s="127" t="s">
        <v>15</v>
      </c>
      <c r="AG82" s="127" t="s">
        <v>15</v>
      </c>
      <c r="AH82" s="431" t="s">
        <v>15</v>
      </c>
      <c r="AI82" s="84" t="str">
        <f t="shared" si="30"/>
        <v/>
      </c>
      <c r="AJ82" s="431" t="s">
        <v>15</v>
      </c>
      <c r="AK82" s="127" t="s">
        <v>15</v>
      </c>
      <c r="AL82" s="127" t="s">
        <v>15</v>
      </c>
      <c r="AM82" s="431" t="s">
        <v>15</v>
      </c>
      <c r="AN82" s="84" t="str">
        <f>IFERROR(MOD(AM82-AJ82,1)-MOD(AL82-AK82,1),"")</f>
        <v/>
      </c>
      <c r="AO82" s="28">
        <f t="shared" si="26"/>
        <v>1.6875</v>
      </c>
      <c r="AP82" s="1"/>
      <c r="AQ82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" customHeight="1" x14ac:dyDescent="0.25">
      <c r="A83" s="290" t="s">
        <v>592</v>
      </c>
      <c r="B83" s="443" t="s">
        <v>231</v>
      </c>
      <c r="C83" s="311"/>
      <c r="D83" s="454" t="s">
        <v>120</v>
      </c>
      <c r="E83" s="164" t="s">
        <v>347</v>
      </c>
      <c r="F83" s="441">
        <v>0</v>
      </c>
      <c r="G83" s="127">
        <v>0.29166666666666669</v>
      </c>
      <c r="H83" s="127">
        <v>0.83333333333333337</v>
      </c>
      <c r="I83" s="441">
        <v>1</v>
      </c>
      <c r="J83" s="84">
        <v>0.33333333333333331</v>
      </c>
      <c r="K83" s="441">
        <v>0</v>
      </c>
      <c r="L83" s="127">
        <v>0.125</v>
      </c>
      <c r="M83" s="127">
        <v>0.20833333333333334</v>
      </c>
      <c r="N83" s="441">
        <v>0.29166666666666669</v>
      </c>
      <c r="O83" s="84">
        <f t="shared" si="27"/>
        <v>0.20833333333333334</v>
      </c>
      <c r="P83" s="441">
        <v>0.83333333333333337</v>
      </c>
      <c r="Q83" s="127"/>
      <c r="R83" s="127"/>
      <c r="S83" s="441">
        <v>1</v>
      </c>
      <c r="T83" s="84">
        <f t="shared" si="28"/>
        <v>0.16666666666666663</v>
      </c>
      <c r="U83" s="441">
        <v>0</v>
      </c>
      <c r="V83" s="127">
        <v>0.29166666666666669</v>
      </c>
      <c r="W83" s="127">
        <v>0.83333333333333337</v>
      </c>
      <c r="X83" s="441">
        <v>1</v>
      </c>
      <c r="Y83" s="84">
        <v>0.375</v>
      </c>
      <c r="Z83" s="441">
        <v>0</v>
      </c>
      <c r="AA83" s="127">
        <v>0.125</v>
      </c>
      <c r="AB83" s="127">
        <v>0.20833333333333334</v>
      </c>
      <c r="AC83" s="441">
        <v>0.29166666666666669</v>
      </c>
      <c r="AD83" s="84">
        <f t="shared" si="29"/>
        <v>0.20833333333333334</v>
      </c>
      <c r="AE83" s="441">
        <v>0.83333333333333337</v>
      </c>
      <c r="AF83" s="127"/>
      <c r="AG83" s="127"/>
      <c r="AH83" s="441">
        <v>1</v>
      </c>
      <c r="AI83" s="84">
        <f t="shared" si="30"/>
        <v>0.16666666666666663</v>
      </c>
      <c r="AJ83" s="441">
        <v>0</v>
      </c>
      <c r="AK83" s="127">
        <v>0.29166666666666669</v>
      </c>
      <c r="AL83" s="127">
        <v>0.83333333333333337</v>
      </c>
      <c r="AM83" s="85">
        <v>1</v>
      </c>
      <c r="AN83" s="84">
        <v>0.375</v>
      </c>
      <c r="AO83" s="28">
        <f t="shared" si="26"/>
        <v>1.833333333333333</v>
      </c>
      <c r="AP83" s="1"/>
      <c r="AQ83" s="302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4.45" customHeight="1" x14ac:dyDescent="0.25">
      <c r="A84" s="290" t="s">
        <v>258</v>
      </c>
      <c r="B84" s="443" t="s">
        <v>456</v>
      </c>
      <c r="C84" s="311" t="s">
        <v>457</v>
      </c>
      <c r="D84" s="454" t="s">
        <v>120</v>
      </c>
      <c r="E84" s="164" t="s">
        <v>347</v>
      </c>
      <c r="F84" s="441">
        <v>1</v>
      </c>
      <c r="G84" s="127">
        <v>8.3333333333333329E-2</v>
      </c>
      <c r="H84" s="127">
        <v>0.16666666666666666</v>
      </c>
      <c r="I84" s="441">
        <v>0.29166666666666669</v>
      </c>
      <c r="J84" s="84">
        <f t="shared" ref="J84:J115" si="31">IFERROR(MOD(I84-F84,1)-MOD(H84-G84,1),"")</f>
        <v>0.20833333333333343</v>
      </c>
      <c r="K84" s="431" t="s">
        <v>15</v>
      </c>
      <c r="L84" s="127" t="s">
        <v>15</v>
      </c>
      <c r="M84" s="127" t="s">
        <v>15</v>
      </c>
      <c r="N84" s="431" t="s">
        <v>15</v>
      </c>
      <c r="O84" s="84" t="str">
        <f t="shared" si="27"/>
        <v/>
      </c>
      <c r="P84" s="176">
        <v>0.66666666666666663</v>
      </c>
      <c r="Q84" s="127"/>
      <c r="R84" s="127"/>
      <c r="S84" s="176">
        <v>0.9375</v>
      </c>
      <c r="T84" s="84">
        <f t="shared" si="28"/>
        <v>0.27083333333333337</v>
      </c>
      <c r="U84" s="176">
        <v>0.66666666666666663</v>
      </c>
      <c r="V84" s="127"/>
      <c r="W84" s="127"/>
      <c r="X84" s="176">
        <v>0.9375</v>
      </c>
      <c r="Y84" s="84">
        <f t="shared" ref="Y84:Y100" si="32">IFERROR(MOD(X84-U84,1)-MOD(W84-V84,1),"")</f>
        <v>0.27083333333333337</v>
      </c>
      <c r="Z84" s="441">
        <v>0.83333333333333337</v>
      </c>
      <c r="AA84" s="127"/>
      <c r="AB84" s="127"/>
      <c r="AC84" s="441">
        <v>1</v>
      </c>
      <c r="AD84" s="84">
        <f t="shared" si="29"/>
        <v>0.16666666666666663</v>
      </c>
      <c r="AE84" s="441">
        <v>0</v>
      </c>
      <c r="AF84" s="127">
        <v>0.29166666666666669</v>
      </c>
      <c r="AG84" s="127">
        <v>0.83333333333333337</v>
      </c>
      <c r="AH84" s="441">
        <v>1</v>
      </c>
      <c r="AI84" s="84">
        <v>0.375</v>
      </c>
      <c r="AJ84" s="441">
        <v>0</v>
      </c>
      <c r="AK84" s="127">
        <v>0.125</v>
      </c>
      <c r="AL84" s="127">
        <v>0.20833333333333334</v>
      </c>
      <c r="AM84" s="441">
        <v>0.29166666666666669</v>
      </c>
      <c r="AN84" s="84">
        <f t="shared" ref="AN84:AN115" si="33">IFERROR(MOD(AM84-AJ84,1)-MOD(AL84-AK84,1),"")</f>
        <v>0.20833333333333334</v>
      </c>
      <c r="AO84" s="28">
        <f t="shared" si="26"/>
        <v>1.5000000000000002</v>
      </c>
      <c r="AP84" s="29"/>
      <c r="AQ84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4.45" customHeight="1" x14ac:dyDescent="0.25">
      <c r="A85" s="290" t="s">
        <v>264</v>
      </c>
      <c r="B85" s="443" t="s">
        <v>220</v>
      </c>
      <c r="C85" s="311">
        <v>7</v>
      </c>
      <c r="D85" s="454" t="s">
        <v>120</v>
      </c>
      <c r="E85" s="164" t="s">
        <v>347</v>
      </c>
      <c r="F85" s="431" t="s">
        <v>15</v>
      </c>
      <c r="G85" s="127" t="s">
        <v>15</v>
      </c>
      <c r="H85" s="127" t="s">
        <v>15</v>
      </c>
      <c r="I85" s="431" t="s">
        <v>15</v>
      </c>
      <c r="J85" s="84" t="str">
        <f t="shared" si="31"/>
        <v/>
      </c>
      <c r="K85" s="431" t="s">
        <v>15</v>
      </c>
      <c r="L85" s="127" t="s">
        <v>15</v>
      </c>
      <c r="M85" s="127" t="s">
        <v>15</v>
      </c>
      <c r="N85" s="431" t="s">
        <v>15</v>
      </c>
      <c r="O85" s="84" t="str">
        <f t="shared" si="27"/>
        <v/>
      </c>
      <c r="P85" s="176">
        <v>0.33333333333333331</v>
      </c>
      <c r="Q85" s="127">
        <v>0.58333333333333337</v>
      </c>
      <c r="R85" s="127">
        <v>0.625</v>
      </c>
      <c r="S85" s="176">
        <v>0.66666666666666663</v>
      </c>
      <c r="T85" s="84">
        <f t="shared" si="28"/>
        <v>0.29166666666666669</v>
      </c>
      <c r="U85" s="176">
        <v>0.33333333333333331</v>
      </c>
      <c r="V85" s="127">
        <v>0.58333333333333337</v>
      </c>
      <c r="W85" s="127">
        <v>0.625</v>
      </c>
      <c r="X85" s="176">
        <v>0.66666666666666663</v>
      </c>
      <c r="Y85" s="84">
        <f t="shared" si="32"/>
        <v>0.29166666666666669</v>
      </c>
      <c r="Z85" s="176">
        <v>0.33333333333333331</v>
      </c>
      <c r="AA85" s="127">
        <v>0.58333333333333337</v>
      </c>
      <c r="AB85" s="127">
        <v>0.625</v>
      </c>
      <c r="AC85" s="176">
        <v>0.66666666666666663</v>
      </c>
      <c r="AD85" s="84">
        <f t="shared" si="29"/>
        <v>0.29166666666666669</v>
      </c>
      <c r="AE85" s="176">
        <v>0.33333333333333331</v>
      </c>
      <c r="AF85" s="127">
        <v>0.58333333333333337</v>
      </c>
      <c r="AG85" s="127">
        <v>0.625</v>
      </c>
      <c r="AH85" s="176">
        <v>0.66666666666666663</v>
      </c>
      <c r="AI85" s="84">
        <f t="shared" ref="AI85:AI116" si="34">IFERROR(MOD(AH85-AE85,1)-MOD(AG85-AF85,1),"")</f>
        <v>0.29166666666666669</v>
      </c>
      <c r="AJ85" s="176">
        <v>0.33333333333333331</v>
      </c>
      <c r="AK85" s="127">
        <v>0.58333333333333337</v>
      </c>
      <c r="AL85" s="127">
        <v>0.625</v>
      </c>
      <c r="AM85" s="176">
        <v>0.66666666666666663</v>
      </c>
      <c r="AN85" s="84">
        <f t="shared" si="33"/>
        <v>0.29166666666666669</v>
      </c>
      <c r="AO85" s="28">
        <f t="shared" si="26"/>
        <v>1.4583333333333335</v>
      </c>
      <c r="AP85" s="1"/>
      <c r="AQ85" s="302"/>
      <c r="AR85" s="1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4.45" customHeight="1" x14ac:dyDescent="0.25">
      <c r="A86" s="177" t="s">
        <v>600</v>
      </c>
      <c r="B86" s="443" t="s">
        <v>250</v>
      </c>
      <c r="C86" s="311" t="s">
        <v>396</v>
      </c>
      <c r="D86" s="454" t="s">
        <v>120</v>
      </c>
      <c r="E86" s="164" t="s">
        <v>347</v>
      </c>
      <c r="F86" s="176">
        <v>0.35416666666666669</v>
      </c>
      <c r="G86" s="127">
        <v>0.54166666666666663</v>
      </c>
      <c r="H86" s="127">
        <v>0.58333333333333337</v>
      </c>
      <c r="I86" s="176">
        <v>0.6875</v>
      </c>
      <c r="J86" s="84">
        <f t="shared" si="31"/>
        <v>0.29166666666666657</v>
      </c>
      <c r="K86" s="176">
        <v>0.35416666666666669</v>
      </c>
      <c r="L86" s="127">
        <v>0.54166666666666663</v>
      </c>
      <c r="M86" s="127">
        <v>0.58333333333333337</v>
      </c>
      <c r="N86" s="176">
        <v>0.6875</v>
      </c>
      <c r="O86" s="84">
        <f t="shared" si="27"/>
        <v>0.29166666666666657</v>
      </c>
      <c r="P86" s="176">
        <v>0.35416666666666669</v>
      </c>
      <c r="Q86" s="127">
        <v>0.58333333333333337</v>
      </c>
      <c r="R86" s="127">
        <v>0.625</v>
      </c>
      <c r="S86" s="176">
        <v>0.6875</v>
      </c>
      <c r="T86" s="84">
        <f t="shared" si="28"/>
        <v>0.29166666666666669</v>
      </c>
      <c r="U86" s="176">
        <v>0.35416666666666669</v>
      </c>
      <c r="V86" s="127">
        <v>0.58333333333333337</v>
      </c>
      <c r="W86" s="127">
        <v>0.625</v>
      </c>
      <c r="X86" s="176">
        <v>0.6875</v>
      </c>
      <c r="Y86" s="84">
        <f t="shared" si="32"/>
        <v>0.29166666666666669</v>
      </c>
      <c r="Z86" s="176">
        <v>0.35416666666666669</v>
      </c>
      <c r="AA86" s="127">
        <v>0.54166666666666663</v>
      </c>
      <c r="AB86" s="127">
        <v>0.58333333333333337</v>
      </c>
      <c r="AC86" s="176">
        <v>0.6875</v>
      </c>
      <c r="AD86" s="84">
        <f t="shared" si="29"/>
        <v>0.29166666666666657</v>
      </c>
      <c r="AE86" s="431" t="s">
        <v>15</v>
      </c>
      <c r="AF86" s="127" t="s">
        <v>15</v>
      </c>
      <c r="AG86" s="127" t="s">
        <v>15</v>
      </c>
      <c r="AH86" s="431" t="s">
        <v>15</v>
      </c>
      <c r="AI86" s="84" t="str">
        <f t="shared" si="34"/>
        <v/>
      </c>
      <c r="AJ86" s="431" t="s">
        <v>15</v>
      </c>
      <c r="AK86" s="127" t="s">
        <v>15</v>
      </c>
      <c r="AL86" s="127" t="s">
        <v>15</v>
      </c>
      <c r="AM86" s="431" t="s">
        <v>15</v>
      </c>
      <c r="AN86" s="84" t="str">
        <f t="shared" si="33"/>
        <v/>
      </c>
      <c r="AO86" s="28">
        <f t="shared" si="26"/>
        <v>1.458333333333333</v>
      </c>
      <c r="AP86" s="1"/>
      <c r="AQ86" s="302"/>
      <c r="AR86" s="1"/>
      <c r="AS86" s="33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4.45" customHeight="1" x14ac:dyDescent="0.25">
      <c r="A87" s="290" t="s">
        <v>264</v>
      </c>
      <c r="B87" s="443" t="s">
        <v>179</v>
      </c>
      <c r="C87" s="311" t="s">
        <v>396</v>
      </c>
      <c r="D87" s="454" t="s">
        <v>120</v>
      </c>
      <c r="E87" s="164" t="s">
        <v>347</v>
      </c>
      <c r="F87" s="176">
        <v>0.35416666666666669</v>
      </c>
      <c r="G87" s="127">
        <v>0.54166666666666663</v>
      </c>
      <c r="H87" s="127">
        <v>0.58333333333333337</v>
      </c>
      <c r="I87" s="176">
        <v>0.6875</v>
      </c>
      <c r="J87" s="84">
        <f t="shared" si="31"/>
        <v>0.29166666666666657</v>
      </c>
      <c r="K87" s="176">
        <v>0.35416666666666669</v>
      </c>
      <c r="L87" s="127">
        <v>0.54166666666666663</v>
      </c>
      <c r="M87" s="127">
        <v>0.58333333333333337</v>
      </c>
      <c r="N87" s="176">
        <v>0.6875</v>
      </c>
      <c r="O87" s="84">
        <f t="shared" si="27"/>
        <v>0.29166666666666657</v>
      </c>
      <c r="P87" s="176">
        <v>0.35416666666666669</v>
      </c>
      <c r="Q87" s="127">
        <v>0.58333333333333337</v>
      </c>
      <c r="R87" s="127">
        <v>0.625</v>
      </c>
      <c r="S87" s="176">
        <v>0.6875</v>
      </c>
      <c r="T87" s="84">
        <f t="shared" si="28"/>
        <v>0.29166666666666669</v>
      </c>
      <c r="U87" s="176">
        <v>0.35416666666666669</v>
      </c>
      <c r="V87" s="127">
        <v>0.58333333333333337</v>
      </c>
      <c r="W87" s="127">
        <v>0.625</v>
      </c>
      <c r="X87" s="176">
        <v>0.6875</v>
      </c>
      <c r="Y87" s="84">
        <f t="shared" si="32"/>
        <v>0.29166666666666669</v>
      </c>
      <c r="Z87" s="431" t="s">
        <v>15</v>
      </c>
      <c r="AA87" s="127" t="s">
        <v>15</v>
      </c>
      <c r="AB87" s="127" t="s">
        <v>15</v>
      </c>
      <c r="AC87" s="431" t="s">
        <v>15</v>
      </c>
      <c r="AD87" s="84" t="str">
        <f t="shared" si="29"/>
        <v/>
      </c>
      <c r="AE87" s="176">
        <v>0.35416666666666669</v>
      </c>
      <c r="AF87" s="127">
        <v>0.54166666666666663</v>
      </c>
      <c r="AG87" s="127">
        <v>0.58333333333333337</v>
      </c>
      <c r="AH87" s="176">
        <v>0.6875</v>
      </c>
      <c r="AI87" s="84">
        <f t="shared" si="34"/>
        <v>0.29166666666666657</v>
      </c>
      <c r="AJ87" s="431" t="s">
        <v>15</v>
      </c>
      <c r="AK87" s="127" t="s">
        <v>15</v>
      </c>
      <c r="AL87" s="127" t="s">
        <v>15</v>
      </c>
      <c r="AM87" s="431" t="s">
        <v>15</v>
      </c>
      <c r="AN87" s="84" t="str">
        <f t="shared" si="33"/>
        <v/>
      </c>
      <c r="AO87" s="28">
        <f t="shared" si="26"/>
        <v>1.458333333333333</v>
      </c>
      <c r="AP87" s="1"/>
      <c r="AQ87" s="302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4.45" customHeight="1" x14ac:dyDescent="0.25">
      <c r="A88" s="487"/>
      <c r="B88" s="442" t="s">
        <v>302</v>
      </c>
      <c r="C88" s="311"/>
      <c r="D88" s="454" t="s">
        <v>120</v>
      </c>
      <c r="E88" s="439" t="s">
        <v>346</v>
      </c>
      <c r="F88" s="431" t="s">
        <v>15</v>
      </c>
      <c r="G88" s="127" t="s">
        <v>15</v>
      </c>
      <c r="H88" s="127" t="s">
        <v>15</v>
      </c>
      <c r="I88" s="431" t="s">
        <v>15</v>
      </c>
      <c r="J88" s="84" t="str">
        <f t="shared" si="31"/>
        <v/>
      </c>
      <c r="K88" s="176">
        <v>0.33333333333333331</v>
      </c>
      <c r="L88" s="127">
        <v>0.54166666666666663</v>
      </c>
      <c r="M88" s="127">
        <v>0.625</v>
      </c>
      <c r="N88" s="176">
        <v>0.75</v>
      </c>
      <c r="O88" s="84">
        <f t="shared" si="27"/>
        <v>0.33333333333333331</v>
      </c>
      <c r="P88" s="176">
        <v>0.29166666666666669</v>
      </c>
      <c r="Q88" s="127">
        <v>0.54166666666666663</v>
      </c>
      <c r="R88" s="127">
        <v>0.625</v>
      </c>
      <c r="S88" s="176">
        <v>0.70833333333333337</v>
      </c>
      <c r="T88" s="84">
        <f t="shared" si="28"/>
        <v>0.33333333333333331</v>
      </c>
      <c r="U88" s="176">
        <v>0.54166666666666663</v>
      </c>
      <c r="V88" s="127">
        <v>0.70833333333333337</v>
      </c>
      <c r="W88" s="127">
        <v>0.75</v>
      </c>
      <c r="X88" s="176">
        <v>0.91666666666666663</v>
      </c>
      <c r="Y88" s="84">
        <f t="shared" si="32"/>
        <v>0.33333333333333337</v>
      </c>
      <c r="Z88" s="176">
        <v>0.5</v>
      </c>
      <c r="AA88" s="127">
        <v>0.54166666666666663</v>
      </c>
      <c r="AB88" s="127">
        <v>0.625</v>
      </c>
      <c r="AC88" s="176">
        <v>0.91666666666666663</v>
      </c>
      <c r="AD88" s="84">
        <f t="shared" si="29"/>
        <v>0.33333333333333326</v>
      </c>
      <c r="AE88" s="176">
        <v>0.54166666666666663</v>
      </c>
      <c r="AF88" s="127">
        <v>0.625</v>
      </c>
      <c r="AG88" s="127">
        <v>0.66666666666666663</v>
      </c>
      <c r="AH88" s="176">
        <v>0.91666666666666663</v>
      </c>
      <c r="AI88" s="84">
        <f t="shared" si="34"/>
        <v>0.33333333333333337</v>
      </c>
      <c r="AJ88" s="431" t="s">
        <v>15</v>
      </c>
      <c r="AK88" s="127" t="s">
        <v>15</v>
      </c>
      <c r="AL88" s="127" t="s">
        <v>15</v>
      </c>
      <c r="AM88" s="431" t="s">
        <v>15</v>
      </c>
      <c r="AN88" s="84" t="str">
        <f t="shared" si="33"/>
        <v/>
      </c>
      <c r="AO88" s="28">
        <f t="shared" si="26"/>
        <v>1.6666666666666665</v>
      </c>
    </row>
    <row r="89" spans="1:72" ht="14.45" customHeight="1" x14ac:dyDescent="0.25">
      <c r="A89" s="487"/>
      <c r="B89" s="442" t="s">
        <v>25</v>
      </c>
      <c r="C89" s="311">
        <v>305</v>
      </c>
      <c r="D89" s="454" t="s">
        <v>120</v>
      </c>
      <c r="E89" s="439" t="s">
        <v>346</v>
      </c>
      <c r="F89" s="176">
        <v>0.29166666666666669</v>
      </c>
      <c r="G89" s="127">
        <v>0.54166666666666663</v>
      </c>
      <c r="H89" s="127">
        <v>0.625</v>
      </c>
      <c r="I89" s="176">
        <v>0.70833333333333337</v>
      </c>
      <c r="J89" s="84">
        <f t="shared" si="31"/>
        <v>0.33333333333333331</v>
      </c>
      <c r="K89" s="431" t="s">
        <v>15</v>
      </c>
      <c r="L89" s="127" t="s">
        <v>15</v>
      </c>
      <c r="M89" s="127" t="s">
        <v>15</v>
      </c>
      <c r="N89" s="431" t="s">
        <v>15</v>
      </c>
      <c r="O89" s="84" t="str">
        <f t="shared" si="27"/>
        <v/>
      </c>
      <c r="P89" s="431" t="s">
        <v>15</v>
      </c>
      <c r="Q89" s="127" t="s">
        <v>15</v>
      </c>
      <c r="R89" s="127" t="s">
        <v>15</v>
      </c>
      <c r="S89" s="431" t="s">
        <v>15</v>
      </c>
      <c r="T89" s="84" t="str">
        <f t="shared" si="28"/>
        <v/>
      </c>
      <c r="U89" s="176">
        <v>0.29166666666666669</v>
      </c>
      <c r="V89" s="127">
        <v>0.54166666666666663</v>
      </c>
      <c r="W89" s="127">
        <v>0.625</v>
      </c>
      <c r="X89" s="176">
        <v>0.70833333333333337</v>
      </c>
      <c r="Y89" s="84">
        <f t="shared" si="32"/>
        <v>0.33333333333333331</v>
      </c>
      <c r="Z89" s="176">
        <v>0.29166666666666669</v>
      </c>
      <c r="AA89" s="127">
        <v>0.54166666666666663</v>
      </c>
      <c r="AB89" s="127">
        <v>0.625</v>
      </c>
      <c r="AC89" s="176">
        <v>0.70833333333333337</v>
      </c>
      <c r="AD89" s="84">
        <f t="shared" si="29"/>
        <v>0.33333333333333331</v>
      </c>
      <c r="AE89" s="176">
        <v>0.54166666666666663</v>
      </c>
      <c r="AF89" s="127">
        <v>0.70833333333333337</v>
      </c>
      <c r="AG89" s="127">
        <v>0.75</v>
      </c>
      <c r="AH89" s="176">
        <v>0.91666666666666663</v>
      </c>
      <c r="AI89" s="84">
        <f t="shared" si="34"/>
        <v>0.33333333333333337</v>
      </c>
      <c r="AJ89" s="176">
        <v>0.54166666666666663</v>
      </c>
      <c r="AK89" s="127">
        <v>0.66666666666666663</v>
      </c>
      <c r="AL89" s="127">
        <v>0.70833333333333337</v>
      </c>
      <c r="AM89" s="176">
        <v>0.91666666666666663</v>
      </c>
      <c r="AN89" s="84">
        <f t="shared" si="33"/>
        <v>0.33333333333333326</v>
      </c>
      <c r="AO89" s="28">
        <f t="shared" si="26"/>
        <v>1.6666666666666667</v>
      </c>
    </row>
    <row r="90" spans="1:72" ht="14.45" customHeight="1" x14ac:dyDescent="0.25">
      <c r="A90" s="290" t="s">
        <v>271</v>
      </c>
      <c r="B90" s="443" t="s">
        <v>536</v>
      </c>
      <c r="C90" s="311"/>
      <c r="D90" s="454" t="s">
        <v>564</v>
      </c>
      <c r="E90" s="164" t="s">
        <v>347</v>
      </c>
      <c r="F90" s="176" t="s">
        <v>159</v>
      </c>
      <c r="G90" s="127" t="s">
        <v>159</v>
      </c>
      <c r="H90" s="127" t="s">
        <v>159</v>
      </c>
      <c r="I90" s="176" t="s">
        <v>159</v>
      </c>
      <c r="J90" s="84" t="str">
        <f t="shared" si="31"/>
        <v/>
      </c>
      <c r="K90" s="176" t="s">
        <v>159</v>
      </c>
      <c r="L90" s="127" t="s">
        <v>159</v>
      </c>
      <c r="M90" s="127" t="s">
        <v>159</v>
      </c>
      <c r="N90" s="176" t="s">
        <v>159</v>
      </c>
      <c r="O90" s="84" t="str">
        <f t="shared" si="27"/>
        <v/>
      </c>
      <c r="P90" s="176" t="s">
        <v>159</v>
      </c>
      <c r="Q90" s="127" t="s">
        <v>159</v>
      </c>
      <c r="R90" s="127" t="s">
        <v>159</v>
      </c>
      <c r="S90" s="176" t="s">
        <v>159</v>
      </c>
      <c r="T90" s="84" t="str">
        <f t="shared" si="28"/>
        <v/>
      </c>
      <c r="U90" s="176" t="s">
        <v>159</v>
      </c>
      <c r="V90" s="127" t="s">
        <v>159</v>
      </c>
      <c r="W90" s="127" t="s">
        <v>159</v>
      </c>
      <c r="X90" s="176" t="s">
        <v>159</v>
      </c>
      <c r="Y90" s="84" t="str">
        <f t="shared" si="32"/>
        <v/>
      </c>
      <c r="Z90" s="176" t="s">
        <v>159</v>
      </c>
      <c r="AA90" s="127" t="s">
        <v>159</v>
      </c>
      <c r="AB90" s="127" t="s">
        <v>159</v>
      </c>
      <c r="AC90" s="176" t="s">
        <v>159</v>
      </c>
      <c r="AD90" s="84" t="str">
        <f t="shared" si="29"/>
        <v/>
      </c>
      <c r="AE90" s="176" t="s">
        <v>159</v>
      </c>
      <c r="AF90" s="127" t="s">
        <v>159</v>
      </c>
      <c r="AG90" s="127" t="s">
        <v>159</v>
      </c>
      <c r="AH90" s="176" t="s">
        <v>159</v>
      </c>
      <c r="AI90" s="84" t="str">
        <f t="shared" si="34"/>
        <v/>
      </c>
      <c r="AJ90" s="176" t="s">
        <v>159</v>
      </c>
      <c r="AK90" s="127" t="s">
        <v>159</v>
      </c>
      <c r="AL90" s="127" t="s">
        <v>159</v>
      </c>
      <c r="AM90" s="176" t="s">
        <v>159</v>
      </c>
      <c r="AN90" s="84" t="str">
        <f t="shared" si="33"/>
        <v/>
      </c>
      <c r="AO90" s="28">
        <f t="shared" si="26"/>
        <v>0</v>
      </c>
      <c r="AP90" s="1"/>
      <c r="AQ90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s="1" customFormat="1" ht="12.75" customHeight="1" x14ac:dyDescent="0.25">
      <c r="A91" s="447" t="s">
        <v>268</v>
      </c>
      <c r="B91" s="443" t="s">
        <v>181</v>
      </c>
      <c r="C91" s="311" t="s">
        <v>299</v>
      </c>
      <c r="D91" s="455" t="s">
        <v>24</v>
      </c>
      <c r="E91" s="164" t="s">
        <v>347</v>
      </c>
      <c r="F91" s="176">
        <v>0.41666666666666669</v>
      </c>
      <c r="G91" s="127">
        <v>0.58333333333333337</v>
      </c>
      <c r="H91" s="127">
        <v>0.83333333333333337</v>
      </c>
      <c r="I91" s="176">
        <v>1</v>
      </c>
      <c r="J91" s="84">
        <f t="shared" si="31"/>
        <v>0.33333333333333326</v>
      </c>
      <c r="K91" s="176">
        <v>0.5</v>
      </c>
      <c r="L91" s="127">
        <v>0.66666666666666663</v>
      </c>
      <c r="M91" s="127">
        <v>0.83333333333333337</v>
      </c>
      <c r="N91" s="176">
        <v>1</v>
      </c>
      <c r="O91" s="84">
        <f t="shared" si="27"/>
        <v>0.33333333333333326</v>
      </c>
      <c r="P91" s="176">
        <v>0.54166666666666663</v>
      </c>
      <c r="Q91" s="127">
        <v>0.70833333333333337</v>
      </c>
      <c r="R91" s="127">
        <v>0.83333333333333337</v>
      </c>
      <c r="S91" s="176">
        <v>1</v>
      </c>
      <c r="T91" s="84">
        <f t="shared" si="28"/>
        <v>0.33333333333333337</v>
      </c>
      <c r="U91" s="431" t="s">
        <v>15</v>
      </c>
      <c r="V91" s="127" t="s">
        <v>15</v>
      </c>
      <c r="W91" s="127" t="s">
        <v>15</v>
      </c>
      <c r="X91" s="431" t="s">
        <v>15</v>
      </c>
      <c r="Y91" s="84" t="str">
        <f t="shared" si="32"/>
        <v/>
      </c>
      <c r="Z91" s="431" t="s">
        <v>15</v>
      </c>
      <c r="AA91" s="127" t="s">
        <v>15</v>
      </c>
      <c r="AB91" s="127" t="s">
        <v>15</v>
      </c>
      <c r="AC91" s="431" t="s">
        <v>15</v>
      </c>
      <c r="AD91" s="84" t="str">
        <f t="shared" si="29"/>
        <v/>
      </c>
      <c r="AE91" s="176">
        <v>0.27083333333333331</v>
      </c>
      <c r="AF91" s="127">
        <v>0.39583333333333331</v>
      </c>
      <c r="AG91" s="127">
        <v>0.79166666666666663</v>
      </c>
      <c r="AH91" s="176">
        <v>1</v>
      </c>
      <c r="AI91" s="84">
        <f t="shared" si="34"/>
        <v>0.33333333333333343</v>
      </c>
      <c r="AJ91" s="176">
        <v>0.27083333333333331</v>
      </c>
      <c r="AK91" s="127">
        <v>0.41666666666666669</v>
      </c>
      <c r="AL91" s="127">
        <v>0.8125</v>
      </c>
      <c r="AM91" s="176">
        <v>1</v>
      </c>
      <c r="AN91" s="84">
        <f t="shared" si="33"/>
        <v>0.33333333333333343</v>
      </c>
      <c r="AO91" s="28">
        <f t="shared" si="26"/>
        <v>1.6666666666666667</v>
      </c>
      <c r="AQ91" s="302"/>
    </row>
    <row r="92" spans="1:72" s="404" customFormat="1" ht="14.45" customHeight="1" x14ac:dyDescent="0.25">
      <c r="A92" s="177" t="s">
        <v>274</v>
      </c>
      <c r="B92" s="443" t="s">
        <v>149</v>
      </c>
      <c r="C92" s="311" t="s">
        <v>299</v>
      </c>
      <c r="D92" s="455" t="s">
        <v>24</v>
      </c>
      <c r="E92" s="164" t="s">
        <v>347</v>
      </c>
      <c r="F92" s="431" t="s">
        <v>15</v>
      </c>
      <c r="G92" s="127" t="s">
        <v>15</v>
      </c>
      <c r="H92" s="127" t="s">
        <v>15</v>
      </c>
      <c r="I92" s="431" t="s">
        <v>15</v>
      </c>
      <c r="J92" s="84" t="str">
        <f t="shared" si="31"/>
        <v/>
      </c>
      <c r="K92" s="431" t="s">
        <v>15</v>
      </c>
      <c r="L92" s="127" t="s">
        <v>15</v>
      </c>
      <c r="M92" s="127" t="s">
        <v>15</v>
      </c>
      <c r="N92" s="431" t="s">
        <v>15</v>
      </c>
      <c r="O92" s="84" t="str">
        <f t="shared" si="27"/>
        <v/>
      </c>
      <c r="P92" s="176">
        <v>0</v>
      </c>
      <c r="Q92" s="127">
        <v>0.16666666666666666</v>
      </c>
      <c r="R92" s="127">
        <v>0.83333333333333337</v>
      </c>
      <c r="S92" s="176">
        <v>1</v>
      </c>
      <c r="T92" s="84">
        <v>0.33333333333333331</v>
      </c>
      <c r="U92" s="176">
        <v>0.5</v>
      </c>
      <c r="V92" s="127">
        <v>0.66666666666666663</v>
      </c>
      <c r="W92" s="127">
        <v>0.79166666666666663</v>
      </c>
      <c r="X92" s="176">
        <v>1</v>
      </c>
      <c r="Y92" s="84">
        <f t="shared" si="32"/>
        <v>0.375</v>
      </c>
      <c r="Z92" s="176">
        <v>0.41666666666666669</v>
      </c>
      <c r="AA92" s="127">
        <v>0.66666666666666663</v>
      </c>
      <c r="AB92" s="127">
        <v>0.75</v>
      </c>
      <c r="AC92" s="176">
        <v>1</v>
      </c>
      <c r="AD92" s="84">
        <f t="shared" si="29"/>
        <v>0.49999999999999989</v>
      </c>
      <c r="AE92" s="176">
        <v>0.41666666666666669</v>
      </c>
      <c r="AF92" s="127">
        <v>0.58333333333333337</v>
      </c>
      <c r="AG92" s="127">
        <v>0.83333333333333337</v>
      </c>
      <c r="AH92" s="176">
        <v>1</v>
      </c>
      <c r="AI92" s="84">
        <f t="shared" si="34"/>
        <v>0.33333333333333326</v>
      </c>
      <c r="AJ92" s="176">
        <v>0.27083333333333331</v>
      </c>
      <c r="AK92" s="127">
        <v>0.4375</v>
      </c>
      <c r="AL92" s="127">
        <v>0.83333333333333337</v>
      </c>
      <c r="AM92" s="176">
        <v>1</v>
      </c>
      <c r="AN92" s="84">
        <f t="shared" si="33"/>
        <v>0.33333333333333337</v>
      </c>
      <c r="AO92" s="28">
        <f t="shared" si="26"/>
        <v>1.8749999999999996</v>
      </c>
      <c r="AP92" s="1"/>
      <c r="AQ92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4.45" customHeight="1" x14ac:dyDescent="0.25">
      <c r="A93" s="447" t="s">
        <v>601</v>
      </c>
      <c r="B93" s="443" t="s">
        <v>184</v>
      </c>
      <c r="C93" s="311"/>
      <c r="D93" s="455" t="s">
        <v>24</v>
      </c>
      <c r="E93" s="164" t="s">
        <v>347</v>
      </c>
      <c r="F93" s="176">
        <v>0.25</v>
      </c>
      <c r="G93" s="127">
        <v>0.41666666666666669</v>
      </c>
      <c r="H93" s="127">
        <v>0.5</v>
      </c>
      <c r="I93" s="176">
        <v>0.66666666666666663</v>
      </c>
      <c r="J93" s="84">
        <f t="shared" si="31"/>
        <v>0.33333333333333331</v>
      </c>
      <c r="K93" s="176">
        <v>0.29166666666666669</v>
      </c>
      <c r="L93" s="127">
        <v>0.54166666666666663</v>
      </c>
      <c r="M93" s="127">
        <v>0.625</v>
      </c>
      <c r="N93" s="176">
        <v>0.70833333333333337</v>
      </c>
      <c r="O93" s="84">
        <f t="shared" si="27"/>
        <v>0.33333333333333331</v>
      </c>
      <c r="P93" s="176">
        <v>0.25</v>
      </c>
      <c r="Q93" s="127">
        <v>0.41666666666666669</v>
      </c>
      <c r="R93" s="127">
        <v>0.5</v>
      </c>
      <c r="S93" s="176">
        <v>0.625</v>
      </c>
      <c r="T93" s="84">
        <f t="shared" ref="T93:T109" si="35">IFERROR(MOD(S93-P93,1)-MOD(R93-Q93,1),"")</f>
        <v>0.29166666666666669</v>
      </c>
      <c r="U93" s="176">
        <v>0.54166666666666663</v>
      </c>
      <c r="V93" s="127">
        <v>0.70833333333333337</v>
      </c>
      <c r="W93" s="127">
        <v>0.75</v>
      </c>
      <c r="X93" s="176">
        <v>0.9375</v>
      </c>
      <c r="Y93" s="84">
        <f t="shared" si="32"/>
        <v>0.35416666666666674</v>
      </c>
      <c r="Z93" s="176">
        <v>0.54166666666666663</v>
      </c>
      <c r="AA93" s="127">
        <v>0.79166666666666663</v>
      </c>
      <c r="AB93" s="127">
        <v>0.83333333333333337</v>
      </c>
      <c r="AC93" s="176">
        <v>0.9375</v>
      </c>
      <c r="AD93" s="84">
        <f t="shared" si="29"/>
        <v>0.35416666666666663</v>
      </c>
      <c r="AE93" s="431" t="s">
        <v>15</v>
      </c>
      <c r="AF93" s="127" t="s">
        <v>15</v>
      </c>
      <c r="AG93" s="127" t="s">
        <v>15</v>
      </c>
      <c r="AH93" s="431" t="s">
        <v>15</v>
      </c>
      <c r="AI93" s="84" t="str">
        <f t="shared" si="34"/>
        <v/>
      </c>
      <c r="AJ93" s="431" t="s">
        <v>15</v>
      </c>
      <c r="AK93" s="127" t="s">
        <v>15</v>
      </c>
      <c r="AL93" s="127" t="s">
        <v>15</v>
      </c>
      <c r="AM93" s="431" t="s">
        <v>15</v>
      </c>
      <c r="AN93" s="84" t="str">
        <f t="shared" si="33"/>
        <v/>
      </c>
      <c r="AO93" s="28">
        <f t="shared" si="26"/>
        <v>1.6666666666666665</v>
      </c>
      <c r="AP93" s="1"/>
      <c r="AQ93" s="302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4.45" customHeight="1" x14ac:dyDescent="0.25">
      <c r="A94" s="290" t="s">
        <v>295</v>
      </c>
      <c r="B94" s="443" t="s">
        <v>561</v>
      </c>
      <c r="C94" s="311"/>
      <c r="D94" s="455" t="s">
        <v>24</v>
      </c>
      <c r="E94" s="164" t="s">
        <v>347</v>
      </c>
      <c r="F94" s="176">
        <v>0.41666666666666669</v>
      </c>
      <c r="G94" s="127">
        <v>0.58333333333333337</v>
      </c>
      <c r="H94" s="127">
        <v>0.66666666666666663</v>
      </c>
      <c r="I94" s="176">
        <v>0.83333333333333337</v>
      </c>
      <c r="J94" s="84">
        <f t="shared" si="31"/>
        <v>0.33333333333333343</v>
      </c>
      <c r="K94" s="176">
        <v>0.54166666666666663</v>
      </c>
      <c r="L94" s="127">
        <v>0.77083333333333337</v>
      </c>
      <c r="M94" s="127">
        <v>0.8125</v>
      </c>
      <c r="N94" s="176">
        <v>0.9375</v>
      </c>
      <c r="O94" s="84">
        <f t="shared" si="27"/>
        <v>0.35416666666666674</v>
      </c>
      <c r="P94" s="431" t="s">
        <v>15</v>
      </c>
      <c r="Q94" s="127" t="s">
        <v>15</v>
      </c>
      <c r="R94" s="127" t="s">
        <v>15</v>
      </c>
      <c r="S94" s="431" t="s">
        <v>15</v>
      </c>
      <c r="T94" s="84" t="str">
        <f t="shared" si="35"/>
        <v/>
      </c>
      <c r="U94" s="431" t="s">
        <v>15</v>
      </c>
      <c r="V94" s="127" t="s">
        <v>15</v>
      </c>
      <c r="W94" s="127" t="s">
        <v>15</v>
      </c>
      <c r="X94" s="431" t="s">
        <v>15</v>
      </c>
      <c r="Y94" s="84" t="str">
        <f t="shared" si="32"/>
        <v/>
      </c>
      <c r="Z94" s="176">
        <v>0.4375</v>
      </c>
      <c r="AA94" s="127">
        <v>0.66666666666666663</v>
      </c>
      <c r="AB94" s="127">
        <v>0.75</v>
      </c>
      <c r="AC94" s="176">
        <v>0.85416666666666663</v>
      </c>
      <c r="AD94" s="84">
        <f t="shared" si="29"/>
        <v>0.33333333333333326</v>
      </c>
      <c r="AE94" s="176">
        <v>0.5</v>
      </c>
      <c r="AF94" s="127">
        <v>0.625</v>
      </c>
      <c r="AG94" s="127">
        <v>0.66666666666666663</v>
      </c>
      <c r="AH94" s="176">
        <v>0.875</v>
      </c>
      <c r="AI94" s="84">
        <f t="shared" si="34"/>
        <v>0.33333333333333337</v>
      </c>
      <c r="AJ94" s="176">
        <v>0.33333333333333331</v>
      </c>
      <c r="AK94" s="127">
        <v>0.58333333333333337</v>
      </c>
      <c r="AL94" s="127">
        <v>0.66666666666666663</v>
      </c>
      <c r="AM94" s="176">
        <v>0.75</v>
      </c>
      <c r="AN94" s="84">
        <f t="shared" si="33"/>
        <v>0.33333333333333343</v>
      </c>
      <c r="AO94" s="28">
        <f t="shared" si="26"/>
        <v>1.6875000000000004</v>
      </c>
      <c r="AP94" s="36"/>
      <c r="AQ94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s="404" customFormat="1" ht="14.45" customHeight="1" x14ac:dyDescent="0.25">
      <c r="A95" s="290" t="s">
        <v>268</v>
      </c>
      <c r="B95" s="443" t="s">
        <v>147</v>
      </c>
      <c r="C95" s="311"/>
      <c r="D95" s="455" t="s">
        <v>24</v>
      </c>
      <c r="E95" s="164" t="s">
        <v>347</v>
      </c>
      <c r="F95" s="176">
        <v>0.54166666666666663</v>
      </c>
      <c r="G95" s="127">
        <v>0.70833333333333337</v>
      </c>
      <c r="H95" s="127">
        <v>0.75</v>
      </c>
      <c r="I95" s="176">
        <v>0.91666666666666663</v>
      </c>
      <c r="J95" s="84">
        <f t="shared" si="31"/>
        <v>0.33333333333333337</v>
      </c>
      <c r="K95" s="441">
        <v>0.83333333333333337</v>
      </c>
      <c r="L95" s="127"/>
      <c r="M95" s="127"/>
      <c r="N95" s="441">
        <v>1</v>
      </c>
      <c r="O95" s="84">
        <f t="shared" si="27"/>
        <v>0.16666666666666663</v>
      </c>
      <c r="P95" s="441">
        <v>0</v>
      </c>
      <c r="Q95" s="127">
        <v>8.3333333333333329E-2</v>
      </c>
      <c r="R95" s="127">
        <v>0.16666666666666666</v>
      </c>
      <c r="S95" s="441">
        <v>0.29166666666666669</v>
      </c>
      <c r="T95" s="84">
        <f t="shared" si="35"/>
        <v>0.20833333333333337</v>
      </c>
      <c r="U95" s="431" t="s">
        <v>15</v>
      </c>
      <c r="V95" s="127" t="s">
        <v>15</v>
      </c>
      <c r="W95" s="127" t="s">
        <v>15</v>
      </c>
      <c r="X95" s="431" t="s">
        <v>15</v>
      </c>
      <c r="Y95" s="84" t="str">
        <f t="shared" si="32"/>
        <v/>
      </c>
      <c r="Z95" s="176">
        <v>0.27083333333333331</v>
      </c>
      <c r="AA95" s="127">
        <v>0.41666666666666669</v>
      </c>
      <c r="AB95" s="127">
        <v>0.5</v>
      </c>
      <c r="AC95" s="176">
        <v>0.6875</v>
      </c>
      <c r="AD95" s="84">
        <f t="shared" si="29"/>
        <v>0.33333333333333337</v>
      </c>
      <c r="AE95" s="176">
        <v>0.54166666666666663</v>
      </c>
      <c r="AF95" s="127">
        <v>0.66666666666666663</v>
      </c>
      <c r="AG95" s="127">
        <v>0.70833333333333337</v>
      </c>
      <c r="AH95" s="176">
        <v>0.91666666666666663</v>
      </c>
      <c r="AI95" s="84">
        <f t="shared" si="34"/>
        <v>0.33333333333333326</v>
      </c>
      <c r="AJ95" s="176">
        <v>0.54166666666666663</v>
      </c>
      <c r="AK95" s="127">
        <v>0.70833333333333337</v>
      </c>
      <c r="AL95" s="127">
        <v>0.75</v>
      </c>
      <c r="AM95" s="176">
        <v>0.9375</v>
      </c>
      <c r="AN95" s="84">
        <f t="shared" si="33"/>
        <v>0.35416666666666674</v>
      </c>
      <c r="AO95" s="28">
        <f t="shared" si="26"/>
        <v>1.7291666666666667</v>
      </c>
      <c r="AP95" s="1"/>
      <c r="AQ95" s="302"/>
      <c r="AR95" s="1"/>
      <c r="AS95" s="33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4.45" customHeight="1" x14ac:dyDescent="0.25">
      <c r="A96" s="177" t="s">
        <v>602</v>
      </c>
      <c r="B96" s="443" t="s">
        <v>318</v>
      </c>
      <c r="C96" s="311"/>
      <c r="D96" s="455" t="s">
        <v>24</v>
      </c>
      <c r="E96" s="164" t="s">
        <v>347</v>
      </c>
      <c r="F96" s="176">
        <v>0.54166666666666663</v>
      </c>
      <c r="G96" s="127">
        <v>0.70833333333333337</v>
      </c>
      <c r="H96" s="127">
        <v>0.75</v>
      </c>
      <c r="I96" s="176">
        <v>0.91666666666666663</v>
      </c>
      <c r="J96" s="84">
        <f t="shared" si="31"/>
        <v>0.33333333333333337</v>
      </c>
      <c r="K96" s="176">
        <v>0.54166666666666663</v>
      </c>
      <c r="L96" s="127">
        <v>0.77083333333333337</v>
      </c>
      <c r="M96" s="127">
        <v>0.8125</v>
      </c>
      <c r="N96" s="176">
        <v>0.9375</v>
      </c>
      <c r="O96" s="84">
        <f t="shared" si="27"/>
        <v>0.35416666666666674</v>
      </c>
      <c r="P96" s="431" t="s">
        <v>15</v>
      </c>
      <c r="Q96" s="127" t="s">
        <v>15</v>
      </c>
      <c r="R96" s="127" t="s">
        <v>15</v>
      </c>
      <c r="S96" s="431" t="s">
        <v>15</v>
      </c>
      <c r="T96" s="84" t="str">
        <f t="shared" si="35"/>
        <v/>
      </c>
      <c r="U96" s="431" t="s">
        <v>15</v>
      </c>
      <c r="V96" s="127" t="s">
        <v>15</v>
      </c>
      <c r="W96" s="127" t="s">
        <v>15</v>
      </c>
      <c r="X96" s="431" t="s">
        <v>15</v>
      </c>
      <c r="Y96" s="84" t="str">
        <f t="shared" si="32"/>
        <v/>
      </c>
      <c r="Z96" s="176">
        <v>0.29166666666666669</v>
      </c>
      <c r="AA96" s="127">
        <v>0.54166666666666663</v>
      </c>
      <c r="AB96" s="127">
        <v>0.625</v>
      </c>
      <c r="AC96" s="176">
        <v>0.70833333333333337</v>
      </c>
      <c r="AD96" s="84">
        <f t="shared" si="29"/>
        <v>0.33333333333333331</v>
      </c>
      <c r="AE96" s="176">
        <v>0.33333333333333331</v>
      </c>
      <c r="AF96" s="127">
        <v>0.58333333333333337</v>
      </c>
      <c r="AG96" s="127">
        <v>0.66666666666666663</v>
      </c>
      <c r="AH96" s="176">
        <v>0.75</v>
      </c>
      <c r="AI96" s="84">
        <f t="shared" si="34"/>
        <v>0.33333333333333343</v>
      </c>
      <c r="AJ96" s="176">
        <v>0.29166666666666669</v>
      </c>
      <c r="AK96" s="127">
        <v>0.54166666666666663</v>
      </c>
      <c r="AL96" s="127">
        <v>0.625</v>
      </c>
      <c r="AM96" s="176">
        <v>0.70833333333333337</v>
      </c>
      <c r="AN96" s="84">
        <f t="shared" si="33"/>
        <v>0.33333333333333331</v>
      </c>
      <c r="AO96" s="28">
        <f t="shared" si="26"/>
        <v>1.6875000000000002</v>
      </c>
      <c r="AP96" s="1"/>
      <c r="AQ96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4.45" customHeight="1" x14ac:dyDescent="0.25">
      <c r="A97" s="290" t="s">
        <v>603</v>
      </c>
      <c r="B97" s="443" t="s">
        <v>253</v>
      </c>
      <c r="C97" s="311" t="s">
        <v>396</v>
      </c>
      <c r="D97" s="455" t="s">
        <v>24</v>
      </c>
      <c r="E97" s="164" t="s">
        <v>347</v>
      </c>
      <c r="F97" s="176">
        <v>0.35416666666666669</v>
      </c>
      <c r="G97" s="127">
        <v>0.54166666666666663</v>
      </c>
      <c r="H97" s="127">
        <v>0.58333333333333337</v>
      </c>
      <c r="I97" s="491">
        <v>0.6875</v>
      </c>
      <c r="J97" s="84">
        <f t="shared" si="31"/>
        <v>0.29166666666666657</v>
      </c>
      <c r="K97" s="176">
        <v>0.35416666666666669</v>
      </c>
      <c r="L97" s="127">
        <v>0.54166666666666663</v>
      </c>
      <c r="M97" s="127">
        <v>0.58333333333333337</v>
      </c>
      <c r="N97" s="491">
        <v>0.6875</v>
      </c>
      <c r="O97" s="84">
        <f t="shared" si="27"/>
        <v>0.29166666666666657</v>
      </c>
      <c r="P97" s="176">
        <v>0.35416666666666669</v>
      </c>
      <c r="Q97" s="127">
        <v>0.58333333333333337</v>
      </c>
      <c r="R97" s="127">
        <v>0.625</v>
      </c>
      <c r="S97" s="491">
        <v>0.6875</v>
      </c>
      <c r="T97" s="84">
        <f t="shared" si="35"/>
        <v>0.29166666666666669</v>
      </c>
      <c r="U97" s="176">
        <v>0.35416666666666669</v>
      </c>
      <c r="V97" s="127">
        <v>0.58333333333333337</v>
      </c>
      <c r="W97" s="127">
        <v>0.625</v>
      </c>
      <c r="X97" s="491">
        <v>0.6875</v>
      </c>
      <c r="Y97" s="84">
        <f t="shared" si="32"/>
        <v>0.29166666666666669</v>
      </c>
      <c r="Z97" s="431" t="s">
        <v>15</v>
      </c>
      <c r="AA97" s="127" t="s">
        <v>15</v>
      </c>
      <c r="AB97" s="127" t="s">
        <v>15</v>
      </c>
      <c r="AC97" s="490" t="s">
        <v>15</v>
      </c>
      <c r="AD97" s="84" t="str">
        <f t="shared" si="29"/>
        <v/>
      </c>
      <c r="AE97" s="176">
        <v>0.33333333333333331</v>
      </c>
      <c r="AF97" s="127">
        <v>0.54166666666666663</v>
      </c>
      <c r="AG97" s="127">
        <v>0.58333333333333337</v>
      </c>
      <c r="AH97" s="176">
        <v>0.66666666666666663</v>
      </c>
      <c r="AI97" s="84">
        <f t="shared" si="34"/>
        <v>0.29166666666666657</v>
      </c>
      <c r="AJ97" s="431" t="s">
        <v>15</v>
      </c>
      <c r="AK97" s="127" t="s">
        <v>15</v>
      </c>
      <c r="AL97" s="127" t="s">
        <v>15</v>
      </c>
      <c r="AM97" s="431" t="s">
        <v>15</v>
      </c>
      <c r="AN97" s="84" t="str">
        <f t="shared" si="33"/>
        <v/>
      </c>
      <c r="AO97" s="28">
        <f t="shared" si="26"/>
        <v>1.458333333333333</v>
      </c>
      <c r="AP97" s="1"/>
      <c r="AQ97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4.45" customHeight="1" x14ac:dyDescent="0.25">
      <c r="A98" s="293" t="s">
        <v>263</v>
      </c>
      <c r="B98" s="443" t="s">
        <v>458</v>
      </c>
      <c r="C98" s="311"/>
      <c r="D98" s="455" t="s">
        <v>24</v>
      </c>
      <c r="E98" s="164" t="s">
        <v>347</v>
      </c>
      <c r="F98" s="176">
        <v>0.66666666666666663</v>
      </c>
      <c r="G98" s="127"/>
      <c r="H98" s="127"/>
      <c r="I98" s="491">
        <v>0.9375</v>
      </c>
      <c r="J98" s="84">
        <f t="shared" si="31"/>
        <v>0.27083333333333337</v>
      </c>
      <c r="K98" s="176">
        <v>0.66666666666666663</v>
      </c>
      <c r="L98" s="127"/>
      <c r="M98" s="127"/>
      <c r="N98" s="491">
        <v>0.9375</v>
      </c>
      <c r="O98" s="84">
        <f t="shared" si="27"/>
        <v>0.27083333333333337</v>
      </c>
      <c r="P98" s="176">
        <v>0.66666666666666663</v>
      </c>
      <c r="Q98" s="127"/>
      <c r="R98" s="127"/>
      <c r="S98" s="491">
        <v>0.9375</v>
      </c>
      <c r="T98" s="84">
        <f t="shared" si="35"/>
        <v>0.27083333333333337</v>
      </c>
      <c r="U98" s="441">
        <v>0.83333333333333337</v>
      </c>
      <c r="V98" s="127"/>
      <c r="W98" s="127"/>
      <c r="X98" s="492">
        <v>1</v>
      </c>
      <c r="Y98" s="84">
        <f t="shared" si="32"/>
        <v>0.16666666666666663</v>
      </c>
      <c r="Z98" s="441">
        <v>0</v>
      </c>
      <c r="AA98" s="127">
        <v>0.29166666666666669</v>
      </c>
      <c r="AB98" s="127">
        <v>0.83333333333333337</v>
      </c>
      <c r="AC98" s="492">
        <v>1</v>
      </c>
      <c r="AD98" s="84">
        <v>0.375</v>
      </c>
      <c r="AE98" s="441">
        <v>0</v>
      </c>
      <c r="AF98" s="127">
        <v>4.1666666666666664E-2</v>
      </c>
      <c r="AG98" s="127">
        <v>0.125</v>
      </c>
      <c r="AH98" s="441">
        <v>0.29166666666666669</v>
      </c>
      <c r="AI98" s="84">
        <f t="shared" si="34"/>
        <v>0.20833333333333334</v>
      </c>
      <c r="AJ98" s="431" t="s">
        <v>15</v>
      </c>
      <c r="AK98" s="127" t="s">
        <v>15</v>
      </c>
      <c r="AL98" s="127" t="s">
        <v>15</v>
      </c>
      <c r="AM98" s="431" t="s">
        <v>15</v>
      </c>
      <c r="AN98" s="84" t="str">
        <f t="shared" si="33"/>
        <v/>
      </c>
      <c r="AO98" s="28">
        <f t="shared" si="26"/>
        <v>1.5625</v>
      </c>
      <c r="AP98" s="1"/>
      <c r="AQ98" s="302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4.45" customHeight="1" x14ac:dyDescent="0.2">
      <c r="A99" s="402" t="s">
        <v>268</v>
      </c>
      <c r="B99" s="443" t="s">
        <v>252</v>
      </c>
      <c r="C99" s="311">
        <v>6</v>
      </c>
      <c r="D99" s="455" t="s">
        <v>24</v>
      </c>
      <c r="E99" s="164" t="s">
        <v>347</v>
      </c>
      <c r="F99" s="176">
        <v>0.3125</v>
      </c>
      <c r="G99" s="127"/>
      <c r="H99" s="127"/>
      <c r="I99" s="491">
        <v>0.5625</v>
      </c>
      <c r="J99" s="84">
        <f t="shared" si="31"/>
        <v>0.25</v>
      </c>
      <c r="K99" s="176">
        <v>0.3125</v>
      </c>
      <c r="L99" s="127"/>
      <c r="M99" s="127"/>
      <c r="N99" s="491">
        <v>0.5625</v>
      </c>
      <c r="O99" s="84">
        <f t="shared" si="27"/>
        <v>0.25</v>
      </c>
      <c r="P99" s="176">
        <v>0.625</v>
      </c>
      <c r="Q99" s="127"/>
      <c r="R99" s="127"/>
      <c r="S99" s="491">
        <v>0.875</v>
      </c>
      <c r="T99" s="84">
        <f t="shared" si="35"/>
        <v>0.25</v>
      </c>
      <c r="U99" s="176">
        <v>0.66666666666666663</v>
      </c>
      <c r="V99" s="127"/>
      <c r="W99" s="127"/>
      <c r="X99" s="491">
        <v>0.9375</v>
      </c>
      <c r="Y99" s="84">
        <f t="shared" si="32"/>
        <v>0.27083333333333337</v>
      </c>
      <c r="Z99" s="176">
        <v>0.66666666666666663</v>
      </c>
      <c r="AA99" s="127"/>
      <c r="AB99" s="127"/>
      <c r="AC99" s="491">
        <v>0.9375</v>
      </c>
      <c r="AD99" s="84">
        <f t="shared" ref="AD99:AD130" si="36">IFERROR(MOD(AC99-Z99,1)-MOD(AB99-AA99,1),"")</f>
        <v>0.27083333333333337</v>
      </c>
      <c r="AE99" s="431" t="s">
        <v>15</v>
      </c>
      <c r="AF99" s="127" t="s">
        <v>15</v>
      </c>
      <c r="AG99" s="127" t="s">
        <v>15</v>
      </c>
      <c r="AH99" s="431" t="s">
        <v>15</v>
      </c>
      <c r="AI99" s="84" t="str">
        <f t="shared" si="34"/>
        <v/>
      </c>
      <c r="AJ99" s="431" t="s">
        <v>15</v>
      </c>
      <c r="AK99" s="127" t="s">
        <v>15</v>
      </c>
      <c r="AL99" s="127" t="s">
        <v>15</v>
      </c>
      <c r="AM99" s="431" t="s">
        <v>15</v>
      </c>
      <c r="AN99" s="84" t="str">
        <f t="shared" si="33"/>
        <v/>
      </c>
      <c r="AO99" s="28">
        <f t="shared" si="26"/>
        <v>1.291666666666667</v>
      </c>
      <c r="AQ99" s="405"/>
    </row>
    <row r="100" spans="1:72" ht="14.45" customHeight="1" x14ac:dyDescent="0.2">
      <c r="A100" s="409" t="s">
        <v>274</v>
      </c>
      <c r="B100" s="443" t="s">
        <v>642</v>
      </c>
      <c r="C100" s="311" t="s">
        <v>396</v>
      </c>
      <c r="D100" s="455" t="s">
        <v>24</v>
      </c>
      <c r="E100" s="164" t="s">
        <v>347</v>
      </c>
      <c r="F100" s="176">
        <v>0.35416666666666669</v>
      </c>
      <c r="G100" s="127">
        <v>0.54166666666666663</v>
      </c>
      <c r="H100" s="127">
        <v>0.58333333333333337</v>
      </c>
      <c r="I100" s="491">
        <v>0.6875</v>
      </c>
      <c r="J100" s="84">
        <f t="shared" si="31"/>
        <v>0.29166666666666657</v>
      </c>
      <c r="K100" s="176">
        <v>0.35416666666666669</v>
      </c>
      <c r="L100" s="127">
        <v>0.54166666666666663</v>
      </c>
      <c r="M100" s="127">
        <v>0.58333333333333337</v>
      </c>
      <c r="N100" s="491">
        <v>0.6875</v>
      </c>
      <c r="O100" s="84">
        <f t="shared" si="27"/>
        <v>0.29166666666666657</v>
      </c>
      <c r="P100" s="176">
        <v>0.35416666666666669</v>
      </c>
      <c r="Q100" s="127">
        <v>0.58333333333333337</v>
      </c>
      <c r="R100" s="127">
        <v>0.625</v>
      </c>
      <c r="S100" s="491">
        <v>0.6875</v>
      </c>
      <c r="T100" s="84">
        <f t="shared" si="35"/>
        <v>0.29166666666666669</v>
      </c>
      <c r="U100" s="176">
        <v>0.35416666666666669</v>
      </c>
      <c r="V100" s="127">
        <v>0.58333333333333337</v>
      </c>
      <c r="W100" s="127">
        <v>0.625</v>
      </c>
      <c r="X100" s="491">
        <v>0.6875</v>
      </c>
      <c r="Y100" s="84">
        <f t="shared" si="32"/>
        <v>0.29166666666666669</v>
      </c>
      <c r="Z100" s="431" t="s">
        <v>15</v>
      </c>
      <c r="AA100" s="127" t="s">
        <v>15</v>
      </c>
      <c r="AB100" s="127" t="s">
        <v>15</v>
      </c>
      <c r="AC100" s="490" t="s">
        <v>15</v>
      </c>
      <c r="AD100" s="84" t="str">
        <f t="shared" si="36"/>
        <v/>
      </c>
      <c r="AE100" s="176">
        <v>0.33333333333333331</v>
      </c>
      <c r="AF100" s="127">
        <v>0.54166666666666663</v>
      </c>
      <c r="AG100" s="127">
        <v>0.58333333333333337</v>
      </c>
      <c r="AH100" s="176">
        <v>0.66666666666666663</v>
      </c>
      <c r="AI100" s="84">
        <f t="shared" si="34"/>
        <v>0.29166666666666657</v>
      </c>
      <c r="AJ100" s="431" t="s">
        <v>15</v>
      </c>
      <c r="AK100" s="127" t="s">
        <v>15</v>
      </c>
      <c r="AL100" s="127" t="s">
        <v>15</v>
      </c>
      <c r="AM100" s="431" t="s">
        <v>15</v>
      </c>
      <c r="AN100" s="84" t="str">
        <f t="shared" si="33"/>
        <v/>
      </c>
      <c r="AO100" s="28">
        <f t="shared" ref="AO100:AO131" si="37">SUM(J100,O100,T100,Y100,AD100,AI100,AN100)</f>
        <v>1.458333333333333</v>
      </c>
      <c r="AQ100" s="403"/>
    </row>
    <row r="101" spans="1:72" ht="14.45" customHeight="1" x14ac:dyDescent="0.2">
      <c r="A101" s="402" t="s">
        <v>263</v>
      </c>
      <c r="B101" s="445" t="s">
        <v>117</v>
      </c>
      <c r="C101" s="311"/>
      <c r="D101" s="455" t="s">
        <v>24</v>
      </c>
      <c r="E101" s="164" t="s">
        <v>347</v>
      </c>
      <c r="F101" s="176">
        <v>0.4375</v>
      </c>
      <c r="G101" s="127">
        <v>0.58333333333333337</v>
      </c>
      <c r="H101" s="127">
        <v>0.66666666666666663</v>
      </c>
      <c r="I101" s="491">
        <v>0.85416666666666663</v>
      </c>
      <c r="J101" s="84">
        <f t="shared" si="31"/>
        <v>0.33333333333333337</v>
      </c>
      <c r="K101" s="176">
        <v>0.41666666666666669</v>
      </c>
      <c r="L101" s="127">
        <v>0.66666666666666663</v>
      </c>
      <c r="M101" s="127">
        <v>0.75</v>
      </c>
      <c r="N101" s="491">
        <v>0.83333333333333337</v>
      </c>
      <c r="O101" s="84">
        <f t="shared" si="27"/>
        <v>0.33333333333333331</v>
      </c>
      <c r="P101" s="441">
        <v>0.83333333333333337</v>
      </c>
      <c r="Q101" s="127"/>
      <c r="R101" s="127"/>
      <c r="S101" s="492">
        <v>1</v>
      </c>
      <c r="T101" s="84">
        <f t="shared" si="35"/>
        <v>0.16666666666666663</v>
      </c>
      <c r="U101" s="441">
        <v>0</v>
      </c>
      <c r="V101" s="127">
        <v>0.29166666666666669</v>
      </c>
      <c r="W101" s="127">
        <v>0.83333333333333337</v>
      </c>
      <c r="X101" s="492">
        <v>1</v>
      </c>
      <c r="Y101" s="84">
        <v>0.375</v>
      </c>
      <c r="Z101" s="441">
        <v>0</v>
      </c>
      <c r="AA101" s="127">
        <v>0.16666666666666666</v>
      </c>
      <c r="AB101" s="127">
        <v>0.25</v>
      </c>
      <c r="AC101" s="492">
        <v>0.29166666666666669</v>
      </c>
      <c r="AD101" s="84">
        <f t="shared" si="36"/>
        <v>0.20833333333333334</v>
      </c>
      <c r="AE101" s="431" t="s">
        <v>15</v>
      </c>
      <c r="AF101" s="127" t="s">
        <v>15</v>
      </c>
      <c r="AG101" s="127" t="s">
        <v>15</v>
      </c>
      <c r="AH101" s="431" t="s">
        <v>15</v>
      </c>
      <c r="AI101" s="84" t="str">
        <f t="shared" si="34"/>
        <v/>
      </c>
      <c r="AJ101" s="431" t="s">
        <v>15</v>
      </c>
      <c r="AK101" s="127" t="s">
        <v>15</v>
      </c>
      <c r="AL101" s="127" t="s">
        <v>15</v>
      </c>
      <c r="AM101" s="431" t="s">
        <v>15</v>
      </c>
      <c r="AN101" s="84" t="str">
        <f t="shared" si="33"/>
        <v/>
      </c>
      <c r="AO101" s="28">
        <f t="shared" si="37"/>
        <v>1.4166666666666667</v>
      </c>
      <c r="AQ101" s="403"/>
    </row>
    <row r="102" spans="1:72" ht="14.45" customHeight="1" x14ac:dyDescent="0.25">
      <c r="A102" s="487"/>
      <c r="B102" s="442" t="s">
        <v>531</v>
      </c>
      <c r="C102" s="311"/>
      <c r="D102" s="455" t="s">
        <v>24</v>
      </c>
      <c r="E102" s="439" t="s">
        <v>346</v>
      </c>
      <c r="F102" s="431" t="s">
        <v>15</v>
      </c>
      <c r="G102" s="127" t="s">
        <v>15</v>
      </c>
      <c r="H102" s="127" t="s">
        <v>15</v>
      </c>
      <c r="I102" s="490" t="s">
        <v>15</v>
      </c>
      <c r="J102" s="84" t="str">
        <f t="shared" si="31"/>
        <v/>
      </c>
      <c r="K102" s="176">
        <v>0.29166666666666669</v>
      </c>
      <c r="L102" s="127">
        <v>0.54166666666666663</v>
      </c>
      <c r="M102" s="127">
        <v>0.625</v>
      </c>
      <c r="N102" s="491">
        <v>0.70833333333333337</v>
      </c>
      <c r="O102" s="84">
        <f t="shared" si="27"/>
        <v>0.33333333333333331</v>
      </c>
      <c r="P102" s="176">
        <v>0.29166666666666669</v>
      </c>
      <c r="Q102" s="127">
        <v>0.54166666666666663</v>
      </c>
      <c r="R102" s="127">
        <v>0.625</v>
      </c>
      <c r="S102" s="491">
        <v>0.70833333333333337</v>
      </c>
      <c r="T102" s="84">
        <f t="shared" si="35"/>
        <v>0.33333333333333331</v>
      </c>
      <c r="U102" s="176">
        <v>0.33333333333333331</v>
      </c>
      <c r="V102" s="127">
        <v>0.58333333333333337</v>
      </c>
      <c r="W102" s="127">
        <v>0.66666666666666663</v>
      </c>
      <c r="X102" s="491">
        <v>0.75</v>
      </c>
      <c r="Y102" s="84">
        <f t="shared" ref="Y102:Y148" si="38">IFERROR(MOD(X102-U102,1)-MOD(W102-V102,1),"")</f>
        <v>0.33333333333333343</v>
      </c>
      <c r="Z102" s="176">
        <v>0.54166666666666663</v>
      </c>
      <c r="AA102" s="127">
        <v>0.66666666666666663</v>
      </c>
      <c r="AB102" s="127">
        <v>0.70833333333333337</v>
      </c>
      <c r="AC102" s="491">
        <v>0.91666666666666663</v>
      </c>
      <c r="AD102" s="84">
        <f t="shared" si="36"/>
        <v>0.33333333333333326</v>
      </c>
      <c r="AE102" s="176">
        <v>0.54166666666666663</v>
      </c>
      <c r="AF102" s="127">
        <v>0.66666666666666663</v>
      </c>
      <c r="AG102" s="127">
        <v>0.70833333333333337</v>
      </c>
      <c r="AH102" s="176">
        <v>0.91666666666666663</v>
      </c>
      <c r="AI102" s="84">
        <f t="shared" si="34"/>
        <v>0.33333333333333326</v>
      </c>
      <c r="AJ102" s="431" t="s">
        <v>15</v>
      </c>
      <c r="AK102" s="127" t="s">
        <v>15</v>
      </c>
      <c r="AL102" s="127" t="s">
        <v>15</v>
      </c>
      <c r="AM102" s="431" t="s">
        <v>15</v>
      </c>
      <c r="AN102" s="84" t="str">
        <f t="shared" si="33"/>
        <v/>
      </c>
      <c r="AO102" s="28">
        <f t="shared" si="37"/>
        <v>1.6666666666666665</v>
      </c>
    </row>
    <row r="103" spans="1:72" ht="14.45" customHeight="1" x14ac:dyDescent="0.25">
      <c r="A103" s="402" t="s">
        <v>589</v>
      </c>
      <c r="B103" s="444" t="s">
        <v>323</v>
      </c>
      <c r="C103" s="311"/>
      <c r="D103" s="456" t="s">
        <v>22</v>
      </c>
      <c r="E103" s="164" t="s">
        <v>347</v>
      </c>
      <c r="F103" s="176">
        <v>0.54166666666666663</v>
      </c>
      <c r="G103" s="127">
        <v>0.75</v>
      </c>
      <c r="H103" s="127">
        <v>0.79166666666666663</v>
      </c>
      <c r="I103" s="491">
        <v>0.91666666666666663</v>
      </c>
      <c r="J103" s="84">
        <f t="shared" si="31"/>
        <v>0.33333333333333337</v>
      </c>
      <c r="K103" s="176">
        <v>0.41666666666666669</v>
      </c>
      <c r="L103" s="127">
        <v>0.66666666666666663</v>
      </c>
      <c r="M103" s="127">
        <v>0.75</v>
      </c>
      <c r="N103" s="491">
        <v>0.83333333333333337</v>
      </c>
      <c r="O103" s="84">
        <f t="shared" si="27"/>
        <v>0.33333333333333331</v>
      </c>
      <c r="P103" s="176">
        <v>0.375</v>
      </c>
      <c r="Q103" s="127">
        <v>0.625</v>
      </c>
      <c r="R103" s="127">
        <v>0.70833333333333337</v>
      </c>
      <c r="S103" s="491">
        <v>0.79166666666666663</v>
      </c>
      <c r="T103" s="84">
        <f t="shared" si="35"/>
        <v>0.33333333333333326</v>
      </c>
      <c r="U103" s="431" t="s">
        <v>15</v>
      </c>
      <c r="V103" s="127" t="s">
        <v>15</v>
      </c>
      <c r="W103" s="127" t="s">
        <v>15</v>
      </c>
      <c r="X103" s="490" t="s">
        <v>15</v>
      </c>
      <c r="Y103" s="84" t="str">
        <f t="shared" si="38"/>
        <v/>
      </c>
      <c r="Z103" s="431" t="s">
        <v>15</v>
      </c>
      <c r="AA103" s="127" t="s">
        <v>15</v>
      </c>
      <c r="AB103" s="127" t="s">
        <v>15</v>
      </c>
      <c r="AC103" s="490" t="s">
        <v>15</v>
      </c>
      <c r="AD103" s="84" t="str">
        <f t="shared" si="36"/>
        <v/>
      </c>
      <c r="AE103" s="176">
        <v>0.29166666666666669</v>
      </c>
      <c r="AF103" s="127">
        <v>0.54166666666666663</v>
      </c>
      <c r="AG103" s="127">
        <v>0.625</v>
      </c>
      <c r="AH103" s="176">
        <v>0.70833333333333337</v>
      </c>
      <c r="AI103" s="84">
        <f t="shared" si="34"/>
        <v>0.33333333333333331</v>
      </c>
      <c r="AJ103" s="176">
        <v>0.54166666666666663</v>
      </c>
      <c r="AK103" s="127">
        <v>0.75</v>
      </c>
      <c r="AL103" s="127">
        <v>0.79166666666666663</v>
      </c>
      <c r="AM103" s="176">
        <v>0.9375</v>
      </c>
      <c r="AN103" s="84">
        <f t="shared" si="33"/>
        <v>0.35416666666666674</v>
      </c>
      <c r="AO103" s="28">
        <f t="shared" si="37"/>
        <v>1.6875</v>
      </c>
      <c r="AQ103" s="405"/>
    </row>
    <row r="104" spans="1:72" s="404" customFormat="1" ht="14.45" customHeight="1" x14ac:dyDescent="0.25">
      <c r="A104" s="402" t="s">
        <v>601</v>
      </c>
      <c r="B104" s="444" t="s">
        <v>177</v>
      </c>
      <c r="C104" s="311"/>
      <c r="D104" s="456" t="s">
        <v>22</v>
      </c>
      <c r="E104" s="164" t="s">
        <v>347</v>
      </c>
      <c r="F104" s="176">
        <v>0.52083333333333337</v>
      </c>
      <c r="G104" s="127">
        <v>0.625</v>
      </c>
      <c r="H104" s="127">
        <v>0.66666666666666663</v>
      </c>
      <c r="I104" s="491">
        <v>0.89583333333333337</v>
      </c>
      <c r="J104" s="84">
        <f t="shared" si="31"/>
        <v>0.33333333333333337</v>
      </c>
      <c r="K104" s="176">
        <v>0.54166666666666663</v>
      </c>
      <c r="L104" s="127">
        <v>0.79166666666666663</v>
      </c>
      <c r="M104" s="127">
        <v>0.83333333333333337</v>
      </c>
      <c r="N104" s="491">
        <v>0.9375</v>
      </c>
      <c r="O104" s="84">
        <f t="shared" si="27"/>
        <v>0.35416666666666663</v>
      </c>
      <c r="P104" s="176">
        <v>0.5</v>
      </c>
      <c r="Q104" s="127">
        <v>0.75</v>
      </c>
      <c r="R104" s="127">
        <v>0.79166666666666663</v>
      </c>
      <c r="S104" s="491">
        <v>0.875</v>
      </c>
      <c r="T104" s="84">
        <f t="shared" si="35"/>
        <v>0.33333333333333337</v>
      </c>
      <c r="U104" s="431" t="s">
        <v>15</v>
      </c>
      <c r="V104" s="127" t="s">
        <v>15</v>
      </c>
      <c r="W104" s="127" t="s">
        <v>15</v>
      </c>
      <c r="X104" s="490" t="s">
        <v>15</v>
      </c>
      <c r="Y104" s="84" t="str">
        <f t="shared" si="38"/>
        <v/>
      </c>
      <c r="Z104" s="431" t="s">
        <v>15</v>
      </c>
      <c r="AA104" s="127" t="s">
        <v>15</v>
      </c>
      <c r="AB104" s="127" t="s">
        <v>15</v>
      </c>
      <c r="AC104" s="490" t="s">
        <v>15</v>
      </c>
      <c r="AD104" s="84" t="str">
        <f t="shared" si="36"/>
        <v/>
      </c>
      <c r="AE104" s="176">
        <v>0.29166666666666669</v>
      </c>
      <c r="AF104" s="127">
        <v>0.54166666666666663</v>
      </c>
      <c r="AG104" s="127">
        <v>0.625</v>
      </c>
      <c r="AH104" s="176">
        <v>0.70833333333333337</v>
      </c>
      <c r="AI104" s="84">
        <f t="shared" si="34"/>
        <v>0.33333333333333331</v>
      </c>
      <c r="AJ104" s="176">
        <v>0.52083333333333337</v>
      </c>
      <c r="AK104" s="127">
        <v>0.70833333333333337</v>
      </c>
      <c r="AL104" s="127">
        <v>0.75</v>
      </c>
      <c r="AM104" s="176">
        <v>0.89583333333333337</v>
      </c>
      <c r="AN104" s="84">
        <f t="shared" si="33"/>
        <v>0.33333333333333337</v>
      </c>
      <c r="AO104" s="28">
        <f t="shared" si="37"/>
        <v>1.6875</v>
      </c>
      <c r="AP104" s="385"/>
      <c r="AQ104" s="405"/>
      <c r="AR104" s="385"/>
      <c r="AS104" s="385"/>
      <c r="AT104" s="385"/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5"/>
      <c r="BH104" s="385"/>
      <c r="BI104" s="385"/>
      <c r="BJ104" s="385"/>
      <c r="BK104" s="385"/>
      <c r="BL104" s="385"/>
      <c r="BM104" s="385"/>
      <c r="BN104" s="385"/>
      <c r="BO104" s="385"/>
      <c r="BP104" s="385"/>
      <c r="BQ104" s="385"/>
      <c r="BR104" s="385"/>
      <c r="BS104" s="385"/>
      <c r="BT104" s="385"/>
    </row>
    <row r="105" spans="1:72" ht="14.45" customHeight="1" x14ac:dyDescent="0.25">
      <c r="A105" s="402" t="s">
        <v>295</v>
      </c>
      <c r="B105" s="444" t="s">
        <v>542</v>
      </c>
      <c r="C105" s="311"/>
      <c r="D105" s="456" t="s">
        <v>22</v>
      </c>
      <c r="E105" s="164" t="s">
        <v>347</v>
      </c>
      <c r="F105" s="176">
        <v>0.33333333333333331</v>
      </c>
      <c r="G105" s="127">
        <v>0.54166666666666663</v>
      </c>
      <c r="H105" s="127">
        <v>0.625</v>
      </c>
      <c r="I105" s="491">
        <v>0.75</v>
      </c>
      <c r="J105" s="84">
        <f t="shared" si="31"/>
        <v>0.33333333333333331</v>
      </c>
      <c r="K105" s="176">
        <v>0.29166666666666669</v>
      </c>
      <c r="L105" s="127">
        <v>0.54166666666666663</v>
      </c>
      <c r="M105" s="127">
        <v>0.58333333333333337</v>
      </c>
      <c r="N105" s="491">
        <v>0.66666666666666663</v>
      </c>
      <c r="O105" s="84">
        <f t="shared" si="27"/>
        <v>0.3333333333333332</v>
      </c>
      <c r="P105" s="176">
        <v>0.41666666666666669</v>
      </c>
      <c r="Q105" s="127">
        <v>0.66666666666666663</v>
      </c>
      <c r="R105" s="127">
        <v>0.75</v>
      </c>
      <c r="S105" s="491">
        <v>0.83333333333333337</v>
      </c>
      <c r="T105" s="84">
        <f t="shared" si="35"/>
        <v>0.33333333333333331</v>
      </c>
      <c r="U105" s="176">
        <v>0.54166666666666663</v>
      </c>
      <c r="V105" s="127">
        <v>0.75</v>
      </c>
      <c r="W105" s="127">
        <v>0.79166666666666663</v>
      </c>
      <c r="X105" s="491">
        <v>0.9375</v>
      </c>
      <c r="Y105" s="84">
        <f t="shared" si="38"/>
        <v>0.35416666666666674</v>
      </c>
      <c r="Z105" s="176">
        <v>0.54166666666666663</v>
      </c>
      <c r="AA105" s="127">
        <v>0.79166666666666663</v>
      </c>
      <c r="AB105" s="127">
        <v>0.83333333333333337</v>
      </c>
      <c r="AC105" s="491">
        <v>0.9375</v>
      </c>
      <c r="AD105" s="84">
        <f t="shared" si="36"/>
        <v>0.35416666666666663</v>
      </c>
      <c r="AE105" s="431" t="s">
        <v>15</v>
      </c>
      <c r="AF105" s="127" t="s">
        <v>15</v>
      </c>
      <c r="AG105" s="127" t="s">
        <v>15</v>
      </c>
      <c r="AH105" s="431" t="s">
        <v>15</v>
      </c>
      <c r="AI105" s="84" t="str">
        <f t="shared" si="34"/>
        <v/>
      </c>
      <c r="AJ105" s="431" t="s">
        <v>15</v>
      </c>
      <c r="AK105" s="127" t="s">
        <v>15</v>
      </c>
      <c r="AL105" s="127" t="s">
        <v>15</v>
      </c>
      <c r="AM105" s="431" t="s">
        <v>15</v>
      </c>
      <c r="AN105" s="84" t="str">
        <f t="shared" si="33"/>
        <v/>
      </c>
      <c r="AO105" s="28">
        <f t="shared" si="37"/>
        <v>1.708333333333333</v>
      </c>
      <c r="AP105" s="406"/>
      <c r="AQ105" s="403"/>
    </row>
    <row r="106" spans="1:72" ht="14.45" customHeight="1" x14ac:dyDescent="0.25">
      <c r="A106" s="402" t="s">
        <v>268</v>
      </c>
      <c r="B106" s="444" t="s">
        <v>133</v>
      </c>
      <c r="C106" s="311"/>
      <c r="D106" s="456" t="s">
        <v>22</v>
      </c>
      <c r="E106" s="164" t="s">
        <v>347</v>
      </c>
      <c r="F106" s="176">
        <v>0.52083333333333337</v>
      </c>
      <c r="G106" s="127">
        <v>0.625</v>
      </c>
      <c r="H106" s="127">
        <v>0.66666666666666663</v>
      </c>
      <c r="I106" s="491">
        <v>0.89583333333333337</v>
      </c>
      <c r="J106" s="84">
        <f t="shared" si="31"/>
        <v>0.33333333333333337</v>
      </c>
      <c r="K106" s="176">
        <v>0.41666666666666669</v>
      </c>
      <c r="L106" s="127">
        <v>0.66666666666666663</v>
      </c>
      <c r="M106" s="127">
        <v>0.75</v>
      </c>
      <c r="N106" s="491">
        <v>0.83333333333333337</v>
      </c>
      <c r="O106" s="84">
        <f t="shared" si="27"/>
        <v>0.33333333333333331</v>
      </c>
      <c r="P106" s="176">
        <v>0.41666666666666669</v>
      </c>
      <c r="Q106" s="127">
        <v>0.66666666666666663</v>
      </c>
      <c r="R106" s="127">
        <v>0.75</v>
      </c>
      <c r="S106" s="491">
        <v>0.83333333333333337</v>
      </c>
      <c r="T106" s="84">
        <f t="shared" si="35"/>
        <v>0.33333333333333331</v>
      </c>
      <c r="U106" s="431" t="s">
        <v>15</v>
      </c>
      <c r="V106" s="127" t="s">
        <v>15</v>
      </c>
      <c r="W106" s="127" t="s">
        <v>15</v>
      </c>
      <c r="X106" s="490" t="s">
        <v>15</v>
      </c>
      <c r="Y106" s="84" t="str">
        <f t="shared" si="38"/>
        <v/>
      </c>
      <c r="Z106" s="431" t="s">
        <v>15</v>
      </c>
      <c r="AA106" s="127" t="s">
        <v>15</v>
      </c>
      <c r="AB106" s="127" t="s">
        <v>15</v>
      </c>
      <c r="AC106" s="490" t="s">
        <v>15</v>
      </c>
      <c r="AD106" s="84" t="str">
        <f t="shared" si="36"/>
        <v/>
      </c>
      <c r="AE106" s="176">
        <v>0.29166666666666669</v>
      </c>
      <c r="AF106" s="127">
        <v>0.54166666666666663</v>
      </c>
      <c r="AG106" s="127">
        <v>0.625</v>
      </c>
      <c r="AH106" s="176">
        <v>0.70833333333333337</v>
      </c>
      <c r="AI106" s="84">
        <f t="shared" si="34"/>
        <v>0.33333333333333331</v>
      </c>
      <c r="AJ106" s="176">
        <v>0.29166666666666669</v>
      </c>
      <c r="AK106" s="127">
        <v>0.54166666666666663</v>
      </c>
      <c r="AL106" s="127">
        <v>0.625</v>
      </c>
      <c r="AM106" s="176">
        <v>0.70833333333333337</v>
      </c>
      <c r="AN106" s="84">
        <f t="shared" si="33"/>
        <v>0.33333333333333331</v>
      </c>
      <c r="AO106" s="28">
        <f t="shared" si="37"/>
        <v>1.6666666666666665</v>
      </c>
      <c r="AQ106" s="405"/>
      <c r="AS106" s="408"/>
    </row>
    <row r="107" spans="1:72" ht="14.45" customHeight="1" x14ac:dyDescent="0.25">
      <c r="A107" s="409" t="s">
        <v>602</v>
      </c>
      <c r="B107" s="444" t="s">
        <v>255</v>
      </c>
      <c r="C107" s="311"/>
      <c r="D107" s="456" t="s">
        <v>22</v>
      </c>
      <c r="E107" s="164" t="s">
        <v>347</v>
      </c>
      <c r="F107" s="176">
        <v>0.54166666666666663</v>
      </c>
      <c r="G107" s="127">
        <v>0.75</v>
      </c>
      <c r="H107" s="127">
        <v>0.79166666666666663</v>
      </c>
      <c r="I107" s="491">
        <v>0.91666666666666663</v>
      </c>
      <c r="J107" s="84">
        <f t="shared" si="31"/>
        <v>0.33333333333333337</v>
      </c>
      <c r="K107" s="431" t="s">
        <v>15</v>
      </c>
      <c r="L107" s="127" t="s">
        <v>15</v>
      </c>
      <c r="M107" s="127" t="s">
        <v>15</v>
      </c>
      <c r="N107" s="490" t="s">
        <v>15</v>
      </c>
      <c r="O107" s="84" t="str">
        <f t="shared" si="27"/>
        <v/>
      </c>
      <c r="P107" s="431" t="s">
        <v>15</v>
      </c>
      <c r="Q107" s="127" t="s">
        <v>15</v>
      </c>
      <c r="R107" s="127" t="s">
        <v>15</v>
      </c>
      <c r="S107" s="490" t="s">
        <v>15</v>
      </c>
      <c r="T107" s="84" t="str">
        <f t="shared" si="35"/>
        <v/>
      </c>
      <c r="U107" s="176">
        <v>0.29166666666666669</v>
      </c>
      <c r="V107" s="127">
        <v>0.54166666666666663</v>
      </c>
      <c r="W107" s="127">
        <v>0.625</v>
      </c>
      <c r="X107" s="491">
        <v>0.70833333333333337</v>
      </c>
      <c r="Y107" s="84">
        <f t="shared" si="38"/>
        <v>0.33333333333333331</v>
      </c>
      <c r="Z107" s="176">
        <v>0.33333333333333331</v>
      </c>
      <c r="AA107" s="127">
        <v>0.58333333333333337</v>
      </c>
      <c r="AB107" s="127">
        <v>0.66666666666666663</v>
      </c>
      <c r="AC107" s="491">
        <v>0.75</v>
      </c>
      <c r="AD107" s="84">
        <f t="shared" si="36"/>
        <v>0.33333333333333343</v>
      </c>
      <c r="AE107" s="176">
        <v>0.5</v>
      </c>
      <c r="AF107" s="127">
        <v>0.625</v>
      </c>
      <c r="AG107" s="127">
        <v>0.66666666666666663</v>
      </c>
      <c r="AH107" s="176">
        <v>0.875</v>
      </c>
      <c r="AI107" s="84">
        <f t="shared" si="34"/>
        <v>0.33333333333333337</v>
      </c>
      <c r="AJ107" s="176">
        <v>0.4375</v>
      </c>
      <c r="AK107" s="127">
        <v>0.625</v>
      </c>
      <c r="AL107" s="127">
        <v>0.70833333333333337</v>
      </c>
      <c r="AM107" s="176">
        <v>0.85416666666666663</v>
      </c>
      <c r="AN107" s="84">
        <f t="shared" si="33"/>
        <v>0.33333333333333326</v>
      </c>
      <c r="AO107" s="28">
        <f t="shared" si="37"/>
        <v>1.6666666666666667</v>
      </c>
      <c r="AQ107" s="403"/>
    </row>
    <row r="108" spans="1:72" ht="12.75" customHeight="1" x14ac:dyDescent="0.25">
      <c r="A108" s="402" t="s">
        <v>603</v>
      </c>
      <c r="B108" s="444" t="s">
        <v>316</v>
      </c>
      <c r="C108" s="311"/>
      <c r="D108" s="456" t="s">
        <v>22</v>
      </c>
      <c r="E108" s="164" t="s">
        <v>347</v>
      </c>
      <c r="F108" s="176">
        <v>0.52083333333333337</v>
      </c>
      <c r="G108" s="127">
        <v>0.66666666666666663</v>
      </c>
      <c r="H108" s="127">
        <v>0.70833333333333337</v>
      </c>
      <c r="I108" s="491">
        <v>0.89583333333333337</v>
      </c>
      <c r="J108" s="84">
        <f t="shared" si="31"/>
        <v>0.33333333333333326</v>
      </c>
      <c r="K108" s="176">
        <v>0.45833333333333331</v>
      </c>
      <c r="L108" s="127">
        <v>0.70833333333333337</v>
      </c>
      <c r="M108" s="127">
        <v>0.79166666666666663</v>
      </c>
      <c r="N108" s="491">
        <v>0.875</v>
      </c>
      <c r="O108" s="84">
        <f t="shared" si="27"/>
        <v>0.33333333333333343</v>
      </c>
      <c r="P108" s="176">
        <v>0.41666666666666669</v>
      </c>
      <c r="Q108" s="127">
        <v>0.66666666666666663</v>
      </c>
      <c r="R108" s="127">
        <v>0.75</v>
      </c>
      <c r="S108" s="491">
        <v>0.83333333333333337</v>
      </c>
      <c r="T108" s="84">
        <f t="shared" si="35"/>
        <v>0.33333333333333331</v>
      </c>
      <c r="U108" s="431" t="s">
        <v>15</v>
      </c>
      <c r="V108" s="127" t="s">
        <v>15</v>
      </c>
      <c r="W108" s="127" t="s">
        <v>15</v>
      </c>
      <c r="X108" s="490" t="s">
        <v>15</v>
      </c>
      <c r="Y108" s="84" t="str">
        <f t="shared" si="38"/>
        <v/>
      </c>
      <c r="Z108" s="431" t="s">
        <v>15</v>
      </c>
      <c r="AA108" s="127" t="s">
        <v>15</v>
      </c>
      <c r="AB108" s="127" t="s">
        <v>15</v>
      </c>
      <c r="AC108" s="490" t="s">
        <v>15</v>
      </c>
      <c r="AD108" s="84" t="str">
        <f t="shared" si="36"/>
        <v/>
      </c>
      <c r="AE108" s="176">
        <v>0.29166666666666669</v>
      </c>
      <c r="AF108" s="127">
        <v>0.54166666666666663</v>
      </c>
      <c r="AG108" s="127">
        <v>0.625</v>
      </c>
      <c r="AH108" s="176">
        <v>0.70833333333333337</v>
      </c>
      <c r="AI108" s="84">
        <f t="shared" si="34"/>
        <v>0.33333333333333331</v>
      </c>
      <c r="AJ108" s="176">
        <v>0.29166666666666669</v>
      </c>
      <c r="AK108" s="127">
        <v>0.54166666666666663</v>
      </c>
      <c r="AL108" s="127">
        <v>0.625</v>
      </c>
      <c r="AM108" s="176">
        <v>0.70833333333333337</v>
      </c>
      <c r="AN108" s="84">
        <f t="shared" si="33"/>
        <v>0.33333333333333331</v>
      </c>
      <c r="AO108" s="28">
        <f t="shared" si="37"/>
        <v>1.6666666666666665</v>
      </c>
      <c r="AQ108" s="403"/>
    </row>
    <row r="109" spans="1:72" ht="14.45" customHeight="1" x14ac:dyDescent="0.25">
      <c r="A109" s="409" t="s">
        <v>263</v>
      </c>
      <c r="B109" s="444" t="s">
        <v>535</v>
      </c>
      <c r="C109" s="311"/>
      <c r="D109" s="456" t="s">
        <v>22</v>
      </c>
      <c r="E109" s="164" t="s">
        <v>347</v>
      </c>
      <c r="F109" s="176">
        <v>0.41666666666666669</v>
      </c>
      <c r="G109" s="127">
        <v>0.58333333333333337</v>
      </c>
      <c r="H109" s="127">
        <v>0.66666666666666663</v>
      </c>
      <c r="I109" s="491">
        <v>0.83333333333333337</v>
      </c>
      <c r="J109" s="84">
        <f t="shared" si="31"/>
        <v>0.33333333333333343</v>
      </c>
      <c r="K109" s="176">
        <v>0.5</v>
      </c>
      <c r="L109" s="127">
        <v>0.75</v>
      </c>
      <c r="M109" s="127">
        <v>0.79166666666666663</v>
      </c>
      <c r="N109" s="491">
        <v>0.875</v>
      </c>
      <c r="O109" s="84">
        <f t="shared" si="27"/>
        <v>0.33333333333333337</v>
      </c>
      <c r="P109" s="431" t="s">
        <v>15</v>
      </c>
      <c r="Q109" s="127" t="s">
        <v>15</v>
      </c>
      <c r="R109" s="127" t="s">
        <v>15</v>
      </c>
      <c r="S109" s="490" t="s">
        <v>15</v>
      </c>
      <c r="T109" s="84" t="str">
        <f t="shared" si="35"/>
        <v/>
      </c>
      <c r="U109" s="431" t="s">
        <v>15</v>
      </c>
      <c r="V109" s="127" t="s">
        <v>15</v>
      </c>
      <c r="W109" s="127" t="s">
        <v>15</v>
      </c>
      <c r="X109" s="490" t="s">
        <v>15</v>
      </c>
      <c r="Y109" s="84" t="str">
        <f t="shared" si="38"/>
        <v/>
      </c>
      <c r="Z109" s="176">
        <v>0.29166666666666669</v>
      </c>
      <c r="AA109" s="127">
        <v>0.54166666666666663</v>
      </c>
      <c r="AB109" s="127">
        <v>0.625</v>
      </c>
      <c r="AC109" s="491">
        <v>0.70833333333333337</v>
      </c>
      <c r="AD109" s="84">
        <f t="shared" si="36"/>
        <v>0.33333333333333331</v>
      </c>
      <c r="AE109" s="176">
        <v>0.29166666666666669</v>
      </c>
      <c r="AF109" s="127">
        <v>0.54166666666666663</v>
      </c>
      <c r="AG109" s="127">
        <v>0.625</v>
      </c>
      <c r="AH109" s="176">
        <v>0.70833333333333337</v>
      </c>
      <c r="AI109" s="84">
        <f t="shared" si="34"/>
        <v>0.33333333333333331</v>
      </c>
      <c r="AJ109" s="176">
        <v>0.52083333333333337</v>
      </c>
      <c r="AK109" s="127">
        <v>0.70833333333333337</v>
      </c>
      <c r="AL109" s="127">
        <v>0.75</v>
      </c>
      <c r="AM109" s="176">
        <v>0.89583333333333337</v>
      </c>
      <c r="AN109" s="84">
        <f t="shared" si="33"/>
        <v>0.33333333333333337</v>
      </c>
      <c r="AO109" s="28">
        <f t="shared" si="37"/>
        <v>1.6666666666666665</v>
      </c>
      <c r="AQ109" s="405"/>
    </row>
    <row r="110" spans="1:72" ht="14.45" customHeight="1" x14ac:dyDescent="0.25">
      <c r="A110" s="411" t="s">
        <v>284</v>
      </c>
      <c r="B110" s="444" t="s">
        <v>114</v>
      </c>
      <c r="C110" s="311"/>
      <c r="D110" s="456" t="s">
        <v>22</v>
      </c>
      <c r="E110" s="164" t="s">
        <v>347</v>
      </c>
      <c r="F110" s="441">
        <v>0.83333333333333337</v>
      </c>
      <c r="G110" s="127"/>
      <c r="H110" s="127"/>
      <c r="I110" s="492">
        <v>1</v>
      </c>
      <c r="J110" s="84">
        <f t="shared" si="31"/>
        <v>0.16666666666666663</v>
      </c>
      <c r="K110" s="441">
        <v>0</v>
      </c>
      <c r="L110" s="127">
        <v>0.29166666666666669</v>
      </c>
      <c r="M110" s="127">
        <v>0.83333333333333337</v>
      </c>
      <c r="N110" s="492">
        <v>1</v>
      </c>
      <c r="O110" s="84">
        <v>0.375</v>
      </c>
      <c r="P110" s="441">
        <v>0</v>
      </c>
      <c r="Q110" s="127">
        <v>0.29166666666666669</v>
      </c>
      <c r="R110" s="127">
        <v>0.83333333333333337</v>
      </c>
      <c r="S110" s="492">
        <v>1</v>
      </c>
      <c r="T110" s="84">
        <v>0.375</v>
      </c>
      <c r="U110" s="441">
        <v>0</v>
      </c>
      <c r="V110" s="127">
        <v>4.1666666666666664E-2</v>
      </c>
      <c r="W110" s="127">
        <v>0.125</v>
      </c>
      <c r="X110" s="492">
        <v>0.29166666666666669</v>
      </c>
      <c r="Y110" s="84">
        <f t="shared" si="38"/>
        <v>0.20833333333333334</v>
      </c>
      <c r="Z110" s="431" t="s">
        <v>15</v>
      </c>
      <c r="AA110" s="127" t="s">
        <v>15</v>
      </c>
      <c r="AB110" s="127" t="s">
        <v>15</v>
      </c>
      <c r="AC110" s="490" t="s">
        <v>15</v>
      </c>
      <c r="AD110" s="84" t="str">
        <f t="shared" si="36"/>
        <v/>
      </c>
      <c r="AE110" s="176">
        <v>0.27083333333333331</v>
      </c>
      <c r="AF110" s="127">
        <v>0.5</v>
      </c>
      <c r="AG110" s="127">
        <v>0.58333333333333337</v>
      </c>
      <c r="AH110" s="176">
        <v>0.6875</v>
      </c>
      <c r="AI110" s="84">
        <f t="shared" si="34"/>
        <v>0.33333333333333331</v>
      </c>
      <c r="AJ110" s="176">
        <v>0.27083333333333331</v>
      </c>
      <c r="AK110" s="127">
        <v>0.5</v>
      </c>
      <c r="AL110" s="127">
        <v>0.58333333333333337</v>
      </c>
      <c r="AM110" s="176">
        <v>0.6875</v>
      </c>
      <c r="AN110" s="84">
        <f t="shared" si="33"/>
        <v>0.33333333333333331</v>
      </c>
      <c r="AO110" s="28">
        <f t="shared" si="37"/>
        <v>1.7916666666666665</v>
      </c>
      <c r="AQ110" s="403"/>
    </row>
    <row r="111" spans="1:72" ht="14.45" customHeight="1" x14ac:dyDescent="0.25">
      <c r="A111" s="290" t="s">
        <v>263</v>
      </c>
      <c r="B111" s="444" t="s">
        <v>151</v>
      </c>
      <c r="C111" s="311"/>
      <c r="D111" s="456" t="s">
        <v>22</v>
      </c>
      <c r="E111" s="164" t="s">
        <v>347</v>
      </c>
      <c r="F111" s="441">
        <v>1</v>
      </c>
      <c r="G111" s="127">
        <v>4.1666666666666664E-2</v>
      </c>
      <c r="H111" s="127">
        <v>0.125</v>
      </c>
      <c r="I111" s="492">
        <v>0.29166666666666669</v>
      </c>
      <c r="J111" s="84">
        <f t="shared" si="31"/>
        <v>0.2083333333333334</v>
      </c>
      <c r="K111" s="431" t="s">
        <v>15</v>
      </c>
      <c r="L111" s="127" t="s">
        <v>15</v>
      </c>
      <c r="M111" s="127" t="s">
        <v>15</v>
      </c>
      <c r="N111" s="490" t="s">
        <v>15</v>
      </c>
      <c r="O111" s="84" t="str">
        <f t="shared" ref="O111:O142" si="39">IFERROR(MOD(N111-K111,1)-MOD(M111-L111,1),"")</f>
        <v/>
      </c>
      <c r="P111" s="176">
        <v>0.29166666666666669</v>
      </c>
      <c r="Q111" s="127">
        <v>0.5</v>
      </c>
      <c r="R111" s="127">
        <v>0.58333333333333337</v>
      </c>
      <c r="S111" s="491">
        <v>0.70833333333333337</v>
      </c>
      <c r="T111" s="84">
        <f t="shared" ref="T111:T147" si="40">IFERROR(MOD(S111-P111,1)-MOD(R111-Q111,1),"")</f>
        <v>0.33333333333333331</v>
      </c>
      <c r="U111" s="176">
        <v>0.375</v>
      </c>
      <c r="V111" s="127">
        <v>0.625</v>
      </c>
      <c r="W111" s="127">
        <v>0.70833333333333337</v>
      </c>
      <c r="X111" s="491">
        <v>0.79166666666666663</v>
      </c>
      <c r="Y111" s="84">
        <f t="shared" si="38"/>
        <v>0.33333333333333326</v>
      </c>
      <c r="Z111" s="176">
        <v>0.54166666666666663</v>
      </c>
      <c r="AA111" s="127">
        <v>0.79166666666666663</v>
      </c>
      <c r="AB111" s="127">
        <v>0.83333333333333337</v>
      </c>
      <c r="AC111" s="491">
        <v>0.9375</v>
      </c>
      <c r="AD111" s="84">
        <f t="shared" si="36"/>
        <v>0.35416666666666663</v>
      </c>
      <c r="AE111" s="176">
        <v>0.54166666666666663</v>
      </c>
      <c r="AF111" s="127">
        <v>0.66666666666666663</v>
      </c>
      <c r="AG111" s="127">
        <v>0.70833333333333337</v>
      </c>
      <c r="AH111" s="176">
        <v>0.9375</v>
      </c>
      <c r="AI111" s="84">
        <f t="shared" si="34"/>
        <v>0.35416666666666663</v>
      </c>
      <c r="AJ111" s="176">
        <v>0.4375</v>
      </c>
      <c r="AK111" s="127">
        <v>0.625</v>
      </c>
      <c r="AL111" s="127">
        <v>0.70833333333333337</v>
      </c>
      <c r="AM111" s="176">
        <v>0.85416666666666663</v>
      </c>
      <c r="AN111" s="84">
        <f t="shared" si="33"/>
        <v>0.33333333333333326</v>
      </c>
      <c r="AO111" s="28">
        <f t="shared" si="37"/>
        <v>1.9166666666666663</v>
      </c>
      <c r="AP111" s="1"/>
      <c r="AQ11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4.45" customHeight="1" x14ac:dyDescent="0.25">
      <c r="A112" s="290" t="s">
        <v>271</v>
      </c>
      <c r="B112" s="444" t="s">
        <v>244</v>
      </c>
      <c r="C112" s="311">
        <v>6</v>
      </c>
      <c r="D112" s="456" t="s">
        <v>22</v>
      </c>
      <c r="E112" s="164" t="s">
        <v>347</v>
      </c>
      <c r="F112" s="176" t="s">
        <v>165</v>
      </c>
      <c r="G112" s="127" t="s">
        <v>165</v>
      </c>
      <c r="H112" s="127" t="s">
        <v>165</v>
      </c>
      <c r="I112" s="491" t="s">
        <v>165</v>
      </c>
      <c r="J112" s="84" t="str">
        <f t="shared" si="31"/>
        <v/>
      </c>
      <c r="K112" s="176" t="s">
        <v>165</v>
      </c>
      <c r="L112" s="127" t="s">
        <v>165</v>
      </c>
      <c r="M112" s="127" t="s">
        <v>165</v>
      </c>
      <c r="N112" s="491" t="s">
        <v>165</v>
      </c>
      <c r="O112" s="84" t="str">
        <f t="shared" si="39"/>
        <v/>
      </c>
      <c r="P112" s="176" t="s">
        <v>165</v>
      </c>
      <c r="Q112" s="127" t="s">
        <v>165</v>
      </c>
      <c r="R112" s="127" t="s">
        <v>165</v>
      </c>
      <c r="S112" s="491" t="s">
        <v>165</v>
      </c>
      <c r="T112" s="84" t="str">
        <f t="shared" si="40"/>
        <v/>
      </c>
      <c r="U112" s="176" t="s">
        <v>165</v>
      </c>
      <c r="V112" s="127" t="s">
        <v>165</v>
      </c>
      <c r="W112" s="127" t="s">
        <v>165</v>
      </c>
      <c r="X112" s="491" t="s">
        <v>165</v>
      </c>
      <c r="Y112" s="84" t="str">
        <f t="shared" si="38"/>
        <v/>
      </c>
      <c r="Z112" s="176" t="s">
        <v>165</v>
      </c>
      <c r="AA112" s="127" t="s">
        <v>165</v>
      </c>
      <c r="AB112" s="127" t="s">
        <v>165</v>
      </c>
      <c r="AC112" s="491" t="s">
        <v>165</v>
      </c>
      <c r="AD112" s="84" t="str">
        <f t="shared" si="36"/>
        <v/>
      </c>
      <c r="AE112" s="176" t="s">
        <v>165</v>
      </c>
      <c r="AF112" s="127" t="s">
        <v>165</v>
      </c>
      <c r="AG112" s="127" t="s">
        <v>165</v>
      </c>
      <c r="AH112" s="176" t="s">
        <v>165</v>
      </c>
      <c r="AI112" s="84" t="str">
        <f t="shared" si="34"/>
        <v/>
      </c>
      <c r="AJ112" s="176" t="s">
        <v>165</v>
      </c>
      <c r="AK112" s="127" t="s">
        <v>165</v>
      </c>
      <c r="AL112" s="127" t="s">
        <v>165</v>
      </c>
      <c r="AM112" s="176" t="s">
        <v>165</v>
      </c>
      <c r="AN112" s="84" t="str">
        <f t="shared" si="33"/>
        <v/>
      </c>
      <c r="AO112" s="28">
        <f t="shared" si="37"/>
        <v>0</v>
      </c>
      <c r="AP112" s="1"/>
      <c r="AQ112" s="302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</row>
    <row r="113" spans="1:72" ht="14.45" customHeight="1" x14ac:dyDescent="0.25">
      <c r="A113" s="293" t="s">
        <v>263</v>
      </c>
      <c r="B113" s="444" t="s">
        <v>460</v>
      </c>
      <c r="C113" s="311"/>
      <c r="D113" s="456" t="s">
        <v>22</v>
      </c>
      <c r="E113" s="164" t="s">
        <v>347</v>
      </c>
      <c r="F113" s="176">
        <v>0.66666666666666663</v>
      </c>
      <c r="G113" s="127"/>
      <c r="H113" s="127"/>
      <c r="I113" s="491">
        <v>0.9375</v>
      </c>
      <c r="J113" s="84">
        <f t="shared" si="31"/>
        <v>0.27083333333333337</v>
      </c>
      <c r="K113" s="176">
        <v>0.66666666666666663</v>
      </c>
      <c r="L113" s="127"/>
      <c r="M113" s="127"/>
      <c r="N113" s="491">
        <v>0.9375</v>
      </c>
      <c r="O113" s="84">
        <f t="shared" si="39"/>
        <v>0.27083333333333337</v>
      </c>
      <c r="P113" s="176">
        <v>0.66666666666666663</v>
      </c>
      <c r="Q113" s="127"/>
      <c r="R113" s="127"/>
      <c r="S113" s="491">
        <v>0.9375</v>
      </c>
      <c r="T113" s="84">
        <f t="shared" si="40"/>
        <v>0.27083333333333337</v>
      </c>
      <c r="U113" s="431" t="s">
        <v>15</v>
      </c>
      <c r="V113" s="127" t="s">
        <v>15</v>
      </c>
      <c r="W113" s="127" t="s">
        <v>15</v>
      </c>
      <c r="X113" s="490" t="s">
        <v>15</v>
      </c>
      <c r="Y113" s="84" t="str">
        <f t="shared" si="38"/>
        <v/>
      </c>
      <c r="Z113" s="431" t="s">
        <v>15</v>
      </c>
      <c r="AA113" s="127" t="s">
        <v>15</v>
      </c>
      <c r="AB113" s="127" t="s">
        <v>15</v>
      </c>
      <c r="AC113" s="490" t="s">
        <v>15</v>
      </c>
      <c r="AD113" s="84" t="str">
        <f t="shared" si="36"/>
        <v/>
      </c>
      <c r="AE113" s="176">
        <v>0.66666666666666663</v>
      </c>
      <c r="AF113" s="127"/>
      <c r="AG113" s="127"/>
      <c r="AH113" s="176">
        <v>0.9375</v>
      </c>
      <c r="AI113" s="84">
        <f t="shared" si="34"/>
        <v>0.27083333333333337</v>
      </c>
      <c r="AJ113" s="176">
        <v>0.66666666666666663</v>
      </c>
      <c r="AK113" s="127"/>
      <c r="AL113" s="127"/>
      <c r="AM113" s="176">
        <v>0.9375</v>
      </c>
      <c r="AN113" s="84">
        <f t="shared" si="33"/>
        <v>0.27083333333333337</v>
      </c>
      <c r="AO113" s="28">
        <f t="shared" si="37"/>
        <v>1.354166666666667</v>
      </c>
      <c r="AP113" s="1"/>
      <c r="AQ113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4.45" customHeight="1" x14ac:dyDescent="0.25">
      <c r="A114" s="487"/>
      <c r="B114" s="442" t="s">
        <v>643</v>
      </c>
      <c r="C114" s="311"/>
      <c r="D114" s="456" t="s">
        <v>22</v>
      </c>
      <c r="E114" s="439" t="s">
        <v>346</v>
      </c>
      <c r="F114" s="176" t="s">
        <v>156</v>
      </c>
      <c r="G114" s="127" t="s">
        <v>156</v>
      </c>
      <c r="H114" s="127" t="s">
        <v>156</v>
      </c>
      <c r="I114" s="491" t="s">
        <v>156</v>
      </c>
      <c r="J114" s="84" t="str">
        <f t="shared" si="31"/>
        <v/>
      </c>
      <c r="K114" s="176" t="s">
        <v>156</v>
      </c>
      <c r="L114" s="127" t="s">
        <v>156</v>
      </c>
      <c r="M114" s="127" t="s">
        <v>156</v>
      </c>
      <c r="N114" s="491" t="s">
        <v>156</v>
      </c>
      <c r="O114" s="84" t="str">
        <f t="shared" si="39"/>
        <v/>
      </c>
      <c r="P114" s="176" t="s">
        <v>156</v>
      </c>
      <c r="Q114" s="127" t="s">
        <v>156</v>
      </c>
      <c r="R114" s="127" t="s">
        <v>156</v>
      </c>
      <c r="S114" s="491" t="s">
        <v>156</v>
      </c>
      <c r="T114" s="84" t="str">
        <f t="shared" si="40"/>
        <v/>
      </c>
      <c r="U114" s="176" t="s">
        <v>156</v>
      </c>
      <c r="V114" s="127" t="s">
        <v>156</v>
      </c>
      <c r="W114" s="127" t="s">
        <v>156</v>
      </c>
      <c r="X114" s="491" t="s">
        <v>156</v>
      </c>
      <c r="Y114" s="84" t="str">
        <f t="shared" si="38"/>
        <v/>
      </c>
      <c r="Z114" s="176" t="s">
        <v>156</v>
      </c>
      <c r="AA114" s="127" t="s">
        <v>156</v>
      </c>
      <c r="AB114" s="127" t="s">
        <v>156</v>
      </c>
      <c r="AC114" s="491" t="s">
        <v>156</v>
      </c>
      <c r="AD114" s="84" t="str">
        <f t="shared" si="36"/>
        <v/>
      </c>
      <c r="AE114" s="176" t="s">
        <v>156</v>
      </c>
      <c r="AF114" s="127" t="s">
        <v>156</v>
      </c>
      <c r="AG114" s="127" t="s">
        <v>156</v>
      </c>
      <c r="AH114" s="176" t="s">
        <v>156</v>
      </c>
      <c r="AI114" s="84" t="str">
        <f t="shared" si="34"/>
        <v/>
      </c>
      <c r="AJ114" s="176" t="s">
        <v>156</v>
      </c>
      <c r="AK114" s="127" t="s">
        <v>156</v>
      </c>
      <c r="AL114" s="127" t="s">
        <v>156</v>
      </c>
      <c r="AM114" s="176" t="s">
        <v>156</v>
      </c>
      <c r="AN114" s="84" t="str">
        <f t="shared" si="33"/>
        <v/>
      </c>
      <c r="AO114" s="28">
        <f t="shared" si="37"/>
        <v>0</v>
      </c>
    </row>
    <row r="115" spans="1:72" s="1" customFormat="1" ht="12.75" customHeight="1" x14ac:dyDescent="0.25">
      <c r="A115" s="487"/>
      <c r="B115" s="178" t="s">
        <v>657</v>
      </c>
      <c r="C115" s="482"/>
      <c r="D115" s="485" t="s">
        <v>654</v>
      </c>
      <c r="E115" s="440" t="s">
        <v>79</v>
      </c>
      <c r="F115" s="415">
        <v>0.70833333333333337</v>
      </c>
      <c r="G115" s="483"/>
      <c r="H115" s="127"/>
      <c r="I115" s="484">
        <v>0.91666666666666663</v>
      </c>
      <c r="J115" s="84">
        <f t="shared" si="31"/>
        <v>0.20833333333333326</v>
      </c>
      <c r="K115" s="415">
        <v>0.70833333333333337</v>
      </c>
      <c r="L115" s="483"/>
      <c r="M115" s="127"/>
      <c r="N115" s="484">
        <v>0.91666666666666663</v>
      </c>
      <c r="O115" s="84">
        <f t="shared" si="39"/>
        <v>0.20833333333333326</v>
      </c>
      <c r="P115" s="415">
        <v>0.70833333333333337</v>
      </c>
      <c r="Q115" s="483"/>
      <c r="R115" s="127"/>
      <c r="S115" s="484">
        <v>0.91666666666666663</v>
      </c>
      <c r="T115" s="84">
        <f t="shared" si="40"/>
        <v>0.20833333333333326</v>
      </c>
      <c r="U115" s="415">
        <v>0.70833333333333337</v>
      </c>
      <c r="V115" s="483"/>
      <c r="W115" s="127"/>
      <c r="X115" s="484">
        <v>0.91666666666666663</v>
      </c>
      <c r="Y115" s="84">
        <f t="shared" si="38"/>
        <v>0.20833333333333326</v>
      </c>
      <c r="Z115" s="415">
        <v>0.70833333333333337</v>
      </c>
      <c r="AA115" s="483"/>
      <c r="AB115" s="127"/>
      <c r="AC115" s="484">
        <v>0.91666666666666663</v>
      </c>
      <c r="AD115" s="84">
        <f t="shared" si="36"/>
        <v>0.20833333333333326</v>
      </c>
      <c r="AE115" s="431" t="s">
        <v>15</v>
      </c>
      <c r="AF115" s="127" t="s">
        <v>15</v>
      </c>
      <c r="AG115" s="127" t="s">
        <v>15</v>
      </c>
      <c r="AH115" s="431" t="s">
        <v>15</v>
      </c>
      <c r="AI115" s="84" t="str">
        <f t="shared" si="34"/>
        <v/>
      </c>
      <c r="AJ115" s="431" t="s">
        <v>15</v>
      </c>
      <c r="AK115" s="127" t="s">
        <v>15</v>
      </c>
      <c r="AL115" s="127" t="s">
        <v>15</v>
      </c>
      <c r="AM115" s="431" t="s">
        <v>15</v>
      </c>
      <c r="AN115" s="84" t="str">
        <f t="shared" si="33"/>
        <v/>
      </c>
      <c r="AO115" s="28">
        <f t="shared" si="37"/>
        <v>1.0416666666666663</v>
      </c>
      <c r="AP115" s="385"/>
      <c r="AQ115" s="385"/>
      <c r="AR115" s="385"/>
      <c r="AS115" s="385"/>
      <c r="AT115" s="385"/>
      <c r="AU115" s="385"/>
      <c r="AV115" s="385"/>
      <c r="AW115" s="385"/>
      <c r="AX115" s="385"/>
      <c r="AY115" s="385"/>
      <c r="AZ115" s="385"/>
      <c r="BA115" s="385"/>
      <c r="BB115" s="385"/>
      <c r="BC115" s="385"/>
      <c r="BD115" s="385"/>
      <c r="BE115" s="385"/>
      <c r="BF115" s="385"/>
      <c r="BG115" s="385"/>
      <c r="BH115" s="385"/>
      <c r="BI115" s="385"/>
      <c r="BJ115" s="385"/>
      <c r="BK115" s="385"/>
      <c r="BL115" s="385"/>
      <c r="BM115" s="385"/>
      <c r="BN115" s="385"/>
      <c r="BO115" s="385"/>
      <c r="BP115" s="385"/>
      <c r="BQ115" s="385"/>
      <c r="BR115" s="385"/>
      <c r="BS115" s="385"/>
      <c r="BT115" s="385"/>
    </row>
    <row r="116" spans="1:72" ht="14.45" customHeight="1" x14ac:dyDescent="0.25">
      <c r="A116" s="487"/>
      <c r="B116" s="178" t="s">
        <v>658</v>
      </c>
      <c r="C116" s="482"/>
      <c r="D116" s="485" t="s">
        <v>654</v>
      </c>
      <c r="E116" s="440" t="s">
        <v>79</v>
      </c>
      <c r="F116" s="415">
        <v>0.70833333333333337</v>
      </c>
      <c r="G116" s="483"/>
      <c r="H116" s="127"/>
      <c r="I116" s="484">
        <v>0.91666666666666663</v>
      </c>
      <c r="J116" s="84">
        <f t="shared" ref="J116:J147" si="41">IFERROR(MOD(I116-F116,1)-MOD(H116-G116,1),"")</f>
        <v>0.20833333333333326</v>
      </c>
      <c r="K116" s="415">
        <v>0.70833333333333337</v>
      </c>
      <c r="L116" s="483"/>
      <c r="M116" s="127"/>
      <c r="N116" s="484">
        <v>0.91666666666666663</v>
      </c>
      <c r="O116" s="84">
        <f t="shared" si="39"/>
        <v>0.20833333333333326</v>
      </c>
      <c r="P116" s="415">
        <v>0.70833333333333337</v>
      </c>
      <c r="Q116" s="483"/>
      <c r="R116" s="127"/>
      <c r="S116" s="484">
        <v>0.91666666666666663</v>
      </c>
      <c r="T116" s="84">
        <f t="shared" si="40"/>
        <v>0.20833333333333326</v>
      </c>
      <c r="U116" s="415">
        <v>0.70833333333333337</v>
      </c>
      <c r="V116" s="483"/>
      <c r="W116" s="127"/>
      <c r="X116" s="484">
        <v>0.91666666666666663</v>
      </c>
      <c r="Y116" s="84">
        <f t="shared" si="38"/>
        <v>0.20833333333333326</v>
      </c>
      <c r="Z116" s="415">
        <v>0.70833333333333337</v>
      </c>
      <c r="AA116" s="483"/>
      <c r="AB116" s="127"/>
      <c r="AC116" s="484">
        <v>0.91666666666666663</v>
      </c>
      <c r="AD116" s="84">
        <f t="shared" si="36"/>
        <v>0.20833333333333326</v>
      </c>
      <c r="AE116" s="431" t="s">
        <v>15</v>
      </c>
      <c r="AF116" s="127" t="s">
        <v>15</v>
      </c>
      <c r="AG116" s="127" t="s">
        <v>15</v>
      </c>
      <c r="AH116" s="431" t="s">
        <v>15</v>
      </c>
      <c r="AI116" s="84" t="str">
        <f t="shared" si="34"/>
        <v/>
      </c>
      <c r="AJ116" s="431" t="s">
        <v>15</v>
      </c>
      <c r="AK116" s="127" t="s">
        <v>15</v>
      </c>
      <c r="AL116" s="127" t="s">
        <v>15</v>
      </c>
      <c r="AM116" s="431" t="s">
        <v>15</v>
      </c>
      <c r="AN116" s="84" t="str">
        <f t="shared" ref="AN116:AN147" si="42">IFERROR(MOD(AM116-AJ116,1)-MOD(AL116-AK116,1),"")</f>
        <v/>
      </c>
      <c r="AO116" s="28">
        <f t="shared" si="37"/>
        <v>1.0416666666666663</v>
      </c>
    </row>
    <row r="117" spans="1:72" ht="14.45" customHeight="1" x14ac:dyDescent="0.25">
      <c r="A117" s="487"/>
      <c r="B117" s="178" t="s">
        <v>659</v>
      </c>
      <c r="C117" s="482"/>
      <c r="D117" s="485" t="s">
        <v>654</v>
      </c>
      <c r="E117" s="440" t="s">
        <v>79</v>
      </c>
      <c r="F117" s="415">
        <v>0.70833333333333337</v>
      </c>
      <c r="G117" s="483"/>
      <c r="H117" s="127"/>
      <c r="I117" s="484">
        <v>0.91666666666666663</v>
      </c>
      <c r="J117" s="84">
        <f t="shared" si="41"/>
        <v>0.20833333333333326</v>
      </c>
      <c r="K117" s="415">
        <v>0.70833333333333337</v>
      </c>
      <c r="L117" s="483"/>
      <c r="M117" s="127"/>
      <c r="N117" s="484">
        <v>0.91666666666666663</v>
      </c>
      <c r="O117" s="84">
        <f t="shared" si="39"/>
        <v>0.20833333333333326</v>
      </c>
      <c r="P117" s="415">
        <v>0.70833333333333337</v>
      </c>
      <c r="Q117" s="483"/>
      <c r="R117" s="127"/>
      <c r="S117" s="484">
        <v>0.91666666666666663</v>
      </c>
      <c r="T117" s="84">
        <f t="shared" si="40"/>
        <v>0.20833333333333326</v>
      </c>
      <c r="U117" s="415">
        <v>0.70833333333333337</v>
      </c>
      <c r="V117" s="483"/>
      <c r="W117" s="127"/>
      <c r="X117" s="484">
        <v>0.91666666666666663</v>
      </c>
      <c r="Y117" s="84">
        <f t="shared" si="38"/>
        <v>0.20833333333333326</v>
      </c>
      <c r="Z117" s="415">
        <v>0.70833333333333337</v>
      </c>
      <c r="AA117" s="483"/>
      <c r="AB117" s="127"/>
      <c r="AC117" s="484">
        <v>0.91666666666666663</v>
      </c>
      <c r="AD117" s="84">
        <f t="shared" si="36"/>
        <v>0.20833333333333326</v>
      </c>
      <c r="AE117" s="431" t="s">
        <v>15</v>
      </c>
      <c r="AF117" s="127" t="s">
        <v>15</v>
      </c>
      <c r="AG117" s="127" t="s">
        <v>15</v>
      </c>
      <c r="AH117" s="431" t="s">
        <v>15</v>
      </c>
      <c r="AI117" s="84" t="str">
        <f t="shared" ref="AI117:AI147" si="43">IFERROR(MOD(AH117-AE117,1)-MOD(AG117-AF117,1),"")</f>
        <v/>
      </c>
      <c r="AJ117" s="431" t="s">
        <v>15</v>
      </c>
      <c r="AK117" s="127" t="s">
        <v>15</v>
      </c>
      <c r="AL117" s="127" t="s">
        <v>15</v>
      </c>
      <c r="AM117" s="431" t="s">
        <v>15</v>
      </c>
      <c r="AN117" s="84" t="str">
        <f t="shared" si="42"/>
        <v/>
      </c>
      <c r="AO117" s="28">
        <f t="shared" si="37"/>
        <v>1.0416666666666663</v>
      </c>
    </row>
    <row r="118" spans="1:72" ht="14.45" customHeight="1" x14ac:dyDescent="0.25">
      <c r="A118" s="487"/>
      <c r="B118" s="178" t="s">
        <v>660</v>
      </c>
      <c r="C118" s="482"/>
      <c r="D118" s="485" t="s">
        <v>654</v>
      </c>
      <c r="E118" s="440" t="s">
        <v>79</v>
      </c>
      <c r="F118" s="415">
        <v>0.70833333333333337</v>
      </c>
      <c r="G118" s="483"/>
      <c r="H118" s="127"/>
      <c r="I118" s="415">
        <v>0.91666666666666663</v>
      </c>
      <c r="J118" s="84">
        <f t="shared" si="41"/>
        <v>0.20833333333333326</v>
      </c>
      <c r="K118" s="415">
        <v>0.70833333333333337</v>
      </c>
      <c r="L118" s="483"/>
      <c r="M118" s="127"/>
      <c r="N118" s="415">
        <v>0.91666666666666663</v>
      </c>
      <c r="O118" s="84">
        <f t="shared" si="39"/>
        <v>0.20833333333333326</v>
      </c>
      <c r="P118" s="415">
        <v>0.70833333333333337</v>
      </c>
      <c r="Q118" s="483"/>
      <c r="R118" s="127"/>
      <c r="S118" s="415">
        <v>0.91666666666666663</v>
      </c>
      <c r="T118" s="84">
        <f t="shared" si="40"/>
        <v>0.20833333333333326</v>
      </c>
      <c r="U118" s="415">
        <v>0.70833333333333337</v>
      </c>
      <c r="V118" s="483"/>
      <c r="W118" s="127"/>
      <c r="X118" s="415">
        <v>0.91666666666666663</v>
      </c>
      <c r="Y118" s="84">
        <f t="shared" si="38"/>
        <v>0.20833333333333326</v>
      </c>
      <c r="Z118" s="415">
        <v>0.70833333333333337</v>
      </c>
      <c r="AA118" s="483"/>
      <c r="AB118" s="127"/>
      <c r="AC118" s="415">
        <v>0.91666666666666663</v>
      </c>
      <c r="AD118" s="84">
        <f t="shared" si="36"/>
        <v>0.20833333333333326</v>
      </c>
      <c r="AE118" s="431" t="s">
        <v>15</v>
      </c>
      <c r="AF118" s="127" t="s">
        <v>15</v>
      </c>
      <c r="AG118" s="127" t="s">
        <v>15</v>
      </c>
      <c r="AH118" s="431" t="s">
        <v>15</v>
      </c>
      <c r="AI118" s="84" t="str">
        <f t="shared" si="43"/>
        <v/>
      </c>
      <c r="AJ118" s="431" t="s">
        <v>15</v>
      </c>
      <c r="AK118" s="127" t="s">
        <v>15</v>
      </c>
      <c r="AL118" s="127" t="s">
        <v>15</v>
      </c>
      <c r="AM118" s="431" t="s">
        <v>15</v>
      </c>
      <c r="AN118" s="84" t="str">
        <f t="shared" si="42"/>
        <v/>
      </c>
      <c r="AO118" s="28">
        <f t="shared" si="37"/>
        <v>1.0416666666666663</v>
      </c>
    </row>
    <row r="119" spans="1:72" ht="14.45" customHeight="1" x14ac:dyDescent="0.25">
      <c r="A119" s="487"/>
      <c r="B119" s="178" t="s">
        <v>661</v>
      </c>
      <c r="C119" s="482"/>
      <c r="D119" s="485" t="s">
        <v>654</v>
      </c>
      <c r="E119" s="440" t="s">
        <v>79</v>
      </c>
      <c r="F119" s="415">
        <v>0.70833333333333337</v>
      </c>
      <c r="G119" s="483"/>
      <c r="H119" s="127"/>
      <c r="I119" s="415">
        <v>0.91666666666666663</v>
      </c>
      <c r="J119" s="84">
        <f t="shared" si="41"/>
        <v>0.20833333333333326</v>
      </c>
      <c r="K119" s="415">
        <v>0.70833333333333337</v>
      </c>
      <c r="L119" s="483"/>
      <c r="M119" s="127"/>
      <c r="N119" s="415">
        <v>0.91666666666666663</v>
      </c>
      <c r="O119" s="84">
        <f t="shared" si="39"/>
        <v>0.20833333333333326</v>
      </c>
      <c r="P119" s="415">
        <v>0.70833333333333337</v>
      </c>
      <c r="Q119" s="483"/>
      <c r="R119" s="127"/>
      <c r="S119" s="415">
        <v>0.91666666666666663</v>
      </c>
      <c r="T119" s="84">
        <f t="shared" si="40"/>
        <v>0.20833333333333326</v>
      </c>
      <c r="U119" s="415">
        <v>0.70833333333333337</v>
      </c>
      <c r="V119" s="483"/>
      <c r="W119" s="127"/>
      <c r="X119" s="415">
        <v>0.91666666666666663</v>
      </c>
      <c r="Y119" s="84">
        <f t="shared" si="38"/>
        <v>0.20833333333333326</v>
      </c>
      <c r="Z119" s="415">
        <v>0.70833333333333337</v>
      </c>
      <c r="AA119" s="483"/>
      <c r="AB119" s="127"/>
      <c r="AC119" s="415">
        <v>0.91666666666666663</v>
      </c>
      <c r="AD119" s="84">
        <f t="shared" si="36"/>
        <v>0.20833333333333326</v>
      </c>
      <c r="AE119" s="431" t="s">
        <v>15</v>
      </c>
      <c r="AF119" s="127" t="s">
        <v>15</v>
      </c>
      <c r="AG119" s="127" t="s">
        <v>15</v>
      </c>
      <c r="AH119" s="431" t="s">
        <v>15</v>
      </c>
      <c r="AI119" s="84" t="str">
        <f t="shared" si="43"/>
        <v/>
      </c>
      <c r="AJ119" s="431" t="s">
        <v>15</v>
      </c>
      <c r="AK119" s="127" t="s">
        <v>15</v>
      </c>
      <c r="AL119" s="127" t="s">
        <v>15</v>
      </c>
      <c r="AM119" s="431" t="s">
        <v>15</v>
      </c>
      <c r="AN119" s="84" t="str">
        <f t="shared" si="42"/>
        <v/>
      </c>
      <c r="AO119" s="28">
        <f t="shared" si="37"/>
        <v>1.0416666666666663</v>
      </c>
    </row>
    <row r="120" spans="1:72" ht="14.45" customHeight="1" x14ac:dyDescent="0.25">
      <c r="B120" s="178" t="s">
        <v>662</v>
      </c>
      <c r="C120" s="482"/>
      <c r="D120" s="485" t="s">
        <v>654</v>
      </c>
      <c r="E120" s="440" t="s">
        <v>79</v>
      </c>
      <c r="F120" s="415">
        <v>0.70833333333333337</v>
      </c>
      <c r="G120" s="483"/>
      <c r="H120" s="127"/>
      <c r="I120" s="415">
        <v>0.91666666666666663</v>
      </c>
      <c r="J120" s="84">
        <f t="shared" si="41"/>
        <v>0.20833333333333326</v>
      </c>
      <c r="K120" s="415">
        <v>0.70833333333333337</v>
      </c>
      <c r="L120" s="483"/>
      <c r="M120" s="127"/>
      <c r="N120" s="415">
        <v>0.91666666666666663</v>
      </c>
      <c r="O120" s="84">
        <f t="shared" si="39"/>
        <v>0.20833333333333326</v>
      </c>
      <c r="P120" s="415">
        <v>0.70833333333333337</v>
      </c>
      <c r="Q120" s="483"/>
      <c r="R120" s="127"/>
      <c r="S120" s="415">
        <v>0.91666666666666663</v>
      </c>
      <c r="T120" s="84">
        <f t="shared" si="40"/>
        <v>0.20833333333333326</v>
      </c>
      <c r="U120" s="415">
        <v>0.70833333333333337</v>
      </c>
      <c r="V120" s="483"/>
      <c r="W120" s="127"/>
      <c r="X120" s="415">
        <v>0.91666666666666663</v>
      </c>
      <c r="Y120" s="84">
        <f t="shared" si="38"/>
        <v>0.20833333333333326</v>
      </c>
      <c r="Z120" s="415">
        <v>0.70833333333333337</v>
      </c>
      <c r="AA120" s="483"/>
      <c r="AB120" s="127"/>
      <c r="AC120" s="415">
        <v>0.91666666666666663</v>
      </c>
      <c r="AD120" s="84">
        <f t="shared" si="36"/>
        <v>0.20833333333333326</v>
      </c>
      <c r="AE120" s="431" t="s">
        <v>15</v>
      </c>
      <c r="AF120" s="127" t="s">
        <v>15</v>
      </c>
      <c r="AG120" s="127" t="s">
        <v>15</v>
      </c>
      <c r="AH120" s="431" t="s">
        <v>15</v>
      </c>
      <c r="AI120" s="84" t="str">
        <f t="shared" si="43"/>
        <v/>
      </c>
      <c r="AJ120" s="431" t="s">
        <v>15</v>
      </c>
      <c r="AK120" s="127" t="s">
        <v>15</v>
      </c>
      <c r="AL120" s="127" t="s">
        <v>15</v>
      </c>
      <c r="AM120" s="431" t="s">
        <v>15</v>
      </c>
      <c r="AN120" s="84" t="str">
        <f t="shared" si="42"/>
        <v/>
      </c>
      <c r="AO120" s="28">
        <f t="shared" si="37"/>
        <v>1.0416666666666663</v>
      </c>
    </row>
    <row r="121" spans="1:72" ht="14.45" customHeight="1" x14ac:dyDescent="0.25">
      <c r="A121" s="487"/>
      <c r="B121" s="178" t="s">
        <v>663</v>
      </c>
      <c r="C121" s="482"/>
      <c r="D121" s="485" t="s">
        <v>654</v>
      </c>
      <c r="E121" s="440" t="s">
        <v>79</v>
      </c>
      <c r="F121" s="415">
        <v>0.29166666666666669</v>
      </c>
      <c r="G121" s="483"/>
      <c r="H121" s="127"/>
      <c r="I121" s="415">
        <v>0.5</v>
      </c>
      <c r="J121" s="84">
        <f t="shared" si="41"/>
        <v>0.20833333333333331</v>
      </c>
      <c r="K121" s="415">
        <v>0.29166666666666669</v>
      </c>
      <c r="L121" s="483"/>
      <c r="M121" s="127"/>
      <c r="N121" s="415">
        <v>0.5</v>
      </c>
      <c r="O121" s="84">
        <f t="shared" si="39"/>
        <v>0.20833333333333331</v>
      </c>
      <c r="P121" s="415">
        <v>0.29166666666666669</v>
      </c>
      <c r="Q121" s="483"/>
      <c r="R121" s="127"/>
      <c r="S121" s="415">
        <v>0.5</v>
      </c>
      <c r="T121" s="84">
        <f t="shared" si="40"/>
        <v>0.20833333333333331</v>
      </c>
      <c r="U121" s="415">
        <v>0.29166666666666669</v>
      </c>
      <c r="V121" s="483"/>
      <c r="W121" s="127"/>
      <c r="X121" s="415">
        <v>0.5</v>
      </c>
      <c r="Y121" s="84">
        <f t="shared" si="38"/>
        <v>0.20833333333333331</v>
      </c>
      <c r="Z121" s="415">
        <v>0.29166666666666669</v>
      </c>
      <c r="AA121" s="483"/>
      <c r="AB121" s="127"/>
      <c r="AC121" s="415">
        <v>0.5</v>
      </c>
      <c r="AD121" s="84">
        <f t="shared" si="36"/>
        <v>0.20833333333333331</v>
      </c>
      <c r="AE121" s="431" t="s">
        <v>15</v>
      </c>
      <c r="AF121" s="127" t="s">
        <v>15</v>
      </c>
      <c r="AG121" s="127" t="s">
        <v>15</v>
      </c>
      <c r="AH121" s="431" t="s">
        <v>15</v>
      </c>
      <c r="AI121" s="84" t="str">
        <f t="shared" si="43"/>
        <v/>
      </c>
      <c r="AJ121" s="431" t="s">
        <v>15</v>
      </c>
      <c r="AK121" s="127" t="s">
        <v>15</v>
      </c>
      <c r="AL121" s="127" t="s">
        <v>15</v>
      </c>
      <c r="AM121" s="431" t="s">
        <v>15</v>
      </c>
      <c r="AN121" s="84" t="str">
        <f t="shared" si="42"/>
        <v/>
      </c>
      <c r="AO121" s="28">
        <f t="shared" si="37"/>
        <v>1.0416666666666665</v>
      </c>
    </row>
    <row r="122" spans="1:72" ht="14.45" customHeight="1" x14ac:dyDescent="0.25">
      <c r="A122" s="487"/>
      <c r="B122" s="178" t="s">
        <v>664</v>
      </c>
      <c r="C122" s="482"/>
      <c r="D122" s="485" t="s">
        <v>654</v>
      </c>
      <c r="E122" s="440" t="s">
        <v>79</v>
      </c>
      <c r="F122" s="415">
        <v>0.29166666666666669</v>
      </c>
      <c r="G122" s="483"/>
      <c r="H122" s="127"/>
      <c r="I122" s="415">
        <v>0.5</v>
      </c>
      <c r="J122" s="84">
        <f t="shared" si="41"/>
        <v>0.20833333333333331</v>
      </c>
      <c r="K122" s="415">
        <v>0.29166666666666669</v>
      </c>
      <c r="L122" s="483"/>
      <c r="M122" s="127"/>
      <c r="N122" s="415">
        <v>0.5</v>
      </c>
      <c r="O122" s="84">
        <f t="shared" si="39"/>
        <v>0.20833333333333331</v>
      </c>
      <c r="P122" s="415">
        <v>0.29166666666666669</v>
      </c>
      <c r="Q122" s="483"/>
      <c r="R122" s="127"/>
      <c r="S122" s="415">
        <v>0.5</v>
      </c>
      <c r="T122" s="84">
        <f t="shared" si="40"/>
        <v>0.20833333333333331</v>
      </c>
      <c r="U122" s="415">
        <v>0.29166666666666669</v>
      </c>
      <c r="V122" s="483"/>
      <c r="W122" s="127"/>
      <c r="X122" s="415">
        <v>0.5</v>
      </c>
      <c r="Y122" s="84">
        <f t="shared" si="38"/>
        <v>0.20833333333333331</v>
      </c>
      <c r="Z122" s="415">
        <v>0.29166666666666669</v>
      </c>
      <c r="AA122" s="483"/>
      <c r="AB122" s="127"/>
      <c r="AC122" s="415">
        <v>0.5</v>
      </c>
      <c r="AD122" s="84">
        <f t="shared" si="36"/>
        <v>0.20833333333333331</v>
      </c>
      <c r="AE122" s="431" t="s">
        <v>15</v>
      </c>
      <c r="AF122" s="127" t="s">
        <v>15</v>
      </c>
      <c r="AG122" s="127" t="s">
        <v>15</v>
      </c>
      <c r="AH122" s="431" t="s">
        <v>15</v>
      </c>
      <c r="AI122" s="84" t="str">
        <f t="shared" si="43"/>
        <v/>
      </c>
      <c r="AJ122" s="431" t="s">
        <v>15</v>
      </c>
      <c r="AK122" s="127" t="s">
        <v>15</v>
      </c>
      <c r="AL122" s="127" t="s">
        <v>15</v>
      </c>
      <c r="AM122" s="431" t="s">
        <v>15</v>
      </c>
      <c r="AN122" s="84" t="str">
        <f t="shared" si="42"/>
        <v/>
      </c>
      <c r="AO122" s="28">
        <f t="shared" si="37"/>
        <v>1.0416666666666665</v>
      </c>
    </row>
    <row r="123" spans="1:72" ht="14.45" customHeight="1" x14ac:dyDescent="0.25">
      <c r="A123" s="487"/>
      <c r="B123" s="178" t="s">
        <v>665</v>
      </c>
      <c r="C123" s="482"/>
      <c r="D123" s="485" t="s">
        <v>654</v>
      </c>
      <c r="E123" s="440" t="s">
        <v>79</v>
      </c>
      <c r="F123" s="415">
        <v>0.29166666666666669</v>
      </c>
      <c r="G123" s="483"/>
      <c r="H123" s="127"/>
      <c r="I123" s="415">
        <v>0.5</v>
      </c>
      <c r="J123" s="84">
        <f t="shared" si="41"/>
        <v>0.20833333333333331</v>
      </c>
      <c r="K123" s="415">
        <v>0.29166666666666669</v>
      </c>
      <c r="L123" s="483"/>
      <c r="M123" s="127"/>
      <c r="N123" s="415">
        <v>0.5</v>
      </c>
      <c r="O123" s="84">
        <f t="shared" si="39"/>
        <v>0.20833333333333331</v>
      </c>
      <c r="P123" s="415">
        <v>0.29166666666666669</v>
      </c>
      <c r="Q123" s="483"/>
      <c r="R123" s="127"/>
      <c r="S123" s="415">
        <v>0.5</v>
      </c>
      <c r="T123" s="84">
        <f t="shared" si="40"/>
        <v>0.20833333333333331</v>
      </c>
      <c r="U123" s="415">
        <v>0.29166666666666669</v>
      </c>
      <c r="V123" s="483"/>
      <c r="W123" s="127"/>
      <c r="X123" s="415">
        <v>0.5</v>
      </c>
      <c r="Y123" s="84">
        <f t="shared" si="38"/>
        <v>0.20833333333333331</v>
      </c>
      <c r="Z123" s="415">
        <v>0.29166666666666669</v>
      </c>
      <c r="AA123" s="483"/>
      <c r="AB123" s="127"/>
      <c r="AC123" s="415">
        <v>0.5</v>
      </c>
      <c r="AD123" s="84">
        <f t="shared" si="36"/>
        <v>0.20833333333333331</v>
      </c>
      <c r="AE123" s="431" t="s">
        <v>15</v>
      </c>
      <c r="AF123" s="127" t="s">
        <v>15</v>
      </c>
      <c r="AG123" s="127" t="s">
        <v>15</v>
      </c>
      <c r="AH123" s="431" t="s">
        <v>15</v>
      </c>
      <c r="AI123" s="84" t="str">
        <f t="shared" si="43"/>
        <v/>
      </c>
      <c r="AJ123" s="431" t="s">
        <v>15</v>
      </c>
      <c r="AK123" s="127" t="s">
        <v>15</v>
      </c>
      <c r="AL123" s="127" t="s">
        <v>15</v>
      </c>
      <c r="AM123" s="431" t="s">
        <v>15</v>
      </c>
      <c r="AN123" s="84" t="str">
        <f t="shared" si="42"/>
        <v/>
      </c>
      <c r="AO123" s="28">
        <f t="shared" si="37"/>
        <v>1.0416666666666665</v>
      </c>
    </row>
    <row r="124" spans="1:72" ht="14.45" customHeight="1" x14ac:dyDescent="0.25">
      <c r="A124" s="487"/>
      <c r="B124" s="178" t="s">
        <v>666</v>
      </c>
      <c r="C124" s="482"/>
      <c r="D124" s="485" t="s">
        <v>654</v>
      </c>
      <c r="E124" s="440" t="s">
        <v>79</v>
      </c>
      <c r="F124" s="415">
        <v>0.29166666666666669</v>
      </c>
      <c r="G124" s="483"/>
      <c r="H124" s="127"/>
      <c r="I124" s="415">
        <v>0.5</v>
      </c>
      <c r="J124" s="84">
        <f t="shared" si="41"/>
        <v>0.20833333333333331</v>
      </c>
      <c r="K124" s="415">
        <v>0.29166666666666669</v>
      </c>
      <c r="L124" s="483"/>
      <c r="M124" s="127"/>
      <c r="N124" s="415">
        <v>0.5</v>
      </c>
      <c r="O124" s="84">
        <f t="shared" si="39"/>
        <v>0.20833333333333331</v>
      </c>
      <c r="P124" s="415">
        <v>0.29166666666666669</v>
      </c>
      <c r="Q124" s="483"/>
      <c r="R124" s="127"/>
      <c r="S124" s="415">
        <v>0.5</v>
      </c>
      <c r="T124" s="84">
        <f t="shared" si="40"/>
        <v>0.20833333333333331</v>
      </c>
      <c r="U124" s="415">
        <v>0.29166666666666669</v>
      </c>
      <c r="V124" s="483"/>
      <c r="W124" s="127"/>
      <c r="X124" s="415">
        <v>0.5</v>
      </c>
      <c r="Y124" s="84">
        <f t="shared" si="38"/>
        <v>0.20833333333333331</v>
      </c>
      <c r="Z124" s="415">
        <v>0.29166666666666669</v>
      </c>
      <c r="AA124" s="483"/>
      <c r="AB124" s="127"/>
      <c r="AC124" s="415">
        <v>0.5</v>
      </c>
      <c r="AD124" s="84">
        <f t="shared" si="36"/>
        <v>0.20833333333333331</v>
      </c>
      <c r="AE124" s="431" t="s">
        <v>15</v>
      </c>
      <c r="AF124" s="127" t="s">
        <v>15</v>
      </c>
      <c r="AG124" s="127" t="s">
        <v>15</v>
      </c>
      <c r="AH124" s="431" t="s">
        <v>15</v>
      </c>
      <c r="AI124" s="84" t="str">
        <f t="shared" si="43"/>
        <v/>
      </c>
      <c r="AJ124" s="431" t="s">
        <v>15</v>
      </c>
      <c r="AK124" s="127" t="s">
        <v>15</v>
      </c>
      <c r="AL124" s="127" t="s">
        <v>15</v>
      </c>
      <c r="AM124" s="431" t="s">
        <v>15</v>
      </c>
      <c r="AN124" s="84" t="str">
        <f t="shared" si="42"/>
        <v/>
      </c>
      <c r="AO124" s="28">
        <f t="shared" si="37"/>
        <v>1.0416666666666665</v>
      </c>
    </row>
    <row r="125" spans="1:72" ht="14.45" customHeight="1" x14ac:dyDescent="0.25">
      <c r="A125" s="487"/>
      <c r="B125" s="178" t="s">
        <v>667</v>
      </c>
      <c r="C125" s="482"/>
      <c r="D125" s="485" t="s">
        <v>654</v>
      </c>
      <c r="E125" s="440" t="s">
        <v>79</v>
      </c>
      <c r="F125" s="415">
        <v>0.29166666666666669</v>
      </c>
      <c r="G125" s="483"/>
      <c r="H125" s="127"/>
      <c r="I125" s="415">
        <v>0.5</v>
      </c>
      <c r="J125" s="84">
        <f t="shared" si="41"/>
        <v>0.20833333333333331</v>
      </c>
      <c r="K125" s="415">
        <v>0.29166666666666669</v>
      </c>
      <c r="L125" s="483"/>
      <c r="M125" s="127"/>
      <c r="N125" s="415">
        <v>0.5</v>
      </c>
      <c r="O125" s="84">
        <f t="shared" si="39"/>
        <v>0.20833333333333331</v>
      </c>
      <c r="P125" s="415">
        <v>0.29166666666666669</v>
      </c>
      <c r="Q125" s="483"/>
      <c r="R125" s="127"/>
      <c r="S125" s="415">
        <v>0.5</v>
      </c>
      <c r="T125" s="84">
        <f t="shared" si="40"/>
        <v>0.20833333333333331</v>
      </c>
      <c r="U125" s="415">
        <v>0.29166666666666669</v>
      </c>
      <c r="V125" s="483"/>
      <c r="W125" s="127"/>
      <c r="X125" s="415">
        <v>0.5</v>
      </c>
      <c r="Y125" s="84">
        <f t="shared" si="38"/>
        <v>0.20833333333333331</v>
      </c>
      <c r="Z125" s="415">
        <v>0.29166666666666669</v>
      </c>
      <c r="AA125" s="483"/>
      <c r="AB125" s="127"/>
      <c r="AC125" s="415">
        <v>0.5</v>
      </c>
      <c r="AD125" s="84">
        <f t="shared" si="36"/>
        <v>0.20833333333333331</v>
      </c>
      <c r="AE125" s="431" t="s">
        <v>15</v>
      </c>
      <c r="AF125" s="127" t="s">
        <v>15</v>
      </c>
      <c r="AG125" s="127" t="s">
        <v>15</v>
      </c>
      <c r="AH125" s="431" t="s">
        <v>15</v>
      </c>
      <c r="AI125" s="84" t="str">
        <f t="shared" si="43"/>
        <v/>
      </c>
      <c r="AJ125" s="431" t="s">
        <v>15</v>
      </c>
      <c r="AK125" s="127" t="s">
        <v>15</v>
      </c>
      <c r="AL125" s="127" t="s">
        <v>15</v>
      </c>
      <c r="AM125" s="431" t="s">
        <v>15</v>
      </c>
      <c r="AN125" s="84" t="str">
        <f t="shared" si="42"/>
        <v/>
      </c>
      <c r="AO125" s="28">
        <f t="shared" si="37"/>
        <v>1.0416666666666665</v>
      </c>
    </row>
    <row r="126" spans="1:72" ht="14.45" customHeight="1" x14ac:dyDescent="0.25">
      <c r="A126" s="402"/>
      <c r="B126" s="178" t="s">
        <v>668</v>
      </c>
      <c r="C126" s="482"/>
      <c r="D126" s="485" t="s">
        <v>654</v>
      </c>
      <c r="E126" s="164" t="s">
        <v>347</v>
      </c>
      <c r="F126" s="415">
        <v>0.70833333333333337</v>
      </c>
      <c r="G126" s="483"/>
      <c r="H126" s="127"/>
      <c r="I126" s="415">
        <v>0.91666666666666663</v>
      </c>
      <c r="J126" s="84">
        <f t="shared" si="41"/>
        <v>0.20833333333333326</v>
      </c>
      <c r="K126" s="415">
        <v>0.70833333333333337</v>
      </c>
      <c r="L126" s="483"/>
      <c r="M126" s="127"/>
      <c r="N126" s="415">
        <v>0.91666666666666663</v>
      </c>
      <c r="O126" s="84">
        <f t="shared" si="39"/>
        <v>0.20833333333333326</v>
      </c>
      <c r="P126" s="415">
        <v>0.70833333333333337</v>
      </c>
      <c r="Q126" s="483"/>
      <c r="R126" s="127"/>
      <c r="S126" s="415">
        <v>0.91666666666666663</v>
      </c>
      <c r="T126" s="84">
        <f t="shared" si="40"/>
        <v>0.20833333333333326</v>
      </c>
      <c r="U126" s="415">
        <v>0.70833333333333337</v>
      </c>
      <c r="V126" s="483"/>
      <c r="W126" s="127"/>
      <c r="X126" s="415">
        <v>0.91666666666666663</v>
      </c>
      <c r="Y126" s="84">
        <f t="shared" si="38"/>
        <v>0.20833333333333326</v>
      </c>
      <c r="Z126" s="415">
        <v>0.70833333333333337</v>
      </c>
      <c r="AA126" s="483"/>
      <c r="AB126" s="127"/>
      <c r="AC126" s="415">
        <v>0.91666666666666663</v>
      </c>
      <c r="AD126" s="84">
        <f t="shared" si="36"/>
        <v>0.20833333333333326</v>
      </c>
      <c r="AE126" s="431" t="s">
        <v>15</v>
      </c>
      <c r="AF126" s="127" t="s">
        <v>15</v>
      </c>
      <c r="AG126" s="127" t="s">
        <v>15</v>
      </c>
      <c r="AH126" s="431" t="s">
        <v>15</v>
      </c>
      <c r="AI126" s="84" t="str">
        <f t="shared" si="43"/>
        <v/>
      </c>
      <c r="AJ126" s="431" t="s">
        <v>15</v>
      </c>
      <c r="AK126" s="127" t="s">
        <v>15</v>
      </c>
      <c r="AL126" s="127" t="s">
        <v>15</v>
      </c>
      <c r="AM126" s="431" t="s">
        <v>15</v>
      </c>
      <c r="AN126" s="84" t="str">
        <f t="shared" si="42"/>
        <v/>
      </c>
      <c r="AO126" s="28">
        <f t="shared" si="37"/>
        <v>1.0416666666666663</v>
      </c>
      <c r="AQ126" s="405"/>
    </row>
    <row r="127" spans="1:72" ht="14.45" customHeight="1" x14ac:dyDescent="0.25">
      <c r="A127" s="409" t="s">
        <v>605</v>
      </c>
      <c r="B127" s="178" t="s">
        <v>669</v>
      </c>
      <c r="C127" s="482"/>
      <c r="D127" s="485" t="s">
        <v>654</v>
      </c>
      <c r="E127" s="164" t="s">
        <v>347</v>
      </c>
      <c r="F127" s="415">
        <v>0.70833333333333337</v>
      </c>
      <c r="G127" s="483"/>
      <c r="H127" s="127"/>
      <c r="I127" s="415">
        <v>0.91666666666666663</v>
      </c>
      <c r="J127" s="84">
        <f t="shared" si="41"/>
        <v>0.20833333333333326</v>
      </c>
      <c r="K127" s="415">
        <v>0.70833333333333337</v>
      </c>
      <c r="L127" s="483"/>
      <c r="M127" s="127"/>
      <c r="N127" s="415">
        <v>0.91666666666666663</v>
      </c>
      <c r="O127" s="84">
        <f t="shared" si="39"/>
        <v>0.20833333333333326</v>
      </c>
      <c r="P127" s="415">
        <v>0.70833333333333337</v>
      </c>
      <c r="Q127" s="483"/>
      <c r="R127" s="127"/>
      <c r="S127" s="415">
        <v>0.91666666666666663</v>
      </c>
      <c r="T127" s="84">
        <f t="shared" si="40"/>
        <v>0.20833333333333326</v>
      </c>
      <c r="U127" s="415">
        <v>0.70833333333333337</v>
      </c>
      <c r="V127" s="483"/>
      <c r="W127" s="127"/>
      <c r="X127" s="415">
        <v>0.91666666666666663</v>
      </c>
      <c r="Y127" s="84">
        <f t="shared" si="38"/>
        <v>0.20833333333333326</v>
      </c>
      <c r="Z127" s="415">
        <v>0.70833333333333337</v>
      </c>
      <c r="AA127" s="483"/>
      <c r="AB127" s="127"/>
      <c r="AC127" s="415">
        <v>0.91666666666666663</v>
      </c>
      <c r="AD127" s="84">
        <f t="shared" si="36"/>
        <v>0.20833333333333326</v>
      </c>
      <c r="AE127" s="431" t="s">
        <v>15</v>
      </c>
      <c r="AF127" s="127" t="s">
        <v>15</v>
      </c>
      <c r="AG127" s="127" t="s">
        <v>15</v>
      </c>
      <c r="AH127" s="431" t="s">
        <v>15</v>
      </c>
      <c r="AI127" s="84" t="str">
        <f t="shared" si="43"/>
        <v/>
      </c>
      <c r="AJ127" s="431" t="s">
        <v>15</v>
      </c>
      <c r="AK127" s="127" t="s">
        <v>15</v>
      </c>
      <c r="AL127" s="127" t="s">
        <v>15</v>
      </c>
      <c r="AM127" s="431" t="s">
        <v>15</v>
      </c>
      <c r="AN127" s="84" t="str">
        <f t="shared" si="42"/>
        <v/>
      </c>
      <c r="AO127" s="28">
        <f t="shared" si="37"/>
        <v>1.0416666666666663</v>
      </c>
      <c r="AQ127" s="403"/>
    </row>
    <row r="128" spans="1:72" s="1" customFormat="1" ht="12.75" customHeight="1" x14ac:dyDescent="0.25">
      <c r="A128" s="411" t="s">
        <v>284</v>
      </c>
      <c r="B128" s="178" t="s">
        <v>670</v>
      </c>
      <c r="C128" s="482"/>
      <c r="D128" s="485" t="s">
        <v>654</v>
      </c>
      <c r="E128" s="164" t="s">
        <v>347</v>
      </c>
      <c r="F128" s="415">
        <v>0.70833333333333337</v>
      </c>
      <c r="G128" s="483"/>
      <c r="H128" s="127"/>
      <c r="I128" s="415">
        <v>0.91666666666666663</v>
      </c>
      <c r="J128" s="84">
        <f t="shared" si="41"/>
        <v>0.20833333333333326</v>
      </c>
      <c r="K128" s="415">
        <v>0.70833333333333337</v>
      </c>
      <c r="L128" s="483"/>
      <c r="M128" s="127"/>
      <c r="N128" s="415">
        <v>0.91666666666666663</v>
      </c>
      <c r="O128" s="84">
        <f t="shared" si="39"/>
        <v>0.20833333333333326</v>
      </c>
      <c r="P128" s="415">
        <v>0.70833333333333337</v>
      </c>
      <c r="Q128" s="483"/>
      <c r="R128" s="127"/>
      <c r="S128" s="415">
        <v>0.91666666666666663</v>
      </c>
      <c r="T128" s="84">
        <f t="shared" si="40"/>
        <v>0.20833333333333326</v>
      </c>
      <c r="U128" s="415">
        <v>0.70833333333333337</v>
      </c>
      <c r="V128" s="483"/>
      <c r="W128" s="127"/>
      <c r="X128" s="415">
        <v>0.91666666666666663</v>
      </c>
      <c r="Y128" s="84">
        <f t="shared" si="38"/>
        <v>0.20833333333333326</v>
      </c>
      <c r="Z128" s="415">
        <v>0.70833333333333337</v>
      </c>
      <c r="AA128" s="483"/>
      <c r="AB128" s="127"/>
      <c r="AC128" s="415">
        <v>0.91666666666666663</v>
      </c>
      <c r="AD128" s="84">
        <f t="shared" si="36"/>
        <v>0.20833333333333326</v>
      </c>
      <c r="AE128" s="431" t="s">
        <v>15</v>
      </c>
      <c r="AF128" s="127" t="s">
        <v>15</v>
      </c>
      <c r="AG128" s="127" t="s">
        <v>15</v>
      </c>
      <c r="AH128" s="431" t="s">
        <v>15</v>
      </c>
      <c r="AI128" s="84" t="str">
        <f t="shared" si="43"/>
        <v/>
      </c>
      <c r="AJ128" s="431" t="s">
        <v>15</v>
      </c>
      <c r="AK128" s="127" t="s">
        <v>15</v>
      </c>
      <c r="AL128" s="127" t="s">
        <v>15</v>
      </c>
      <c r="AM128" s="431" t="s">
        <v>15</v>
      </c>
      <c r="AN128" s="84" t="str">
        <f t="shared" si="42"/>
        <v/>
      </c>
      <c r="AO128" s="28">
        <f t="shared" si="37"/>
        <v>1.0416666666666663</v>
      </c>
      <c r="AP128" s="385"/>
      <c r="AQ128" s="403"/>
      <c r="AR128" s="385"/>
      <c r="AS128" s="408"/>
      <c r="AT128" s="408"/>
      <c r="AU128" s="408"/>
      <c r="AV128" s="408"/>
      <c r="AW128" s="408"/>
      <c r="AX128" s="408"/>
      <c r="AY128" s="408"/>
      <c r="AZ128" s="408"/>
      <c r="BA128" s="408"/>
      <c r="BB128" s="408"/>
      <c r="BC128" s="408"/>
      <c r="BD128" s="408"/>
      <c r="BE128" s="408"/>
      <c r="BF128" s="408"/>
      <c r="BG128" s="408"/>
      <c r="BH128" s="408"/>
      <c r="BI128" s="408"/>
      <c r="BJ128" s="408"/>
      <c r="BK128" s="408"/>
      <c r="BL128" s="408"/>
      <c r="BM128" s="408"/>
      <c r="BN128" s="408"/>
      <c r="BO128" s="408"/>
      <c r="BP128" s="408"/>
      <c r="BQ128" s="408"/>
      <c r="BR128" s="408"/>
      <c r="BS128" s="408"/>
      <c r="BT128" s="408"/>
    </row>
    <row r="129" spans="1:72" ht="14.45" customHeight="1" x14ac:dyDescent="0.25">
      <c r="A129" s="402" t="s">
        <v>274</v>
      </c>
      <c r="B129" s="178" t="s">
        <v>671</v>
      </c>
      <c r="C129" s="482"/>
      <c r="D129" s="485" t="s">
        <v>654</v>
      </c>
      <c r="E129" s="164" t="s">
        <v>347</v>
      </c>
      <c r="F129" s="415">
        <v>0.70833333333333337</v>
      </c>
      <c r="G129" s="483"/>
      <c r="H129" s="127"/>
      <c r="I129" s="415">
        <v>0.91666666666666663</v>
      </c>
      <c r="J129" s="84">
        <f t="shared" si="41"/>
        <v>0.20833333333333326</v>
      </c>
      <c r="K129" s="415">
        <v>0.70833333333333337</v>
      </c>
      <c r="L129" s="483"/>
      <c r="M129" s="127"/>
      <c r="N129" s="415">
        <v>0.91666666666666663</v>
      </c>
      <c r="O129" s="84">
        <f t="shared" si="39"/>
        <v>0.20833333333333326</v>
      </c>
      <c r="P129" s="415">
        <v>0.70833333333333337</v>
      </c>
      <c r="Q129" s="483"/>
      <c r="R129" s="127"/>
      <c r="S129" s="415">
        <v>0.91666666666666663</v>
      </c>
      <c r="T129" s="84">
        <f t="shared" si="40"/>
        <v>0.20833333333333326</v>
      </c>
      <c r="U129" s="415">
        <v>0.70833333333333337</v>
      </c>
      <c r="V129" s="483"/>
      <c r="W129" s="127"/>
      <c r="X129" s="415">
        <v>0.91666666666666663</v>
      </c>
      <c r="Y129" s="84">
        <f t="shared" si="38"/>
        <v>0.20833333333333326</v>
      </c>
      <c r="Z129" s="415">
        <v>0.70833333333333337</v>
      </c>
      <c r="AA129" s="483"/>
      <c r="AB129" s="127"/>
      <c r="AC129" s="415">
        <v>0.91666666666666663</v>
      </c>
      <c r="AD129" s="84">
        <f t="shared" si="36"/>
        <v>0.20833333333333326</v>
      </c>
      <c r="AE129" s="431" t="s">
        <v>15</v>
      </c>
      <c r="AF129" s="127" t="s">
        <v>15</v>
      </c>
      <c r="AG129" s="127" t="s">
        <v>15</v>
      </c>
      <c r="AH129" s="431" t="s">
        <v>15</v>
      </c>
      <c r="AI129" s="84" t="str">
        <f t="shared" si="43"/>
        <v/>
      </c>
      <c r="AJ129" s="431" t="s">
        <v>15</v>
      </c>
      <c r="AK129" s="127" t="s">
        <v>15</v>
      </c>
      <c r="AL129" s="127" t="s">
        <v>15</v>
      </c>
      <c r="AM129" s="431" t="s">
        <v>15</v>
      </c>
      <c r="AN129" s="84" t="str">
        <f t="shared" si="42"/>
        <v/>
      </c>
      <c r="AO129" s="28">
        <f t="shared" si="37"/>
        <v>1.0416666666666663</v>
      </c>
      <c r="AQ129" s="403"/>
    </row>
    <row r="130" spans="1:72" ht="14.45" customHeight="1" x14ac:dyDescent="0.25">
      <c r="A130" s="402" t="s">
        <v>276</v>
      </c>
      <c r="B130" s="178" t="s">
        <v>672</v>
      </c>
      <c r="C130" s="482"/>
      <c r="D130" s="485" t="s">
        <v>654</v>
      </c>
      <c r="E130" s="164" t="s">
        <v>347</v>
      </c>
      <c r="F130" s="415">
        <v>0.70833333333333337</v>
      </c>
      <c r="G130" s="483"/>
      <c r="H130" s="127"/>
      <c r="I130" s="415">
        <v>0.91666666666666663</v>
      </c>
      <c r="J130" s="84">
        <f t="shared" si="41"/>
        <v>0.20833333333333326</v>
      </c>
      <c r="K130" s="415">
        <v>0.70833333333333337</v>
      </c>
      <c r="L130" s="483"/>
      <c r="M130" s="127"/>
      <c r="N130" s="415">
        <v>0.91666666666666663</v>
      </c>
      <c r="O130" s="84">
        <f t="shared" si="39"/>
        <v>0.20833333333333326</v>
      </c>
      <c r="P130" s="415">
        <v>0.70833333333333337</v>
      </c>
      <c r="Q130" s="483"/>
      <c r="R130" s="127"/>
      <c r="S130" s="415">
        <v>0.91666666666666663</v>
      </c>
      <c r="T130" s="84">
        <f t="shared" si="40"/>
        <v>0.20833333333333326</v>
      </c>
      <c r="U130" s="415">
        <v>0.70833333333333337</v>
      </c>
      <c r="V130" s="483"/>
      <c r="W130" s="127"/>
      <c r="X130" s="415">
        <v>0.91666666666666663</v>
      </c>
      <c r="Y130" s="84">
        <f t="shared" si="38"/>
        <v>0.20833333333333326</v>
      </c>
      <c r="Z130" s="415">
        <v>0.70833333333333337</v>
      </c>
      <c r="AA130" s="483"/>
      <c r="AB130" s="127"/>
      <c r="AC130" s="415">
        <v>0.91666666666666663</v>
      </c>
      <c r="AD130" s="84">
        <f t="shared" si="36"/>
        <v>0.20833333333333326</v>
      </c>
      <c r="AE130" s="431" t="s">
        <v>15</v>
      </c>
      <c r="AF130" s="127" t="s">
        <v>15</v>
      </c>
      <c r="AG130" s="127" t="s">
        <v>15</v>
      </c>
      <c r="AH130" s="431" t="s">
        <v>15</v>
      </c>
      <c r="AI130" s="84" t="str">
        <f t="shared" si="43"/>
        <v/>
      </c>
      <c r="AJ130" s="431" t="s">
        <v>15</v>
      </c>
      <c r="AK130" s="127" t="s">
        <v>15</v>
      </c>
      <c r="AL130" s="127" t="s">
        <v>15</v>
      </c>
      <c r="AM130" s="431" t="s">
        <v>15</v>
      </c>
      <c r="AN130" s="84" t="str">
        <f t="shared" si="42"/>
        <v/>
      </c>
      <c r="AO130" s="28">
        <f t="shared" si="37"/>
        <v>1.0416666666666663</v>
      </c>
      <c r="AQ130" s="405"/>
    </row>
    <row r="131" spans="1:72" ht="14.45" customHeight="1" x14ac:dyDescent="0.25">
      <c r="A131" s="407"/>
      <c r="B131" s="178" t="s">
        <v>673</v>
      </c>
      <c r="C131" s="482"/>
      <c r="D131" s="485" t="s">
        <v>654</v>
      </c>
      <c r="E131" s="164" t="s">
        <v>347</v>
      </c>
      <c r="F131" s="415">
        <v>0.70833333333333337</v>
      </c>
      <c r="G131" s="483"/>
      <c r="H131" s="127"/>
      <c r="I131" s="415">
        <v>0.91666666666666663</v>
      </c>
      <c r="J131" s="84">
        <f t="shared" si="41"/>
        <v>0.20833333333333326</v>
      </c>
      <c r="K131" s="415">
        <v>0.70833333333333337</v>
      </c>
      <c r="L131" s="483"/>
      <c r="M131" s="127"/>
      <c r="N131" s="415">
        <v>0.91666666666666663</v>
      </c>
      <c r="O131" s="84">
        <f t="shared" si="39"/>
        <v>0.20833333333333326</v>
      </c>
      <c r="P131" s="415">
        <v>0.70833333333333337</v>
      </c>
      <c r="Q131" s="483"/>
      <c r="R131" s="127"/>
      <c r="S131" s="415">
        <v>0.91666666666666663</v>
      </c>
      <c r="T131" s="84">
        <f t="shared" si="40"/>
        <v>0.20833333333333326</v>
      </c>
      <c r="U131" s="415">
        <v>0.70833333333333337</v>
      </c>
      <c r="V131" s="483"/>
      <c r="W131" s="127"/>
      <c r="X131" s="415">
        <v>0.91666666666666663</v>
      </c>
      <c r="Y131" s="84">
        <f t="shared" si="38"/>
        <v>0.20833333333333326</v>
      </c>
      <c r="Z131" s="415">
        <v>0.70833333333333337</v>
      </c>
      <c r="AA131" s="483"/>
      <c r="AB131" s="127"/>
      <c r="AC131" s="415">
        <v>0.91666666666666663</v>
      </c>
      <c r="AD131" s="84">
        <f t="shared" ref="AD131:AD151" si="44">IFERROR(MOD(AC131-Z131,1)-MOD(AB131-AA131,1),"")</f>
        <v>0.20833333333333326</v>
      </c>
      <c r="AE131" s="431" t="s">
        <v>15</v>
      </c>
      <c r="AF131" s="127" t="s">
        <v>15</v>
      </c>
      <c r="AG131" s="127" t="s">
        <v>15</v>
      </c>
      <c r="AH131" s="431" t="s">
        <v>15</v>
      </c>
      <c r="AI131" s="84" t="str">
        <f t="shared" si="43"/>
        <v/>
      </c>
      <c r="AJ131" s="431" t="s">
        <v>15</v>
      </c>
      <c r="AK131" s="127" t="s">
        <v>15</v>
      </c>
      <c r="AL131" s="127" t="s">
        <v>15</v>
      </c>
      <c r="AM131" s="431" t="s">
        <v>15</v>
      </c>
      <c r="AN131" s="84" t="str">
        <f t="shared" si="42"/>
        <v/>
      </c>
      <c r="AO131" s="28">
        <f t="shared" si="37"/>
        <v>1.0416666666666663</v>
      </c>
      <c r="AQ131" s="403"/>
      <c r="AS131" s="414"/>
      <c r="AW131" s="404"/>
    </row>
    <row r="132" spans="1:72" ht="14.45" customHeight="1" x14ac:dyDescent="0.25">
      <c r="A132" s="290" t="s">
        <v>263</v>
      </c>
      <c r="B132" s="178" t="s">
        <v>674</v>
      </c>
      <c r="C132" s="482"/>
      <c r="D132" s="485" t="s">
        <v>654</v>
      </c>
      <c r="E132" s="164" t="s">
        <v>347</v>
      </c>
      <c r="F132" s="415">
        <v>0.70833333333333337</v>
      </c>
      <c r="G132" s="483"/>
      <c r="H132" s="127"/>
      <c r="I132" s="415">
        <v>0.91666666666666663</v>
      </c>
      <c r="J132" s="84">
        <f t="shared" si="41"/>
        <v>0.20833333333333326</v>
      </c>
      <c r="K132" s="415">
        <v>0.70833333333333337</v>
      </c>
      <c r="L132" s="483"/>
      <c r="M132" s="127"/>
      <c r="N132" s="415">
        <v>0.91666666666666663</v>
      </c>
      <c r="O132" s="84">
        <f t="shared" si="39"/>
        <v>0.20833333333333326</v>
      </c>
      <c r="P132" s="415">
        <v>0.70833333333333337</v>
      </c>
      <c r="Q132" s="483"/>
      <c r="R132" s="127"/>
      <c r="S132" s="415">
        <v>0.91666666666666663</v>
      </c>
      <c r="T132" s="84">
        <f t="shared" si="40"/>
        <v>0.20833333333333326</v>
      </c>
      <c r="U132" s="415">
        <v>0.70833333333333337</v>
      </c>
      <c r="V132" s="483"/>
      <c r="W132" s="127"/>
      <c r="X132" s="415">
        <v>0.91666666666666663</v>
      </c>
      <c r="Y132" s="84">
        <f t="shared" si="38"/>
        <v>0.20833333333333326</v>
      </c>
      <c r="Z132" s="415">
        <v>0.70833333333333337</v>
      </c>
      <c r="AA132" s="483"/>
      <c r="AB132" s="127"/>
      <c r="AC132" s="415">
        <v>0.91666666666666663</v>
      </c>
      <c r="AD132" s="84">
        <f t="shared" si="44"/>
        <v>0.20833333333333326</v>
      </c>
      <c r="AE132" s="431" t="s">
        <v>15</v>
      </c>
      <c r="AF132" s="127" t="s">
        <v>15</v>
      </c>
      <c r="AG132" s="127" t="s">
        <v>15</v>
      </c>
      <c r="AH132" s="431" t="s">
        <v>15</v>
      </c>
      <c r="AI132" s="84" t="str">
        <f t="shared" si="43"/>
        <v/>
      </c>
      <c r="AJ132" s="431" t="s">
        <v>15</v>
      </c>
      <c r="AK132" s="127" t="s">
        <v>15</v>
      </c>
      <c r="AL132" s="127" t="s">
        <v>15</v>
      </c>
      <c r="AM132" s="431" t="s">
        <v>15</v>
      </c>
      <c r="AN132" s="84" t="str">
        <f t="shared" si="42"/>
        <v/>
      </c>
      <c r="AO132" s="28">
        <f t="shared" ref="AO132:AO163" si="45">SUM(J132,O132,T132,Y132,AD132,AI132,AN132)</f>
        <v>1.0416666666666663</v>
      </c>
      <c r="AP132" s="1"/>
      <c r="AQ132" s="302"/>
      <c r="AR132" s="29"/>
      <c r="AS132" s="29"/>
      <c r="AT132" s="29"/>
      <c r="AU132" s="29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</row>
    <row r="133" spans="1:72" ht="14.45" customHeight="1" x14ac:dyDescent="0.25">
      <c r="A133" s="402" t="s">
        <v>279</v>
      </c>
      <c r="B133" s="178" t="s">
        <v>675</v>
      </c>
      <c r="C133" s="482"/>
      <c r="D133" s="485" t="s">
        <v>654</v>
      </c>
      <c r="E133" s="164" t="s">
        <v>347</v>
      </c>
      <c r="F133" s="415">
        <v>0.70833333333333337</v>
      </c>
      <c r="G133" s="483"/>
      <c r="H133" s="127"/>
      <c r="I133" s="415">
        <v>0.91666666666666663</v>
      </c>
      <c r="J133" s="84">
        <f t="shared" si="41"/>
        <v>0.20833333333333326</v>
      </c>
      <c r="K133" s="415">
        <v>0.70833333333333337</v>
      </c>
      <c r="L133" s="483"/>
      <c r="M133" s="127"/>
      <c r="N133" s="415">
        <v>0.91666666666666663</v>
      </c>
      <c r="O133" s="84">
        <f t="shared" si="39"/>
        <v>0.20833333333333326</v>
      </c>
      <c r="P133" s="415">
        <v>0.70833333333333337</v>
      </c>
      <c r="Q133" s="483"/>
      <c r="R133" s="127"/>
      <c r="S133" s="415">
        <v>0.91666666666666663</v>
      </c>
      <c r="T133" s="84">
        <f t="shared" si="40"/>
        <v>0.20833333333333326</v>
      </c>
      <c r="U133" s="415">
        <v>0.70833333333333337</v>
      </c>
      <c r="V133" s="483"/>
      <c r="W133" s="127"/>
      <c r="X133" s="415">
        <v>0.91666666666666663</v>
      </c>
      <c r="Y133" s="84">
        <f t="shared" si="38"/>
        <v>0.20833333333333326</v>
      </c>
      <c r="Z133" s="415">
        <v>0.70833333333333337</v>
      </c>
      <c r="AA133" s="483"/>
      <c r="AB133" s="127"/>
      <c r="AC133" s="415">
        <v>0.91666666666666663</v>
      </c>
      <c r="AD133" s="84">
        <f t="shared" si="44"/>
        <v>0.20833333333333326</v>
      </c>
      <c r="AE133" s="431" t="s">
        <v>15</v>
      </c>
      <c r="AF133" s="127" t="s">
        <v>15</v>
      </c>
      <c r="AG133" s="127" t="s">
        <v>15</v>
      </c>
      <c r="AH133" s="431" t="s">
        <v>15</v>
      </c>
      <c r="AI133" s="84" t="str">
        <f t="shared" si="43"/>
        <v/>
      </c>
      <c r="AJ133" s="431" t="s">
        <v>15</v>
      </c>
      <c r="AK133" s="127" t="s">
        <v>15</v>
      </c>
      <c r="AL133" s="127" t="s">
        <v>15</v>
      </c>
      <c r="AM133" s="431" t="s">
        <v>15</v>
      </c>
      <c r="AN133" s="84" t="str">
        <f t="shared" si="42"/>
        <v/>
      </c>
      <c r="AO133" s="28">
        <f t="shared" si="45"/>
        <v>1.0416666666666663</v>
      </c>
      <c r="AQ133" s="405"/>
    </row>
    <row r="134" spans="1:72" s="1" customFormat="1" ht="14.45" customHeight="1" x14ac:dyDescent="0.25">
      <c r="A134" s="402" t="s">
        <v>606</v>
      </c>
      <c r="B134" s="178" t="s">
        <v>676</v>
      </c>
      <c r="C134" s="486"/>
      <c r="D134" s="485" t="s">
        <v>654</v>
      </c>
      <c r="E134" s="164" t="s">
        <v>347</v>
      </c>
      <c r="F134" s="415">
        <v>0.70833333333333337</v>
      </c>
      <c r="G134" s="483"/>
      <c r="H134" s="127"/>
      <c r="I134" s="415">
        <v>0.91666666666666663</v>
      </c>
      <c r="J134" s="84">
        <f t="shared" si="41"/>
        <v>0.20833333333333326</v>
      </c>
      <c r="K134" s="415">
        <v>0.70833333333333337</v>
      </c>
      <c r="L134" s="483"/>
      <c r="M134" s="127"/>
      <c r="N134" s="415">
        <v>0.91666666666666663</v>
      </c>
      <c r="O134" s="84">
        <f t="shared" si="39"/>
        <v>0.20833333333333326</v>
      </c>
      <c r="P134" s="415">
        <v>0.70833333333333337</v>
      </c>
      <c r="Q134" s="483"/>
      <c r="R134" s="127"/>
      <c r="S134" s="415">
        <v>0.91666666666666663</v>
      </c>
      <c r="T134" s="84">
        <f t="shared" si="40"/>
        <v>0.20833333333333326</v>
      </c>
      <c r="U134" s="415">
        <v>0.70833333333333337</v>
      </c>
      <c r="V134" s="483"/>
      <c r="W134" s="127"/>
      <c r="X134" s="415">
        <v>0.91666666666666663</v>
      </c>
      <c r="Y134" s="84">
        <f t="shared" si="38"/>
        <v>0.20833333333333326</v>
      </c>
      <c r="Z134" s="415">
        <v>0.70833333333333337</v>
      </c>
      <c r="AA134" s="483"/>
      <c r="AB134" s="127"/>
      <c r="AC134" s="415">
        <v>0.91666666666666663</v>
      </c>
      <c r="AD134" s="84">
        <f t="shared" si="44"/>
        <v>0.20833333333333326</v>
      </c>
      <c r="AE134" s="431" t="s">
        <v>15</v>
      </c>
      <c r="AF134" s="127" t="s">
        <v>15</v>
      </c>
      <c r="AG134" s="127" t="s">
        <v>15</v>
      </c>
      <c r="AH134" s="431" t="s">
        <v>15</v>
      </c>
      <c r="AI134" s="84" t="str">
        <f t="shared" si="43"/>
        <v/>
      </c>
      <c r="AJ134" s="431" t="s">
        <v>15</v>
      </c>
      <c r="AK134" s="127" t="s">
        <v>15</v>
      </c>
      <c r="AL134" s="127" t="s">
        <v>15</v>
      </c>
      <c r="AM134" s="431" t="s">
        <v>15</v>
      </c>
      <c r="AN134" s="84" t="str">
        <f t="shared" si="42"/>
        <v/>
      </c>
      <c r="AO134" s="28">
        <f t="shared" si="45"/>
        <v>1.0416666666666663</v>
      </c>
      <c r="AP134" s="385"/>
      <c r="AQ134" s="403"/>
      <c r="AR134" s="385"/>
      <c r="AS134" s="385"/>
      <c r="AT134" s="385"/>
      <c r="AU134" s="385"/>
      <c r="AV134" s="385"/>
      <c r="AW134" s="385"/>
      <c r="AX134" s="385"/>
      <c r="AY134" s="385"/>
      <c r="AZ134" s="385"/>
      <c r="BA134" s="385"/>
      <c r="BB134" s="385"/>
      <c r="BC134" s="385"/>
      <c r="BD134" s="385"/>
      <c r="BE134" s="385"/>
      <c r="BF134" s="385"/>
      <c r="BG134" s="385"/>
      <c r="BH134" s="385"/>
      <c r="BI134" s="385"/>
      <c r="BJ134" s="385"/>
      <c r="BK134" s="385"/>
      <c r="BL134" s="385"/>
      <c r="BM134" s="385"/>
      <c r="BN134" s="385"/>
      <c r="BO134" s="385"/>
      <c r="BP134" s="385"/>
      <c r="BQ134" s="385"/>
      <c r="BR134" s="385"/>
      <c r="BS134" s="385"/>
      <c r="BT134" s="385"/>
    </row>
    <row r="135" spans="1:72" s="1" customFormat="1" ht="14.45" customHeight="1" x14ac:dyDescent="0.25">
      <c r="A135" s="407" t="s">
        <v>263</v>
      </c>
      <c r="B135" s="178" t="s">
        <v>677</v>
      </c>
      <c r="C135" s="486"/>
      <c r="D135" s="485" t="s">
        <v>654</v>
      </c>
      <c r="E135" s="164" t="s">
        <v>347</v>
      </c>
      <c r="F135" s="415">
        <v>0.70833333333333337</v>
      </c>
      <c r="G135" s="483"/>
      <c r="H135" s="127"/>
      <c r="I135" s="415">
        <v>0.91666666666666663</v>
      </c>
      <c r="J135" s="84">
        <f t="shared" si="41"/>
        <v>0.20833333333333326</v>
      </c>
      <c r="K135" s="415">
        <v>0.70833333333333337</v>
      </c>
      <c r="L135" s="483"/>
      <c r="M135" s="127"/>
      <c r="N135" s="415">
        <v>0.91666666666666663</v>
      </c>
      <c r="O135" s="84">
        <f t="shared" si="39"/>
        <v>0.20833333333333326</v>
      </c>
      <c r="P135" s="415">
        <v>0.70833333333333337</v>
      </c>
      <c r="Q135" s="483"/>
      <c r="R135" s="127"/>
      <c r="S135" s="415">
        <v>0.91666666666666663</v>
      </c>
      <c r="T135" s="84">
        <f t="shared" si="40"/>
        <v>0.20833333333333326</v>
      </c>
      <c r="U135" s="415">
        <v>0.70833333333333337</v>
      </c>
      <c r="V135" s="483"/>
      <c r="W135" s="127"/>
      <c r="X135" s="415">
        <v>0.91666666666666663</v>
      </c>
      <c r="Y135" s="84">
        <f t="shared" si="38"/>
        <v>0.20833333333333326</v>
      </c>
      <c r="Z135" s="415">
        <v>0.70833333333333337</v>
      </c>
      <c r="AA135" s="483"/>
      <c r="AB135" s="127"/>
      <c r="AC135" s="415">
        <v>0.91666666666666663</v>
      </c>
      <c r="AD135" s="84">
        <f t="shared" si="44"/>
        <v>0.20833333333333326</v>
      </c>
      <c r="AE135" s="431" t="s">
        <v>15</v>
      </c>
      <c r="AF135" s="127" t="s">
        <v>15</v>
      </c>
      <c r="AG135" s="127" t="s">
        <v>15</v>
      </c>
      <c r="AH135" s="431" t="s">
        <v>15</v>
      </c>
      <c r="AI135" s="84" t="str">
        <f t="shared" si="43"/>
        <v/>
      </c>
      <c r="AJ135" s="431" t="s">
        <v>15</v>
      </c>
      <c r="AK135" s="127" t="s">
        <v>15</v>
      </c>
      <c r="AL135" s="127" t="s">
        <v>15</v>
      </c>
      <c r="AM135" s="431" t="s">
        <v>15</v>
      </c>
      <c r="AN135" s="84" t="str">
        <f t="shared" si="42"/>
        <v/>
      </c>
      <c r="AO135" s="28">
        <f t="shared" si="45"/>
        <v>1.0416666666666663</v>
      </c>
      <c r="AP135" s="404"/>
      <c r="AQ135" s="405"/>
      <c r="AR135" s="385"/>
      <c r="AS135" s="385"/>
      <c r="AT135" s="385"/>
      <c r="AU135" s="385"/>
      <c r="AV135" s="385"/>
      <c r="AW135" s="385"/>
      <c r="AX135" s="385"/>
      <c r="AY135" s="385"/>
      <c r="AZ135" s="385"/>
      <c r="BA135" s="385"/>
      <c r="BB135" s="385"/>
      <c r="BC135" s="385"/>
      <c r="BD135" s="385"/>
      <c r="BE135" s="385"/>
      <c r="BF135" s="385"/>
      <c r="BG135" s="385"/>
      <c r="BH135" s="385"/>
      <c r="BI135" s="385"/>
      <c r="BJ135" s="385"/>
      <c r="BK135" s="385"/>
      <c r="BL135" s="385"/>
      <c r="BM135" s="385"/>
      <c r="BN135" s="385"/>
      <c r="BO135" s="385"/>
      <c r="BP135" s="385"/>
      <c r="BQ135" s="385"/>
      <c r="BR135" s="385"/>
      <c r="BS135" s="385"/>
      <c r="BT135" s="385"/>
    </row>
    <row r="136" spans="1:72" ht="14.45" customHeight="1" x14ac:dyDescent="0.25">
      <c r="A136" s="402" t="s">
        <v>264</v>
      </c>
      <c r="B136" s="178" t="s">
        <v>678</v>
      </c>
      <c r="C136" s="486"/>
      <c r="D136" s="485" t="s">
        <v>654</v>
      </c>
      <c r="E136" s="164" t="s">
        <v>347</v>
      </c>
      <c r="F136" s="415">
        <v>0.70833333333333337</v>
      </c>
      <c r="G136" s="483"/>
      <c r="H136" s="127"/>
      <c r="I136" s="415">
        <v>0.91666666666666663</v>
      </c>
      <c r="J136" s="84">
        <f t="shared" si="41"/>
        <v>0.20833333333333326</v>
      </c>
      <c r="K136" s="415">
        <v>0.70833333333333337</v>
      </c>
      <c r="L136" s="483"/>
      <c r="M136" s="127"/>
      <c r="N136" s="415">
        <v>0.91666666666666663</v>
      </c>
      <c r="O136" s="84">
        <f t="shared" si="39"/>
        <v>0.20833333333333326</v>
      </c>
      <c r="P136" s="415">
        <v>0.70833333333333337</v>
      </c>
      <c r="Q136" s="483"/>
      <c r="R136" s="127"/>
      <c r="S136" s="415">
        <v>0.91666666666666663</v>
      </c>
      <c r="T136" s="84">
        <f t="shared" si="40"/>
        <v>0.20833333333333326</v>
      </c>
      <c r="U136" s="415">
        <v>0.70833333333333337</v>
      </c>
      <c r="V136" s="483"/>
      <c r="W136" s="127"/>
      <c r="X136" s="415">
        <v>0.91666666666666663</v>
      </c>
      <c r="Y136" s="84">
        <f t="shared" si="38"/>
        <v>0.20833333333333326</v>
      </c>
      <c r="Z136" s="415">
        <v>0.70833333333333337</v>
      </c>
      <c r="AA136" s="483"/>
      <c r="AB136" s="127"/>
      <c r="AC136" s="415">
        <v>0.91666666666666663</v>
      </c>
      <c r="AD136" s="84">
        <f t="shared" si="44"/>
        <v>0.20833333333333326</v>
      </c>
      <c r="AE136" s="431" t="s">
        <v>15</v>
      </c>
      <c r="AF136" s="127" t="s">
        <v>15</v>
      </c>
      <c r="AG136" s="127" t="s">
        <v>15</v>
      </c>
      <c r="AH136" s="431" t="s">
        <v>15</v>
      </c>
      <c r="AI136" s="84" t="str">
        <f t="shared" si="43"/>
        <v/>
      </c>
      <c r="AJ136" s="431" t="s">
        <v>15</v>
      </c>
      <c r="AK136" s="127" t="s">
        <v>15</v>
      </c>
      <c r="AL136" s="127" t="s">
        <v>15</v>
      </c>
      <c r="AM136" s="431" t="s">
        <v>15</v>
      </c>
      <c r="AN136" s="84" t="str">
        <f t="shared" si="42"/>
        <v/>
      </c>
      <c r="AO136" s="28">
        <f t="shared" si="45"/>
        <v>1.0416666666666663</v>
      </c>
      <c r="AQ136" s="403"/>
      <c r="AS136" s="414"/>
      <c r="AW136" s="404"/>
    </row>
    <row r="137" spans="1:72" ht="14.45" customHeight="1" x14ac:dyDescent="0.25">
      <c r="A137" s="402" t="s">
        <v>263</v>
      </c>
      <c r="B137" s="178" t="s">
        <v>679</v>
      </c>
      <c r="C137" s="486"/>
      <c r="D137" s="485" t="s">
        <v>654</v>
      </c>
      <c r="E137" s="164" t="s">
        <v>347</v>
      </c>
      <c r="F137" s="415">
        <v>0.29166666666666669</v>
      </c>
      <c r="G137" s="483"/>
      <c r="H137" s="127"/>
      <c r="I137" s="415">
        <v>0.5</v>
      </c>
      <c r="J137" s="84">
        <f t="shared" si="41"/>
        <v>0.20833333333333331</v>
      </c>
      <c r="K137" s="415">
        <v>0.29166666666666669</v>
      </c>
      <c r="L137" s="483"/>
      <c r="M137" s="127"/>
      <c r="N137" s="415">
        <v>0.5</v>
      </c>
      <c r="O137" s="84">
        <f t="shared" si="39"/>
        <v>0.20833333333333331</v>
      </c>
      <c r="P137" s="415">
        <v>0.29166666666666669</v>
      </c>
      <c r="Q137" s="483"/>
      <c r="R137" s="127"/>
      <c r="S137" s="415">
        <v>0.5</v>
      </c>
      <c r="T137" s="84">
        <f t="shared" si="40"/>
        <v>0.20833333333333331</v>
      </c>
      <c r="U137" s="415">
        <v>0.29166666666666669</v>
      </c>
      <c r="V137" s="483"/>
      <c r="W137" s="127"/>
      <c r="X137" s="415">
        <v>0.5</v>
      </c>
      <c r="Y137" s="84">
        <f t="shared" si="38"/>
        <v>0.20833333333333331</v>
      </c>
      <c r="Z137" s="415">
        <v>0.29166666666666669</v>
      </c>
      <c r="AA137" s="483"/>
      <c r="AB137" s="127"/>
      <c r="AC137" s="415">
        <v>0.5</v>
      </c>
      <c r="AD137" s="84">
        <f t="shared" si="44"/>
        <v>0.20833333333333331</v>
      </c>
      <c r="AE137" s="431" t="s">
        <v>15</v>
      </c>
      <c r="AF137" s="127" t="s">
        <v>15</v>
      </c>
      <c r="AG137" s="127" t="s">
        <v>15</v>
      </c>
      <c r="AH137" s="431" t="s">
        <v>15</v>
      </c>
      <c r="AI137" s="84" t="str">
        <f t="shared" si="43"/>
        <v/>
      </c>
      <c r="AJ137" s="431" t="s">
        <v>15</v>
      </c>
      <c r="AK137" s="127" t="s">
        <v>15</v>
      </c>
      <c r="AL137" s="127" t="s">
        <v>15</v>
      </c>
      <c r="AM137" s="431" t="s">
        <v>15</v>
      </c>
      <c r="AN137" s="84" t="str">
        <f t="shared" si="42"/>
        <v/>
      </c>
      <c r="AO137" s="28">
        <f t="shared" si="45"/>
        <v>1.0416666666666665</v>
      </c>
      <c r="AQ137" s="405"/>
      <c r="AS137" s="414"/>
      <c r="AW137" s="404"/>
    </row>
    <row r="138" spans="1:72" ht="14.45" customHeight="1" x14ac:dyDescent="0.25">
      <c r="A138" s="402" t="s">
        <v>260</v>
      </c>
      <c r="B138" s="178" t="s">
        <v>680</v>
      </c>
      <c r="C138" s="486"/>
      <c r="D138" s="485" t="s">
        <v>654</v>
      </c>
      <c r="E138" s="164" t="s">
        <v>347</v>
      </c>
      <c r="F138" s="415">
        <v>0.29166666666666669</v>
      </c>
      <c r="G138" s="483"/>
      <c r="H138" s="127"/>
      <c r="I138" s="415">
        <v>0.5</v>
      </c>
      <c r="J138" s="84">
        <f t="shared" si="41"/>
        <v>0.20833333333333331</v>
      </c>
      <c r="K138" s="415">
        <v>0.29166666666666669</v>
      </c>
      <c r="L138" s="483"/>
      <c r="M138" s="127"/>
      <c r="N138" s="415">
        <v>0.5</v>
      </c>
      <c r="O138" s="84">
        <f t="shared" si="39"/>
        <v>0.20833333333333331</v>
      </c>
      <c r="P138" s="415">
        <v>0.29166666666666669</v>
      </c>
      <c r="Q138" s="483"/>
      <c r="R138" s="127"/>
      <c r="S138" s="415">
        <v>0.5</v>
      </c>
      <c r="T138" s="84">
        <f t="shared" si="40"/>
        <v>0.20833333333333331</v>
      </c>
      <c r="U138" s="415">
        <v>0.29166666666666669</v>
      </c>
      <c r="V138" s="483"/>
      <c r="W138" s="127"/>
      <c r="X138" s="415">
        <v>0.5</v>
      </c>
      <c r="Y138" s="84">
        <f t="shared" si="38"/>
        <v>0.20833333333333331</v>
      </c>
      <c r="Z138" s="415">
        <v>0.29166666666666669</v>
      </c>
      <c r="AA138" s="483"/>
      <c r="AB138" s="127"/>
      <c r="AC138" s="415">
        <v>0.5</v>
      </c>
      <c r="AD138" s="84">
        <f t="shared" si="44"/>
        <v>0.20833333333333331</v>
      </c>
      <c r="AE138" s="431" t="s">
        <v>15</v>
      </c>
      <c r="AF138" s="127" t="s">
        <v>15</v>
      </c>
      <c r="AG138" s="127" t="s">
        <v>15</v>
      </c>
      <c r="AH138" s="431" t="s">
        <v>15</v>
      </c>
      <c r="AI138" s="84" t="str">
        <f t="shared" si="43"/>
        <v/>
      </c>
      <c r="AJ138" s="431" t="s">
        <v>15</v>
      </c>
      <c r="AK138" s="127" t="s">
        <v>15</v>
      </c>
      <c r="AL138" s="127" t="s">
        <v>15</v>
      </c>
      <c r="AM138" s="431" t="s">
        <v>15</v>
      </c>
      <c r="AN138" s="84" t="str">
        <f t="shared" si="42"/>
        <v/>
      </c>
      <c r="AO138" s="28">
        <f t="shared" si="45"/>
        <v>1.0416666666666665</v>
      </c>
      <c r="AQ138" s="403"/>
      <c r="AS138" s="414"/>
      <c r="AW138" s="404"/>
    </row>
    <row r="139" spans="1:72" ht="14.45" customHeight="1" x14ac:dyDescent="0.25">
      <c r="A139" s="177"/>
      <c r="B139" s="178" t="s">
        <v>681</v>
      </c>
      <c r="C139" s="486"/>
      <c r="D139" s="485" t="s">
        <v>654</v>
      </c>
      <c r="E139" s="164" t="s">
        <v>347</v>
      </c>
      <c r="F139" s="415">
        <v>0.29166666666666669</v>
      </c>
      <c r="G139" s="483"/>
      <c r="H139" s="127"/>
      <c r="I139" s="415">
        <v>0.5</v>
      </c>
      <c r="J139" s="84">
        <f t="shared" si="41"/>
        <v>0.20833333333333331</v>
      </c>
      <c r="K139" s="415">
        <v>0.29166666666666669</v>
      </c>
      <c r="L139" s="483"/>
      <c r="M139" s="127"/>
      <c r="N139" s="415">
        <v>0.5</v>
      </c>
      <c r="O139" s="84">
        <f t="shared" si="39"/>
        <v>0.20833333333333331</v>
      </c>
      <c r="P139" s="415">
        <v>0.29166666666666669</v>
      </c>
      <c r="Q139" s="483"/>
      <c r="R139" s="127"/>
      <c r="S139" s="415">
        <v>0.5</v>
      </c>
      <c r="T139" s="84">
        <f t="shared" si="40"/>
        <v>0.20833333333333331</v>
      </c>
      <c r="U139" s="415">
        <v>0.29166666666666669</v>
      </c>
      <c r="V139" s="483"/>
      <c r="W139" s="127"/>
      <c r="X139" s="415">
        <v>0.5</v>
      </c>
      <c r="Y139" s="84">
        <f t="shared" si="38"/>
        <v>0.20833333333333331</v>
      </c>
      <c r="Z139" s="415">
        <v>0.29166666666666669</v>
      </c>
      <c r="AA139" s="483"/>
      <c r="AB139" s="127"/>
      <c r="AC139" s="415">
        <v>0.5</v>
      </c>
      <c r="AD139" s="84">
        <f t="shared" si="44"/>
        <v>0.20833333333333331</v>
      </c>
      <c r="AE139" s="431" t="s">
        <v>15</v>
      </c>
      <c r="AF139" s="127" t="s">
        <v>15</v>
      </c>
      <c r="AG139" s="127" t="s">
        <v>15</v>
      </c>
      <c r="AH139" s="431" t="s">
        <v>15</v>
      </c>
      <c r="AI139" s="84" t="str">
        <f t="shared" si="43"/>
        <v/>
      </c>
      <c r="AJ139" s="431" t="s">
        <v>15</v>
      </c>
      <c r="AK139" s="127" t="s">
        <v>15</v>
      </c>
      <c r="AL139" s="127" t="s">
        <v>15</v>
      </c>
      <c r="AM139" s="431" t="s">
        <v>15</v>
      </c>
      <c r="AN139" s="84" t="str">
        <f t="shared" si="42"/>
        <v/>
      </c>
      <c r="AO139" s="28">
        <f t="shared" si="45"/>
        <v>1.0416666666666665</v>
      </c>
      <c r="AP139" s="1"/>
      <c r="AQ139" s="302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4.45" customHeight="1" x14ac:dyDescent="0.25">
      <c r="A140" s="402" t="s">
        <v>607</v>
      </c>
      <c r="B140" s="178" t="s">
        <v>682</v>
      </c>
      <c r="C140" s="486"/>
      <c r="D140" s="485" t="s">
        <v>654</v>
      </c>
      <c r="E140" s="164" t="s">
        <v>347</v>
      </c>
      <c r="F140" s="415">
        <v>0.29166666666666669</v>
      </c>
      <c r="G140" s="483"/>
      <c r="H140" s="127"/>
      <c r="I140" s="415">
        <v>0.5</v>
      </c>
      <c r="J140" s="84">
        <f t="shared" si="41"/>
        <v>0.20833333333333331</v>
      </c>
      <c r="K140" s="415">
        <v>0.29166666666666669</v>
      </c>
      <c r="L140" s="483"/>
      <c r="M140" s="127"/>
      <c r="N140" s="415">
        <v>0.5</v>
      </c>
      <c r="O140" s="84">
        <f t="shared" si="39"/>
        <v>0.20833333333333331</v>
      </c>
      <c r="P140" s="415">
        <v>0.29166666666666669</v>
      </c>
      <c r="Q140" s="483"/>
      <c r="R140" s="127"/>
      <c r="S140" s="415">
        <v>0.5</v>
      </c>
      <c r="T140" s="84">
        <f t="shared" si="40"/>
        <v>0.20833333333333331</v>
      </c>
      <c r="U140" s="415">
        <v>0.29166666666666669</v>
      </c>
      <c r="V140" s="483"/>
      <c r="W140" s="127"/>
      <c r="X140" s="415">
        <v>0.5</v>
      </c>
      <c r="Y140" s="84">
        <f t="shared" si="38"/>
        <v>0.20833333333333331</v>
      </c>
      <c r="Z140" s="415">
        <v>0.29166666666666669</v>
      </c>
      <c r="AA140" s="483"/>
      <c r="AB140" s="127"/>
      <c r="AC140" s="415">
        <v>0.5</v>
      </c>
      <c r="AD140" s="84">
        <f t="shared" si="44"/>
        <v>0.20833333333333331</v>
      </c>
      <c r="AE140" s="431" t="s">
        <v>15</v>
      </c>
      <c r="AF140" s="127" t="s">
        <v>15</v>
      </c>
      <c r="AG140" s="127" t="s">
        <v>15</v>
      </c>
      <c r="AH140" s="431" t="s">
        <v>15</v>
      </c>
      <c r="AI140" s="84" t="str">
        <f t="shared" si="43"/>
        <v/>
      </c>
      <c r="AJ140" s="431" t="s">
        <v>15</v>
      </c>
      <c r="AK140" s="127" t="s">
        <v>15</v>
      </c>
      <c r="AL140" s="127" t="s">
        <v>15</v>
      </c>
      <c r="AM140" s="431" t="s">
        <v>15</v>
      </c>
      <c r="AN140" s="84" t="str">
        <f t="shared" si="42"/>
        <v/>
      </c>
      <c r="AO140" s="28">
        <f t="shared" si="45"/>
        <v>1.0416666666666665</v>
      </c>
      <c r="AQ140" s="405"/>
      <c r="AS140" s="414"/>
      <c r="AW140" s="404"/>
    </row>
    <row r="141" spans="1:72" ht="13.15" customHeight="1" x14ac:dyDescent="0.25">
      <c r="A141" s="409" t="s">
        <v>608</v>
      </c>
      <c r="B141" s="178" t="s">
        <v>683</v>
      </c>
      <c r="C141" s="486"/>
      <c r="D141" s="485" t="s">
        <v>654</v>
      </c>
      <c r="E141" s="164" t="s">
        <v>347</v>
      </c>
      <c r="F141" s="415">
        <v>0.29166666666666669</v>
      </c>
      <c r="G141" s="483"/>
      <c r="H141" s="127"/>
      <c r="I141" s="415">
        <v>0.5</v>
      </c>
      <c r="J141" s="84">
        <f t="shared" si="41"/>
        <v>0.20833333333333331</v>
      </c>
      <c r="K141" s="415">
        <v>0.29166666666666669</v>
      </c>
      <c r="L141" s="483"/>
      <c r="M141" s="127"/>
      <c r="N141" s="415">
        <v>0.5</v>
      </c>
      <c r="O141" s="84">
        <f t="shared" si="39"/>
        <v>0.20833333333333331</v>
      </c>
      <c r="P141" s="415">
        <v>0.29166666666666669</v>
      </c>
      <c r="Q141" s="483"/>
      <c r="R141" s="127"/>
      <c r="S141" s="415">
        <v>0.5</v>
      </c>
      <c r="T141" s="84">
        <f t="shared" si="40"/>
        <v>0.20833333333333331</v>
      </c>
      <c r="U141" s="415">
        <v>0.29166666666666669</v>
      </c>
      <c r="V141" s="483"/>
      <c r="W141" s="127"/>
      <c r="X141" s="415">
        <v>0.5</v>
      </c>
      <c r="Y141" s="84">
        <f t="shared" si="38"/>
        <v>0.20833333333333331</v>
      </c>
      <c r="Z141" s="415">
        <v>0.29166666666666669</v>
      </c>
      <c r="AA141" s="483"/>
      <c r="AB141" s="127"/>
      <c r="AC141" s="415">
        <v>0.5</v>
      </c>
      <c r="AD141" s="84">
        <f t="shared" si="44"/>
        <v>0.20833333333333331</v>
      </c>
      <c r="AE141" s="431" t="s">
        <v>15</v>
      </c>
      <c r="AF141" s="127" t="s">
        <v>15</v>
      </c>
      <c r="AG141" s="127" t="s">
        <v>15</v>
      </c>
      <c r="AH141" s="431" t="s">
        <v>15</v>
      </c>
      <c r="AI141" s="84" t="str">
        <f t="shared" si="43"/>
        <v/>
      </c>
      <c r="AJ141" s="431" t="s">
        <v>15</v>
      </c>
      <c r="AK141" s="127" t="s">
        <v>15</v>
      </c>
      <c r="AL141" s="127" t="s">
        <v>15</v>
      </c>
      <c r="AM141" s="431" t="s">
        <v>15</v>
      </c>
      <c r="AN141" s="84" t="str">
        <f t="shared" si="42"/>
        <v/>
      </c>
      <c r="AO141" s="28">
        <f t="shared" si="45"/>
        <v>1.0416666666666665</v>
      </c>
      <c r="AQ141" s="405"/>
      <c r="AS141" s="414"/>
      <c r="AW141" s="404"/>
    </row>
    <row r="142" spans="1:72" ht="14.45" customHeight="1" x14ac:dyDescent="0.25">
      <c r="A142" s="402" t="s">
        <v>272</v>
      </c>
      <c r="B142" s="178" t="s">
        <v>684</v>
      </c>
      <c r="C142" s="486"/>
      <c r="D142" s="485" t="s">
        <v>654</v>
      </c>
      <c r="E142" s="164" t="s">
        <v>347</v>
      </c>
      <c r="F142" s="415">
        <v>0.29166666666666669</v>
      </c>
      <c r="G142" s="483"/>
      <c r="H142" s="127"/>
      <c r="I142" s="415">
        <v>0.5</v>
      </c>
      <c r="J142" s="84">
        <f t="shared" si="41"/>
        <v>0.20833333333333331</v>
      </c>
      <c r="K142" s="415">
        <v>0.29166666666666669</v>
      </c>
      <c r="L142" s="483"/>
      <c r="M142" s="127"/>
      <c r="N142" s="415">
        <v>0.5</v>
      </c>
      <c r="O142" s="84">
        <f t="shared" si="39"/>
        <v>0.20833333333333331</v>
      </c>
      <c r="P142" s="415">
        <v>0.29166666666666669</v>
      </c>
      <c r="Q142" s="483"/>
      <c r="R142" s="127"/>
      <c r="S142" s="415">
        <v>0.5</v>
      </c>
      <c r="T142" s="84">
        <f t="shared" si="40"/>
        <v>0.20833333333333331</v>
      </c>
      <c r="U142" s="415">
        <v>0.29166666666666669</v>
      </c>
      <c r="V142" s="483"/>
      <c r="W142" s="127"/>
      <c r="X142" s="415">
        <v>0.5</v>
      </c>
      <c r="Y142" s="84">
        <f t="shared" si="38"/>
        <v>0.20833333333333331</v>
      </c>
      <c r="Z142" s="415">
        <v>0.29166666666666669</v>
      </c>
      <c r="AA142" s="483"/>
      <c r="AB142" s="127"/>
      <c r="AC142" s="415">
        <v>0.5</v>
      </c>
      <c r="AD142" s="84">
        <f t="shared" si="44"/>
        <v>0.20833333333333331</v>
      </c>
      <c r="AE142" s="431" t="s">
        <v>15</v>
      </c>
      <c r="AF142" s="127" t="s">
        <v>15</v>
      </c>
      <c r="AG142" s="127" t="s">
        <v>15</v>
      </c>
      <c r="AH142" s="431" t="s">
        <v>15</v>
      </c>
      <c r="AI142" s="84" t="str">
        <f t="shared" si="43"/>
        <v/>
      </c>
      <c r="AJ142" s="431" t="s">
        <v>15</v>
      </c>
      <c r="AK142" s="127" t="s">
        <v>15</v>
      </c>
      <c r="AL142" s="127" t="s">
        <v>15</v>
      </c>
      <c r="AM142" s="431" t="s">
        <v>15</v>
      </c>
      <c r="AN142" s="84" t="str">
        <f t="shared" si="42"/>
        <v/>
      </c>
      <c r="AO142" s="28">
        <f t="shared" si="45"/>
        <v>1.0416666666666665</v>
      </c>
      <c r="AP142" s="410"/>
      <c r="AQ142" s="403"/>
      <c r="AS142" s="414"/>
      <c r="AW142" s="404"/>
    </row>
    <row r="143" spans="1:72" ht="14.45" customHeight="1" x14ac:dyDescent="0.25">
      <c r="A143" s="409"/>
      <c r="B143" s="178" t="s">
        <v>685</v>
      </c>
      <c r="C143" s="486"/>
      <c r="D143" s="485" t="s">
        <v>654</v>
      </c>
      <c r="E143" s="164" t="s">
        <v>347</v>
      </c>
      <c r="F143" s="415">
        <v>0.29166666666666669</v>
      </c>
      <c r="G143" s="483"/>
      <c r="H143" s="127"/>
      <c r="I143" s="415">
        <v>0.5</v>
      </c>
      <c r="J143" s="84">
        <f t="shared" si="41"/>
        <v>0.20833333333333331</v>
      </c>
      <c r="K143" s="415">
        <v>0.29166666666666669</v>
      </c>
      <c r="L143" s="483"/>
      <c r="M143" s="127"/>
      <c r="N143" s="415">
        <v>0.5</v>
      </c>
      <c r="O143" s="84">
        <f t="shared" ref="O143:O174" si="46">IFERROR(MOD(N143-K143,1)-MOD(M143-L143,1),"")</f>
        <v>0.20833333333333331</v>
      </c>
      <c r="P143" s="415">
        <v>0.29166666666666669</v>
      </c>
      <c r="Q143" s="483"/>
      <c r="R143" s="127"/>
      <c r="S143" s="415">
        <v>0.5</v>
      </c>
      <c r="T143" s="84">
        <f t="shared" si="40"/>
        <v>0.20833333333333331</v>
      </c>
      <c r="U143" s="415">
        <v>0.29166666666666669</v>
      </c>
      <c r="V143" s="483"/>
      <c r="W143" s="127"/>
      <c r="X143" s="415">
        <v>0.5</v>
      </c>
      <c r="Y143" s="84">
        <f t="shared" si="38"/>
        <v>0.20833333333333331</v>
      </c>
      <c r="Z143" s="415">
        <v>0.29166666666666669</v>
      </c>
      <c r="AA143" s="483"/>
      <c r="AB143" s="127"/>
      <c r="AC143" s="415">
        <v>0.5</v>
      </c>
      <c r="AD143" s="84">
        <f t="shared" si="44"/>
        <v>0.20833333333333331</v>
      </c>
      <c r="AE143" s="431" t="s">
        <v>15</v>
      </c>
      <c r="AF143" s="127" t="s">
        <v>15</v>
      </c>
      <c r="AG143" s="127" t="s">
        <v>15</v>
      </c>
      <c r="AH143" s="431" t="s">
        <v>15</v>
      </c>
      <c r="AI143" s="84" t="str">
        <f t="shared" si="43"/>
        <v/>
      </c>
      <c r="AJ143" s="431" t="s">
        <v>15</v>
      </c>
      <c r="AK143" s="127" t="s">
        <v>15</v>
      </c>
      <c r="AL143" s="127" t="s">
        <v>15</v>
      </c>
      <c r="AM143" s="431" t="s">
        <v>15</v>
      </c>
      <c r="AN143" s="84" t="str">
        <f t="shared" si="42"/>
        <v/>
      </c>
      <c r="AO143" s="28">
        <f t="shared" si="45"/>
        <v>1.0416666666666665</v>
      </c>
      <c r="AP143" s="410"/>
      <c r="AQ143" s="405"/>
      <c r="AS143" s="414"/>
      <c r="AW143" s="404"/>
    </row>
    <row r="144" spans="1:72" s="1" customFormat="1" ht="14.45" customHeight="1" x14ac:dyDescent="0.25">
      <c r="A144" s="177" t="s">
        <v>263</v>
      </c>
      <c r="B144" s="178" t="s">
        <v>686</v>
      </c>
      <c r="C144" s="486"/>
      <c r="D144" s="485" t="s">
        <v>654</v>
      </c>
      <c r="E144" s="164" t="s">
        <v>347</v>
      </c>
      <c r="F144" s="415">
        <v>0.29166666666666669</v>
      </c>
      <c r="G144" s="483"/>
      <c r="H144" s="127"/>
      <c r="I144" s="415">
        <v>0.5</v>
      </c>
      <c r="J144" s="84">
        <f t="shared" si="41"/>
        <v>0.20833333333333331</v>
      </c>
      <c r="K144" s="415">
        <v>0.29166666666666669</v>
      </c>
      <c r="L144" s="483"/>
      <c r="M144" s="127"/>
      <c r="N144" s="415">
        <v>0.5</v>
      </c>
      <c r="O144" s="84">
        <f t="shared" si="46"/>
        <v>0.20833333333333331</v>
      </c>
      <c r="P144" s="415">
        <v>0.29166666666666669</v>
      </c>
      <c r="Q144" s="483"/>
      <c r="R144" s="127"/>
      <c r="S144" s="415">
        <v>0.5</v>
      </c>
      <c r="T144" s="84">
        <f t="shared" si="40"/>
        <v>0.20833333333333331</v>
      </c>
      <c r="U144" s="415">
        <v>0.29166666666666669</v>
      </c>
      <c r="V144" s="483"/>
      <c r="W144" s="127"/>
      <c r="X144" s="415">
        <v>0.5</v>
      </c>
      <c r="Y144" s="84">
        <f t="shared" si="38"/>
        <v>0.20833333333333331</v>
      </c>
      <c r="Z144" s="415">
        <v>0.29166666666666669</v>
      </c>
      <c r="AA144" s="483"/>
      <c r="AB144" s="127"/>
      <c r="AC144" s="415">
        <v>0.5</v>
      </c>
      <c r="AD144" s="84">
        <f t="shared" si="44"/>
        <v>0.20833333333333331</v>
      </c>
      <c r="AE144" s="431" t="s">
        <v>15</v>
      </c>
      <c r="AF144" s="127" t="s">
        <v>15</v>
      </c>
      <c r="AG144" s="127" t="s">
        <v>15</v>
      </c>
      <c r="AH144" s="431" t="s">
        <v>15</v>
      </c>
      <c r="AI144" s="84" t="str">
        <f t="shared" si="43"/>
        <v/>
      </c>
      <c r="AJ144" s="431" t="s">
        <v>15</v>
      </c>
      <c r="AK144" s="127" t="s">
        <v>15</v>
      </c>
      <c r="AL144" s="127" t="s">
        <v>15</v>
      </c>
      <c r="AM144" s="431" t="s">
        <v>15</v>
      </c>
      <c r="AN144" s="84" t="str">
        <f t="shared" si="42"/>
        <v/>
      </c>
      <c r="AO144" s="28">
        <f t="shared" si="45"/>
        <v>1.0416666666666665</v>
      </c>
      <c r="AQ144" s="302"/>
    </row>
    <row r="145" spans="1:72" s="1" customFormat="1" ht="14.45" customHeight="1" x14ac:dyDescent="0.25">
      <c r="A145" s="291" t="s">
        <v>284</v>
      </c>
      <c r="B145" s="178" t="s">
        <v>687</v>
      </c>
      <c r="C145" s="486"/>
      <c r="D145" s="485" t="s">
        <v>654</v>
      </c>
      <c r="E145" s="164" t="s">
        <v>347</v>
      </c>
      <c r="F145" s="415">
        <v>0.29166666666666669</v>
      </c>
      <c r="G145" s="483"/>
      <c r="H145" s="127"/>
      <c r="I145" s="415">
        <v>0.5</v>
      </c>
      <c r="J145" s="84">
        <f t="shared" si="41"/>
        <v>0.20833333333333331</v>
      </c>
      <c r="K145" s="415">
        <v>0.29166666666666669</v>
      </c>
      <c r="L145" s="483"/>
      <c r="M145" s="127"/>
      <c r="N145" s="415">
        <v>0.5</v>
      </c>
      <c r="O145" s="84">
        <f t="shared" si="46"/>
        <v>0.20833333333333331</v>
      </c>
      <c r="P145" s="415">
        <v>0.29166666666666669</v>
      </c>
      <c r="Q145" s="483"/>
      <c r="R145" s="127"/>
      <c r="S145" s="415">
        <v>0.5</v>
      </c>
      <c r="T145" s="84">
        <f t="shared" si="40"/>
        <v>0.20833333333333331</v>
      </c>
      <c r="U145" s="415">
        <v>0.29166666666666669</v>
      </c>
      <c r="V145" s="483"/>
      <c r="W145" s="127"/>
      <c r="X145" s="415">
        <v>0.5</v>
      </c>
      <c r="Y145" s="84">
        <f t="shared" si="38"/>
        <v>0.20833333333333331</v>
      </c>
      <c r="Z145" s="415">
        <v>0.29166666666666669</v>
      </c>
      <c r="AA145" s="483"/>
      <c r="AB145" s="127"/>
      <c r="AC145" s="415">
        <v>0.5</v>
      </c>
      <c r="AD145" s="84">
        <f t="shared" si="44"/>
        <v>0.20833333333333331</v>
      </c>
      <c r="AE145" s="431" t="s">
        <v>15</v>
      </c>
      <c r="AF145" s="127" t="s">
        <v>15</v>
      </c>
      <c r="AG145" s="127" t="s">
        <v>15</v>
      </c>
      <c r="AH145" s="431" t="s">
        <v>15</v>
      </c>
      <c r="AI145" s="84" t="str">
        <f t="shared" si="43"/>
        <v/>
      </c>
      <c r="AJ145" s="431" t="s">
        <v>15</v>
      </c>
      <c r="AK145" s="127" t="s">
        <v>15</v>
      </c>
      <c r="AL145" s="127" t="s">
        <v>15</v>
      </c>
      <c r="AM145" s="431" t="s">
        <v>15</v>
      </c>
      <c r="AN145" s="84" t="str">
        <f t="shared" si="42"/>
        <v/>
      </c>
      <c r="AO145" s="28">
        <f t="shared" si="45"/>
        <v>1.0416666666666665</v>
      </c>
      <c r="AQ145"/>
    </row>
    <row r="146" spans="1:72" s="1" customFormat="1" ht="14.45" customHeight="1" x14ac:dyDescent="0.25">
      <c r="A146" s="402" t="s">
        <v>275</v>
      </c>
      <c r="B146" s="178" t="s">
        <v>688</v>
      </c>
      <c r="C146" s="486"/>
      <c r="D146" s="485" t="s">
        <v>654</v>
      </c>
      <c r="E146" s="164" t="s">
        <v>347</v>
      </c>
      <c r="F146" s="415">
        <v>0.29166666666666669</v>
      </c>
      <c r="G146" s="483"/>
      <c r="H146" s="127"/>
      <c r="I146" s="415">
        <v>0.5</v>
      </c>
      <c r="J146" s="84">
        <f t="shared" si="41"/>
        <v>0.20833333333333331</v>
      </c>
      <c r="K146" s="415">
        <v>0.29166666666666669</v>
      </c>
      <c r="L146" s="483"/>
      <c r="M146" s="127"/>
      <c r="N146" s="415">
        <v>0.5</v>
      </c>
      <c r="O146" s="84">
        <f t="shared" si="46"/>
        <v>0.20833333333333331</v>
      </c>
      <c r="P146" s="415">
        <v>0.29166666666666669</v>
      </c>
      <c r="Q146" s="483"/>
      <c r="R146" s="127"/>
      <c r="S146" s="415">
        <v>0.5</v>
      </c>
      <c r="T146" s="84">
        <f t="shared" si="40"/>
        <v>0.20833333333333331</v>
      </c>
      <c r="U146" s="415">
        <v>0.29166666666666669</v>
      </c>
      <c r="V146" s="483"/>
      <c r="W146" s="127"/>
      <c r="X146" s="415">
        <v>0.5</v>
      </c>
      <c r="Y146" s="84">
        <f t="shared" si="38"/>
        <v>0.20833333333333331</v>
      </c>
      <c r="Z146" s="415">
        <v>0.29166666666666669</v>
      </c>
      <c r="AA146" s="483"/>
      <c r="AB146" s="127"/>
      <c r="AC146" s="415">
        <v>0.5</v>
      </c>
      <c r="AD146" s="84">
        <f t="shared" si="44"/>
        <v>0.20833333333333331</v>
      </c>
      <c r="AE146" s="431" t="s">
        <v>15</v>
      </c>
      <c r="AF146" s="127" t="s">
        <v>15</v>
      </c>
      <c r="AG146" s="127" t="s">
        <v>15</v>
      </c>
      <c r="AH146" s="431" t="s">
        <v>15</v>
      </c>
      <c r="AI146" s="84" t="str">
        <f t="shared" si="43"/>
        <v/>
      </c>
      <c r="AJ146" s="431" t="s">
        <v>15</v>
      </c>
      <c r="AK146" s="127" t="s">
        <v>15</v>
      </c>
      <c r="AL146" s="127" t="s">
        <v>15</v>
      </c>
      <c r="AM146" s="431" t="s">
        <v>15</v>
      </c>
      <c r="AN146" s="84" t="str">
        <f t="shared" si="42"/>
        <v/>
      </c>
      <c r="AO146" s="28">
        <f t="shared" si="45"/>
        <v>1.0416666666666665</v>
      </c>
      <c r="AP146" s="385"/>
      <c r="AQ146" s="403"/>
      <c r="AR146" s="385"/>
      <c r="AS146" s="414"/>
      <c r="AT146" s="385"/>
      <c r="AU146" s="385"/>
      <c r="AV146" s="385"/>
      <c r="AW146" s="404"/>
      <c r="AX146" s="385"/>
      <c r="AY146" s="385"/>
      <c r="AZ146" s="385"/>
      <c r="BA146" s="385"/>
      <c r="BB146" s="385"/>
      <c r="BC146" s="385"/>
      <c r="BD146" s="385"/>
      <c r="BE146" s="385"/>
      <c r="BF146" s="385"/>
      <c r="BG146" s="385"/>
      <c r="BH146" s="385"/>
      <c r="BI146" s="385"/>
      <c r="BJ146" s="385"/>
      <c r="BK146" s="385"/>
      <c r="BL146" s="385"/>
      <c r="BM146" s="385"/>
      <c r="BN146" s="385"/>
      <c r="BO146" s="385"/>
      <c r="BP146" s="385"/>
      <c r="BQ146" s="385"/>
      <c r="BR146" s="385"/>
      <c r="BS146" s="385"/>
      <c r="BT146" s="385"/>
    </row>
    <row r="147" spans="1:72" s="1" customFormat="1" ht="14.45" customHeight="1" x14ac:dyDescent="0.25">
      <c r="A147" s="290" t="s">
        <v>263</v>
      </c>
      <c r="B147" s="443" t="s">
        <v>459</v>
      </c>
      <c r="C147" s="311"/>
      <c r="D147" s="455" t="s">
        <v>19</v>
      </c>
      <c r="E147" s="164" t="s">
        <v>347</v>
      </c>
      <c r="F147" s="441">
        <v>0.83333333333333337</v>
      </c>
      <c r="G147" s="127"/>
      <c r="H147" s="127"/>
      <c r="I147" s="441">
        <v>1</v>
      </c>
      <c r="J147" s="84">
        <f t="shared" si="41"/>
        <v>0.16666666666666663</v>
      </c>
      <c r="K147" s="441">
        <v>0</v>
      </c>
      <c r="L147" s="127">
        <v>0.16666666666666666</v>
      </c>
      <c r="M147" s="127">
        <v>0.25</v>
      </c>
      <c r="N147" s="441">
        <v>0.29166666666666669</v>
      </c>
      <c r="O147" s="84">
        <f t="shared" si="46"/>
        <v>0.20833333333333334</v>
      </c>
      <c r="P147" s="431" t="s">
        <v>15</v>
      </c>
      <c r="Q147" s="127" t="s">
        <v>15</v>
      </c>
      <c r="R147" s="127" t="s">
        <v>15</v>
      </c>
      <c r="S147" s="431" t="s">
        <v>15</v>
      </c>
      <c r="T147" s="84" t="str">
        <f t="shared" si="40"/>
        <v/>
      </c>
      <c r="U147" s="176">
        <v>0.29166666666666669</v>
      </c>
      <c r="V147" s="127">
        <v>0.54166666666666663</v>
      </c>
      <c r="W147" s="127">
        <v>0.625</v>
      </c>
      <c r="X147" s="176">
        <v>0.70833333333333337</v>
      </c>
      <c r="Y147" s="84">
        <f t="shared" si="38"/>
        <v>0.33333333333333331</v>
      </c>
      <c r="Z147" s="176">
        <v>0.33333333333333331</v>
      </c>
      <c r="AA147" s="127">
        <v>0.58333333333333337</v>
      </c>
      <c r="AB147" s="127">
        <v>0.66666666666666663</v>
      </c>
      <c r="AC147" s="176">
        <v>0.75</v>
      </c>
      <c r="AD147" s="84">
        <f t="shared" si="44"/>
        <v>0.33333333333333343</v>
      </c>
      <c r="AE147" s="176">
        <v>0.54166666666666663</v>
      </c>
      <c r="AF147" s="127">
        <v>0.625</v>
      </c>
      <c r="AG147" s="127">
        <v>0.66666666666666663</v>
      </c>
      <c r="AH147" s="176">
        <v>0.9375</v>
      </c>
      <c r="AI147" s="84">
        <f t="shared" si="43"/>
        <v>0.35416666666666674</v>
      </c>
      <c r="AJ147" s="176">
        <v>0.5</v>
      </c>
      <c r="AK147" s="127">
        <v>0.70833333333333337</v>
      </c>
      <c r="AL147" s="127">
        <v>0.75</v>
      </c>
      <c r="AM147" s="176">
        <v>0.875</v>
      </c>
      <c r="AN147" s="84">
        <f t="shared" si="42"/>
        <v>0.33333333333333337</v>
      </c>
      <c r="AO147" s="28">
        <f t="shared" si="45"/>
        <v>1.729166666666667</v>
      </c>
      <c r="AQ147" s="302"/>
    </row>
    <row r="148" spans="1:72" s="1" customFormat="1" ht="14.45" customHeight="1" x14ac:dyDescent="0.25">
      <c r="A148" s="290" t="s">
        <v>263</v>
      </c>
      <c r="B148" s="443" t="s">
        <v>118</v>
      </c>
      <c r="C148" s="311"/>
      <c r="D148" s="455" t="s">
        <v>19</v>
      </c>
      <c r="E148" s="164" t="s">
        <v>347</v>
      </c>
      <c r="F148" s="441">
        <v>1</v>
      </c>
      <c r="G148" s="127">
        <v>0.16666666666666666</v>
      </c>
      <c r="H148" s="127">
        <v>0.25</v>
      </c>
      <c r="I148" s="441">
        <v>0.29166666666666669</v>
      </c>
      <c r="J148" s="84">
        <f t="shared" ref="J148" si="47">IFERROR(MOD(I148-F148,1)-MOD(H148-G148,1),"")</f>
        <v>0.2083333333333334</v>
      </c>
      <c r="K148" s="441">
        <v>0.83333333333333337</v>
      </c>
      <c r="L148" s="127">
        <v>8.3333333333333329E-2</v>
      </c>
      <c r="M148" s="127">
        <v>0.16666666666666666</v>
      </c>
      <c r="N148" s="441">
        <v>1</v>
      </c>
      <c r="O148" s="84">
        <f t="shared" si="46"/>
        <v>8.3333333333333301E-2</v>
      </c>
      <c r="P148" s="441">
        <v>1</v>
      </c>
      <c r="Q148" s="127">
        <v>0.29166666666666669</v>
      </c>
      <c r="R148" s="127">
        <v>0.83333333333333337</v>
      </c>
      <c r="S148" s="441">
        <v>1</v>
      </c>
      <c r="T148" s="84">
        <v>0.375</v>
      </c>
      <c r="U148" s="441">
        <v>1</v>
      </c>
      <c r="V148" s="127"/>
      <c r="W148" s="127"/>
      <c r="X148" s="441">
        <v>0.29166666666666669</v>
      </c>
      <c r="Y148" s="84">
        <f t="shared" si="38"/>
        <v>0.29166666666666674</v>
      </c>
      <c r="Z148" s="441">
        <v>0.83333333333333337</v>
      </c>
      <c r="AA148" s="127"/>
      <c r="AB148" s="127"/>
      <c r="AC148" s="441">
        <v>1</v>
      </c>
      <c r="AD148" s="84">
        <f t="shared" si="44"/>
        <v>0.16666666666666663</v>
      </c>
      <c r="AE148" s="441">
        <v>1</v>
      </c>
      <c r="AF148" s="127">
        <v>0.29166666666666669</v>
      </c>
      <c r="AG148" s="127">
        <v>0.83333333333333337</v>
      </c>
      <c r="AH148" s="441">
        <v>1</v>
      </c>
      <c r="AI148" s="84">
        <v>0.375</v>
      </c>
      <c r="AJ148" s="441">
        <v>0</v>
      </c>
      <c r="AK148" s="127">
        <v>0.29166666666666669</v>
      </c>
      <c r="AL148" s="127">
        <v>0.83333333333333337</v>
      </c>
      <c r="AM148" s="441">
        <v>1</v>
      </c>
      <c r="AN148" s="84">
        <v>0.375</v>
      </c>
      <c r="AO148" s="28">
        <f t="shared" si="45"/>
        <v>1.875</v>
      </c>
      <c r="AQ148"/>
      <c r="AS148" s="33"/>
    </row>
    <row r="149" spans="1:72" s="1" customFormat="1" ht="14.45" customHeight="1" x14ac:dyDescent="0.25">
      <c r="A149" s="290" t="s">
        <v>589</v>
      </c>
      <c r="B149" s="443" t="s">
        <v>132</v>
      </c>
      <c r="C149" s="311"/>
      <c r="D149" s="455" t="s">
        <v>19</v>
      </c>
      <c r="E149" s="164" t="s">
        <v>347</v>
      </c>
      <c r="F149" s="441">
        <v>0</v>
      </c>
      <c r="G149" s="127">
        <v>0.29166666666666669</v>
      </c>
      <c r="H149" s="127">
        <v>0.83333333333333337</v>
      </c>
      <c r="I149" s="441">
        <v>1</v>
      </c>
      <c r="J149" s="84">
        <v>0.33333333333333331</v>
      </c>
      <c r="K149" s="441">
        <v>0</v>
      </c>
      <c r="L149" s="127">
        <v>0.125</v>
      </c>
      <c r="M149" s="127">
        <v>0.20833333333333334</v>
      </c>
      <c r="N149" s="441">
        <v>0.29166666666666669</v>
      </c>
      <c r="O149" s="84">
        <f t="shared" si="46"/>
        <v>0.20833333333333334</v>
      </c>
      <c r="P149" s="441">
        <v>0.83333333333333337</v>
      </c>
      <c r="Q149" s="127"/>
      <c r="R149" s="127"/>
      <c r="S149" s="441">
        <v>1</v>
      </c>
      <c r="T149" s="84">
        <f>IFERROR(MOD(S149-P149,1)-MOD(R149-Q149,1),"")</f>
        <v>0.16666666666666663</v>
      </c>
      <c r="U149" s="441">
        <v>0</v>
      </c>
      <c r="V149" s="127">
        <v>0.29166666666666669</v>
      </c>
      <c r="W149" s="127">
        <v>0.83333333333333337</v>
      </c>
      <c r="X149" s="441">
        <v>1</v>
      </c>
      <c r="Y149" s="84">
        <v>0.375</v>
      </c>
      <c r="Z149" s="441">
        <v>0</v>
      </c>
      <c r="AA149" s="127">
        <v>8.3333333333333329E-2</v>
      </c>
      <c r="AB149" s="127">
        <v>0.16666666666666666</v>
      </c>
      <c r="AC149" s="441">
        <v>0.29166666666666669</v>
      </c>
      <c r="AD149" s="84">
        <f t="shared" si="44"/>
        <v>0.20833333333333337</v>
      </c>
      <c r="AE149" s="441">
        <v>0.83333333333333337</v>
      </c>
      <c r="AF149" s="127"/>
      <c r="AG149" s="127"/>
      <c r="AH149" s="441">
        <v>1</v>
      </c>
      <c r="AI149" s="84">
        <f>IFERROR(MOD(AH149-AE149,1)-MOD(AG149-AF149,1),"")</f>
        <v>0.16666666666666663</v>
      </c>
      <c r="AJ149" s="85">
        <v>0</v>
      </c>
      <c r="AK149" s="127">
        <v>0.29166666666666669</v>
      </c>
      <c r="AL149" s="127">
        <v>21</v>
      </c>
      <c r="AM149" s="85">
        <v>1</v>
      </c>
      <c r="AN149" s="84">
        <v>0.33333333333333331</v>
      </c>
      <c r="AO149" s="28">
        <f t="shared" si="45"/>
        <v>1.7916666666666663</v>
      </c>
      <c r="AQ149" s="302"/>
      <c r="AS149" s="33"/>
    </row>
    <row r="150" spans="1:72" s="1" customFormat="1" ht="14.45" customHeight="1" x14ac:dyDescent="0.25">
      <c r="A150" s="177" t="s">
        <v>590</v>
      </c>
      <c r="B150" s="443" t="s">
        <v>234</v>
      </c>
      <c r="C150" s="311"/>
      <c r="D150" s="455" t="s">
        <v>19</v>
      </c>
      <c r="E150" s="164" t="s">
        <v>347</v>
      </c>
      <c r="F150" s="176" t="s">
        <v>156</v>
      </c>
      <c r="G150" s="127" t="s">
        <v>156</v>
      </c>
      <c r="H150" s="127" t="s">
        <v>156</v>
      </c>
      <c r="I150" s="176" t="s">
        <v>156</v>
      </c>
      <c r="J150" s="84" t="str">
        <f>IFERROR(MOD(I150-F150,1)-MOD(H150-G150,1),"")</f>
        <v/>
      </c>
      <c r="K150" s="176" t="s">
        <v>156</v>
      </c>
      <c r="L150" s="127" t="s">
        <v>156</v>
      </c>
      <c r="M150" s="127" t="s">
        <v>156</v>
      </c>
      <c r="N150" s="176" t="s">
        <v>156</v>
      </c>
      <c r="O150" s="84" t="str">
        <f t="shared" si="46"/>
        <v/>
      </c>
      <c r="P150" s="176" t="s">
        <v>156</v>
      </c>
      <c r="Q150" s="127" t="s">
        <v>156</v>
      </c>
      <c r="R150" s="127" t="s">
        <v>156</v>
      </c>
      <c r="S150" s="176" t="s">
        <v>156</v>
      </c>
      <c r="T150" s="84" t="str">
        <f>IFERROR(MOD(S150-P150,1)-MOD(R150-Q150,1),"")</f>
        <v/>
      </c>
      <c r="U150" s="176" t="s">
        <v>156</v>
      </c>
      <c r="V150" s="127" t="s">
        <v>156</v>
      </c>
      <c r="W150" s="127" t="s">
        <v>156</v>
      </c>
      <c r="X150" s="176" t="s">
        <v>156</v>
      </c>
      <c r="Y150" s="84" t="str">
        <f>IFERROR(MOD(X150-U150,1)-MOD(W150-V150,1),"")</f>
        <v/>
      </c>
      <c r="Z150" s="176" t="s">
        <v>156</v>
      </c>
      <c r="AA150" s="127" t="s">
        <v>156</v>
      </c>
      <c r="AB150" s="127" t="s">
        <v>156</v>
      </c>
      <c r="AC150" s="176" t="s">
        <v>156</v>
      </c>
      <c r="AD150" s="84" t="str">
        <f t="shared" si="44"/>
        <v/>
      </c>
      <c r="AE150" s="176" t="s">
        <v>156</v>
      </c>
      <c r="AF150" s="127" t="s">
        <v>156</v>
      </c>
      <c r="AG150" s="127" t="s">
        <v>156</v>
      </c>
      <c r="AH150" s="176" t="s">
        <v>156</v>
      </c>
      <c r="AI150" s="84" t="str">
        <f>IFERROR(MOD(AH150-AE150,1)-MOD(AG150-AF150,1),"")</f>
        <v/>
      </c>
      <c r="AJ150" s="176" t="s">
        <v>156</v>
      </c>
      <c r="AK150" s="127" t="s">
        <v>156</v>
      </c>
      <c r="AL150" s="127" t="s">
        <v>156</v>
      </c>
      <c r="AM150" s="176" t="s">
        <v>156</v>
      </c>
      <c r="AN150" s="84" t="str">
        <f>IFERROR(MOD(AM150-AJ150,1)-MOD(AL150-AK150,1),"")</f>
        <v/>
      </c>
      <c r="AO150" s="28">
        <f t="shared" si="45"/>
        <v>0</v>
      </c>
      <c r="AP150" s="174"/>
      <c r="AQ150" s="302"/>
      <c r="AS150" s="33"/>
    </row>
    <row r="151" spans="1:72" s="1" customFormat="1" ht="14.45" customHeight="1" x14ac:dyDescent="0.25">
      <c r="A151" s="448" t="s">
        <v>276</v>
      </c>
      <c r="B151" s="442" t="s">
        <v>193</v>
      </c>
      <c r="C151" s="311"/>
      <c r="D151" s="455" t="s">
        <v>19</v>
      </c>
      <c r="E151" s="440" t="s">
        <v>79</v>
      </c>
      <c r="F151" s="85">
        <v>0</v>
      </c>
      <c r="G151" s="127">
        <v>0.125</v>
      </c>
      <c r="H151" s="127">
        <v>0.20833333333333334</v>
      </c>
      <c r="I151" s="85">
        <v>0.29166666666666669</v>
      </c>
      <c r="J151" s="84">
        <f>IFERROR(MOD(I151-F151,1)-MOD(H151-G151,1),"")</f>
        <v>0.20833333333333334</v>
      </c>
      <c r="K151" s="85">
        <v>0.83333333333333337</v>
      </c>
      <c r="L151" s="127"/>
      <c r="M151" s="127"/>
      <c r="N151" s="85">
        <v>1</v>
      </c>
      <c r="O151" s="84">
        <f t="shared" si="46"/>
        <v>0.16666666666666663</v>
      </c>
      <c r="P151" s="85">
        <v>0</v>
      </c>
      <c r="Q151" s="127">
        <v>0.29166666666666669</v>
      </c>
      <c r="R151" s="127">
        <v>0.875</v>
      </c>
      <c r="S151" s="85">
        <v>1</v>
      </c>
      <c r="T151" s="84">
        <v>0.33333333333333331</v>
      </c>
      <c r="U151" s="85">
        <v>0</v>
      </c>
      <c r="V151" s="127">
        <v>8.3333333333333329E-2</v>
      </c>
      <c r="W151" s="127">
        <v>0.16666666666666666</v>
      </c>
      <c r="X151" s="85">
        <v>0.29166666666666669</v>
      </c>
      <c r="Y151" s="84">
        <f>IFERROR(MOD(X151-U151,1)-MOD(W151-V151,1),"")</f>
        <v>0.20833333333333337</v>
      </c>
      <c r="Z151" s="85">
        <v>0.83333333333333337</v>
      </c>
      <c r="AA151" s="127"/>
      <c r="AB151" s="127"/>
      <c r="AC151" s="85">
        <v>1</v>
      </c>
      <c r="AD151" s="84">
        <f t="shared" si="44"/>
        <v>0.16666666666666663</v>
      </c>
      <c r="AE151" s="85">
        <v>0</v>
      </c>
      <c r="AF151" s="127">
        <v>0.29166666666666669</v>
      </c>
      <c r="AG151" s="127">
        <v>0.875</v>
      </c>
      <c r="AH151" s="85">
        <v>1</v>
      </c>
      <c r="AI151" s="84">
        <v>0.33333333333333331</v>
      </c>
      <c r="AJ151" s="85">
        <v>0</v>
      </c>
      <c r="AK151" s="127">
        <v>0.29166666666666669</v>
      </c>
      <c r="AL151" s="127">
        <v>0.875</v>
      </c>
      <c r="AM151" s="85">
        <v>1</v>
      </c>
      <c r="AN151" s="84">
        <v>0.33333333333333331</v>
      </c>
      <c r="AO151" s="28">
        <f t="shared" si="45"/>
        <v>1.7499999999999998</v>
      </c>
      <c r="AP151" s="385"/>
      <c r="AQ151" s="405"/>
      <c r="AR151" s="413"/>
      <c r="AS151" s="413"/>
      <c r="AT151" s="413"/>
      <c r="AU151" s="413"/>
      <c r="AV151" s="404"/>
      <c r="AW151" s="404"/>
      <c r="AX151" s="404"/>
      <c r="AY151" s="404"/>
      <c r="AZ151" s="404"/>
      <c r="BA151" s="404"/>
      <c r="BB151" s="404"/>
      <c r="BC151" s="404"/>
      <c r="BD151" s="404"/>
      <c r="BE151" s="404"/>
      <c r="BF151" s="404"/>
      <c r="BG151" s="404"/>
      <c r="BH151" s="404"/>
      <c r="BI151" s="404"/>
      <c r="BJ151" s="404"/>
      <c r="BK151" s="404"/>
      <c r="BL151" s="404"/>
      <c r="BM151" s="404"/>
      <c r="BN151" s="404"/>
      <c r="BO151" s="404"/>
      <c r="BP151" s="404"/>
      <c r="BQ151" s="404"/>
      <c r="BR151" s="404"/>
      <c r="BS151" s="404"/>
      <c r="BT151" s="404"/>
    </row>
    <row r="152" spans="1:72" s="1" customFormat="1" ht="14.45" customHeight="1" x14ac:dyDescent="0.25">
      <c r="A152" s="290" t="s">
        <v>286</v>
      </c>
      <c r="B152" s="442" t="s">
        <v>298</v>
      </c>
      <c r="C152" s="311"/>
      <c r="D152" s="455" t="s">
        <v>19</v>
      </c>
      <c r="E152" s="440" t="s">
        <v>79</v>
      </c>
      <c r="F152" s="85">
        <v>0</v>
      </c>
      <c r="G152" s="127">
        <v>0.29166666666666669</v>
      </c>
      <c r="H152" s="127">
        <v>0.875</v>
      </c>
      <c r="I152" s="85">
        <v>1</v>
      </c>
      <c r="J152" s="84">
        <v>0.33333333333333331</v>
      </c>
      <c r="K152" s="85">
        <v>0</v>
      </c>
      <c r="L152" s="127">
        <v>4.1666666666666664E-2</v>
      </c>
      <c r="M152" s="127">
        <v>0.125</v>
      </c>
      <c r="N152" s="85">
        <v>0.29166666666666669</v>
      </c>
      <c r="O152" s="84">
        <f t="shared" si="46"/>
        <v>0.20833333333333334</v>
      </c>
      <c r="P152" s="85">
        <v>0.83333333333333337</v>
      </c>
      <c r="Q152" s="127"/>
      <c r="R152" s="127"/>
      <c r="S152" s="85">
        <v>1</v>
      </c>
      <c r="T152" s="84">
        <f t="shared" ref="T152:T184" si="48">IFERROR(MOD(S152-P152,1)-MOD(R152-Q152,1),"")</f>
        <v>0.16666666666666663</v>
      </c>
      <c r="U152" s="85">
        <v>0</v>
      </c>
      <c r="V152" s="127">
        <v>0.29166666666666669</v>
      </c>
      <c r="W152" s="127">
        <v>0.875</v>
      </c>
      <c r="X152" s="85">
        <v>1</v>
      </c>
      <c r="Y152" s="84">
        <v>0.33333333333333331</v>
      </c>
      <c r="Z152" s="85">
        <v>0</v>
      </c>
      <c r="AA152" s="127">
        <v>0.29166666666666669</v>
      </c>
      <c r="AB152" s="127">
        <v>0.875</v>
      </c>
      <c r="AC152" s="85">
        <v>1</v>
      </c>
      <c r="AD152" s="84">
        <v>0.33333333333333331</v>
      </c>
      <c r="AE152" s="85">
        <v>0</v>
      </c>
      <c r="AF152" s="127">
        <v>0.125</v>
      </c>
      <c r="AG152" s="127">
        <v>0.20833333333333334</v>
      </c>
      <c r="AH152" s="85">
        <v>0.29166666666666669</v>
      </c>
      <c r="AI152" s="84">
        <f t="shared" ref="AI152:AI190" si="49">IFERROR(MOD(AH152-AE152,1)-MOD(AG152-AF152,1),"")</f>
        <v>0.20833333333333334</v>
      </c>
      <c r="AJ152" s="85">
        <v>0</v>
      </c>
      <c r="AK152" s="127">
        <v>0.29166666666666669</v>
      </c>
      <c r="AL152" s="127">
        <v>0.875</v>
      </c>
      <c r="AM152" s="85">
        <v>1</v>
      </c>
      <c r="AN152" s="84">
        <v>0.33333333333333331</v>
      </c>
      <c r="AO152" s="28">
        <f t="shared" si="45"/>
        <v>1.9166666666666663</v>
      </c>
      <c r="AQ152" s="302"/>
    </row>
    <row r="153" spans="1:72" s="1" customFormat="1" ht="14.45" customHeight="1" x14ac:dyDescent="0.25">
      <c r="A153" s="290" t="s">
        <v>264</v>
      </c>
      <c r="B153" s="446" t="s">
        <v>317</v>
      </c>
      <c r="C153" s="311"/>
      <c r="D153" s="457" t="s">
        <v>520</v>
      </c>
      <c r="E153" s="164" t="s">
        <v>347</v>
      </c>
      <c r="F153" s="431" t="s">
        <v>15</v>
      </c>
      <c r="G153" s="127" t="s">
        <v>15</v>
      </c>
      <c r="H153" s="127" t="s">
        <v>15</v>
      </c>
      <c r="I153" s="431" t="s">
        <v>15</v>
      </c>
      <c r="J153" s="84" t="str">
        <f t="shared" ref="J153" si="50">IFERROR(MOD(I153-F153,1)-MOD(H153-G153,1),"")</f>
        <v/>
      </c>
      <c r="K153" s="431" t="s">
        <v>15</v>
      </c>
      <c r="L153" s="127" t="s">
        <v>15</v>
      </c>
      <c r="M153" s="127" t="s">
        <v>15</v>
      </c>
      <c r="N153" s="431" t="s">
        <v>15</v>
      </c>
      <c r="O153" s="84" t="str">
        <f t="shared" si="46"/>
        <v/>
      </c>
      <c r="P153" s="176">
        <v>0.27083333333333331</v>
      </c>
      <c r="Q153" s="127">
        <v>0.41666666666666669</v>
      </c>
      <c r="R153" s="127">
        <v>0.5</v>
      </c>
      <c r="S153" s="176">
        <v>0.6875</v>
      </c>
      <c r="T153" s="84">
        <f t="shared" si="48"/>
        <v>0.33333333333333337</v>
      </c>
      <c r="U153" s="176">
        <v>0.375</v>
      </c>
      <c r="V153" s="127">
        <v>0.625</v>
      </c>
      <c r="W153" s="127">
        <v>0.70833333333333337</v>
      </c>
      <c r="X153" s="176">
        <v>0.79166666666666663</v>
      </c>
      <c r="Y153" s="84">
        <f t="shared" ref="Y153:Y190" si="51">IFERROR(MOD(X153-U153,1)-MOD(W153-V153,1),"")</f>
        <v>0.33333333333333326</v>
      </c>
      <c r="Z153" s="176">
        <v>0.41666666666666669</v>
      </c>
      <c r="AA153" s="127">
        <v>0.66666666666666663</v>
      </c>
      <c r="AB153" s="127">
        <v>0.75</v>
      </c>
      <c r="AC153" s="176">
        <v>0.83333333333333337</v>
      </c>
      <c r="AD153" s="84">
        <f t="shared" ref="AD153:AD190" si="52">IFERROR(MOD(AC153-Z153,1)-MOD(AB153-AA153,1),"")</f>
        <v>0.33333333333333331</v>
      </c>
      <c r="AE153" s="176">
        <v>0.54166666666666663</v>
      </c>
      <c r="AF153" s="127">
        <v>0.66666666666666663</v>
      </c>
      <c r="AG153" s="127">
        <v>0.70833333333333337</v>
      </c>
      <c r="AH153" s="176">
        <v>0.9375</v>
      </c>
      <c r="AI153" s="84">
        <f t="shared" si="49"/>
        <v>0.35416666666666663</v>
      </c>
      <c r="AJ153" s="176">
        <v>0.52083333333333337</v>
      </c>
      <c r="AK153" s="127">
        <v>0.70833333333333337</v>
      </c>
      <c r="AL153" s="127">
        <v>0.75</v>
      </c>
      <c r="AM153" s="176">
        <v>0.89583333333333337</v>
      </c>
      <c r="AN153" s="84">
        <f t="shared" ref="AN153:AN183" si="53">IFERROR(MOD(AM153-AJ153,1)-MOD(AL153-AK153,1),"")</f>
        <v>0.33333333333333337</v>
      </c>
      <c r="AO153" s="28">
        <f t="shared" si="45"/>
        <v>1.6875</v>
      </c>
      <c r="AP153" s="36"/>
      <c r="AQ153"/>
    </row>
    <row r="154" spans="1:72" s="1" customFormat="1" ht="14.45" customHeight="1" x14ac:dyDescent="0.25">
      <c r="A154" s="290" t="s">
        <v>276</v>
      </c>
      <c r="B154" s="446" t="s">
        <v>309</v>
      </c>
      <c r="C154" s="311"/>
      <c r="D154" s="457" t="s">
        <v>520</v>
      </c>
      <c r="E154" s="164" t="s">
        <v>347</v>
      </c>
      <c r="F154" s="176">
        <v>0.375</v>
      </c>
      <c r="G154" s="127">
        <v>0.54166666666666663</v>
      </c>
      <c r="H154" s="127">
        <v>0.625</v>
      </c>
      <c r="I154" s="176">
        <v>0.79166666666666663</v>
      </c>
      <c r="J154" s="84">
        <f t="shared" ref="J154:J190" si="54">IFERROR(MOD(I154-F154,1)-MOD(H154-G154,1),"")</f>
        <v>0.33333333333333326</v>
      </c>
      <c r="K154" s="176">
        <v>0.29166666666666669</v>
      </c>
      <c r="L154" s="127">
        <v>0.41666666666666669</v>
      </c>
      <c r="M154" s="127">
        <v>0.5</v>
      </c>
      <c r="N154" s="176">
        <v>0.70833333333333337</v>
      </c>
      <c r="O154" s="84">
        <f t="shared" si="46"/>
        <v>0.33333333333333337</v>
      </c>
      <c r="P154" s="176">
        <v>0.27083333333333331</v>
      </c>
      <c r="Q154" s="127">
        <v>0.41666666666666669</v>
      </c>
      <c r="R154" s="127">
        <v>0.5</v>
      </c>
      <c r="S154" s="176">
        <v>0.6875</v>
      </c>
      <c r="T154" s="84">
        <f t="shared" si="48"/>
        <v>0.33333333333333337</v>
      </c>
      <c r="U154" s="176">
        <v>0.41666666666666669</v>
      </c>
      <c r="V154" s="127">
        <v>0.66666666666666663</v>
      </c>
      <c r="W154" s="127">
        <v>0.75</v>
      </c>
      <c r="X154" s="176">
        <v>0.83333333333333337</v>
      </c>
      <c r="Y154" s="84">
        <f t="shared" si="51"/>
        <v>0.33333333333333331</v>
      </c>
      <c r="Z154" s="176">
        <v>0.5</v>
      </c>
      <c r="AA154" s="127">
        <v>0.75</v>
      </c>
      <c r="AB154" s="127">
        <v>0.79166666666666663</v>
      </c>
      <c r="AC154" s="176">
        <v>0.875</v>
      </c>
      <c r="AD154" s="84">
        <f t="shared" si="52"/>
        <v>0.33333333333333337</v>
      </c>
      <c r="AE154" s="431" t="s">
        <v>15</v>
      </c>
      <c r="AF154" s="127" t="s">
        <v>15</v>
      </c>
      <c r="AG154" s="127" t="s">
        <v>15</v>
      </c>
      <c r="AH154" s="431" t="s">
        <v>15</v>
      </c>
      <c r="AI154" s="84" t="str">
        <f t="shared" si="49"/>
        <v/>
      </c>
      <c r="AJ154" s="431" t="s">
        <v>15</v>
      </c>
      <c r="AK154" s="127" t="s">
        <v>15</v>
      </c>
      <c r="AL154" s="127" t="s">
        <v>15</v>
      </c>
      <c r="AM154" s="431" t="s">
        <v>15</v>
      </c>
      <c r="AN154" s="84" t="str">
        <f t="shared" si="53"/>
        <v/>
      </c>
      <c r="AO154" s="28">
        <f t="shared" si="45"/>
        <v>1.6666666666666665</v>
      </c>
      <c r="AQ154" s="302"/>
    </row>
    <row r="155" spans="1:72" s="1" customFormat="1" ht="14.45" customHeight="1" x14ac:dyDescent="0.25">
      <c r="A155" s="290" t="s">
        <v>591</v>
      </c>
      <c r="B155" s="446" t="s">
        <v>534</v>
      </c>
      <c r="C155" s="311"/>
      <c r="D155" s="457" t="s">
        <v>520</v>
      </c>
      <c r="E155" s="164" t="s">
        <v>347</v>
      </c>
      <c r="F155" s="176">
        <v>0.27083333333333331</v>
      </c>
      <c r="G155" s="127">
        <v>0.41666666666666669</v>
      </c>
      <c r="H155" s="127">
        <v>0.5</v>
      </c>
      <c r="I155" s="176">
        <v>0.6875</v>
      </c>
      <c r="J155" s="84">
        <f t="shared" si="54"/>
        <v>0.33333333333333337</v>
      </c>
      <c r="K155" s="176">
        <v>0.27083333333333331</v>
      </c>
      <c r="L155" s="127">
        <v>0.41666666666666669</v>
      </c>
      <c r="M155" s="127">
        <v>0.5</v>
      </c>
      <c r="N155" s="176">
        <v>0.6875</v>
      </c>
      <c r="O155" s="84">
        <f t="shared" si="46"/>
        <v>0.33333333333333337</v>
      </c>
      <c r="P155" s="176">
        <v>0.5</v>
      </c>
      <c r="Q155" s="127">
        <v>0.75</v>
      </c>
      <c r="R155" s="127">
        <v>0.79166666666666663</v>
      </c>
      <c r="S155" s="176">
        <v>0.875</v>
      </c>
      <c r="T155" s="84">
        <f t="shared" si="48"/>
        <v>0.33333333333333337</v>
      </c>
      <c r="U155" s="176">
        <v>0.54166666666666663</v>
      </c>
      <c r="V155" s="127">
        <v>0.75</v>
      </c>
      <c r="W155" s="127">
        <v>0.79166666666666663</v>
      </c>
      <c r="X155" s="176">
        <v>0.9375</v>
      </c>
      <c r="Y155" s="84">
        <f t="shared" si="51"/>
        <v>0.35416666666666674</v>
      </c>
      <c r="Z155" s="431" t="s">
        <v>15</v>
      </c>
      <c r="AA155" s="127" t="s">
        <v>15</v>
      </c>
      <c r="AB155" s="127" t="s">
        <v>15</v>
      </c>
      <c r="AC155" s="431" t="s">
        <v>15</v>
      </c>
      <c r="AD155" s="84" t="str">
        <f t="shared" si="52"/>
        <v/>
      </c>
      <c r="AE155" s="176">
        <v>0.3125</v>
      </c>
      <c r="AF155" s="127">
        <v>0.54166666666666663</v>
      </c>
      <c r="AG155" s="127">
        <v>0.625</v>
      </c>
      <c r="AH155" s="176">
        <v>0.72916666666666663</v>
      </c>
      <c r="AI155" s="84">
        <f t="shared" si="49"/>
        <v>0.33333333333333326</v>
      </c>
      <c r="AJ155" s="431" t="s">
        <v>15</v>
      </c>
      <c r="AK155" s="127" t="s">
        <v>15</v>
      </c>
      <c r="AL155" s="127" t="s">
        <v>15</v>
      </c>
      <c r="AM155" s="431" t="s">
        <v>15</v>
      </c>
      <c r="AN155" s="84" t="str">
        <f t="shared" si="53"/>
        <v/>
      </c>
      <c r="AO155" s="28">
        <f t="shared" si="45"/>
        <v>1.6875</v>
      </c>
      <c r="AQ155"/>
    </row>
    <row r="156" spans="1:72" s="1" customFormat="1" ht="14.45" customHeight="1" x14ac:dyDescent="0.25">
      <c r="A156" s="290" t="s">
        <v>263</v>
      </c>
      <c r="B156" s="446" t="s">
        <v>313</v>
      </c>
      <c r="C156" s="311"/>
      <c r="D156" s="457" t="s">
        <v>520</v>
      </c>
      <c r="E156" s="164" t="s">
        <v>347</v>
      </c>
      <c r="F156" s="176">
        <v>0.29166666666666669</v>
      </c>
      <c r="G156" s="127">
        <v>0.5</v>
      </c>
      <c r="H156" s="127">
        <v>0.58333333333333337</v>
      </c>
      <c r="I156" s="176">
        <v>0.70833333333333337</v>
      </c>
      <c r="J156" s="84">
        <f t="shared" si="54"/>
        <v>0.33333333333333331</v>
      </c>
      <c r="K156" s="176">
        <v>0.41666666666666669</v>
      </c>
      <c r="L156" s="127">
        <v>0.66666666666666663</v>
      </c>
      <c r="M156" s="127">
        <v>0.75</v>
      </c>
      <c r="N156" s="176">
        <v>0.83333333333333337</v>
      </c>
      <c r="O156" s="84">
        <f t="shared" si="46"/>
        <v>0.33333333333333331</v>
      </c>
      <c r="P156" s="176">
        <v>0.52083333333333337</v>
      </c>
      <c r="Q156" s="127">
        <v>0.75</v>
      </c>
      <c r="R156" s="127">
        <v>0.79166666666666663</v>
      </c>
      <c r="S156" s="176">
        <v>0.89583333333333337</v>
      </c>
      <c r="T156" s="84">
        <f t="shared" si="48"/>
        <v>0.33333333333333337</v>
      </c>
      <c r="U156" s="176">
        <v>0.54166666666666663</v>
      </c>
      <c r="V156" s="127">
        <v>0.75</v>
      </c>
      <c r="W156" s="127">
        <v>0.79166666666666663</v>
      </c>
      <c r="X156" s="176">
        <v>0.9375</v>
      </c>
      <c r="Y156" s="84">
        <f t="shared" si="51"/>
        <v>0.35416666666666674</v>
      </c>
      <c r="Z156" s="431" t="s">
        <v>15</v>
      </c>
      <c r="AA156" s="127" t="s">
        <v>15</v>
      </c>
      <c r="AB156" s="127" t="s">
        <v>15</v>
      </c>
      <c r="AC156" s="431" t="s">
        <v>15</v>
      </c>
      <c r="AD156" s="84" t="str">
        <f t="shared" si="52"/>
        <v/>
      </c>
      <c r="AE156" s="176">
        <v>0.41666666666666669</v>
      </c>
      <c r="AF156" s="127">
        <v>0.58333333333333337</v>
      </c>
      <c r="AG156" s="127">
        <v>0.66666666666666663</v>
      </c>
      <c r="AH156" s="176">
        <v>0.83333333333333337</v>
      </c>
      <c r="AI156" s="84">
        <f t="shared" si="49"/>
        <v>0.33333333333333343</v>
      </c>
      <c r="AJ156" s="431" t="s">
        <v>15</v>
      </c>
      <c r="AK156" s="127" t="s">
        <v>15</v>
      </c>
      <c r="AL156" s="127" t="s">
        <v>15</v>
      </c>
      <c r="AM156" s="431" t="s">
        <v>15</v>
      </c>
      <c r="AN156" s="84" t="str">
        <f t="shared" si="53"/>
        <v/>
      </c>
      <c r="AO156" s="28">
        <f t="shared" si="45"/>
        <v>1.6875000000000002</v>
      </c>
      <c r="AQ156"/>
    </row>
    <row r="157" spans="1:72" s="1" customFormat="1" ht="14.45" customHeight="1" x14ac:dyDescent="0.25">
      <c r="A157" s="290" t="s">
        <v>591</v>
      </c>
      <c r="B157" s="446" t="s">
        <v>304</v>
      </c>
      <c r="C157" s="311"/>
      <c r="D157" s="457" t="s">
        <v>520</v>
      </c>
      <c r="E157" s="164" t="s">
        <v>347</v>
      </c>
      <c r="F157" s="431" t="s">
        <v>15</v>
      </c>
      <c r="G157" s="127" t="s">
        <v>15</v>
      </c>
      <c r="H157" s="127" t="s">
        <v>15</v>
      </c>
      <c r="I157" s="431" t="s">
        <v>15</v>
      </c>
      <c r="J157" s="84" t="str">
        <f t="shared" si="54"/>
        <v/>
      </c>
      <c r="K157" s="431" t="s">
        <v>15</v>
      </c>
      <c r="L157" s="127" t="s">
        <v>15</v>
      </c>
      <c r="M157" s="127" t="s">
        <v>15</v>
      </c>
      <c r="N157" s="431" t="s">
        <v>15</v>
      </c>
      <c r="O157" s="84" t="str">
        <f t="shared" si="46"/>
        <v/>
      </c>
      <c r="P157" s="176">
        <v>0.29166666666666669</v>
      </c>
      <c r="Q157" s="127">
        <v>0.45833333333333331</v>
      </c>
      <c r="R157" s="127">
        <v>0.54166666666666663</v>
      </c>
      <c r="S157" s="176">
        <v>0.70833333333333337</v>
      </c>
      <c r="T157" s="84">
        <f t="shared" si="48"/>
        <v>0.33333333333333337</v>
      </c>
      <c r="U157" s="176">
        <v>0.375</v>
      </c>
      <c r="V157" s="127">
        <v>0.625</v>
      </c>
      <c r="W157" s="127">
        <v>0.70833333333333337</v>
      </c>
      <c r="X157" s="176">
        <v>0.79166666666666663</v>
      </c>
      <c r="Y157" s="84">
        <f t="shared" si="51"/>
        <v>0.33333333333333326</v>
      </c>
      <c r="Z157" s="176">
        <v>0.54166666666666663</v>
      </c>
      <c r="AA157" s="127">
        <v>0.66666666666666663</v>
      </c>
      <c r="AB157" s="127">
        <v>0.70833333333333337</v>
      </c>
      <c r="AC157" s="176">
        <v>0.91666666666666663</v>
      </c>
      <c r="AD157" s="84">
        <f t="shared" si="52"/>
        <v>0.33333333333333326</v>
      </c>
      <c r="AE157" s="176">
        <v>0.41666666666666669</v>
      </c>
      <c r="AF157" s="127">
        <v>0.58333333333333337</v>
      </c>
      <c r="AG157" s="127">
        <v>0.66666666666666663</v>
      </c>
      <c r="AH157" s="176">
        <v>0.83333333333333337</v>
      </c>
      <c r="AI157" s="84">
        <f t="shared" si="49"/>
        <v>0.33333333333333343</v>
      </c>
      <c r="AJ157" s="176">
        <v>0.33333333333333331</v>
      </c>
      <c r="AK157" s="127">
        <v>0.58333333333333337</v>
      </c>
      <c r="AL157" s="127">
        <v>0.66666666666666663</v>
      </c>
      <c r="AM157" s="176">
        <v>0.75</v>
      </c>
      <c r="AN157" s="84">
        <f t="shared" si="53"/>
        <v>0.33333333333333343</v>
      </c>
      <c r="AO157" s="28">
        <f t="shared" si="45"/>
        <v>1.6666666666666667</v>
      </c>
      <c r="AQ157" s="302"/>
    </row>
    <row r="158" spans="1:72" s="404" customFormat="1" ht="14.45" customHeight="1" x14ac:dyDescent="0.2">
      <c r="A158" s="402" t="s">
        <v>286</v>
      </c>
      <c r="B158" s="446" t="s">
        <v>540</v>
      </c>
      <c r="C158" s="311"/>
      <c r="D158" s="457" t="s">
        <v>520</v>
      </c>
      <c r="E158" s="164" t="s">
        <v>347</v>
      </c>
      <c r="F158" s="176">
        <v>0.3125</v>
      </c>
      <c r="G158" s="127">
        <v>0.54166666666666663</v>
      </c>
      <c r="H158" s="127">
        <v>0.625</v>
      </c>
      <c r="I158" s="176">
        <v>0.72916666666666663</v>
      </c>
      <c r="J158" s="84">
        <f t="shared" si="54"/>
        <v>0.33333333333333326</v>
      </c>
      <c r="K158" s="176">
        <v>0.29166666666666669</v>
      </c>
      <c r="L158" s="127">
        <v>0.41666666666666669</v>
      </c>
      <c r="M158" s="127">
        <v>0.5</v>
      </c>
      <c r="N158" s="176">
        <v>0.70833333333333337</v>
      </c>
      <c r="O158" s="84">
        <f t="shared" si="46"/>
        <v>0.33333333333333337</v>
      </c>
      <c r="P158" s="176">
        <v>0.41666666666666669</v>
      </c>
      <c r="Q158" s="127">
        <v>0.66666666666666663</v>
      </c>
      <c r="R158" s="127">
        <v>0.75</v>
      </c>
      <c r="S158" s="176">
        <v>0.83333333333333337</v>
      </c>
      <c r="T158" s="84">
        <f t="shared" si="48"/>
        <v>0.33333333333333331</v>
      </c>
      <c r="U158" s="176">
        <v>0.54166666666666663</v>
      </c>
      <c r="V158" s="127">
        <v>0.75</v>
      </c>
      <c r="W158" s="127">
        <v>0.79166666666666663</v>
      </c>
      <c r="X158" s="176">
        <v>0.9375</v>
      </c>
      <c r="Y158" s="84">
        <f t="shared" si="51"/>
        <v>0.35416666666666674</v>
      </c>
      <c r="Z158" s="176">
        <v>0.52083333333333337</v>
      </c>
      <c r="AA158" s="127">
        <v>0.75</v>
      </c>
      <c r="AB158" s="127">
        <v>0.79166666666666663</v>
      </c>
      <c r="AC158" s="176">
        <v>0.89583333333333337</v>
      </c>
      <c r="AD158" s="84">
        <f t="shared" si="52"/>
        <v>0.33333333333333337</v>
      </c>
      <c r="AE158" s="431" t="s">
        <v>15</v>
      </c>
      <c r="AF158" s="127" t="s">
        <v>15</v>
      </c>
      <c r="AG158" s="127" t="s">
        <v>15</v>
      </c>
      <c r="AH158" s="431" t="s">
        <v>15</v>
      </c>
      <c r="AI158" s="84" t="str">
        <f t="shared" si="49"/>
        <v/>
      </c>
      <c r="AJ158" s="431" t="s">
        <v>15</v>
      </c>
      <c r="AK158" s="127" t="s">
        <v>15</v>
      </c>
      <c r="AL158" s="127" t="s">
        <v>15</v>
      </c>
      <c r="AM158" s="431" t="s">
        <v>15</v>
      </c>
      <c r="AN158" s="84" t="str">
        <f t="shared" si="53"/>
        <v/>
      </c>
      <c r="AO158" s="28">
        <f t="shared" si="45"/>
        <v>1.6875</v>
      </c>
      <c r="AP158" s="385"/>
      <c r="AQ158" s="405"/>
      <c r="AR158" s="385"/>
      <c r="AS158" s="385"/>
      <c r="AT158" s="385"/>
      <c r="AU158" s="385"/>
      <c r="AV158" s="385"/>
      <c r="AW158" s="385"/>
      <c r="AX158" s="385"/>
      <c r="AY158" s="385"/>
      <c r="AZ158" s="385"/>
      <c r="BA158" s="385"/>
      <c r="BB158" s="385"/>
      <c r="BC158" s="385"/>
      <c r="BD158" s="385"/>
      <c r="BE158" s="385"/>
      <c r="BF158" s="385"/>
      <c r="BG158" s="385"/>
      <c r="BH158" s="385"/>
      <c r="BI158" s="385"/>
      <c r="BJ158" s="385"/>
      <c r="BK158" s="385"/>
      <c r="BL158" s="385"/>
      <c r="BM158" s="385"/>
      <c r="BN158" s="385"/>
      <c r="BO158" s="385"/>
      <c r="BP158" s="385"/>
      <c r="BQ158" s="385"/>
      <c r="BR158" s="385"/>
      <c r="BS158" s="385"/>
      <c r="BT158" s="385"/>
    </row>
    <row r="159" spans="1:72" ht="15" customHeight="1" x14ac:dyDescent="0.2">
      <c r="A159" s="448" t="s">
        <v>276</v>
      </c>
      <c r="B159" s="446" t="s">
        <v>303</v>
      </c>
      <c r="C159" s="311" t="s">
        <v>463</v>
      </c>
      <c r="D159" s="457" t="s">
        <v>520</v>
      </c>
      <c r="E159" s="164" t="s">
        <v>347</v>
      </c>
      <c r="F159" s="176">
        <v>0.33333333333333331</v>
      </c>
      <c r="G159" s="127"/>
      <c r="H159" s="127"/>
      <c r="I159" s="176">
        <v>0.60416666666666663</v>
      </c>
      <c r="J159" s="84">
        <f t="shared" si="54"/>
        <v>0.27083333333333331</v>
      </c>
      <c r="K159" s="431" t="s">
        <v>15</v>
      </c>
      <c r="L159" s="127" t="s">
        <v>15</v>
      </c>
      <c r="M159" s="127" t="s">
        <v>15</v>
      </c>
      <c r="N159" s="431" t="s">
        <v>15</v>
      </c>
      <c r="O159" s="84" t="str">
        <f t="shared" si="46"/>
        <v/>
      </c>
      <c r="P159" s="176">
        <v>0.33333333333333331</v>
      </c>
      <c r="Q159" s="127"/>
      <c r="R159" s="127"/>
      <c r="S159" s="176">
        <v>0.60416666666666663</v>
      </c>
      <c r="T159" s="84">
        <f t="shared" si="48"/>
        <v>0.27083333333333331</v>
      </c>
      <c r="U159" s="176">
        <v>0.33333333333333331</v>
      </c>
      <c r="V159" s="127"/>
      <c r="W159" s="127"/>
      <c r="X159" s="176">
        <v>0.60416666666666663</v>
      </c>
      <c r="Y159" s="84">
        <f t="shared" si="51"/>
        <v>0.27083333333333331</v>
      </c>
      <c r="Z159" s="431" t="s">
        <v>15</v>
      </c>
      <c r="AA159" s="127" t="s">
        <v>15</v>
      </c>
      <c r="AB159" s="127" t="s">
        <v>15</v>
      </c>
      <c r="AC159" s="431" t="s">
        <v>15</v>
      </c>
      <c r="AD159" s="84" t="str">
        <f t="shared" si="52"/>
        <v/>
      </c>
      <c r="AE159" s="176">
        <v>0.33333333333333331</v>
      </c>
      <c r="AF159" s="127"/>
      <c r="AG159" s="127"/>
      <c r="AH159" s="176">
        <v>0.60416666666666663</v>
      </c>
      <c r="AI159" s="84">
        <f t="shared" si="49"/>
        <v>0.27083333333333331</v>
      </c>
      <c r="AJ159" s="176">
        <v>0.33333333333333331</v>
      </c>
      <c r="AK159" s="127"/>
      <c r="AL159" s="127"/>
      <c r="AM159" s="176">
        <v>0.60416666666666663</v>
      </c>
      <c r="AN159" s="84">
        <f t="shared" si="53"/>
        <v>0.27083333333333331</v>
      </c>
      <c r="AO159" s="28">
        <f t="shared" si="45"/>
        <v>1.3541666666666665</v>
      </c>
      <c r="AQ159" s="403"/>
    </row>
    <row r="160" spans="1:72" x14ac:dyDescent="0.2">
      <c r="A160" s="448" t="s">
        <v>266</v>
      </c>
      <c r="B160" s="446" t="s">
        <v>462</v>
      </c>
      <c r="C160" s="311"/>
      <c r="D160" s="457" t="s">
        <v>520</v>
      </c>
      <c r="E160" s="164" t="s">
        <v>347</v>
      </c>
      <c r="F160" s="176">
        <v>0.66666666666666663</v>
      </c>
      <c r="G160" s="127"/>
      <c r="H160" s="127"/>
      <c r="I160" s="491">
        <v>0.9375</v>
      </c>
      <c r="J160" s="84">
        <f t="shared" si="54"/>
        <v>0.27083333333333337</v>
      </c>
      <c r="K160" s="176">
        <v>0.66666666666666663</v>
      </c>
      <c r="L160" s="127"/>
      <c r="M160" s="127"/>
      <c r="N160" s="491">
        <v>0.9375</v>
      </c>
      <c r="O160" s="84">
        <f t="shared" si="46"/>
        <v>0.27083333333333337</v>
      </c>
      <c r="P160" s="176">
        <v>0.66666666666666663</v>
      </c>
      <c r="Q160" s="127"/>
      <c r="R160" s="127"/>
      <c r="S160" s="491">
        <v>0.9375</v>
      </c>
      <c r="T160" s="84">
        <f t="shared" si="48"/>
        <v>0.27083333333333337</v>
      </c>
      <c r="U160" s="431" t="s">
        <v>15</v>
      </c>
      <c r="V160" s="127" t="s">
        <v>15</v>
      </c>
      <c r="W160" s="127" t="s">
        <v>15</v>
      </c>
      <c r="X160" s="490" t="s">
        <v>15</v>
      </c>
      <c r="Y160" s="84" t="str">
        <f t="shared" si="51"/>
        <v/>
      </c>
      <c r="Z160" s="431" t="s">
        <v>15</v>
      </c>
      <c r="AA160" s="127" t="s">
        <v>15</v>
      </c>
      <c r="AB160" s="127" t="s">
        <v>15</v>
      </c>
      <c r="AC160" s="490" t="s">
        <v>15</v>
      </c>
      <c r="AD160" s="84" t="str">
        <f t="shared" si="52"/>
        <v/>
      </c>
      <c r="AE160" s="176">
        <v>0.66666666666666663</v>
      </c>
      <c r="AF160" s="127"/>
      <c r="AG160" s="127"/>
      <c r="AH160" s="176">
        <v>0.9375</v>
      </c>
      <c r="AI160" s="84">
        <f t="shared" si="49"/>
        <v>0.27083333333333337</v>
      </c>
      <c r="AJ160" s="176">
        <v>0.66666666666666663</v>
      </c>
      <c r="AK160" s="127"/>
      <c r="AL160" s="127"/>
      <c r="AM160" s="176">
        <v>0.9375</v>
      </c>
      <c r="AN160" s="84">
        <f t="shared" si="53"/>
        <v>0.27083333333333337</v>
      </c>
      <c r="AO160" s="28">
        <f t="shared" si="45"/>
        <v>1.354166666666667</v>
      </c>
      <c r="AP160" s="158">
        <v>0.5</v>
      </c>
      <c r="AQ160" s="159">
        <v>0.54166666666666663</v>
      </c>
    </row>
    <row r="161" spans="1:72" x14ac:dyDescent="0.2">
      <c r="A161" s="448" t="s">
        <v>269</v>
      </c>
      <c r="B161" s="446" t="s">
        <v>454</v>
      </c>
      <c r="C161" s="311">
        <v>6</v>
      </c>
      <c r="D161" s="457" t="s">
        <v>520</v>
      </c>
      <c r="E161" s="164" t="s">
        <v>347</v>
      </c>
      <c r="F161" s="176">
        <v>0.3125</v>
      </c>
      <c r="G161" s="127"/>
      <c r="H161" s="127"/>
      <c r="I161" s="491">
        <v>0.5625</v>
      </c>
      <c r="J161" s="84">
        <f t="shared" si="54"/>
        <v>0.25</v>
      </c>
      <c r="K161" s="431" t="s">
        <v>15</v>
      </c>
      <c r="L161" s="127" t="s">
        <v>15</v>
      </c>
      <c r="M161" s="127" t="s">
        <v>15</v>
      </c>
      <c r="N161" s="490" t="s">
        <v>15</v>
      </c>
      <c r="O161" s="84" t="str">
        <f t="shared" si="46"/>
        <v/>
      </c>
      <c r="P161" s="176">
        <v>0.625</v>
      </c>
      <c r="Q161" s="127"/>
      <c r="R161" s="127"/>
      <c r="S161" s="491">
        <v>0.875</v>
      </c>
      <c r="T161" s="84">
        <f t="shared" si="48"/>
        <v>0.25</v>
      </c>
      <c r="U161" s="176">
        <v>0.64583333333333337</v>
      </c>
      <c r="V161" s="127"/>
      <c r="W161" s="127"/>
      <c r="X161" s="491">
        <v>0.89583333333333337</v>
      </c>
      <c r="Y161" s="84">
        <f t="shared" si="51"/>
        <v>0.25</v>
      </c>
      <c r="Z161" s="431" t="s">
        <v>15</v>
      </c>
      <c r="AA161" s="127" t="s">
        <v>15</v>
      </c>
      <c r="AB161" s="127" t="s">
        <v>15</v>
      </c>
      <c r="AC161" s="490" t="s">
        <v>15</v>
      </c>
      <c r="AD161" s="84" t="str">
        <f t="shared" si="52"/>
        <v/>
      </c>
      <c r="AE161" s="176">
        <v>0.375</v>
      </c>
      <c r="AF161" s="127"/>
      <c r="AG161" s="127"/>
      <c r="AH161" s="176">
        <v>0.625</v>
      </c>
      <c r="AI161" s="84">
        <f t="shared" si="49"/>
        <v>0.25</v>
      </c>
      <c r="AJ161" s="176">
        <v>0.29166666666666669</v>
      </c>
      <c r="AK161" s="127"/>
      <c r="AL161" s="127"/>
      <c r="AM161" s="176">
        <v>0.54166666666666663</v>
      </c>
      <c r="AN161" s="84">
        <f t="shared" si="53"/>
        <v>0.24999999999999994</v>
      </c>
      <c r="AO161" s="28">
        <f t="shared" si="45"/>
        <v>1.25</v>
      </c>
      <c r="AQ161" s="403"/>
    </row>
    <row r="162" spans="1:72" x14ac:dyDescent="0.2">
      <c r="A162" s="448" t="s">
        <v>263</v>
      </c>
      <c r="B162" s="446" t="s">
        <v>322</v>
      </c>
      <c r="C162" s="311"/>
      <c r="D162" s="457" t="s">
        <v>520</v>
      </c>
      <c r="E162" s="164" t="s">
        <v>347</v>
      </c>
      <c r="F162" s="431" t="s">
        <v>15</v>
      </c>
      <c r="G162" s="127" t="s">
        <v>15</v>
      </c>
      <c r="H162" s="127" t="s">
        <v>15</v>
      </c>
      <c r="I162" s="490" t="s">
        <v>15</v>
      </c>
      <c r="J162" s="84" t="str">
        <f t="shared" si="54"/>
        <v/>
      </c>
      <c r="K162" s="176">
        <v>0.66666666666666663</v>
      </c>
      <c r="L162" s="127"/>
      <c r="M162" s="127"/>
      <c r="N162" s="491">
        <v>0.9375</v>
      </c>
      <c r="O162" s="84">
        <f t="shared" si="46"/>
        <v>0.27083333333333337</v>
      </c>
      <c r="P162" s="176">
        <v>0.66666666666666663</v>
      </c>
      <c r="Q162" s="127"/>
      <c r="R162" s="127"/>
      <c r="S162" s="491">
        <v>0.9375</v>
      </c>
      <c r="T162" s="84">
        <f t="shared" si="48"/>
        <v>0.27083333333333337</v>
      </c>
      <c r="U162" s="176">
        <v>0.66666666666666663</v>
      </c>
      <c r="V162" s="127"/>
      <c r="W162" s="127"/>
      <c r="X162" s="491">
        <v>0.9375</v>
      </c>
      <c r="Y162" s="84">
        <f t="shared" si="51"/>
        <v>0.27083333333333337</v>
      </c>
      <c r="Z162" s="431" t="s">
        <v>15</v>
      </c>
      <c r="AA162" s="127" t="s">
        <v>15</v>
      </c>
      <c r="AB162" s="127" t="s">
        <v>15</v>
      </c>
      <c r="AC162" s="490" t="s">
        <v>15</v>
      </c>
      <c r="AD162" s="84" t="str">
        <f t="shared" si="52"/>
        <v/>
      </c>
      <c r="AE162" s="176">
        <v>0.66666666666666663</v>
      </c>
      <c r="AF162" s="127"/>
      <c r="AG162" s="127"/>
      <c r="AH162" s="176">
        <v>0.9375</v>
      </c>
      <c r="AI162" s="84">
        <f t="shared" si="49"/>
        <v>0.27083333333333337</v>
      </c>
      <c r="AJ162" s="176">
        <v>0.66666666666666663</v>
      </c>
      <c r="AK162" s="127"/>
      <c r="AL162" s="127"/>
      <c r="AM162" s="176">
        <v>0.9375</v>
      </c>
      <c r="AN162" s="84">
        <f t="shared" si="53"/>
        <v>0.27083333333333337</v>
      </c>
      <c r="AO162" s="28">
        <f t="shared" si="45"/>
        <v>1.354166666666667</v>
      </c>
      <c r="AQ162" s="405"/>
      <c r="AR162" s="413"/>
      <c r="AS162" s="413"/>
      <c r="AT162" s="413"/>
      <c r="AU162" s="413"/>
      <c r="AV162" s="404"/>
      <c r="AW162" s="404"/>
      <c r="AX162" s="404"/>
      <c r="AY162" s="404"/>
      <c r="AZ162" s="404"/>
      <c r="BA162" s="404"/>
      <c r="BB162" s="404"/>
      <c r="BC162" s="404"/>
      <c r="BD162" s="404"/>
      <c r="BE162" s="404"/>
      <c r="BF162" s="404"/>
      <c r="BG162" s="404"/>
      <c r="BH162" s="404"/>
      <c r="BI162" s="404"/>
      <c r="BJ162" s="404"/>
      <c r="BK162" s="404"/>
      <c r="BL162" s="404"/>
      <c r="BM162" s="404"/>
      <c r="BN162" s="404"/>
      <c r="BO162" s="404"/>
      <c r="BP162" s="404"/>
      <c r="BQ162" s="404"/>
      <c r="BR162" s="404"/>
      <c r="BS162" s="404"/>
      <c r="BT162" s="404"/>
    </row>
    <row r="163" spans="1:72" x14ac:dyDescent="0.2">
      <c r="A163" s="448" t="s">
        <v>604</v>
      </c>
      <c r="B163" s="446" t="s">
        <v>453</v>
      </c>
      <c r="C163" s="311"/>
      <c r="D163" s="457" t="s">
        <v>520</v>
      </c>
      <c r="E163" s="164" t="s">
        <v>347</v>
      </c>
      <c r="F163" s="431" t="s">
        <v>15</v>
      </c>
      <c r="G163" s="127" t="s">
        <v>15</v>
      </c>
      <c r="H163" s="127" t="s">
        <v>15</v>
      </c>
      <c r="I163" s="490" t="s">
        <v>15</v>
      </c>
      <c r="J163" s="84" t="str">
        <f t="shared" si="54"/>
        <v/>
      </c>
      <c r="K163" s="176">
        <v>0.66666666666666663</v>
      </c>
      <c r="L163" s="127"/>
      <c r="M163" s="127"/>
      <c r="N163" s="491">
        <v>0.9375</v>
      </c>
      <c r="O163" s="84">
        <f t="shared" si="46"/>
        <v>0.27083333333333337</v>
      </c>
      <c r="P163" s="176">
        <v>0.66666666666666663</v>
      </c>
      <c r="Q163" s="127"/>
      <c r="R163" s="127"/>
      <c r="S163" s="491">
        <v>0.9375</v>
      </c>
      <c r="T163" s="84">
        <f t="shared" si="48"/>
        <v>0.27083333333333337</v>
      </c>
      <c r="U163" s="431" t="s">
        <v>15</v>
      </c>
      <c r="V163" s="127" t="s">
        <v>15</v>
      </c>
      <c r="W163" s="127" t="s">
        <v>15</v>
      </c>
      <c r="X163" s="490" t="s">
        <v>15</v>
      </c>
      <c r="Y163" s="84" t="str">
        <f t="shared" si="51"/>
        <v/>
      </c>
      <c r="Z163" s="176">
        <v>0.66666666666666663</v>
      </c>
      <c r="AA163" s="127"/>
      <c r="AB163" s="127"/>
      <c r="AC163" s="491">
        <v>0.9375</v>
      </c>
      <c r="AD163" s="84">
        <f t="shared" si="52"/>
        <v>0.27083333333333337</v>
      </c>
      <c r="AE163" s="176">
        <v>0.66666666666666663</v>
      </c>
      <c r="AF163" s="127"/>
      <c r="AG163" s="127"/>
      <c r="AH163" s="176">
        <v>0.9375</v>
      </c>
      <c r="AI163" s="84">
        <f t="shared" si="49"/>
        <v>0.27083333333333337</v>
      </c>
      <c r="AJ163" s="176">
        <v>0.66666666666666663</v>
      </c>
      <c r="AK163" s="127"/>
      <c r="AL163" s="127"/>
      <c r="AM163" s="176">
        <v>0.9375</v>
      </c>
      <c r="AN163" s="84">
        <f t="shared" si="53"/>
        <v>0.27083333333333337</v>
      </c>
      <c r="AO163" s="28">
        <f t="shared" si="45"/>
        <v>1.354166666666667</v>
      </c>
      <c r="AQ163" s="405"/>
      <c r="AS163" s="414"/>
      <c r="AW163" s="404"/>
    </row>
    <row r="164" spans="1:72" x14ac:dyDescent="0.2">
      <c r="A164" s="448" t="s">
        <v>259</v>
      </c>
      <c r="B164" s="443" t="s">
        <v>562</v>
      </c>
      <c r="C164" s="311"/>
      <c r="D164" s="457" t="s">
        <v>520</v>
      </c>
      <c r="E164" s="164" t="s">
        <v>347</v>
      </c>
      <c r="F164" s="431" t="s">
        <v>15</v>
      </c>
      <c r="G164" s="127" t="s">
        <v>15</v>
      </c>
      <c r="H164" s="127" t="s">
        <v>15</v>
      </c>
      <c r="I164" s="490" t="s">
        <v>15</v>
      </c>
      <c r="J164" s="84" t="str">
        <f t="shared" si="54"/>
        <v/>
      </c>
      <c r="K164" s="431" t="s">
        <v>15</v>
      </c>
      <c r="L164" s="127" t="s">
        <v>15</v>
      </c>
      <c r="M164" s="127" t="s">
        <v>15</v>
      </c>
      <c r="N164" s="490" t="s">
        <v>15</v>
      </c>
      <c r="O164" s="84" t="str">
        <f t="shared" si="46"/>
        <v/>
      </c>
      <c r="P164" s="176">
        <v>0.29166666666666669</v>
      </c>
      <c r="Q164" s="127">
        <v>0.41666666666666669</v>
      </c>
      <c r="R164" s="127">
        <v>0.5</v>
      </c>
      <c r="S164" s="491">
        <v>0.66666666666666663</v>
      </c>
      <c r="T164" s="84">
        <f t="shared" si="48"/>
        <v>0.29166666666666663</v>
      </c>
      <c r="U164" s="176">
        <v>0.33333333333333331</v>
      </c>
      <c r="V164" s="127">
        <v>0.58333333333333337</v>
      </c>
      <c r="W164" s="127">
        <v>0.66666666666666663</v>
      </c>
      <c r="X164" s="491">
        <v>0.75</v>
      </c>
      <c r="Y164" s="84">
        <f t="shared" si="51"/>
        <v>0.33333333333333343</v>
      </c>
      <c r="Z164" s="176">
        <v>0.375</v>
      </c>
      <c r="AA164" s="127">
        <v>0.58333333333333337</v>
      </c>
      <c r="AB164" s="127">
        <v>0.66666666666666663</v>
      </c>
      <c r="AC164" s="491">
        <v>0.79166666666666663</v>
      </c>
      <c r="AD164" s="84">
        <f t="shared" si="52"/>
        <v>0.33333333333333337</v>
      </c>
      <c r="AE164" s="176">
        <v>0.33333333333333331</v>
      </c>
      <c r="AF164" s="127">
        <v>0.54166666666666663</v>
      </c>
      <c r="AG164" s="127">
        <v>0.625</v>
      </c>
      <c r="AH164" s="176">
        <v>0.75</v>
      </c>
      <c r="AI164" s="84">
        <f t="shared" si="49"/>
        <v>0.33333333333333331</v>
      </c>
      <c r="AJ164" s="176">
        <v>0.33333333333333331</v>
      </c>
      <c r="AK164" s="127">
        <v>0.58333333333333337</v>
      </c>
      <c r="AL164" s="127">
        <v>0.66666666666666663</v>
      </c>
      <c r="AM164" s="176">
        <v>0.75</v>
      </c>
      <c r="AN164" s="84">
        <f t="shared" si="53"/>
        <v>0.33333333333333343</v>
      </c>
      <c r="AO164" s="28">
        <f t="shared" ref="AO164:AO190" si="55">SUM(J164,O164,T164,Y164,AD164,AI164,AN164)</f>
        <v>1.6250000000000002</v>
      </c>
      <c r="AQ164" s="405"/>
    </row>
    <row r="165" spans="1:72" x14ac:dyDescent="0.2">
      <c r="A165" s="410" t="s">
        <v>284</v>
      </c>
      <c r="B165" s="443" t="s">
        <v>236</v>
      </c>
      <c r="C165" s="311"/>
      <c r="D165" s="458" t="s">
        <v>26</v>
      </c>
      <c r="E165" s="164" t="s">
        <v>347</v>
      </c>
      <c r="F165" s="176">
        <v>0.54166666666666663</v>
      </c>
      <c r="G165" s="127">
        <v>0.75</v>
      </c>
      <c r="H165" s="127">
        <v>0.79166666666666663</v>
      </c>
      <c r="I165" s="491">
        <v>0.9375</v>
      </c>
      <c r="J165" s="84">
        <f t="shared" si="54"/>
        <v>0.35416666666666674</v>
      </c>
      <c r="K165" s="431" t="s">
        <v>15</v>
      </c>
      <c r="L165" s="127" t="s">
        <v>15</v>
      </c>
      <c r="M165" s="127" t="s">
        <v>15</v>
      </c>
      <c r="N165" s="490" t="s">
        <v>15</v>
      </c>
      <c r="O165" s="84" t="str">
        <f t="shared" si="46"/>
        <v/>
      </c>
      <c r="P165" s="431" t="s">
        <v>15</v>
      </c>
      <c r="Q165" s="127" t="s">
        <v>15</v>
      </c>
      <c r="R165" s="127" t="s">
        <v>15</v>
      </c>
      <c r="S165" s="490" t="s">
        <v>15</v>
      </c>
      <c r="T165" s="84" t="str">
        <f t="shared" si="48"/>
        <v/>
      </c>
      <c r="U165" s="176">
        <v>0.29166666666666669</v>
      </c>
      <c r="V165" s="127">
        <v>0.54166666666666663</v>
      </c>
      <c r="W165" s="127">
        <v>0.625</v>
      </c>
      <c r="X165" s="491">
        <v>0.70833333333333337</v>
      </c>
      <c r="Y165" s="84">
        <f t="shared" si="51"/>
        <v>0.33333333333333331</v>
      </c>
      <c r="Z165" s="176">
        <v>0.29166666666666669</v>
      </c>
      <c r="AA165" s="127">
        <v>0.54166666666666663</v>
      </c>
      <c r="AB165" s="127">
        <v>0.625</v>
      </c>
      <c r="AC165" s="491">
        <v>0.70833333333333337</v>
      </c>
      <c r="AD165" s="84">
        <f t="shared" si="52"/>
        <v>0.33333333333333331</v>
      </c>
      <c r="AE165" s="176">
        <v>0.41666666666666669</v>
      </c>
      <c r="AF165" s="127">
        <v>0.58333333333333337</v>
      </c>
      <c r="AG165" s="127">
        <v>0.66666666666666663</v>
      </c>
      <c r="AH165" s="176">
        <v>0.83333333333333337</v>
      </c>
      <c r="AI165" s="84">
        <f t="shared" si="49"/>
        <v>0.33333333333333343</v>
      </c>
      <c r="AJ165" s="176">
        <v>0.45833333333333331</v>
      </c>
      <c r="AK165" s="127">
        <v>0.625</v>
      </c>
      <c r="AL165" s="127">
        <v>0.70833333333333337</v>
      </c>
      <c r="AM165" s="176">
        <v>0.875</v>
      </c>
      <c r="AN165" s="84">
        <f t="shared" si="53"/>
        <v>0.33333333333333331</v>
      </c>
      <c r="AO165" s="28">
        <f t="shared" si="55"/>
        <v>1.6875</v>
      </c>
      <c r="AQ165" s="405"/>
    </row>
    <row r="166" spans="1:72" x14ac:dyDescent="0.2">
      <c r="A166" s="410" t="s">
        <v>272</v>
      </c>
      <c r="B166" s="443" t="s">
        <v>320</v>
      </c>
      <c r="C166" s="311"/>
      <c r="D166" s="458" t="s">
        <v>26</v>
      </c>
      <c r="E166" s="164" t="s">
        <v>347</v>
      </c>
      <c r="F166" s="176">
        <v>0.54166666666666663</v>
      </c>
      <c r="G166" s="127">
        <v>0.75</v>
      </c>
      <c r="H166" s="127">
        <v>0.79166666666666663</v>
      </c>
      <c r="I166" s="491">
        <v>0.9375</v>
      </c>
      <c r="J166" s="84">
        <f t="shared" si="54"/>
        <v>0.35416666666666674</v>
      </c>
      <c r="K166" s="176">
        <v>0.54166666666666663</v>
      </c>
      <c r="L166" s="127">
        <v>0.79166666666666663</v>
      </c>
      <c r="M166" s="127">
        <v>0.83333333333333337</v>
      </c>
      <c r="N166" s="491">
        <v>0.9375</v>
      </c>
      <c r="O166" s="84">
        <f t="shared" si="46"/>
        <v>0.35416666666666663</v>
      </c>
      <c r="P166" s="431" t="s">
        <v>15</v>
      </c>
      <c r="Q166" s="127" t="s">
        <v>15</v>
      </c>
      <c r="R166" s="127" t="s">
        <v>15</v>
      </c>
      <c r="S166" s="490" t="s">
        <v>15</v>
      </c>
      <c r="T166" s="84" t="str">
        <f t="shared" si="48"/>
        <v/>
      </c>
      <c r="U166" s="431" t="s">
        <v>15</v>
      </c>
      <c r="V166" s="127" t="s">
        <v>15</v>
      </c>
      <c r="W166" s="127" t="s">
        <v>15</v>
      </c>
      <c r="X166" s="490" t="s">
        <v>15</v>
      </c>
      <c r="Y166" s="84" t="str">
        <f t="shared" si="51"/>
        <v/>
      </c>
      <c r="Z166" s="176">
        <v>0.29166666666666669</v>
      </c>
      <c r="AA166" s="127">
        <v>0.54166666666666663</v>
      </c>
      <c r="AB166" s="127">
        <v>0.625</v>
      </c>
      <c r="AC166" s="491">
        <v>0.70833333333333337</v>
      </c>
      <c r="AD166" s="84">
        <f t="shared" si="52"/>
        <v>0.33333333333333331</v>
      </c>
      <c r="AE166" s="176">
        <v>0.3125</v>
      </c>
      <c r="AF166" s="127">
        <v>0.54166666666666663</v>
      </c>
      <c r="AG166" s="127">
        <v>0.625</v>
      </c>
      <c r="AH166" s="176">
        <v>0.72916666666666663</v>
      </c>
      <c r="AI166" s="84">
        <f t="shared" si="49"/>
        <v>0.33333333333333326</v>
      </c>
      <c r="AJ166" s="176">
        <v>0.3125</v>
      </c>
      <c r="AK166" s="127">
        <v>0.54166666666666663</v>
      </c>
      <c r="AL166" s="127">
        <v>0.625</v>
      </c>
      <c r="AM166" s="176">
        <v>0.72916666666666663</v>
      </c>
      <c r="AN166" s="84">
        <f t="shared" si="53"/>
        <v>0.33333333333333326</v>
      </c>
      <c r="AO166" s="28">
        <f t="shared" si="55"/>
        <v>1.7083333333333333</v>
      </c>
      <c r="AQ166" s="403"/>
    </row>
    <row r="167" spans="1:72" x14ac:dyDescent="0.2">
      <c r="A167" s="448" t="s">
        <v>275</v>
      </c>
      <c r="B167" s="443" t="s">
        <v>222</v>
      </c>
      <c r="C167" s="311">
        <v>6</v>
      </c>
      <c r="D167" s="458" t="s">
        <v>26</v>
      </c>
      <c r="E167" s="164" t="s">
        <v>347</v>
      </c>
      <c r="F167" s="176">
        <v>0.375</v>
      </c>
      <c r="G167" s="127"/>
      <c r="H167" s="127"/>
      <c r="I167" s="491">
        <v>0.625</v>
      </c>
      <c r="J167" s="84">
        <f t="shared" si="54"/>
        <v>0.25</v>
      </c>
      <c r="K167" s="431" t="s">
        <v>15</v>
      </c>
      <c r="L167" s="127" t="s">
        <v>15</v>
      </c>
      <c r="M167" s="127" t="s">
        <v>15</v>
      </c>
      <c r="N167" s="490" t="s">
        <v>15</v>
      </c>
      <c r="O167" s="84" t="str">
        <f t="shared" si="46"/>
        <v/>
      </c>
      <c r="P167" s="176">
        <v>0.375</v>
      </c>
      <c r="Q167" s="127"/>
      <c r="R167" s="127"/>
      <c r="S167" s="491">
        <v>0.625</v>
      </c>
      <c r="T167" s="84">
        <f t="shared" si="48"/>
        <v>0.25</v>
      </c>
      <c r="U167" s="176">
        <v>0.375</v>
      </c>
      <c r="V167" s="127"/>
      <c r="W167" s="127"/>
      <c r="X167" s="491">
        <v>0.625</v>
      </c>
      <c r="Y167" s="84">
        <f t="shared" si="51"/>
        <v>0.25</v>
      </c>
      <c r="Z167" s="431" t="s">
        <v>15</v>
      </c>
      <c r="AA167" s="127" t="s">
        <v>15</v>
      </c>
      <c r="AB167" s="127" t="s">
        <v>15</v>
      </c>
      <c r="AC167" s="490" t="s">
        <v>15</v>
      </c>
      <c r="AD167" s="84" t="str">
        <f t="shared" si="52"/>
        <v/>
      </c>
      <c r="AE167" s="176">
        <v>0.375</v>
      </c>
      <c r="AF167" s="127"/>
      <c r="AG167" s="127"/>
      <c r="AH167" s="176">
        <v>0.625</v>
      </c>
      <c r="AI167" s="84">
        <f t="shared" si="49"/>
        <v>0.25</v>
      </c>
      <c r="AJ167" s="176">
        <v>0.375</v>
      </c>
      <c r="AK167" s="127"/>
      <c r="AL167" s="127"/>
      <c r="AM167" s="176">
        <v>0.625</v>
      </c>
      <c r="AN167" s="84">
        <f t="shared" si="53"/>
        <v>0.25</v>
      </c>
      <c r="AO167" s="28">
        <f t="shared" si="55"/>
        <v>1.25</v>
      </c>
      <c r="AQ167" s="405"/>
      <c r="AS167" s="404"/>
      <c r="AT167" s="408"/>
      <c r="AU167" s="404"/>
      <c r="AV167" s="404"/>
      <c r="AW167" s="404"/>
      <c r="AX167" s="404"/>
      <c r="AY167" s="404"/>
      <c r="AZ167" s="404"/>
      <c r="BA167" s="404"/>
      <c r="BB167" s="404"/>
      <c r="BC167" s="404"/>
      <c r="BD167" s="404"/>
      <c r="BE167" s="404"/>
      <c r="BF167" s="404"/>
      <c r="BG167" s="404"/>
      <c r="BH167" s="404"/>
      <c r="BI167" s="404"/>
      <c r="BJ167" s="404"/>
      <c r="BK167" s="404"/>
      <c r="BL167" s="404"/>
      <c r="BM167" s="404"/>
      <c r="BN167" s="404"/>
      <c r="BO167" s="404"/>
      <c r="BP167" s="404"/>
      <c r="BQ167" s="404"/>
      <c r="BR167" s="404"/>
      <c r="BS167" s="404"/>
      <c r="BT167" s="404"/>
    </row>
    <row r="168" spans="1:72" x14ac:dyDescent="0.2">
      <c r="A168" s="448"/>
      <c r="B168" s="443" t="s">
        <v>257</v>
      </c>
      <c r="C168" s="311"/>
      <c r="D168" s="458" t="s">
        <v>26</v>
      </c>
      <c r="E168" s="164" t="s">
        <v>347</v>
      </c>
      <c r="F168" s="176">
        <v>0.33333333333333331</v>
      </c>
      <c r="G168" s="127">
        <v>0.58333333333333337</v>
      </c>
      <c r="H168" s="127">
        <v>0.625</v>
      </c>
      <c r="I168" s="491">
        <v>0.70833333333333337</v>
      </c>
      <c r="J168" s="84">
        <f t="shared" si="54"/>
        <v>0.33333333333333343</v>
      </c>
      <c r="K168" s="431" t="s">
        <v>15</v>
      </c>
      <c r="L168" s="127" t="s">
        <v>15</v>
      </c>
      <c r="M168" s="127" t="s">
        <v>15</v>
      </c>
      <c r="N168" s="490" t="s">
        <v>15</v>
      </c>
      <c r="O168" s="84" t="str">
        <f t="shared" si="46"/>
        <v/>
      </c>
      <c r="P168" s="431" t="s">
        <v>15</v>
      </c>
      <c r="Q168" s="127" t="s">
        <v>15</v>
      </c>
      <c r="R168" s="127" t="s">
        <v>15</v>
      </c>
      <c r="S168" s="490" t="s">
        <v>15</v>
      </c>
      <c r="T168" s="84" t="str">
        <f t="shared" si="48"/>
        <v/>
      </c>
      <c r="U168" s="176">
        <v>0.3125</v>
      </c>
      <c r="V168" s="127">
        <v>0.54166666666666663</v>
      </c>
      <c r="W168" s="127">
        <v>0.625</v>
      </c>
      <c r="X168" s="491">
        <v>0.72916666666666663</v>
      </c>
      <c r="Y168" s="84">
        <f t="shared" si="51"/>
        <v>0.33333333333333326</v>
      </c>
      <c r="Z168" s="176">
        <v>0.33333333333333331</v>
      </c>
      <c r="AA168" s="127">
        <v>0.58333333333333337</v>
      </c>
      <c r="AB168" s="127">
        <v>0.66666666666666663</v>
      </c>
      <c r="AC168" s="491">
        <v>0.75</v>
      </c>
      <c r="AD168" s="84">
        <f t="shared" si="52"/>
        <v>0.33333333333333343</v>
      </c>
      <c r="AE168" s="176">
        <v>0.52083333333333337</v>
      </c>
      <c r="AF168" s="127">
        <v>0.625</v>
      </c>
      <c r="AG168" s="127">
        <v>0.66666666666666663</v>
      </c>
      <c r="AH168" s="176">
        <v>0.89583333333333337</v>
      </c>
      <c r="AI168" s="84">
        <f t="shared" si="49"/>
        <v>0.33333333333333337</v>
      </c>
      <c r="AJ168" s="176">
        <v>0.5</v>
      </c>
      <c r="AK168" s="127">
        <v>0.70833333333333337</v>
      </c>
      <c r="AL168" s="127">
        <v>0.75</v>
      </c>
      <c r="AM168" s="176">
        <v>0.875</v>
      </c>
      <c r="AN168" s="84">
        <f t="shared" si="53"/>
        <v>0.33333333333333337</v>
      </c>
      <c r="AO168" s="28">
        <f t="shared" si="55"/>
        <v>1.666666666666667</v>
      </c>
      <c r="AQ168" s="405"/>
      <c r="AS168" s="404"/>
      <c r="AT168" s="408"/>
      <c r="AU168" s="404"/>
      <c r="AV168" s="404"/>
      <c r="AW168" s="404"/>
      <c r="AX168" s="404"/>
      <c r="AY168" s="404"/>
      <c r="AZ168" s="404"/>
      <c r="BA168" s="404"/>
      <c r="BB168" s="404"/>
      <c r="BC168" s="404"/>
      <c r="BD168" s="404"/>
      <c r="BE168" s="404"/>
      <c r="BF168" s="404"/>
      <c r="BG168" s="404"/>
      <c r="BH168" s="404"/>
      <c r="BI168" s="404"/>
      <c r="BJ168" s="404"/>
      <c r="BK168" s="404"/>
      <c r="BL168" s="404"/>
      <c r="BM168" s="404"/>
      <c r="BN168" s="404"/>
      <c r="BO168" s="404"/>
      <c r="BP168" s="404"/>
      <c r="BQ168" s="404"/>
      <c r="BR168" s="404"/>
      <c r="BS168" s="404"/>
      <c r="BT168" s="404"/>
    </row>
    <row r="169" spans="1:72" ht="12.75" customHeight="1" x14ac:dyDescent="0.25">
      <c r="A169" s="447" t="s">
        <v>589</v>
      </c>
      <c r="B169" s="443" t="s">
        <v>455</v>
      </c>
      <c r="C169" s="311"/>
      <c r="D169" s="458" t="s">
        <v>26</v>
      </c>
      <c r="E169" s="164" t="s">
        <v>347</v>
      </c>
      <c r="F169" s="441">
        <v>0</v>
      </c>
      <c r="G169" s="127">
        <v>4.1666666666666664E-2</v>
      </c>
      <c r="H169" s="127">
        <v>0.125</v>
      </c>
      <c r="I169" s="492">
        <v>0.29166666666666669</v>
      </c>
      <c r="J169" s="84">
        <f t="shared" si="54"/>
        <v>0.20833333333333334</v>
      </c>
      <c r="K169" s="431" t="s">
        <v>15</v>
      </c>
      <c r="L169" s="127" t="s">
        <v>15</v>
      </c>
      <c r="M169" s="127" t="s">
        <v>15</v>
      </c>
      <c r="N169" s="490" t="s">
        <v>15</v>
      </c>
      <c r="O169" s="84" t="str">
        <f t="shared" si="46"/>
        <v/>
      </c>
      <c r="P169" s="176">
        <v>0.66666666666666663</v>
      </c>
      <c r="Q169" s="127"/>
      <c r="R169" s="127"/>
      <c r="S169" s="491">
        <v>0.9375</v>
      </c>
      <c r="T169" s="84">
        <f t="shared" si="48"/>
        <v>0.27083333333333337</v>
      </c>
      <c r="U169" s="176">
        <v>0.66666666666666663</v>
      </c>
      <c r="V169" s="127"/>
      <c r="W169" s="127"/>
      <c r="X169" s="491">
        <v>0.9375</v>
      </c>
      <c r="Y169" s="84">
        <f t="shared" si="51"/>
        <v>0.27083333333333337</v>
      </c>
      <c r="Z169" s="176">
        <v>0.66666666666666663</v>
      </c>
      <c r="AA169" s="127"/>
      <c r="AB169" s="127"/>
      <c r="AC169" s="491">
        <v>0.9375</v>
      </c>
      <c r="AD169" s="84">
        <f t="shared" si="52"/>
        <v>0.27083333333333337</v>
      </c>
      <c r="AE169" s="176">
        <v>0.66666666666666663</v>
      </c>
      <c r="AF169" s="127"/>
      <c r="AG169" s="127"/>
      <c r="AH169" s="176">
        <v>0.9375</v>
      </c>
      <c r="AI169" s="84">
        <f t="shared" si="49"/>
        <v>0.27083333333333337</v>
      </c>
      <c r="AJ169" s="176">
        <v>0.66666666666666663</v>
      </c>
      <c r="AK169" s="127"/>
      <c r="AL169" s="127"/>
      <c r="AM169" s="176">
        <v>0.9375</v>
      </c>
      <c r="AN169" s="84">
        <f t="shared" si="53"/>
        <v>0.27083333333333337</v>
      </c>
      <c r="AO169" s="28">
        <f t="shared" si="55"/>
        <v>1.5625000000000004</v>
      </c>
      <c r="AP169" s="1"/>
      <c r="AQ169" s="302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spans="1:72" x14ac:dyDescent="0.2">
      <c r="A170" s="448" t="s">
        <v>295</v>
      </c>
      <c r="B170" s="443" t="s">
        <v>256</v>
      </c>
      <c r="C170" s="311" t="s">
        <v>396</v>
      </c>
      <c r="D170" s="458" t="s">
        <v>26</v>
      </c>
      <c r="E170" s="164" t="s">
        <v>347</v>
      </c>
      <c r="F170" s="176"/>
      <c r="G170" s="127"/>
      <c r="H170" s="127"/>
      <c r="I170" s="491"/>
      <c r="J170" s="84">
        <f t="shared" si="54"/>
        <v>0</v>
      </c>
      <c r="K170" s="176"/>
      <c r="L170" s="127"/>
      <c r="M170" s="127"/>
      <c r="N170" s="491"/>
      <c r="O170" s="84">
        <f t="shared" si="46"/>
        <v>0</v>
      </c>
      <c r="P170" s="176"/>
      <c r="Q170" s="127"/>
      <c r="R170" s="127"/>
      <c r="S170" s="491"/>
      <c r="T170" s="84">
        <f t="shared" si="48"/>
        <v>0</v>
      </c>
      <c r="U170" s="176"/>
      <c r="V170" s="127"/>
      <c r="W170" s="127"/>
      <c r="X170" s="491"/>
      <c r="Y170" s="84">
        <f t="shared" si="51"/>
        <v>0</v>
      </c>
      <c r="Z170" s="176"/>
      <c r="AA170" s="127"/>
      <c r="AB170" s="127"/>
      <c r="AC170" s="491"/>
      <c r="AD170" s="84">
        <f t="shared" si="52"/>
        <v>0</v>
      </c>
      <c r="AE170" s="176"/>
      <c r="AF170" s="127"/>
      <c r="AG170" s="127"/>
      <c r="AH170" s="176"/>
      <c r="AI170" s="84">
        <f t="shared" si="49"/>
        <v>0</v>
      </c>
      <c r="AJ170" s="176"/>
      <c r="AK170" s="127"/>
      <c r="AL170" s="127"/>
      <c r="AM170" s="176"/>
      <c r="AN170" s="84">
        <f t="shared" si="53"/>
        <v>0</v>
      </c>
      <c r="AO170" s="28">
        <f t="shared" si="55"/>
        <v>0</v>
      </c>
      <c r="AQ170" s="403"/>
      <c r="AS170" s="404"/>
      <c r="AT170" s="404"/>
      <c r="AU170" s="404"/>
      <c r="AV170" s="404"/>
      <c r="AW170" s="404"/>
      <c r="AX170" s="404"/>
      <c r="AY170" s="404"/>
      <c r="AZ170" s="404"/>
      <c r="BA170" s="404"/>
      <c r="BB170" s="404"/>
      <c r="BC170" s="404"/>
      <c r="BD170" s="404"/>
      <c r="BE170" s="404"/>
      <c r="BF170" s="404"/>
      <c r="BG170" s="404"/>
      <c r="BH170" s="404"/>
      <c r="BI170" s="404"/>
      <c r="BJ170" s="404"/>
      <c r="BK170" s="404"/>
      <c r="BL170" s="404"/>
      <c r="BM170" s="404"/>
      <c r="BN170" s="404"/>
      <c r="BO170" s="404"/>
      <c r="BP170" s="404"/>
      <c r="BQ170" s="404"/>
      <c r="BR170" s="404"/>
      <c r="BS170" s="404"/>
      <c r="BT170" s="404"/>
    </row>
    <row r="171" spans="1:72" ht="15" customHeight="1" x14ac:dyDescent="0.2">
      <c r="A171" s="448" t="s">
        <v>592</v>
      </c>
      <c r="B171" s="443" t="s">
        <v>185</v>
      </c>
      <c r="C171" s="311" t="s">
        <v>396</v>
      </c>
      <c r="D171" s="458" t="s">
        <v>26</v>
      </c>
      <c r="E171" s="164" t="s">
        <v>347</v>
      </c>
      <c r="F171" s="176">
        <v>0.35416666666666669</v>
      </c>
      <c r="G171" s="127">
        <v>0.54166666666666663</v>
      </c>
      <c r="H171" s="127">
        <v>0.58333333333333337</v>
      </c>
      <c r="I171" s="176">
        <v>0.6875</v>
      </c>
      <c r="J171" s="84">
        <f t="shared" si="54"/>
        <v>0.29166666666666657</v>
      </c>
      <c r="K171" s="176">
        <v>0.35416666666666669</v>
      </c>
      <c r="L171" s="127">
        <v>0.58333333333333337</v>
      </c>
      <c r="M171" s="127">
        <v>0.625</v>
      </c>
      <c r="N171" s="176">
        <v>0.6875</v>
      </c>
      <c r="O171" s="84">
        <f t="shared" si="46"/>
        <v>0.29166666666666669</v>
      </c>
      <c r="P171" s="176">
        <v>0.35416666666666669</v>
      </c>
      <c r="Q171" s="127">
        <v>0.58333333333333337</v>
      </c>
      <c r="R171" s="127">
        <v>0.625</v>
      </c>
      <c r="S171" s="176">
        <v>0.6875</v>
      </c>
      <c r="T171" s="84">
        <f t="shared" si="48"/>
        <v>0.29166666666666669</v>
      </c>
      <c r="U171" s="431" t="s">
        <v>15</v>
      </c>
      <c r="V171" s="127" t="s">
        <v>15</v>
      </c>
      <c r="W171" s="127" t="s">
        <v>15</v>
      </c>
      <c r="X171" s="431" t="s">
        <v>15</v>
      </c>
      <c r="Y171" s="84" t="str">
        <f t="shared" si="51"/>
        <v/>
      </c>
      <c r="Z171" s="431" t="s">
        <v>15</v>
      </c>
      <c r="AA171" s="127" t="s">
        <v>15</v>
      </c>
      <c r="AB171" s="127" t="s">
        <v>15</v>
      </c>
      <c r="AC171" s="431" t="s">
        <v>15</v>
      </c>
      <c r="AD171" s="84" t="str">
        <f t="shared" si="52"/>
        <v/>
      </c>
      <c r="AE171" s="176">
        <v>0.33333333333333331</v>
      </c>
      <c r="AF171" s="127">
        <v>0.54166666666666663</v>
      </c>
      <c r="AG171" s="127">
        <v>0.58333333333333337</v>
      </c>
      <c r="AH171" s="176">
        <v>0.66666666666666663</v>
      </c>
      <c r="AI171" s="84">
        <f t="shared" si="49"/>
        <v>0.29166666666666657</v>
      </c>
      <c r="AJ171" s="176">
        <v>0.35416666666666669</v>
      </c>
      <c r="AK171" s="127">
        <v>0.54166666666666663</v>
      </c>
      <c r="AL171" s="127">
        <v>0.58333333333333337</v>
      </c>
      <c r="AM171" s="176">
        <v>0.6875</v>
      </c>
      <c r="AN171" s="84">
        <f t="shared" si="53"/>
        <v>0.29166666666666657</v>
      </c>
      <c r="AO171" s="28">
        <f t="shared" si="55"/>
        <v>1.458333333333333</v>
      </c>
      <c r="AQ171" s="405"/>
      <c r="AS171" s="408"/>
      <c r="AT171" s="408"/>
      <c r="AU171" s="408"/>
      <c r="AV171" s="408"/>
      <c r="AW171" s="408"/>
      <c r="AX171" s="408"/>
      <c r="AY171" s="408"/>
      <c r="AZ171" s="408"/>
      <c r="BA171" s="408"/>
      <c r="BB171" s="408"/>
      <c r="BC171" s="408"/>
      <c r="BD171" s="408"/>
      <c r="BE171" s="408"/>
      <c r="BF171" s="408"/>
      <c r="BG171" s="408"/>
      <c r="BH171" s="408"/>
      <c r="BI171" s="408"/>
      <c r="BJ171" s="408"/>
      <c r="BK171" s="408"/>
      <c r="BL171" s="408"/>
      <c r="BM171" s="408"/>
      <c r="BN171" s="408"/>
      <c r="BO171" s="408"/>
      <c r="BP171" s="408"/>
      <c r="BQ171" s="408"/>
      <c r="BR171" s="408"/>
      <c r="BS171" s="408"/>
      <c r="BT171" s="408"/>
    </row>
    <row r="172" spans="1:72" ht="15" customHeight="1" x14ac:dyDescent="0.2">
      <c r="A172" s="488" t="s">
        <v>284</v>
      </c>
      <c r="B172" s="443" t="s">
        <v>452</v>
      </c>
      <c r="C172" s="311"/>
      <c r="D172" s="458" t="s">
        <v>26</v>
      </c>
      <c r="E172" s="164" t="s">
        <v>347</v>
      </c>
      <c r="F172" s="176">
        <v>0.66666666666666663</v>
      </c>
      <c r="G172" s="127"/>
      <c r="H172" s="127"/>
      <c r="I172" s="176">
        <v>0.9375</v>
      </c>
      <c r="J172" s="84">
        <f t="shared" si="54"/>
        <v>0.27083333333333337</v>
      </c>
      <c r="K172" s="176">
        <v>0.66666666666666663</v>
      </c>
      <c r="L172" s="127"/>
      <c r="M172" s="127"/>
      <c r="N172" s="176">
        <v>0.9375</v>
      </c>
      <c r="O172" s="84">
        <f t="shared" si="46"/>
        <v>0.27083333333333337</v>
      </c>
      <c r="P172" s="431" t="s">
        <v>15</v>
      </c>
      <c r="Q172" s="127" t="s">
        <v>15</v>
      </c>
      <c r="R172" s="127" t="s">
        <v>15</v>
      </c>
      <c r="S172" s="431" t="s">
        <v>15</v>
      </c>
      <c r="T172" s="84" t="str">
        <f t="shared" si="48"/>
        <v/>
      </c>
      <c r="U172" s="431" t="s">
        <v>15</v>
      </c>
      <c r="V172" s="127" t="s">
        <v>15</v>
      </c>
      <c r="W172" s="127" t="s">
        <v>15</v>
      </c>
      <c r="X172" s="431" t="s">
        <v>15</v>
      </c>
      <c r="Y172" s="84" t="str">
        <f t="shared" si="51"/>
        <v/>
      </c>
      <c r="Z172" s="176">
        <v>0.66666666666666663</v>
      </c>
      <c r="AA172" s="127"/>
      <c r="AB172" s="127"/>
      <c r="AC172" s="176">
        <v>0.9375</v>
      </c>
      <c r="AD172" s="84">
        <f t="shared" si="52"/>
        <v>0.27083333333333337</v>
      </c>
      <c r="AE172" s="176">
        <v>0.66666666666666663</v>
      </c>
      <c r="AF172" s="127"/>
      <c r="AG172" s="127"/>
      <c r="AH172" s="176">
        <v>0.9375</v>
      </c>
      <c r="AI172" s="84">
        <f t="shared" si="49"/>
        <v>0.27083333333333337</v>
      </c>
      <c r="AJ172" s="176">
        <v>0.66666666666666663</v>
      </c>
      <c r="AK172" s="127"/>
      <c r="AL172" s="127"/>
      <c r="AM172" s="176">
        <v>0.9375</v>
      </c>
      <c r="AN172" s="84">
        <f t="shared" si="53"/>
        <v>0.27083333333333337</v>
      </c>
      <c r="AO172" s="28">
        <f t="shared" si="55"/>
        <v>1.354166666666667</v>
      </c>
      <c r="AQ172" s="403"/>
      <c r="AS172" s="408"/>
      <c r="AT172" s="408"/>
      <c r="AU172" s="408"/>
      <c r="AV172" s="408"/>
      <c r="AW172" s="408"/>
      <c r="AX172" s="408"/>
      <c r="AY172" s="408"/>
      <c r="AZ172" s="408"/>
      <c r="BA172" s="408"/>
      <c r="BB172" s="408"/>
      <c r="BC172" s="408"/>
      <c r="BD172" s="408"/>
      <c r="BE172" s="408"/>
      <c r="BF172" s="408"/>
      <c r="BG172" s="408"/>
      <c r="BH172" s="408"/>
      <c r="BI172" s="408"/>
      <c r="BJ172" s="408"/>
      <c r="BK172" s="408"/>
      <c r="BL172" s="408"/>
      <c r="BM172" s="408"/>
      <c r="BN172" s="408"/>
      <c r="BO172" s="408"/>
      <c r="BP172" s="408"/>
      <c r="BQ172" s="408"/>
      <c r="BR172" s="408"/>
      <c r="BS172" s="408"/>
      <c r="BT172" s="408"/>
    </row>
    <row r="173" spans="1:72" ht="15" customHeight="1" x14ac:dyDescent="0.2">
      <c r="A173" s="448" t="s">
        <v>270</v>
      </c>
      <c r="B173" s="443" t="s">
        <v>115</v>
      </c>
      <c r="C173" s="311">
        <v>6</v>
      </c>
      <c r="D173" s="458" t="s">
        <v>26</v>
      </c>
      <c r="E173" s="164" t="s">
        <v>347</v>
      </c>
      <c r="F173" s="431" t="s">
        <v>15</v>
      </c>
      <c r="G173" s="127" t="s">
        <v>15</v>
      </c>
      <c r="H173" s="127" t="s">
        <v>15</v>
      </c>
      <c r="I173" s="431" t="s">
        <v>15</v>
      </c>
      <c r="J173" s="84" t="str">
        <f t="shared" si="54"/>
        <v/>
      </c>
      <c r="K173" s="176">
        <v>0.5</v>
      </c>
      <c r="L173" s="127"/>
      <c r="M173" s="127"/>
      <c r="N173" s="176">
        <v>0.75</v>
      </c>
      <c r="O173" s="84">
        <f t="shared" si="46"/>
        <v>0.25</v>
      </c>
      <c r="P173" s="415">
        <v>0.625</v>
      </c>
      <c r="Q173" s="127"/>
      <c r="R173" s="127"/>
      <c r="S173" s="415">
        <v>0.875</v>
      </c>
      <c r="T173" s="84">
        <f t="shared" si="48"/>
        <v>0.25</v>
      </c>
      <c r="U173" s="415">
        <v>0.66666666666666663</v>
      </c>
      <c r="V173" s="127"/>
      <c r="W173" s="127"/>
      <c r="X173" s="415">
        <v>0.9375</v>
      </c>
      <c r="Y173" s="84">
        <f t="shared" si="51"/>
        <v>0.27083333333333337</v>
      </c>
      <c r="Z173" s="431" t="s">
        <v>15</v>
      </c>
      <c r="AA173" s="127" t="s">
        <v>15</v>
      </c>
      <c r="AB173" s="127" t="s">
        <v>15</v>
      </c>
      <c r="AC173" s="431" t="s">
        <v>15</v>
      </c>
      <c r="AD173" s="84" t="str">
        <f t="shared" si="52"/>
        <v/>
      </c>
      <c r="AE173" s="176">
        <v>0.375</v>
      </c>
      <c r="AF173" s="127"/>
      <c r="AG173" s="127"/>
      <c r="AH173" s="176">
        <v>0.625</v>
      </c>
      <c r="AI173" s="84">
        <f t="shared" si="49"/>
        <v>0.25</v>
      </c>
      <c r="AJ173" s="176">
        <v>0.29166666666666669</v>
      </c>
      <c r="AK173" s="127"/>
      <c r="AL173" s="127"/>
      <c r="AM173" s="176">
        <v>0.54166666666666663</v>
      </c>
      <c r="AN173" s="84">
        <f t="shared" si="53"/>
        <v>0.24999999999999994</v>
      </c>
      <c r="AO173" s="28">
        <f t="shared" si="55"/>
        <v>1.2708333333333335</v>
      </c>
      <c r="AQ173" s="405"/>
    </row>
    <row r="174" spans="1:72" ht="15" x14ac:dyDescent="0.25">
      <c r="A174" s="447"/>
      <c r="B174" s="443" t="s">
        <v>153</v>
      </c>
      <c r="C174" s="311"/>
      <c r="D174" s="458" t="s">
        <v>26</v>
      </c>
      <c r="E174" s="164" t="s">
        <v>347</v>
      </c>
      <c r="F174" s="431" t="s">
        <v>15</v>
      </c>
      <c r="G174" s="127" t="s">
        <v>15</v>
      </c>
      <c r="H174" s="127" t="s">
        <v>15</v>
      </c>
      <c r="I174" s="431" t="s">
        <v>15</v>
      </c>
      <c r="J174" s="84" t="str">
        <f t="shared" si="54"/>
        <v/>
      </c>
      <c r="K174" s="176">
        <v>0.4375</v>
      </c>
      <c r="L174" s="127">
        <v>0.66666666666666663</v>
      </c>
      <c r="M174" s="127">
        <v>0.75</v>
      </c>
      <c r="N174" s="176">
        <v>0.85416666666666663</v>
      </c>
      <c r="O174" s="84">
        <f t="shared" si="46"/>
        <v>0.33333333333333326</v>
      </c>
      <c r="P174" s="176">
        <v>0.41666666666666669</v>
      </c>
      <c r="Q174" s="127">
        <v>0.625</v>
      </c>
      <c r="R174" s="127">
        <v>0.70833333333333337</v>
      </c>
      <c r="S174" s="176">
        <v>0.83333333333333337</v>
      </c>
      <c r="T174" s="84">
        <f t="shared" si="48"/>
        <v>0.33333333333333331</v>
      </c>
      <c r="U174" s="176">
        <v>0.41666666666666669</v>
      </c>
      <c r="V174" s="127">
        <v>0.625</v>
      </c>
      <c r="W174" s="127">
        <v>0.70833333333333337</v>
      </c>
      <c r="X174" s="176">
        <v>0.83333333333333337</v>
      </c>
      <c r="Y174" s="84">
        <f t="shared" si="51"/>
        <v>0.33333333333333331</v>
      </c>
      <c r="Z174" s="176">
        <v>0.52083333333333337</v>
      </c>
      <c r="AA174" s="127">
        <v>0.75</v>
      </c>
      <c r="AB174" s="127">
        <v>0.79166666666666663</v>
      </c>
      <c r="AC174" s="27">
        <v>0.89583333333333337</v>
      </c>
      <c r="AD174" s="84">
        <f t="shared" si="52"/>
        <v>0.33333333333333337</v>
      </c>
      <c r="AE174" s="176">
        <v>0.41666666666666669</v>
      </c>
      <c r="AF174" s="127">
        <v>0.625</v>
      </c>
      <c r="AG174" s="127">
        <v>0.70833333333333337</v>
      </c>
      <c r="AH174" s="176">
        <v>0.83333333333333337</v>
      </c>
      <c r="AI174" s="84">
        <f t="shared" si="49"/>
        <v>0.33333333333333331</v>
      </c>
      <c r="AJ174" s="431" t="s">
        <v>15</v>
      </c>
      <c r="AK174" s="127" t="s">
        <v>15</v>
      </c>
      <c r="AL174" s="127" t="s">
        <v>15</v>
      </c>
      <c r="AM174" s="431" t="s">
        <v>15</v>
      </c>
      <c r="AN174" s="84" t="str">
        <f t="shared" si="53"/>
        <v/>
      </c>
      <c r="AO174" s="28">
        <f t="shared" si="55"/>
        <v>1.6666666666666663</v>
      </c>
      <c r="AP174" s="174"/>
      <c r="AQ174" s="302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spans="1:72" ht="15" x14ac:dyDescent="0.25">
      <c r="B175" s="442" t="s">
        <v>205</v>
      </c>
      <c r="C175" s="311"/>
      <c r="D175" s="458" t="s">
        <v>26</v>
      </c>
      <c r="E175" s="439" t="s">
        <v>346</v>
      </c>
      <c r="F175" s="176">
        <v>0.375</v>
      </c>
      <c r="G175" s="127">
        <v>0.625</v>
      </c>
      <c r="H175" s="127">
        <v>0.66666666666666663</v>
      </c>
      <c r="I175" s="176">
        <v>0.75</v>
      </c>
      <c r="J175" s="84">
        <f t="shared" si="54"/>
        <v>0.33333333333333337</v>
      </c>
      <c r="K175" s="176">
        <v>0.5</v>
      </c>
      <c r="L175" s="127">
        <v>0.625</v>
      </c>
      <c r="M175" s="127">
        <v>0.66666666666666663</v>
      </c>
      <c r="N175" s="176">
        <v>0.875</v>
      </c>
      <c r="O175" s="84">
        <f t="shared" ref="O175:O190" si="56">IFERROR(MOD(N175-K175,1)-MOD(M175-L175,1),"")</f>
        <v>0.33333333333333337</v>
      </c>
      <c r="P175" s="176">
        <v>0.54166666666666663</v>
      </c>
      <c r="Q175" s="127">
        <v>0.625</v>
      </c>
      <c r="R175" s="127">
        <v>0.66666666666666663</v>
      </c>
      <c r="S175" s="176">
        <v>0.91666666666666663</v>
      </c>
      <c r="T175" s="84">
        <f t="shared" si="48"/>
        <v>0.33333333333333337</v>
      </c>
      <c r="U175" s="176">
        <v>0.54166666666666663</v>
      </c>
      <c r="V175" s="127">
        <v>0.66666666666666663</v>
      </c>
      <c r="W175" s="127">
        <v>0.70833333333333337</v>
      </c>
      <c r="X175" s="176">
        <v>0.91666666666666663</v>
      </c>
      <c r="Y175" s="84">
        <f t="shared" si="51"/>
        <v>0.33333333333333326</v>
      </c>
      <c r="Z175" s="431" t="s">
        <v>15</v>
      </c>
      <c r="AA175" s="127" t="s">
        <v>15</v>
      </c>
      <c r="AB175" s="127" t="s">
        <v>15</v>
      </c>
      <c r="AC175" s="431" t="s">
        <v>15</v>
      </c>
      <c r="AD175" s="84" t="str">
        <f t="shared" si="52"/>
        <v/>
      </c>
      <c r="AE175" s="431" t="s">
        <v>15</v>
      </c>
      <c r="AF175" s="127" t="s">
        <v>15</v>
      </c>
      <c r="AG175" s="127" t="s">
        <v>15</v>
      </c>
      <c r="AH175" s="431" t="s">
        <v>15</v>
      </c>
      <c r="AI175" s="84" t="str">
        <f t="shared" si="49"/>
        <v/>
      </c>
      <c r="AJ175" s="176">
        <v>0.29166666666666669</v>
      </c>
      <c r="AK175" s="127">
        <v>0.54166666666666663</v>
      </c>
      <c r="AL175" s="127">
        <v>0.625</v>
      </c>
      <c r="AM175" s="176">
        <v>0.70833333333333337</v>
      </c>
      <c r="AN175" s="84">
        <f t="shared" si="53"/>
        <v>0.33333333333333331</v>
      </c>
      <c r="AO175" s="28">
        <f t="shared" si="55"/>
        <v>1.6666666666666665</v>
      </c>
    </row>
    <row r="176" spans="1:72" ht="15" x14ac:dyDescent="0.25">
      <c r="B176" s="442" t="s">
        <v>113</v>
      </c>
      <c r="C176" s="311" t="s">
        <v>396</v>
      </c>
      <c r="D176" s="458" t="s">
        <v>26</v>
      </c>
      <c r="E176" s="439" t="s">
        <v>346</v>
      </c>
      <c r="F176" s="431" t="s">
        <v>15</v>
      </c>
      <c r="G176" s="127" t="s">
        <v>15</v>
      </c>
      <c r="H176" s="127" t="s">
        <v>15</v>
      </c>
      <c r="I176" s="431" t="s">
        <v>15</v>
      </c>
      <c r="J176" s="84" t="str">
        <f t="shared" si="54"/>
        <v/>
      </c>
      <c r="K176" s="431" t="s">
        <v>15</v>
      </c>
      <c r="L176" s="127" t="s">
        <v>15</v>
      </c>
      <c r="M176" s="127" t="s">
        <v>15</v>
      </c>
      <c r="N176" s="431" t="s">
        <v>15</v>
      </c>
      <c r="O176" s="84" t="str">
        <f t="shared" si="56"/>
        <v/>
      </c>
      <c r="P176" s="176">
        <v>0.29166666666666669</v>
      </c>
      <c r="Q176" s="127">
        <v>0.5</v>
      </c>
      <c r="R176" s="127">
        <v>0.54166666666666663</v>
      </c>
      <c r="S176" s="176">
        <v>0.625</v>
      </c>
      <c r="T176" s="84">
        <f t="shared" si="48"/>
        <v>0.29166666666666669</v>
      </c>
      <c r="U176" s="176">
        <v>0.29166666666666669</v>
      </c>
      <c r="V176" s="127">
        <v>0.54166666666666663</v>
      </c>
      <c r="W176" s="127">
        <v>0.58333333333333337</v>
      </c>
      <c r="X176" s="176">
        <v>0.625</v>
      </c>
      <c r="Y176" s="84">
        <f t="shared" si="51"/>
        <v>0.29166666666666657</v>
      </c>
      <c r="Z176" s="176">
        <v>0.29166666666666669</v>
      </c>
      <c r="AA176" s="127">
        <v>0.5</v>
      </c>
      <c r="AB176" s="127">
        <v>0.54166666666666663</v>
      </c>
      <c r="AC176" s="176">
        <v>0.625</v>
      </c>
      <c r="AD176" s="84">
        <f t="shared" si="52"/>
        <v>0.29166666666666669</v>
      </c>
      <c r="AE176" s="176">
        <v>0.29166666666666669</v>
      </c>
      <c r="AF176" s="127">
        <v>0.54166666666666663</v>
      </c>
      <c r="AG176" s="127">
        <v>0.58333333333333337</v>
      </c>
      <c r="AH176" s="176">
        <v>0.625</v>
      </c>
      <c r="AI176" s="84">
        <f t="shared" si="49"/>
        <v>0.29166666666666657</v>
      </c>
      <c r="AJ176" s="176">
        <v>0.33333333333333331</v>
      </c>
      <c r="AK176" s="127">
        <v>0.54166666666666663</v>
      </c>
      <c r="AL176" s="127">
        <v>0.58333333333333337</v>
      </c>
      <c r="AM176" s="176">
        <v>0.66666666666666663</v>
      </c>
      <c r="AN176" s="84">
        <f t="shared" si="53"/>
        <v>0.29166666666666657</v>
      </c>
      <c r="AO176" s="28">
        <f t="shared" si="55"/>
        <v>1.458333333333333</v>
      </c>
    </row>
    <row r="177" spans="1:72" ht="15" x14ac:dyDescent="0.25">
      <c r="A177" s="447" t="s">
        <v>276</v>
      </c>
      <c r="B177" s="442" t="s">
        <v>217</v>
      </c>
      <c r="C177" s="311"/>
      <c r="D177" s="449" t="s">
        <v>391</v>
      </c>
      <c r="E177" s="440" t="s">
        <v>79</v>
      </c>
      <c r="F177" s="85">
        <v>0.83333333333333337</v>
      </c>
      <c r="G177" s="127"/>
      <c r="H177" s="127"/>
      <c r="I177" s="85">
        <v>1</v>
      </c>
      <c r="J177" s="84">
        <f t="shared" si="54"/>
        <v>0.16666666666666663</v>
      </c>
      <c r="K177" s="85">
        <v>0</v>
      </c>
      <c r="L177" s="127">
        <v>8.3333333333333329E-2</v>
      </c>
      <c r="M177" s="127">
        <v>0.16666666666666666</v>
      </c>
      <c r="N177" s="85">
        <v>0.29166666666666669</v>
      </c>
      <c r="O177" s="84">
        <f t="shared" si="56"/>
        <v>0.20833333333333337</v>
      </c>
      <c r="P177" s="431" t="s">
        <v>15</v>
      </c>
      <c r="Q177" s="127" t="s">
        <v>15</v>
      </c>
      <c r="R177" s="127" t="s">
        <v>15</v>
      </c>
      <c r="S177" s="431" t="s">
        <v>15</v>
      </c>
      <c r="T177" s="84" t="str">
        <f t="shared" si="48"/>
        <v/>
      </c>
      <c r="U177" s="176">
        <v>0.29166666666666669</v>
      </c>
      <c r="V177" s="127">
        <v>0.54166666666666663</v>
      </c>
      <c r="W177" s="127">
        <v>0.58333333333333337</v>
      </c>
      <c r="X177" s="176">
        <v>0.70833333333333337</v>
      </c>
      <c r="Y177" s="84">
        <f t="shared" si="51"/>
        <v>0.37499999999999994</v>
      </c>
      <c r="Z177" s="176">
        <v>0.3125</v>
      </c>
      <c r="AA177" s="127">
        <v>0.5</v>
      </c>
      <c r="AB177" s="127">
        <v>0.58333333333333337</v>
      </c>
      <c r="AC177" s="176">
        <v>0.6875</v>
      </c>
      <c r="AD177" s="84">
        <f t="shared" si="52"/>
        <v>0.29166666666666663</v>
      </c>
      <c r="AE177" s="176">
        <v>0.45833333333333331</v>
      </c>
      <c r="AF177" s="127">
        <v>0.625</v>
      </c>
      <c r="AG177" s="127">
        <v>0.66666666666666663</v>
      </c>
      <c r="AH177" s="176">
        <v>0.875</v>
      </c>
      <c r="AI177" s="84">
        <f t="shared" si="49"/>
        <v>0.37500000000000006</v>
      </c>
      <c r="AJ177" s="176">
        <v>0.5</v>
      </c>
      <c r="AK177" s="127">
        <v>0.72916666666666663</v>
      </c>
      <c r="AL177" s="127">
        <v>0.77083333333333337</v>
      </c>
      <c r="AM177" s="176">
        <v>0.875</v>
      </c>
      <c r="AN177" s="84">
        <f t="shared" si="53"/>
        <v>0.33333333333333326</v>
      </c>
      <c r="AO177" s="28">
        <f t="shared" si="55"/>
        <v>1.7499999999999998</v>
      </c>
      <c r="AP177" s="1"/>
      <c r="AQ177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spans="1:72" ht="15" x14ac:dyDescent="0.25">
      <c r="A178" s="174" t="s">
        <v>599</v>
      </c>
      <c r="B178" s="442" t="s">
        <v>528</v>
      </c>
      <c r="C178" s="311"/>
      <c r="D178" s="449" t="s">
        <v>391</v>
      </c>
      <c r="E178" s="440" t="s">
        <v>79</v>
      </c>
      <c r="F178" s="176">
        <v>0.29166666666666669</v>
      </c>
      <c r="G178" s="127">
        <v>0.54166666666666663</v>
      </c>
      <c r="H178" s="127">
        <v>0.58333333333333337</v>
      </c>
      <c r="I178" s="176">
        <v>0.70833333333333337</v>
      </c>
      <c r="J178" s="84">
        <f t="shared" si="54"/>
        <v>0.37499999999999994</v>
      </c>
      <c r="K178" s="176">
        <v>0.29166666666666669</v>
      </c>
      <c r="L178" s="127">
        <v>0.54166666666666663</v>
      </c>
      <c r="M178" s="127">
        <v>0.58333333333333337</v>
      </c>
      <c r="N178" s="176">
        <v>0.66666666666666663</v>
      </c>
      <c r="O178" s="84">
        <f t="shared" si="56"/>
        <v>0.3333333333333332</v>
      </c>
      <c r="P178" s="176">
        <v>0.54166666666666663</v>
      </c>
      <c r="Q178" s="127">
        <v>0.75</v>
      </c>
      <c r="R178" s="127">
        <v>0.79166666666666663</v>
      </c>
      <c r="S178" s="176">
        <v>0.9375</v>
      </c>
      <c r="T178" s="84">
        <f t="shared" si="48"/>
        <v>0.35416666666666674</v>
      </c>
      <c r="U178" s="85">
        <v>0.83333333333333337</v>
      </c>
      <c r="V178" s="127"/>
      <c r="W178" s="127"/>
      <c r="X178" s="85">
        <v>1</v>
      </c>
      <c r="Y178" s="84">
        <f t="shared" si="51"/>
        <v>0.16666666666666663</v>
      </c>
      <c r="Z178" s="85">
        <v>0</v>
      </c>
      <c r="AA178" s="127">
        <v>0.125</v>
      </c>
      <c r="AB178" s="127">
        <v>0.20833333333333334</v>
      </c>
      <c r="AC178" s="85">
        <v>0.29166666666666669</v>
      </c>
      <c r="AD178" s="84">
        <f t="shared" si="52"/>
        <v>0.20833333333333334</v>
      </c>
      <c r="AE178" s="431" t="s">
        <v>15</v>
      </c>
      <c r="AF178" s="127" t="s">
        <v>15</v>
      </c>
      <c r="AG178" s="127" t="s">
        <v>15</v>
      </c>
      <c r="AH178" s="431" t="s">
        <v>15</v>
      </c>
      <c r="AI178" s="84" t="str">
        <f t="shared" si="49"/>
        <v/>
      </c>
      <c r="AJ178" s="176">
        <v>0.54166666666666663</v>
      </c>
      <c r="AK178" s="127">
        <v>0.6875</v>
      </c>
      <c r="AL178" s="127">
        <v>0.72916666666666663</v>
      </c>
      <c r="AM178" s="176">
        <v>0.91666666666666663</v>
      </c>
      <c r="AN178" s="84">
        <f t="shared" si="53"/>
        <v>0.33333333333333337</v>
      </c>
      <c r="AO178" s="28">
        <f t="shared" si="55"/>
        <v>1.770833333333333</v>
      </c>
      <c r="AP178" s="1"/>
      <c r="AQ178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</row>
    <row r="179" spans="1:72" ht="15" x14ac:dyDescent="0.25">
      <c r="A179" s="448" t="s">
        <v>263</v>
      </c>
      <c r="B179" s="442" t="s">
        <v>213</v>
      </c>
      <c r="C179" s="311"/>
      <c r="D179" s="449" t="s">
        <v>391</v>
      </c>
      <c r="E179" s="440" t="s">
        <v>79</v>
      </c>
      <c r="F179" s="176">
        <v>0.33333333333333331</v>
      </c>
      <c r="G179" s="127">
        <v>0.58333333333333337</v>
      </c>
      <c r="H179" s="127">
        <v>0.625</v>
      </c>
      <c r="I179" s="176">
        <v>0.75</v>
      </c>
      <c r="J179" s="84">
        <f t="shared" si="54"/>
        <v>0.37500000000000006</v>
      </c>
      <c r="K179" s="176">
        <v>0.45833333333333331</v>
      </c>
      <c r="L179" s="127">
        <v>0.72916666666666663</v>
      </c>
      <c r="M179" s="127">
        <v>0.77083333333333337</v>
      </c>
      <c r="N179" s="176">
        <v>0.875</v>
      </c>
      <c r="O179" s="84">
        <f t="shared" si="56"/>
        <v>0.37499999999999994</v>
      </c>
      <c r="P179" s="176">
        <v>0.45833333333333331</v>
      </c>
      <c r="Q179" s="127">
        <v>0.70833333333333337</v>
      </c>
      <c r="R179" s="127">
        <v>0.79166666666666663</v>
      </c>
      <c r="S179" s="176">
        <v>0.875</v>
      </c>
      <c r="T179" s="84">
        <f t="shared" si="48"/>
        <v>0.33333333333333343</v>
      </c>
      <c r="U179" s="431" t="s">
        <v>15</v>
      </c>
      <c r="V179" s="127" t="s">
        <v>15</v>
      </c>
      <c r="W179" s="127" t="s">
        <v>15</v>
      </c>
      <c r="X179" s="431" t="s">
        <v>15</v>
      </c>
      <c r="Y179" s="84" t="str">
        <f t="shared" si="51"/>
        <v/>
      </c>
      <c r="Z179" s="431" t="s">
        <v>15</v>
      </c>
      <c r="AA179" s="127" t="s">
        <v>15</v>
      </c>
      <c r="AB179" s="127" t="s">
        <v>15</v>
      </c>
      <c r="AC179" s="431" t="s">
        <v>15</v>
      </c>
      <c r="AD179" s="84" t="str">
        <f t="shared" si="52"/>
        <v/>
      </c>
      <c r="AE179" s="176">
        <v>0.29166666666666669</v>
      </c>
      <c r="AF179" s="127">
        <v>0.54166666666666663</v>
      </c>
      <c r="AG179" s="127">
        <v>0.58333333333333337</v>
      </c>
      <c r="AH179" s="176">
        <v>0.70833333333333337</v>
      </c>
      <c r="AI179" s="84">
        <f t="shared" si="49"/>
        <v>0.37499999999999994</v>
      </c>
      <c r="AJ179" s="176">
        <v>0.3125</v>
      </c>
      <c r="AK179" s="127">
        <v>0.54166666666666663</v>
      </c>
      <c r="AL179" s="127">
        <v>0.58333333333333337</v>
      </c>
      <c r="AM179" s="176">
        <v>0.72916666666666663</v>
      </c>
      <c r="AN179" s="84">
        <f t="shared" si="53"/>
        <v>0.37499999999999989</v>
      </c>
      <c r="AO179" s="28">
        <f t="shared" si="55"/>
        <v>1.8333333333333335</v>
      </c>
      <c r="AQ179" s="403"/>
    </row>
    <row r="180" spans="1:72" ht="15" x14ac:dyDescent="0.25">
      <c r="A180" s="448" t="s">
        <v>271</v>
      </c>
      <c r="B180" s="442" t="s">
        <v>215</v>
      </c>
      <c r="C180" s="311"/>
      <c r="D180" s="449" t="s">
        <v>391</v>
      </c>
      <c r="E180" s="440" t="s">
        <v>79</v>
      </c>
      <c r="F180" s="176">
        <v>0.29166666666666669</v>
      </c>
      <c r="G180" s="127">
        <v>0.54166666666666663</v>
      </c>
      <c r="H180" s="127">
        <v>0.58333333333333337</v>
      </c>
      <c r="I180" s="176">
        <v>0.70833333333333337</v>
      </c>
      <c r="J180" s="84">
        <f t="shared" si="54"/>
        <v>0.37499999999999994</v>
      </c>
      <c r="K180" s="431" t="s">
        <v>15</v>
      </c>
      <c r="L180" s="127" t="s">
        <v>15</v>
      </c>
      <c r="M180" s="127" t="s">
        <v>15</v>
      </c>
      <c r="N180" s="431" t="s">
        <v>15</v>
      </c>
      <c r="O180" s="84" t="str">
        <f t="shared" si="56"/>
        <v/>
      </c>
      <c r="P180" s="176">
        <v>0.27083333333333331</v>
      </c>
      <c r="Q180" s="127">
        <v>0.54166666666666663</v>
      </c>
      <c r="R180" s="127">
        <v>0.58333333333333337</v>
      </c>
      <c r="S180" s="176">
        <v>0.6875</v>
      </c>
      <c r="T180" s="84">
        <f t="shared" si="48"/>
        <v>0.37499999999999994</v>
      </c>
      <c r="U180" s="431" t="s">
        <v>15</v>
      </c>
      <c r="V180" s="127" t="s">
        <v>15</v>
      </c>
      <c r="W180" s="127" t="s">
        <v>15</v>
      </c>
      <c r="X180" s="431" t="s">
        <v>15</v>
      </c>
      <c r="Y180" s="84" t="str">
        <f t="shared" si="51"/>
        <v/>
      </c>
      <c r="Z180" s="176">
        <v>0.3125</v>
      </c>
      <c r="AA180" s="127">
        <v>0.54166666666666663</v>
      </c>
      <c r="AB180" s="127">
        <v>0.625</v>
      </c>
      <c r="AC180" s="176">
        <v>0.6875</v>
      </c>
      <c r="AD180" s="84">
        <f t="shared" si="52"/>
        <v>0.29166666666666663</v>
      </c>
      <c r="AE180" s="176">
        <v>0.54166666666666663</v>
      </c>
      <c r="AF180" s="127">
        <v>0.75</v>
      </c>
      <c r="AG180" s="127">
        <v>0.79166666666666663</v>
      </c>
      <c r="AH180" s="176">
        <v>0.9375</v>
      </c>
      <c r="AI180" s="84">
        <f t="shared" si="49"/>
        <v>0.35416666666666674</v>
      </c>
      <c r="AJ180" s="176">
        <v>0.6875</v>
      </c>
      <c r="AK180" s="127"/>
      <c r="AL180" s="127"/>
      <c r="AM180" s="176">
        <v>0.9375</v>
      </c>
      <c r="AN180" s="84">
        <f t="shared" si="53"/>
        <v>0.25</v>
      </c>
      <c r="AO180" s="28">
        <f t="shared" si="55"/>
        <v>1.6458333333333333</v>
      </c>
      <c r="AQ180" s="405"/>
      <c r="AS180" s="406"/>
      <c r="AT180" s="406"/>
      <c r="AU180" s="406"/>
      <c r="AV180" s="406"/>
      <c r="AW180" s="406"/>
      <c r="AX180" s="406"/>
      <c r="AY180" s="406"/>
      <c r="AZ180" s="406"/>
      <c r="BA180" s="406"/>
      <c r="BB180" s="406"/>
      <c r="BC180" s="406"/>
      <c r="BD180" s="406"/>
      <c r="BE180" s="406"/>
      <c r="BF180" s="406"/>
      <c r="BG180" s="406"/>
      <c r="BH180" s="406"/>
      <c r="BI180" s="406"/>
      <c r="BJ180" s="406"/>
      <c r="BK180" s="406"/>
      <c r="BL180" s="406"/>
      <c r="BM180" s="406"/>
      <c r="BN180" s="406"/>
      <c r="BO180" s="406"/>
      <c r="BP180" s="406"/>
      <c r="BQ180" s="406"/>
      <c r="BR180" s="406"/>
      <c r="BS180" s="406"/>
      <c r="BT180" s="406"/>
    </row>
    <row r="181" spans="1:72" ht="15" x14ac:dyDescent="0.25">
      <c r="A181" s="489" t="s">
        <v>263</v>
      </c>
      <c r="B181" s="442" t="s">
        <v>307</v>
      </c>
      <c r="C181" s="311"/>
      <c r="D181" s="449" t="s">
        <v>391</v>
      </c>
      <c r="E181" s="440" t="s">
        <v>79</v>
      </c>
      <c r="F181" s="176">
        <v>0.52083333333333337</v>
      </c>
      <c r="G181" s="127">
        <v>0.77083333333333337</v>
      </c>
      <c r="H181" s="127">
        <v>0.8125</v>
      </c>
      <c r="I181" s="176">
        <v>0.9375</v>
      </c>
      <c r="J181" s="84">
        <f t="shared" si="54"/>
        <v>0.375</v>
      </c>
      <c r="K181" s="176">
        <v>0.52083333333333337</v>
      </c>
      <c r="L181" s="127">
        <v>0.72916666666666663</v>
      </c>
      <c r="M181" s="127">
        <v>0.77083333333333337</v>
      </c>
      <c r="N181" s="176">
        <v>0.9375</v>
      </c>
      <c r="O181" s="84">
        <f t="shared" si="56"/>
        <v>0.37499999999999989</v>
      </c>
      <c r="P181" s="431" t="s">
        <v>15</v>
      </c>
      <c r="Q181" s="127" t="s">
        <v>15</v>
      </c>
      <c r="R181" s="127" t="s">
        <v>15</v>
      </c>
      <c r="S181" s="431" t="s">
        <v>15</v>
      </c>
      <c r="T181" s="84" t="str">
        <f t="shared" si="48"/>
        <v/>
      </c>
      <c r="U181" s="176">
        <v>0.29166666666666669</v>
      </c>
      <c r="V181" s="127">
        <v>0.54166666666666663</v>
      </c>
      <c r="W181" s="127">
        <v>0.58333333333333337</v>
      </c>
      <c r="X181" s="176">
        <v>0.70833333333333337</v>
      </c>
      <c r="Y181" s="84">
        <f t="shared" si="51"/>
        <v>0.37499999999999994</v>
      </c>
      <c r="Z181" s="431" t="s">
        <v>15</v>
      </c>
      <c r="AA181" s="127" t="s">
        <v>15</v>
      </c>
      <c r="AB181" s="127" t="s">
        <v>15</v>
      </c>
      <c r="AC181" s="431" t="s">
        <v>15</v>
      </c>
      <c r="AD181" s="84" t="str">
        <f t="shared" si="52"/>
        <v/>
      </c>
      <c r="AE181" s="176">
        <v>0.54166666666666663</v>
      </c>
      <c r="AF181" s="127">
        <v>0.75</v>
      </c>
      <c r="AG181" s="127">
        <v>0.79166666666666663</v>
      </c>
      <c r="AH181" s="176">
        <v>0.9375</v>
      </c>
      <c r="AI181" s="84">
        <f t="shared" si="49"/>
        <v>0.35416666666666674</v>
      </c>
      <c r="AJ181" s="176">
        <v>0.5</v>
      </c>
      <c r="AK181" s="127">
        <v>0.70833333333333337</v>
      </c>
      <c r="AL181" s="127">
        <v>0.75</v>
      </c>
      <c r="AM181" s="176">
        <v>0.875</v>
      </c>
      <c r="AN181" s="84">
        <f t="shared" si="53"/>
        <v>0.33333333333333337</v>
      </c>
      <c r="AO181" s="28">
        <f t="shared" si="55"/>
        <v>1.8125</v>
      </c>
      <c r="AQ181" s="403"/>
    </row>
    <row r="182" spans="1:72" ht="15" x14ac:dyDescent="0.25">
      <c r="A182" s="448" t="s">
        <v>263</v>
      </c>
      <c r="B182" s="442" t="s">
        <v>529</v>
      </c>
      <c r="C182" s="311"/>
      <c r="D182" s="449" t="s">
        <v>391</v>
      </c>
      <c r="E182" s="440" t="s">
        <v>79</v>
      </c>
      <c r="F182" s="176" t="s">
        <v>156</v>
      </c>
      <c r="G182" s="127" t="s">
        <v>156</v>
      </c>
      <c r="H182" s="127" t="s">
        <v>156</v>
      </c>
      <c r="I182" s="176" t="s">
        <v>156</v>
      </c>
      <c r="J182" s="84" t="str">
        <f t="shared" si="54"/>
        <v/>
      </c>
      <c r="K182" s="176" t="s">
        <v>156</v>
      </c>
      <c r="L182" s="127" t="s">
        <v>156</v>
      </c>
      <c r="M182" s="127" t="s">
        <v>156</v>
      </c>
      <c r="N182" s="176" t="s">
        <v>156</v>
      </c>
      <c r="O182" s="84" t="str">
        <f t="shared" si="56"/>
        <v/>
      </c>
      <c r="P182" s="176" t="s">
        <v>156</v>
      </c>
      <c r="Q182" s="127" t="s">
        <v>156</v>
      </c>
      <c r="R182" s="127" t="s">
        <v>156</v>
      </c>
      <c r="S182" s="176" t="s">
        <v>156</v>
      </c>
      <c r="T182" s="84" t="str">
        <f t="shared" si="48"/>
        <v/>
      </c>
      <c r="U182" s="176" t="s">
        <v>156</v>
      </c>
      <c r="V182" s="127" t="s">
        <v>156</v>
      </c>
      <c r="W182" s="127" t="s">
        <v>156</v>
      </c>
      <c r="X182" s="176" t="s">
        <v>156</v>
      </c>
      <c r="Y182" s="84" t="str">
        <f t="shared" si="51"/>
        <v/>
      </c>
      <c r="Z182" s="176" t="s">
        <v>156</v>
      </c>
      <c r="AA182" s="127" t="s">
        <v>156</v>
      </c>
      <c r="AB182" s="127" t="s">
        <v>156</v>
      </c>
      <c r="AC182" s="176" t="s">
        <v>156</v>
      </c>
      <c r="AD182" s="84" t="str">
        <f t="shared" si="52"/>
        <v/>
      </c>
      <c r="AE182" s="176" t="s">
        <v>156</v>
      </c>
      <c r="AF182" s="127" t="s">
        <v>156</v>
      </c>
      <c r="AG182" s="127" t="s">
        <v>156</v>
      </c>
      <c r="AH182" s="176" t="s">
        <v>156</v>
      </c>
      <c r="AI182" s="84" t="str">
        <f t="shared" si="49"/>
        <v/>
      </c>
      <c r="AJ182" s="176" t="s">
        <v>156</v>
      </c>
      <c r="AK182" s="127" t="s">
        <v>156</v>
      </c>
      <c r="AL182" s="127" t="s">
        <v>156</v>
      </c>
      <c r="AM182" s="176" t="s">
        <v>156</v>
      </c>
      <c r="AN182" s="84" t="str">
        <f t="shared" si="53"/>
        <v/>
      </c>
      <c r="AO182" s="28">
        <f t="shared" si="55"/>
        <v>0</v>
      </c>
      <c r="AQ182" s="405"/>
    </row>
    <row r="183" spans="1:72" ht="15" x14ac:dyDescent="0.25">
      <c r="A183" s="448" t="s">
        <v>263</v>
      </c>
      <c r="B183" s="442" t="s">
        <v>223</v>
      </c>
      <c r="C183" s="311"/>
      <c r="D183" s="449" t="s">
        <v>391</v>
      </c>
      <c r="E183" s="440" t="s">
        <v>79</v>
      </c>
      <c r="F183" s="176" t="s">
        <v>156</v>
      </c>
      <c r="G183" s="127" t="s">
        <v>156</v>
      </c>
      <c r="H183" s="127" t="s">
        <v>156</v>
      </c>
      <c r="I183" s="176" t="s">
        <v>156</v>
      </c>
      <c r="J183" s="84" t="str">
        <f t="shared" si="54"/>
        <v/>
      </c>
      <c r="K183" s="176" t="s">
        <v>156</v>
      </c>
      <c r="L183" s="127" t="s">
        <v>156</v>
      </c>
      <c r="M183" s="127" t="s">
        <v>156</v>
      </c>
      <c r="N183" s="176" t="s">
        <v>156</v>
      </c>
      <c r="O183" s="84" t="str">
        <f t="shared" si="56"/>
        <v/>
      </c>
      <c r="P183" s="176" t="s">
        <v>156</v>
      </c>
      <c r="Q183" s="127" t="s">
        <v>156</v>
      </c>
      <c r="R183" s="127" t="s">
        <v>156</v>
      </c>
      <c r="S183" s="176" t="s">
        <v>156</v>
      </c>
      <c r="T183" s="84" t="str">
        <f t="shared" si="48"/>
        <v/>
      </c>
      <c r="U183" s="176" t="s">
        <v>156</v>
      </c>
      <c r="V183" s="127" t="s">
        <v>156</v>
      </c>
      <c r="W183" s="127" t="s">
        <v>156</v>
      </c>
      <c r="X183" s="176" t="s">
        <v>156</v>
      </c>
      <c r="Y183" s="84" t="str">
        <f t="shared" si="51"/>
        <v/>
      </c>
      <c r="Z183" s="176" t="s">
        <v>156</v>
      </c>
      <c r="AA183" s="127" t="s">
        <v>156</v>
      </c>
      <c r="AB183" s="127" t="s">
        <v>156</v>
      </c>
      <c r="AC183" s="176" t="s">
        <v>156</v>
      </c>
      <c r="AD183" s="84" t="str">
        <f t="shared" si="52"/>
        <v/>
      </c>
      <c r="AE183" s="176" t="s">
        <v>156</v>
      </c>
      <c r="AF183" s="127" t="s">
        <v>156</v>
      </c>
      <c r="AG183" s="127" t="s">
        <v>156</v>
      </c>
      <c r="AH183" s="176" t="s">
        <v>156</v>
      </c>
      <c r="AI183" s="84" t="str">
        <f t="shared" si="49"/>
        <v/>
      </c>
      <c r="AJ183" s="176" t="s">
        <v>156</v>
      </c>
      <c r="AK183" s="127" t="s">
        <v>156</v>
      </c>
      <c r="AL183" s="127" t="s">
        <v>156</v>
      </c>
      <c r="AM183" s="176" t="s">
        <v>156</v>
      </c>
      <c r="AN183" s="84" t="str">
        <f t="shared" si="53"/>
        <v/>
      </c>
      <c r="AO183" s="28">
        <f t="shared" si="55"/>
        <v>0</v>
      </c>
      <c r="AQ183" s="403"/>
      <c r="AS183" s="408"/>
    </row>
    <row r="184" spans="1:72" ht="15" x14ac:dyDescent="0.25">
      <c r="A184" s="448" t="s">
        <v>589</v>
      </c>
      <c r="B184" s="442" t="s">
        <v>218</v>
      </c>
      <c r="C184" s="311"/>
      <c r="D184" s="449" t="s">
        <v>391</v>
      </c>
      <c r="E184" s="440" t="s">
        <v>79</v>
      </c>
      <c r="F184" s="85">
        <v>0</v>
      </c>
      <c r="G184" s="127">
        <v>4.1666666666666664E-2</v>
      </c>
      <c r="H184" s="127">
        <v>0.125</v>
      </c>
      <c r="I184" s="85">
        <v>0.29166666666666669</v>
      </c>
      <c r="J184" s="84">
        <f t="shared" si="54"/>
        <v>0.20833333333333334</v>
      </c>
      <c r="K184" s="431" t="s">
        <v>15</v>
      </c>
      <c r="L184" s="127" t="s">
        <v>15</v>
      </c>
      <c r="M184" s="127" t="s">
        <v>15</v>
      </c>
      <c r="N184" s="431" t="s">
        <v>15</v>
      </c>
      <c r="O184" s="84" t="str">
        <f t="shared" si="56"/>
        <v/>
      </c>
      <c r="P184" s="176">
        <v>0.29166666666666669</v>
      </c>
      <c r="Q184" s="127">
        <v>0.54166666666666663</v>
      </c>
      <c r="R184" s="127">
        <v>0.625</v>
      </c>
      <c r="S184" s="176">
        <v>0.70833333333333337</v>
      </c>
      <c r="T184" s="84">
        <f t="shared" si="48"/>
        <v>0.33333333333333331</v>
      </c>
      <c r="U184" s="176">
        <v>0.5</v>
      </c>
      <c r="V184" s="127">
        <v>0.72916666666666663</v>
      </c>
      <c r="W184" s="127">
        <v>0.77083333333333337</v>
      </c>
      <c r="X184" s="176">
        <v>0.91666666666666663</v>
      </c>
      <c r="Y184" s="84">
        <f t="shared" si="51"/>
        <v>0.37499999999999989</v>
      </c>
      <c r="Z184" s="176">
        <v>0.52083333333333337</v>
      </c>
      <c r="AA184" s="127">
        <v>0.75</v>
      </c>
      <c r="AB184" s="127">
        <v>0.79166666666666663</v>
      </c>
      <c r="AC184" s="176">
        <v>0.9375</v>
      </c>
      <c r="AD184" s="84">
        <f t="shared" si="52"/>
        <v>0.375</v>
      </c>
      <c r="AE184" s="85">
        <v>0.875</v>
      </c>
      <c r="AF184" s="127"/>
      <c r="AG184" s="127"/>
      <c r="AH184" s="85">
        <v>1</v>
      </c>
      <c r="AI184" s="84">
        <f t="shared" si="49"/>
        <v>0.125</v>
      </c>
      <c r="AJ184" s="85">
        <v>0</v>
      </c>
      <c r="AK184" s="127">
        <v>0.29166666666666669</v>
      </c>
      <c r="AL184" s="127">
        <v>0.83333333333333337</v>
      </c>
      <c r="AM184" s="85">
        <v>1</v>
      </c>
      <c r="AN184" s="84">
        <v>0.375</v>
      </c>
      <c r="AO184" s="28">
        <f t="shared" si="55"/>
        <v>1.7916666666666665</v>
      </c>
      <c r="AQ184" s="405"/>
      <c r="AS184" s="408"/>
    </row>
    <row r="185" spans="1:72" ht="15" x14ac:dyDescent="0.25">
      <c r="A185" s="410" t="s">
        <v>590</v>
      </c>
      <c r="B185" s="442" t="s">
        <v>163</v>
      </c>
      <c r="C185" s="311"/>
      <c r="D185" s="449" t="s">
        <v>391</v>
      </c>
      <c r="E185" s="440" t="s">
        <v>79</v>
      </c>
      <c r="F185" s="176">
        <v>0.52083333333333337</v>
      </c>
      <c r="G185" s="127">
        <v>0.77083333333333337</v>
      </c>
      <c r="H185" s="127">
        <v>0.8125</v>
      </c>
      <c r="I185" s="176">
        <v>0.9375</v>
      </c>
      <c r="J185" s="84">
        <f t="shared" si="54"/>
        <v>0.375</v>
      </c>
      <c r="K185" s="85">
        <v>0.875</v>
      </c>
      <c r="L185" s="127"/>
      <c r="M185" s="127"/>
      <c r="N185" s="85">
        <v>1</v>
      </c>
      <c r="O185" s="84">
        <f t="shared" si="56"/>
        <v>0.125</v>
      </c>
      <c r="P185" s="85">
        <v>0.83333333333333337</v>
      </c>
      <c r="Q185" s="127">
        <v>0.29166666666666669</v>
      </c>
      <c r="R185" s="127">
        <v>0.83333333333333337</v>
      </c>
      <c r="S185" s="85">
        <v>1</v>
      </c>
      <c r="T185" s="84">
        <v>0.375</v>
      </c>
      <c r="U185" s="85">
        <v>0</v>
      </c>
      <c r="V185" s="127">
        <v>0.125</v>
      </c>
      <c r="W185" s="127">
        <v>0.20833333333333334</v>
      </c>
      <c r="X185" s="85">
        <v>0.29166666666666669</v>
      </c>
      <c r="Y185" s="84">
        <f t="shared" si="51"/>
        <v>0.20833333333333334</v>
      </c>
      <c r="Z185" s="431" t="s">
        <v>15</v>
      </c>
      <c r="AA185" s="127" t="s">
        <v>15</v>
      </c>
      <c r="AB185" s="127" t="s">
        <v>15</v>
      </c>
      <c r="AC185" s="431" t="s">
        <v>15</v>
      </c>
      <c r="AD185" s="84" t="str">
        <f t="shared" si="52"/>
        <v/>
      </c>
      <c r="AE185" s="176">
        <v>0.375</v>
      </c>
      <c r="AF185" s="127">
        <v>0.58333333333333337</v>
      </c>
      <c r="AG185" s="127">
        <v>0.66666666666666663</v>
      </c>
      <c r="AH185" s="176">
        <v>0.8125</v>
      </c>
      <c r="AI185" s="84">
        <f t="shared" si="49"/>
        <v>0.35416666666666674</v>
      </c>
      <c r="AJ185" s="176">
        <v>0.54166666666666663</v>
      </c>
      <c r="AK185" s="127">
        <v>0.72916666666666663</v>
      </c>
      <c r="AL185" s="127">
        <v>0.77083333333333337</v>
      </c>
      <c r="AM185" s="176">
        <v>0.9375</v>
      </c>
      <c r="AN185" s="84">
        <f t="shared" ref="AN185:AN190" si="57">IFERROR(MOD(AM185-AJ185,1)-MOD(AL185-AK185,1),"")</f>
        <v>0.35416666666666663</v>
      </c>
      <c r="AO185" s="28">
        <f t="shared" si="55"/>
        <v>1.7916666666666665</v>
      </c>
      <c r="AP185" s="410"/>
      <c r="AQ185" s="405"/>
      <c r="AS185" s="408"/>
    </row>
    <row r="186" spans="1:72" ht="15" x14ac:dyDescent="0.25">
      <c r="A186" s="448" t="s">
        <v>264</v>
      </c>
      <c r="B186" s="442" t="s">
        <v>18</v>
      </c>
      <c r="C186" s="311"/>
      <c r="D186" s="449" t="s">
        <v>391</v>
      </c>
      <c r="E186" s="440" t="s">
        <v>79</v>
      </c>
      <c r="F186" s="431" t="s">
        <v>15</v>
      </c>
      <c r="G186" s="127" t="s">
        <v>15</v>
      </c>
      <c r="H186" s="127" t="s">
        <v>15</v>
      </c>
      <c r="I186" s="431" t="s">
        <v>15</v>
      </c>
      <c r="J186" s="84" t="str">
        <f t="shared" si="54"/>
        <v/>
      </c>
      <c r="K186" s="176">
        <v>0.27083333333333331</v>
      </c>
      <c r="L186" s="127">
        <v>0.54166666666666663</v>
      </c>
      <c r="M186" s="127">
        <v>0.625</v>
      </c>
      <c r="N186" s="176">
        <v>0.6875</v>
      </c>
      <c r="O186" s="84">
        <f t="shared" si="56"/>
        <v>0.33333333333333331</v>
      </c>
      <c r="P186" s="176">
        <v>0.54166666666666663</v>
      </c>
      <c r="Q186" s="127">
        <v>0.66666666666666663</v>
      </c>
      <c r="R186" s="127">
        <v>0.70833333333333337</v>
      </c>
      <c r="S186" s="176">
        <v>0.9375</v>
      </c>
      <c r="T186" s="84">
        <f>IFERROR(MOD(S186-P186,1)-MOD(R186-Q186,1),"")</f>
        <v>0.35416666666666663</v>
      </c>
      <c r="U186" s="176">
        <v>0.52083333333333337</v>
      </c>
      <c r="V186" s="127">
        <v>0.75</v>
      </c>
      <c r="W186" s="127">
        <v>0.79166666666666663</v>
      </c>
      <c r="X186" s="176">
        <v>0.9375</v>
      </c>
      <c r="Y186" s="84">
        <f t="shared" si="51"/>
        <v>0.375</v>
      </c>
      <c r="Z186" s="176">
        <v>0.52083333333333337</v>
      </c>
      <c r="AA186" s="127">
        <v>0.75</v>
      </c>
      <c r="AB186" s="127">
        <v>0.79166666666666663</v>
      </c>
      <c r="AC186" s="176">
        <v>0.9375</v>
      </c>
      <c r="AD186" s="84">
        <f t="shared" si="52"/>
        <v>0.375</v>
      </c>
      <c r="AE186" s="431" t="s">
        <v>15</v>
      </c>
      <c r="AF186" s="127" t="s">
        <v>15</v>
      </c>
      <c r="AG186" s="127" t="s">
        <v>15</v>
      </c>
      <c r="AH186" s="431" t="s">
        <v>15</v>
      </c>
      <c r="AI186" s="84" t="str">
        <f t="shared" si="49"/>
        <v/>
      </c>
      <c r="AJ186" s="176">
        <v>0.29166666666666669</v>
      </c>
      <c r="AK186" s="127">
        <v>0.5</v>
      </c>
      <c r="AL186" s="127">
        <v>0.58333333333333337</v>
      </c>
      <c r="AM186" s="176">
        <v>0.70833333333333337</v>
      </c>
      <c r="AN186" s="84">
        <f t="shared" si="57"/>
        <v>0.33333333333333331</v>
      </c>
      <c r="AO186" s="28">
        <f t="shared" si="55"/>
        <v>1.7708333333333333</v>
      </c>
      <c r="AP186" s="406"/>
      <c r="AQ186" s="403"/>
    </row>
    <row r="187" spans="1:72" ht="15" x14ac:dyDescent="0.25">
      <c r="A187" s="448" t="s">
        <v>276</v>
      </c>
      <c r="B187" s="442" t="s">
        <v>308</v>
      </c>
      <c r="C187" s="311"/>
      <c r="D187" s="449" t="s">
        <v>391</v>
      </c>
      <c r="E187" s="440" t="s">
        <v>79</v>
      </c>
      <c r="F187" s="431" t="s">
        <v>15</v>
      </c>
      <c r="G187" s="127" t="s">
        <v>15</v>
      </c>
      <c r="H187" s="127" t="s">
        <v>15</v>
      </c>
      <c r="I187" s="431" t="s">
        <v>15</v>
      </c>
      <c r="J187" s="84" t="str">
        <f t="shared" si="54"/>
        <v/>
      </c>
      <c r="K187" s="431" t="s">
        <v>15</v>
      </c>
      <c r="L187" s="127" t="s">
        <v>15</v>
      </c>
      <c r="M187" s="127" t="s">
        <v>15</v>
      </c>
      <c r="N187" s="431" t="s">
        <v>15</v>
      </c>
      <c r="O187" s="84" t="str">
        <f t="shared" si="56"/>
        <v/>
      </c>
      <c r="P187" s="176">
        <v>0.29166666666666669</v>
      </c>
      <c r="Q187" s="127">
        <v>0.54166666666666663</v>
      </c>
      <c r="R187" s="127">
        <v>0.625</v>
      </c>
      <c r="S187" s="176">
        <v>0.70833333333333337</v>
      </c>
      <c r="T187" s="84">
        <f>IFERROR(MOD(S187-P187,1)-MOD(R187-Q187,1),"")</f>
        <v>0.33333333333333331</v>
      </c>
      <c r="U187" s="176">
        <v>0.33333333333333331</v>
      </c>
      <c r="V187" s="127">
        <v>0.58333333333333337</v>
      </c>
      <c r="W187" s="127">
        <v>0.625</v>
      </c>
      <c r="X187" s="176">
        <v>0.75</v>
      </c>
      <c r="Y187" s="84">
        <f t="shared" si="51"/>
        <v>0.37500000000000006</v>
      </c>
      <c r="Z187" s="176">
        <v>0.41666666666666669</v>
      </c>
      <c r="AA187" s="127">
        <v>0.66666666666666663</v>
      </c>
      <c r="AB187" s="127">
        <v>0.75</v>
      </c>
      <c r="AC187" s="176">
        <v>0.83333333333333337</v>
      </c>
      <c r="AD187" s="84">
        <f t="shared" si="52"/>
        <v>0.33333333333333331</v>
      </c>
      <c r="AE187" s="176">
        <v>0.54166666666666663</v>
      </c>
      <c r="AF187" s="127">
        <v>0.75</v>
      </c>
      <c r="AG187" s="127">
        <v>0.79166666666666663</v>
      </c>
      <c r="AH187" s="176">
        <v>0.9375</v>
      </c>
      <c r="AI187" s="84">
        <f t="shared" si="49"/>
        <v>0.35416666666666674</v>
      </c>
      <c r="AJ187" s="176">
        <v>0.5</v>
      </c>
      <c r="AK187" s="127">
        <v>0.70833333333333337</v>
      </c>
      <c r="AL187" s="127">
        <v>0.75</v>
      </c>
      <c r="AM187" s="176">
        <v>0.89583333333333337</v>
      </c>
      <c r="AN187" s="84">
        <f t="shared" si="57"/>
        <v>0.35416666666666674</v>
      </c>
      <c r="AO187" s="28">
        <f t="shared" si="55"/>
        <v>1.7500000000000002</v>
      </c>
      <c r="AQ187" s="405"/>
    </row>
    <row r="188" spans="1:72" ht="15" x14ac:dyDescent="0.25">
      <c r="A188" s="448" t="s">
        <v>591</v>
      </c>
      <c r="B188" s="442" t="s">
        <v>216</v>
      </c>
      <c r="C188" s="311"/>
      <c r="D188" s="449" t="s">
        <v>391</v>
      </c>
      <c r="E188" s="440" t="s">
        <v>79</v>
      </c>
      <c r="F188" s="431" t="s">
        <v>15</v>
      </c>
      <c r="G188" s="127" t="s">
        <v>15</v>
      </c>
      <c r="H188" s="127" t="s">
        <v>15</v>
      </c>
      <c r="I188" s="431" t="s">
        <v>15</v>
      </c>
      <c r="J188" s="84" t="str">
        <f t="shared" si="54"/>
        <v/>
      </c>
      <c r="K188" s="176">
        <v>0.54166666666666663</v>
      </c>
      <c r="L188" s="127">
        <v>0.77083333333333337</v>
      </c>
      <c r="M188" s="127">
        <v>0.8125</v>
      </c>
      <c r="N188" s="176">
        <v>0.9375</v>
      </c>
      <c r="O188" s="84">
        <f t="shared" si="56"/>
        <v>0.35416666666666674</v>
      </c>
      <c r="P188" s="176">
        <v>0.45833333333333331</v>
      </c>
      <c r="Q188" s="127">
        <v>0.625</v>
      </c>
      <c r="R188" s="127">
        <v>0.66666666666666663</v>
      </c>
      <c r="S188" s="176">
        <v>0.875</v>
      </c>
      <c r="T188" s="84">
        <f>IFERROR(MOD(S188-P188,1)-MOD(R188-Q188,1),"")</f>
        <v>0.37500000000000006</v>
      </c>
      <c r="U188" s="176">
        <v>0.52083333333333337</v>
      </c>
      <c r="V188" s="127">
        <v>0.77083333333333337</v>
      </c>
      <c r="W188" s="127">
        <v>0.8125</v>
      </c>
      <c r="X188" s="176">
        <v>0.9375</v>
      </c>
      <c r="Y188" s="84">
        <f t="shared" si="51"/>
        <v>0.375</v>
      </c>
      <c r="Z188" s="176">
        <v>0.45833333333333331</v>
      </c>
      <c r="AA188" s="127">
        <v>0.72916666666666663</v>
      </c>
      <c r="AB188" s="127">
        <v>0.77083333333333337</v>
      </c>
      <c r="AC188" s="176">
        <v>0.875</v>
      </c>
      <c r="AD188" s="84">
        <f t="shared" si="52"/>
        <v>0.37499999999999994</v>
      </c>
      <c r="AE188" s="431" t="s">
        <v>15</v>
      </c>
      <c r="AF188" s="127" t="s">
        <v>15</v>
      </c>
      <c r="AG188" s="127" t="s">
        <v>15</v>
      </c>
      <c r="AH188" s="431" t="s">
        <v>15</v>
      </c>
      <c r="AI188" s="84" t="str">
        <f t="shared" si="49"/>
        <v/>
      </c>
      <c r="AJ188" s="176">
        <v>0.375</v>
      </c>
      <c r="AK188" s="127">
        <v>0.64583333333333337</v>
      </c>
      <c r="AL188" s="127">
        <v>0.72916666666666663</v>
      </c>
      <c r="AM188" s="176">
        <v>0.79166666666666663</v>
      </c>
      <c r="AN188" s="84">
        <f t="shared" si="57"/>
        <v>0.33333333333333337</v>
      </c>
      <c r="AO188" s="28">
        <f t="shared" si="55"/>
        <v>1.8125</v>
      </c>
      <c r="AQ188" s="403"/>
    </row>
    <row r="189" spans="1:72" ht="15" x14ac:dyDescent="0.25">
      <c r="A189" s="448" t="s">
        <v>592</v>
      </c>
      <c r="B189" s="442" t="s">
        <v>537</v>
      </c>
      <c r="C189" s="311"/>
      <c r="D189" s="449" t="s">
        <v>391</v>
      </c>
      <c r="E189" s="440" t="s">
        <v>79</v>
      </c>
      <c r="F189" s="431" t="s">
        <v>15</v>
      </c>
      <c r="G189" s="127" t="s">
        <v>15</v>
      </c>
      <c r="H189" s="127" t="s">
        <v>15</v>
      </c>
      <c r="I189" s="431" t="s">
        <v>15</v>
      </c>
      <c r="J189" s="84" t="str">
        <f t="shared" si="54"/>
        <v/>
      </c>
      <c r="K189" s="431" t="s">
        <v>15</v>
      </c>
      <c r="L189" s="127" t="s">
        <v>15</v>
      </c>
      <c r="M189" s="127" t="s">
        <v>15</v>
      </c>
      <c r="N189" s="431" t="s">
        <v>15</v>
      </c>
      <c r="O189" s="84" t="str">
        <f t="shared" si="56"/>
        <v/>
      </c>
      <c r="P189" s="176">
        <v>0.29166666666666669</v>
      </c>
      <c r="Q189" s="127">
        <v>0.45833333333333331</v>
      </c>
      <c r="R189" s="127">
        <v>0.54166666666666663</v>
      </c>
      <c r="S189" s="176">
        <v>0.70833333333333337</v>
      </c>
      <c r="T189" s="84">
        <f>IFERROR(MOD(S189-P189,1)-MOD(R189-Q189,1),"")</f>
        <v>0.33333333333333337</v>
      </c>
      <c r="U189" s="176">
        <v>0.29166666666666669</v>
      </c>
      <c r="V189" s="127">
        <v>0.54166666666666663</v>
      </c>
      <c r="W189" s="127">
        <v>0.58333333333333337</v>
      </c>
      <c r="X189" s="176">
        <v>0.66666666666666663</v>
      </c>
      <c r="Y189" s="84">
        <f t="shared" si="51"/>
        <v>0.3333333333333332</v>
      </c>
      <c r="Z189" s="176">
        <v>0.29166666666666669</v>
      </c>
      <c r="AA189" s="127">
        <v>0.54166666666666663</v>
      </c>
      <c r="AB189" s="127">
        <v>0.58333333333333337</v>
      </c>
      <c r="AC189" s="176">
        <v>0.66666666666666663</v>
      </c>
      <c r="AD189" s="84">
        <f t="shared" si="52"/>
        <v>0.3333333333333332</v>
      </c>
      <c r="AE189" s="176">
        <v>0.5</v>
      </c>
      <c r="AF189" s="127">
        <v>0.625</v>
      </c>
      <c r="AG189" s="127">
        <v>0.66666666666666663</v>
      </c>
      <c r="AH189" s="176">
        <v>0.91666666666666663</v>
      </c>
      <c r="AI189" s="84">
        <f t="shared" si="49"/>
        <v>0.375</v>
      </c>
      <c r="AJ189" s="176">
        <v>0.54166666666666663</v>
      </c>
      <c r="AK189" s="127">
        <v>0.70833333333333337</v>
      </c>
      <c r="AL189" s="127">
        <v>0.75</v>
      </c>
      <c r="AM189" s="176">
        <v>0.9375</v>
      </c>
      <c r="AN189" s="84">
        <f t="shared" si="57"/>
        <v>0.35416666666666674</v>
      </c>
      <c r="AO189" s="28">
        <f t="shared" si="55"/>
        <v>1.7291666666666665</v>
      </c>
      <c r="AP189" s="404"/>
      <c r="AQ189" s="405"/>
    </row>
    <row r="190" spans="1:72" ht="15" x14ac:dyDescent="0.25">
      <c r="B190" s="442" t="s">
        <v>214</v>
      </c>
      <c r="C190" s="311" t="s">
        <v>299</v>
      </c>
      <c r="D190" s="449" t="s">
        <v>391</v>
      </c>
      <c r="E190" s="440" t="s">
        <v>79</v>
      </c>
      <c r="F190" s="176">
        <v>0.33333333333333331</v>
      </c>
      <c r="G190" s="127">
        <v>0.54166666666666663</v>
      </c>
      <c r="H190" s="127">
        <v>0.58333333333333337</v>
      </c>
      <c r="I190" s="176">
        <v>0.75</v>
      </c>
      <c r="J190" s="84">
        <f t="shared" si="54"/>
        <v>0.37499999999999994</v>
      </c>
      <c r="K190" s="176">
        <v>0.375</v>
      </c>
      <c r="L190" s="127">
        <v>0.58333333333333337</v>
      </c>
      <c r="M190" s="127">
        <v>0.66666666666666663</v>
      </c>
      <c r="N190" s="176">
        <v>0.79166666666666663</v>
      </c>
      <c r="O190" s="84">
        <f t="shared" si="56"/>
        <v>0.33333333333333337</v>
      </c>
      <c r="P190" s="176">
        <v>0.54166666666666663</v>
      </c>
      <c r="Q190" s="127">
        <v>0.75</v>
      </c>
      <c r="R190" s="127">
        <v>0.83333333333333337</v>
      </c>
      <c r="S190" s="176">
        <v>1</v>
      </c>
      <c r="T190" s="84">
        <f>IFERROR(MOD(S190-P190,1)-MOD(R190-Q190,1),"")</f>
        <v>0.375</v>
      </c>
      <c r="U190" s="431" t="s">
        <v>15</v>
      </c>
      <c r="V190" s="127" t="s">
        <v>15</v>
      </c>
      <c r="W190" s="127" t="s">
        <v>15</v>
      </c>
      <c r="X190" s="431" t="s">
        <v>15</v>
      </c>
      <c r="Y190" s="84" t="str">
        <f t="shared" si="51"/>
        <v/>
      </c>
      <c r="Z190" s="431" t="s">
        <v>15</v>
      </c>
      <c r="AA190" s="127" t="s">
        <v>15</v>
      </c>
      <c r="AB190" s="127" t="s">
        <v>15</v>
      </c>
      <c r="AC190" s="431" t="s">
        <v>15</v>
      </c>
      <c r="AD190" s="84" t="str">
        <f t="shared" si="52"/>
        <v/>
      </c>
      <c r="AE190" s="176">
        <v>0.33333333333333331</v>
      </c>
      <c r="AF190" s="127">
        <v>0.58333333333333337</v>
      </c>
      <c r="AG190" s="127">
        <v>0.66666666666666663</v>
      </c>
      <c r="AH190" s="176">
        <v>0.75</v>
      </c>
      <c r="AI190" s="84">
        <f t="shared" si="49"/>
        <v>0.33333333333333343</v>
      </c>
      <c r="AJ190" s="176">
        <v>0.33333333333333331</v>
      </c>
      <c r="AK190" s="127">
        <v>0.58333333333333337</v>
      </c>
      <c r="AL190" s="127">
        <v>0.66666666666666663</v>
      </c>
      <c r="AM190" s="176">
        <v>0.75</v>
      </c>
      <c r="AN190" s="84">
        <f t="shared" si="57"/>
        <v>0.33333333333333343</v>
      </c>
      <c r="AO190" s="28">
        <f t="shared" si="55"/>
        <v>1.7500000000000002</v>
      </c>
    </row>
    <row r="248" spans="2:12" ht="13.5" thickBot="1" x14ac:dyDescent="0.25"/>
    <row r="249" spans="2:12" ht="19.5" thickBot="1" x14ac:dyDescent="0.35">
      <c r="C249" s="541">
        <v>8911</v>
      </c>
      <c r="D249" s="543" t="s">
        <v>708</v>
      </c>
      <c r="E249" s="548" t="s">
        <v>709</v>
      </c>
      <c r="F249" s="548" t="s">
        <v>710</v>
      </c>
      <c r="G249" s="548" t="s">
        <v>711</v>
      </c>
      <c r="H249" s="548" t="s">
        <v>712</v>
      </c>
      <c r="I249" s="548" t="s">
        <v>713</v>
      </c>
      <c r="J249" s="549" t="s">
        <v>714</v>
      </c>
    </row>
    <row r="250" spans="2:12" ht="15" x14ac:dyDescent="0.25">
      <c r="B250" s="537" t="s">
        <v>691</v>
      </c>
      <c r="C250" s="543" t="s">
        <v>165</v>
      </c>
      <c r="D250" s="550">
        <f>COUNTIFS($E$4:$E$191,$C$249,F$4:F$191,$C250)</f>
        <v>0</v>
      </c>
      <c r="E250" s="550">
        <f>COUNTIFS($E$4:$E$191,$C$249,K$4:K$191,$C250)</f>
        <v>0</v>
      </c>
      <c r="F250" s="550">
        <f>COUNTIFS($E$4:$E$191,$C$249,P$4:P$191,$C250)</f>
        <v>0</v>
      </c>
      <c r="G250" s="550">
        <f>COUNTIFS($E$4:$E$191,$C$249,I$4:I$191,$C250)</f>
        <v>0</v>
      </c>
      <c r="H250" s="550">
        <f>COUNTIFS($E$4:$E$191,$C$249,U$4:U$191,$C250)</f>
        <v>0</v>
      </c>
      <c r="I250" s="550">
        <f>COUNTIFS($E$4:$E$191,$C$249,AE$4:AE$191,$C250)</f>
        <v>0</v>
      </c>
      <c r="J250" s="550">
        <f>COUNTIFS($E$4:$E$191,$C$249,AJ$4:AJ$191,$C250)</f>
        <v>0</v>
      </c>
    </row>
    <row r="251" spans="2:12" ht="15.75" thickBot="1" x14ac:dyDescent="0.25">
      <c r="B251" s="538" t="s">
        <v>692</v>
      </c>
      <c r="C251" s="544" t="s">
        <v>159</v>
      </c>
      <c r="D251" s="550">
        <f>COUNTIFS($E$4:$E$191,$C$249,F$4:F$191,$C251)</f>
        <v>0</v>
      </c>
      <c r="E251" s="550">
        <f>COUNTIFS($E$4:$E$191,$C$249,K$4:K$191,$C251)</f>
        <v>0</v>
      </c>
      <c r="F251" s="550">
        <f>COUNTIFS($E$4:$E$191,$C$249,P$4:P$191,$C251)</f>
        <v>0</v>
      </c>
      <c r="G251" s="550">
        <f>COUNTIFS($E$4:$E$191,$C$249,I$4:I$191,$C251)</f>
        <v>0</v>
      </c>
      <c r="H251" s="550">
        <f>COUNTIFS($E$4:$E$191,$C$249,U$4:U$191,$C251)</f>
        <v>0</v>
      </c>
      <c r="I251" s="550">
        <f>COUNTIFS($E$4:$E$191,$C$249,AE$4:AE$191,$C251)</f>
        <v>0</v>
      </c>
      <c r="J251" s="550">
        <f>COUNTIFS($E$4:$E$191,$C$249,AJ$4:AJ$191,$C251)</f>
        <v>0</v>
      </c>
    </row>
    <row r="252" spans="2:12" ht="15.75" thickBot="1" x14ac:dyDescent="0.25">
      <c r="B252" s="538" t="s">
        <v>693</v>
      </c>
      <c r="C252" s="545" t="s">
        <v>396</v>
      </c>
      <c r="D252" s="551">
        <f>--COUNTIFS(F4:F191,$L$252,$C4:$C191,$C252,$E4:$E191,$C249)*$K252</f>
        <v>0</v>
      </c>
      <c r="E252" s="551">
        <f>--COUNTIFS(K4:K191,$L$252,$C4:$C191,$C252,$E4:$E191,$C249)*$K252</f>
        <v>4.1666666666666664E-2</v>
      </c>
      <c r="F252" s="551">
        <f>--COUNTIFS(P4:P191,$L$252,$C4:$C191,$C252,$E4:$E191,$C249)*$K252</f>
        <v>4.1666666666666664E-2</v>
      </c>
      <c r="G252" s="551">
        <f>--COUNTIFS(U4:U191,$L$252,$C4:$C191,$C252,$E4:$E191,$C249)*$K252</f>
        <v>4.1666666666666664E-2</v>
      </c>
      <c r="H252" s="551">
        <f>--COUNTIFS(Z4:Z191,$L$252,$C4:$C191,$C252,$E4:$E191,$C249)*$K252</f>
        <v>4.1666666666666664E-2</v>
      </c>
      <c r="I252" s="551">
        <f>--COUNTIFS(AE4:AE191,$L$252,$C4:$C191,$C252,$E4:$E191,$C249)*$K252</f>
        <v>4.1666666666666664E-2</v>
      </c>
      <c r="J252" s="551">
        <f>--COUNTIFS(AJ4:AJ191,$L$252,$C4:$C191,$C252,$E4:$E191,$C249)*$K252</f>
        <v>0</v>
      </c>
      <c r="K252" s="547">
        <v>4.1666666666666664E-2</v>
      </c>
      <c r="L252" s="542" t="s">
        <v>717</v>
      </c>
    </row>
    <row r="253" spans="2:12" ht="15" x14ac:dyDescent="0.2">
      <c r="B253" s="538" t="s">
        <v>694</v>
      </c>
      <c r="C253" s="544" t="s">
        <v>15</v>
      </c>
      <c r="D253" s="550">
        <f>COUNTIFS($E$4:$E$191,$C$249,F$4:F$191,$C253)</f>
        <v>3</v>
      </c>
      <c r="E253" s="550">
        <f>COUNTIFS($E$4:$E$191,$C$249,K$4:K$191,$C253)</f>
        <v>3</v>
      </c>
      <c r="F253" s="550">
        <f>COUNTIFS($E$4:$E$191,$C$249,P$4:P$191,$C253)</f>
        <v>3</v>
      </c>
      <c r="G253" s="550">
        <f>COUNTIFS($E$4:$E$191,$C$249,I$4:I$191,$C253)</f>
        <v>3</v>
      </c>
      <c r="H253" s="550">
        <f>COUNTIFS($E$4:$E$191,$C$249,U$4:U$191,$C253)</f>
        <v>3</v>
      </c>
      <c r="I253" s="550">
        <f>COUNTIFS($E$4:$E$191,$C$249,AE$4:AE$191,$C253)</f>
        <v>3</v>
      </c>
      <c r="J253" s="550">
        <f>COUNTIFS($E$4:$E$191,$C$249,AJ$4:AJ$191,$C253)</f>
        <v>3</v>
      </c>
    </row>
    <row r="254" spans="2:12" ht="15" x14ac:dyDescent="0.2">
      <c r="B254" s="538" t="s">
        <v>695</v>
      </c>
      <c r="C254" s="544"/>
      <c r="D254" s="550"/>
      <c r="E254" s="550"/>
      <c r="F254" s="550"/>
      <c r="G254" s="550"/>
      <c r="H254" s="550"/>
      <c r="I254" s="550"/>
      <c r="J254" s="550"/>
    </row>
    <row r="255" spans="2:12" ht="15" x14ac:dyDescent="0.2">
      <c r="B255" s="539" t="s">
        <v>696</v>
      </c>
      <c r="C255" s="544"/>
      <c r="D255" s="550"/>
      <c r="E255" s="550"/>
      <c r="F255" s="550"/>
      <c r="G255" s="550"/>
      <c r="H255" s="550"/>
      <c r="I255" s="550"/>
      <c r="J255" s="550"/>
    </row>
    <row r="256" spans="2:12" ht="15" x14ac:dyDescent="0.2">
      <c r="B256" s="539" t="s">
        <v>697</v>
      </c>
      <c r="C256" s="544"/>
      <c r="D256" s="550"/>
      <c r="E256" s="550"/>
      <c r="F256" s="550"/>
      <c r="G256" s="550"/>
      <c r="H256" s="550"/>
      <c r="I256" s="550"/>
      <c r="J256" s="550"/>
    </row>
    <row r="257" spans="2:10" ht="15" x14ac:dyDescent="0.2">
      <c r="B257" s="539" t="s">
        <v>698</v>
      </c>
      <c r="C257" s="544"/>
      <c r="D257" s="550"/>
      <c r="E257" s="550"/>
      <c r="F257" s="550"/>
      <c r="G257" s="550"/>
      <c r="H257" s="550"/>
      <c r="I257" s="550"/>
      <c r="J257" s="550"/>
    </row>
    <row r="258" spans="2:10" ht="15" x14ac:dyDescent="0.2">
      <c r="B258" s="539" t="s">
        <v>699</v>
      </c>
      <c r="C258" s="544"/>
      <c r="D258" s="550"/>
      <c r="E258" s="550"/>
      <c r="F258" s="550"/>
      <c r="G258" s="550"/>
      <c r="H258" s="550"/>
      <c r="I258" s="550"/>
      <c r="J258" s="550"/>
    </row>
    <row r="259" spans="2:10" ht="15" x14ac:dyDescent="0.2">
      <c r="B259" s="539" t="s">
        <v>700</v>
      </c>
      <c r="C259" s="544"/>
      <c r="D259" s="550"/>
      <c r="E259" s="550"/>
      <c r="F259" s="550"/>
      <c r="G259" s="550"/>
      <c r="H259" s="550"/>
      <c r="I259" s="550"/>
      <c r="J259" s="550"/>
    </row>
    <row r="260" spans="2:10" ht="15" x14ac:dyDescent="0.2">
      <c r="B260" s="539" t="s">
        <v>701</v>
      </c>
      <c r="C260" s="544" t="s">
        <v>715</v>
      </c>
      <c r="D260" s="550">
        <f>COUNTIFS($E$4:$E$191,$C$249,F$4:F$191,$C260)</f>
        <v>0</v>
      </c>
      <c r="E260" s="550">
        <f>COUNTIFS($E$4:$E$191,$C$249,K$4:K$191,$C260)</f>
        <v>0</v>
      </c>
      <c r="F260" s="550">
        <f>COUNTIFS($E$4:$E$191,$C$249,P$4:P$191,$C260)</f>
        <v>0</v>
      </c>
      <c r="G260" s="550">
        <f>COUNTIFS($E$4:$E$191,$C$249,I$4:I$191,$C260)</f>
        <v>0</v>
      </c>
      <c r="H260" s="550">
        <f>COUNTIFS($E$4:$E$191,$C$249,U$4:U$191,$C260)</f>
        <v>0</v>
      </c>
      <c r="I260" s="550">
        <f>COUNTIFS($E$4:$E$191,$C$249,AE$4:AE$191,$C260)</f>
        <v>0</v>
      </c>
      <c r="J260" s="550">
        <f>COUNTIFS($E$4:$E$191,$C$249,AJ$4:AJ$191,$C260)</f>
        <v>0</v>
      </c>
    </row>
    <row r="261" spans="2:10" ht="15" x14ac:dyDescent="0.25">
      <c r="B261" s="540" t="s">
        <v>702</v>
      </c>
      <c r="C261" s="544"/>
      <c r="D261" s="550"/>
      <c r="E261" s="550"/>
      <c r="F261" s="550"/>
      <c r="G261" s="550"/>
      <c r="H261" s="550"/>
      <c r="I261" s="550"/>
      <c r="J261" s="550"/>
    </row>
    <row r="262" spans="2:10" ht="15" x14ac:dyDescent="0.25">
      <c r="B262" s="540" t="s">
        <v>703</v>
      </c>
      <c r="C262" s="544" t="s">
        <v>716</v>
      </c>
      <c r="D262" s="550">
        <f>COUNTIFS($E$4:$E$191,$C$249,F$4:F$191,$C262)</f>
        <v>0</v>
      </c>
      <c r="E262" s="550">
        <f>COUNTIFS($E$4:$E$191,$C$249,K$4:K$191,$C262)</f>
        <v>0</v>
      </c>
      <c r="F262" s="550">
        <f>COUNTIFS($E$4:$E$191,$C$249,P$4:P$191,$C262)</f>
        <v>0</v>
      </c>
      <c r="G262" s="550">
        <f>COUNTIFS($E$4:$E$191,$C$249,I$4:I$191,$C262)</f>
        <v>0</v>
      </c>
      <c r="H262" s="550">
        <f>COUNTIFS($E$4:$E$191,$C$249,U$4:U$191,$C262)</f>
        <v>0</v>
      </c>
      <c r="I262" s="550">
        <f>COUNTIFS($E$4:$E$191,$C$249,AE$4:AE$191,$C262)</f>
        <v>0</v>
      </c>
      <c r="J262" s="550">
        <f>COUNTIFS($E$4:$E$191,$C$249,AJ$4:AJ$191,$C262)</f>
        <v>0</v>
      </c>
    </row>
    <row r="263" spans="2:10" ht="15" x14ac:dyDescent="0.25">
      <c r="B263" s="540" t="s">
        <v>704</v>
      </c>
      <c r="C263" s="544"/>
      <c r="D263" s="550"/>
      <c r="E263" s="550"/>
      <c r="F263" s="550"/>
      <c r="G263" s="550"/>
      <c r="H263" s="550"/>
      <c r="I263" s="550"/>
      <c r="J263" s="550"/>
    </row>
    <row r="264" spans="2:10" ht="15" x14ac:dyDescent="0.25">
      <c r="B264" s="536" t="s">
        <v>705</v>
      </c>
      <c r="C264" s="544" t="s">
        <v>156</v>
      </c>
      <c r="D264" s="550">
        <f>COUNTIFS($E$4:$E$191,$C$249,F$4:F$191,$C264)</f>
        <v>0</v>
      </c>
      <c r="E264" s="550">
        <f>COUNTIFS($E$4:$E$191,$C$249,K$4:K$191,$C264)</f>
        <v>0</v>
      </c>
      <c r="F264" s="550">
        <f>COUNTIFS($E$4:$E$191,$C$249,P$4:P$191,$C264)</f>
        <v>0</v>
      </c>
      <c r="G264" s="550">
        <f>COUNTIFS($E$4:$E$191,$C$249,I$4:I$191,$C264)</f>
        <v>0</v>
      </c>
      <c r="H264" s="550">
        <f>COUNTIFS($E$4:$E$191,$C$249,U$4:U$191,$C264)</f>
        <v>0</v>
      </c>
      <c r="I264" s="550">
        <f>COUNTIFS($E$4:$E$191,$C$249,AE$4:AE$191,$C264)</f>
        <v>0</v>
      </c>
      <c r="J264" s="550">
        <f>COUNTIFS($E$4:$E$191,$C$249,AJ$4:AJ$191,$C264)</f>
        <v>0</v>
      </c>
    </row>
    <row r="265" spans="2:10" ht="15" x14ac:dyDescent="0.25">
      <c r="B265" s="536" t="s">
        <v>706</v>
      </c>
      <c r="C265" s="544"/>
      <c r="D265" s="552">
        <f>SUMIFS(J$4:J$191,$E4:$E191,$C249)</f>
        <v>2.375</v>
      </c>
      <c r="E265" s="552">
        <f>SUMIFS(O$4:O$191,$E4:$E191,$C249)</f>
        <v>2.2916666666666665</v>
      </c>
      <c r="F265" s="552">
        <f>SUMIFS(T$4:T$191,$E4:$E191,$C249)</f>
        <v>2.3125</v>
      </c>
      <c r="G265" s="552">
        <f>SUMIFS(Y$4:Y$191,$E4:$E191,$C249)</f>
        <v>2.3125</v>
      </c>
      <c r="H265" s="552">
        <f>SUMIFS(AE$4:AE$191,$E4:$E191,$C249)</f>
        <v>2.708333333333333</v>
      </c>
      <c r="I265" s="552">
        <f>SUMIFS(AI$4:AI$191,$E4:$E191,$C249)</f>
        <v>2.3124999999999996</v>
      </c>
      <c r="J265" s="552">
        <f>SUMIFS(AN$4:AN$191,$E4:$E191,$C249)</f>
        <v>2.333333333333333</v>
      </c>
    </row>
    <row r="266" spans="2:10" ht="15.75" thickBot="1" x14ac:dyDescent="0.3">
      <c r="B266" s="536" t="s">
        <v>707</v>
      </c>
      <c r="C266" s="546"/>
      <c r="D266" s="550">
        <f>COUNTIF($E4:$E190,$C249)</f>
        <v>10</v>
      </c>
      <c r="E266" s="550">
        <f>D266</f>
        <v>10</v>
      </c>
      <c r="F266" s="550">
        <f t="shared" ref="F266:J266" si="58">E266</f>
        <v>10</v>
      </c>
      <c r="G266" s="550">
        <f t="shared" si="58"/>
        <v>10</v>
      </c>
      <c r="H266" s="550">
        <f t="shared" si="58"/>
        <v>10</v>
      </c>
      <c r="I266" s="550">
        <f t="shared" si="58"/>
        <v>10</v>
      </c>
      <c r="J266" s="550">
        <f t="shared" si="58"/>
        <v>10</v>
      </c>
    </row>
  </sheetData>
  <autoFilter ref="A3:BT190" xr:uid="{00000000-0009-0000-0000-000002000000}">
    <sortState xmlns:xlrd2="http://schemas.microsoft.com/office/spreadsheetml/2017/richdata2" ref="A4:BT190">
      <sortCondition ref="D3:D158"/>
    </sortState>
  </autoFilter>
  <mergeCells count="7">
    <mergeCell ref="AE1:AI1"/>
    <mergeCell ref="AJ1:AN1"/>
    <mergeCell ref="F1:J1"/>
    <mergeCell ref="K1:O1"/>
    <mergeCell ref="P1:T1"/>
    <mergeCell ref="U1:Y1"/>
    <mergeCell ref="Z1:AD1"/>
  </mergeCells>
  <phoneticPr fontId="17" type="noConversion"/>
  <conditionalFormatting sqref="C4:C190">
    <cfRule type="cellIs" dxfId="579" priority="24" operator="greaterThan">
      <formula>0</formula>
    </cfRule>
  </conditionalFormatting>
  <conditionalFormatting sqref="J4:J190">
    <cfRule type="cellIs" dxfId="578" priority="2" operator="lessThan">
      <formula>0.333333333333333</formula>
    </cfRule>
    <cfRule type="cellIs" dxfId="577" priority="3" operator="greaterThan">
      <formula>0.333333333333333</formula>
    </cfRule>
  </conditionalFormatting>
  <conditionalFormatting sqref="O4:O190">
    <cfRule type="cellIs" dxfId="576" priority="22" operator="lessThan">
      <formula>0.333333333333333</formula>
    </cfRule>
    <cfRule type="cellIs" dxfId="575" priority="23" operator="greaterThan">
      <formula>0.333333333333333</formula>
    </cfRule>
  </conditionalFormatting>
  <conditionalFormatting sqref="T4:T190">
    <cfRule type="cellIs" dxfId="574" priority="20" operator="lessThan">
      <formula>0.333333333333333</formula>
    </cfRule>
    <cfRule type="cellIs" dxfId="573" priority="21" operator="greaterThan">
      <formula>0.333333333333333</formula>
    </cfRule>
  </conditionalFormatting>
  <conditionalFormatting sqref="Y4:Y190">
    <cfRule type="cellIs" dxfId="572" priority="18" operator="lessThan">
      <formula>0.333333333333333</formula>
    </cfRule>
    <cfRule type="cellIs" dxfId="571" priority="19" operator="greaterThan">
      <formula>0.333333333333333</formula>
    </cfRule>
  </conditionalFormatting>
  <conditionalFormatting sqref="AD4:AD190">
    <cfRule type="cellIs" dxfId="570" priority="10" operator="lessThan">
      <formula>0.333333333333333</formula>
    </cfRule>
    <cfRule type="cellIs" dxfId="569" priority="11" operator="greaterThan">
      <formula>0.333333333333333</formula>
    </cfRule>
  </conditionalFormatting>
  <conditionalFormatting sqref="AI4:AI190">
    <cfRule type="cellIs" dxfId="568" priority="4" operator="lessThan">
      <formula>0.333333333333333</formula>
    </cfRule>
    <cfRule type="cellIs" dxfId="567" priority="5" operator="greaterThan">
      <formula>0.333333333333333</formula>
    </cfRule>
  </conditionalFormatting>
  <conditionalFormatting sqref="AN4:AN190">
    <cfRule type="cellIs" dxfId="566" priority="8" operator="lessThan">
      <formula>0.333333333333333</formula>
    </cfRule>
    <cfRule type="cellIs" dxfId="565" priority="9" operator="greaterThan">
      <formula>0.333333333333333</formula>
    </cfRule>
  </conditionalFormatting>
  <conditionalFormatting sqref="AO4:AO79 AO83:AO190">
    <cfRule type="cellIs" dxfId="564" priority="2326" operator="lessThan">
      <formula>1.66666666666667</formula>
    </cfRule>
    <cfRule type="cellIs" dxfId="563" priority="2327" operator="greaterThan">
      <formula>1.66666666666667</formula>
    </cfRule>
  </conditionalFormatting>
  <conditionalFormatting sqref="AO80:AO82">
    <cfRule type="cellIs" dxfId="562" priority="2546" operator="lessThan">
      <formula>1.66666666666667</formula>
    </cfRule>
    <cfRule type="cellIs" dxfId="561" priority="2547" operator="greaterThan">
      <formula>1.66666666666667</formula>
    </cfRule>
  </conditionalFormatting>
  <conditionalFormatting sqref="AO80:AQ80">
    <cfRule type="containsText" dxfId="560" priority="2528" operator="containsText" text="Alerte">
      <formula>NOT(ISERROR(SEARCH("Alerte",AO80)))</formula>
    </cfRule>
  </conditionalFormatting>
  <conditionalFormatting sqref="AR1">
    <cfRule type="colorScale" priority="68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2">
    <cfRule type="cellIs" dxfId="559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>
    <tabColor rgb="FF92D050"/>
  </sheetPr>
  <dimension ref="B1:BT266"/>
  <sheetViews>
    <sheetView zoomScale="80" zoomScaleNormal="80" workbookViewId="0">
      <pane xSplit="2" ySplit="3" topLeftCell="C235" activePane="bottomRight" state="frozen"/>
      <selection pane="topRight" activeCell="C1" sqref="C1"/>
      <selection pane="bottomLeft" activeCell="A4" sqref="A4"/>
      <selection pane="bottomRight" activeCell="D250" sqref="D250:J266"/>
    </sheetView>
  </sheetViews>
  <sheetFormatPr baseColWidth="10" defaultRowHeight="15" x14ac:dyDescent="0.25"/>
  <cols>
    <col min="1" max="1" width="0" hidden="1" customWidth="1"/>
    <col min="2" max="2" width="36.5703125" bestFit="1" customWidth="1"/>
    <col min="3" max="3" width="5.140625" customWidth="1"/>
    <col min="4" max="4" width="16.42578125" bestFit="1" customWidth="1"/>
    <col min="5" max="12" width="9.85546875" bestFit="1" customWidth="1"/>
    <col min="13" max="14" width="7.7109375" bestFit="1" customWidth="1"/>
    <col min="15" max="15" width="9.85546875" bestFit="1" customWidth="1"/>
    <col min="16" max="17" width="9.28515625" bestFit="1" customWidth="1"/>
    <col min="18" max="18" width="6" bestFit="1" customWidth="1"/>
    <col min="19" max="19" width="7.28515625" bestFit="1" customWidth="1"/>
    <col min="20" max="20" width="9.85546875" bestFit="1" customWidth="1"/>
    <col min="21" max="22" width="9.28515625" bestFit="1" customWidth="1"/>
    <col min="23" max="23" width="6" bestFit="1" customWidth="1"/>
    <col min="24" max="24" width="7.28515625" bestFit="1" customWidth="1"/>
    <col min="25" max="25" width="9.85546875" bestFit="1" customWidth="1"/>
    <col min="26" max="27" width="9.28515625" bestFit="1" customWidth="1"/>
    <col min="28" max="28" width="6" bestFit="1" customWidth="1"/>
    <col min="29" max="29" width="7.28515625" bestFit="1" customWidth="1"/>
    <col min="30" max="30" width="9.85546875" bestFit="1" customWidth="1"/>
    <col min="31" max="32" width="9.28515625" bestFit="1" customWidth="1"/>
    <col min="33" max="33" width="6" bestFit="1" customWidth="1"/>
    <col min="34" max="34" width="7.28515625" bestFit="1" customWidth="1"/>
    <col min="35" max="35" width="9.85546875" bestFit="1" customWidth="1"/>
    <col min="36" max="37" width="9.28515625" bestFit="1" customWidth="1"/>
    <col min="38" max="38" width="6" bestFit="1" customWidth="1"/>
    <col min="39" max="39" width="7.28515625" bestFit="1" customWidth="1"/>
    <col min="40" max="40" width="9.85546875" bestFit="1" customWidth="1"/>
    <col min="41" max="41" width="10.85546875" bestFit="1" customWidth="1"/>
    <col min="42" max="42" width="26.42578125" bestFit="1" customWidth="1"/>
    <col min="43" max="43" width="5.7109375" bestFit="1" customWidth="1"/>
    <col min="44" max="44" width="25.140625" bestFit="1" customWidth="1"/>
    <col min="46" max="46" width="8.7109375" bestFit="1" customWidth="1"/>
    <col min="49" max="49" width="8.7109375" bestFit="1" customWidth="1"/>
    <col min="72" max="72" width="1.7109375" bestFit="1" customWidth="1"/>
  </cols>
  <sheetData>
    <row r="1" spans="2:72" s="4" customFormat="1" ht="20.25" customHeight="1" thickBot="1" x14ac:dyDescent="0.25">
      <c r="B1" s="51" t="str">
        <f>"S"&amp;_xlfn.ISOWEEKNUM(F1)</f>
        <v>S20</v>
      </c>
      <c r="C1" s="1"/>
      <c r="D1" s="1"/>
      <c r="E1" s="1"/>
      <c r="F1" s="511">
        <f>'S&amp;E'!H3</f>
        <v>46153</v>
      </c>
      <c r="G1" s="512"/>
      <c r="H1" s="512"/>
      <c r="I1" s="512"/>
      <c r="J1" s="513"/>
      <c r="K1" s="511">
        <f>F1+1</f>
        <v>46154</v>
      </c>
      <c r="L1" s="512"/>
      <c r="M1" s="512"/>
      <c r="N1" s="512"/>
      <c r="O1" s="513"/>
      <c r="P1" s="511">
        <f>K1+1</f>
        <v>46155</v>
      </c>
      <c r="Q1" s="512"/>
      <c r="R1" s="512"/>
      <c r="S1" s="512"/>
      <c r="T1" s="513"/>
      <c r="U1" s="511">
        <f>P1+1</f>
        <v>46156</v>
      </c>
      <c r="V1" s="512"/>
      <c r="W1" s="512"/>
      <c r="X1" s="512"/>
      <c r="Y1" s="513"/>
      <c r="Z1" s="511">
        <f>U1+1</f>
        <v>46157</v>
      </c>
      <c r="AA1" s="512"/>
      <c r="AB1" s="512"/>
      <c r="AC1" s="512"/>
      <c r="AD1" s="513"/>
      <c r="AE1" s="514">
        <f>Z1+1</f>
        <v>46158</v>
      </c>
      <c r="AF1" s="515"/>
      <c r="AG1" s="515"/>
      <c r="AH1" s="515"/>
      <c r="AI1" s="516"/>
      <c r="AJ1" s="514">
        <f>AE1+1</f>
        <v>46159</v>
      </c>
      <c r="AK1" s="515"/>
      <c r="AL1" s="515"/>
      <c r="AM1" s="515"/>
      <c r="AN1" s="516"/>
      <c r="AO1" s="2">
        <v>1.6666666666666665</v>
      </c>
      <c r="AP1" s="3">
        <f>AO2/AO1</f>
        <v>29.274999999999991</v>
      </c>
      <c r="BT1" s="4" t="s">
        <v>0</v>
      </c>
    </row>
    <row r="2" spans="2:72" s="1" customFormat="1" ht="14.25" thickTop="1" thickBot="1" x14ac:dyDescent="0.25">
      <c r="F2" s="5" t="s">
        <v>1</v>
      </c>
      <c r="G2" s="6">
        <f>J2/"8:00:00"</f>
        <v>20.999999999999993</v>
      </c>
      <c r="H2" s="7">
        <f>J2/$AO$2</f>
        <v>0.14346712211784798</v>
      </c>
      <c r="I2" s="8" t="s">
        <v>2</v>
      </c>
      <c r="J2" s="9">
        <f>SUM(J4:J97)</f>
        <v>6.9999999999999973</v>
      </c>
      <c r="K2" s="5" t="s">
        <v>1</v>
      </c>
      <c r="L2" s="6">
        <f>O2/"8:00:00"</f>
        <v>21.499999999999993</v>
      </c>
      <c r="M2" s="7">
        <f>O2/$AO$2</f>
        <v>0.14688300597779674</v>
      </c>
      <c r="N2" s="8" t="s">
        <v>2</v>
      </c>
      <c r="O2" s="9">
        <f>SUM(O4:O97)</f>
        <v>7.1666666666666643</v>
      </c>
      <c r="P2" s="5" t="s">
        <v>1</v>
      </c>
      <c r="Q2" s="6">
        <f>T2/"8:00:00"</f>
        <v>22.874999999999993</v>
      </c>
      <c r="R2" s="7">
        <f>T2/$AO$2</f>
        <v>0.15627668659265584</v>
      </c>
      <c r="S2" s="8" t="s">
        <v>2</v>
      </c>
      <c r="T2" s="9">
        <f>SUM(T4:T97)</f>
        <v>7.6249999999999973</v>
      </c>
      <c r="U2" s="5" t="s">
        <v>1</v>
      </c>
      <c r="V2" s="6">
        <f>Y2/"8:00:00"</f>
        <v>20.874999999999996</v>
      </c>
      <c r="W2" s="7">
        <f>Y2/$AO$2</f>
        <v>0.1426131511528608</v>
      </c>
      <c r="X2" s="8" t="s">
        <v>2</v>
      </c>
      <c r="Y2" s="9">
        <f>SUM(Y4:Y97)</f>
        <v>6.9583333333333313</v>
      </c>
      <c r="Z2" s="5" t="s">
        <v>1</v>
      </c>
      <c r="AA2" s="6">
        <f>AD2/"8:00:00"</f>
        <v>19.249999999999996</v>
      </c>
      <c r="AB2" s="7">
        <f>AD2/$AO$2</f>
        <v>0.13151152860802734</v>
      </c>
      <c r="AC2" s="8" t="s">
        <v>2</v>
      </c>
      <c r="AD2" s="9">
        <f>SUM(AD4:AD97)</f>
        <v>6.4166666666666652</v>
      </c>
      <c r="AE2" s="5" t="s">
        <v>1</v>
      </c>
      <c r="AF2" s="6">
        <f>AI2/"8:00:00"</f>
        <v>20.499999999999996</v>
      </c>
      <c r="AG2" s="7">
        <f>AI2/$AO$2</f>
        <v>0.14005123825789922</v>
      </c>
      <c r="AH2" s="8" t="s">
        <v>2</v>
      </c>
      <c r="AI2" s="9">
        <f>SUM(AI4:AI97)</f>
        <v>6.8333333333333313</v>
      </c>
      <c r="AJ2" s="5" t="s">
        <v>1</v>
      </c>
      <c r="AK2" s="6">
        <f>AN2/"8:00:00"</f>
        <v>20.374999999999993</v>
      </c>
      <c r="AL2" s="7">
        <f>AN2/$AO$2</f>
        <v>0.13919726729291204</v>
      </c>
      <c r="AM2" s="8" t="s">
        <v>2</v>
      </c>
      <c r="AN2" s="9">
        <f>SUM(AN4:AN97)</f>
        <v>6.7916666666666643</v>
      </c>
      <c r="AO2" s="9">
        <f>SUM(AO4:AO96)</f>
        <v>48.79166666666665</v>
      </c>
      <c r="AP2" s="9" t="s">
        <v>3</v>
      </c>
      <c r="AQ2" s="10" t="s">
        <v>4</v>
      </c>
      <c r="AT2" s="11">
        <v>0.33333333333333331</v>
      </c>
      <c r="AW2" s="12">
        <v>1.6666666666666667</v>
      </c>
    </row>
    <row r="3" spans="2:72" s="26" customFormat="1" ht="14.25" customHeight="1" thickBot="1" x14ac:dyDescent="0.3">
      <c r="B3" s="14" t="s">
        <v>6</v>
      </c>
      <c r="C3" s="15" t="s">
        <v>7</v>
      </c>
      <c r="D3" s="66" t="s">
        <v>9</v>
      </c>
      <c r="E3" s="16" t="s">
        <v>718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  <c r="AP3" s="24" t="s">
        <v>3</v>
      </c>
      <c r="AQ3" s="25"/>
      <c r="AR3" s="52" t="s">
        <v>14</v>
      </c>
      <c r="AS3" s="52"/>
      <c r="AT3" s="52"/>
    </row>
    <row r="4" spans="2:72" s="1" customFormat="1" ht="12.75" customHeight="1" x14ac:dyDescent="0.25">
      <c r="B4" s="212" t="s">
        <v>101</v>
      </c>
      <c r="C4" s="229"/>
      <c r="D4" s="214" t="s">
        <v>393</v>
      </c>
      <c r="E4" s="553" t="s">
        <v>351</v>
      </c>
      <c r="F4" s="431" t="s">
        <v>15</v>
      </c>
      <c r="G4" s="127" t="s">
        <v>15</v>
      </c>
      <c r="H4" s="127" t="s">
        <v>15</v>
      </c>
      <c r="I4" s="431" t="s">
        <v>15</v>
      </c>
      <c r="J4" s="84" t="str">
        <f t="shared" ref="J4:J36" si="0">IFERROR(MOD(I4-F4,1)-(H4-G4),"")</f>
        <v/>
      </c>
      <c r="K4" s="176">
        <v>0.29166666666666669</v>
      </c>
      <c r="L4" s="127">
        <v>0.54166666666666663</v>
      </c>
      <c r="M4" s="127">
        <v>0.625</v>
      </c>
      <c r="N4" s="176">
        <v>0.70833333333333337</v>
      </c>
      <c r="O4" s="84">
        <f t="shared" ref="O4:O36" si="1">IFERROR(MOD(N4-K4,1)-(M4-L4),"")</f>
        <v>0.33333333333333331</v>
      </c>
      <c r="P4" s="176">
        <v>0.29166666666666669</v>
      </c>
      <c r="Q4" s="127">
        <v>0.54166666666666663</v>
      </c>
      <c r="R4" s="127">
        <v>0.58333333333333337</v>
      </c>
      <c r="S4" s="176">
        <v>0.66666666666666663</v>
      </c>
      <c r="T4" s="84">
        <f t="shared" ref="T4:T36" si="2">IFERROR(MOD(S4-P4,1)-(R4-Q4),"")</f>
        <v>0.3333333333333332</v>
      </c>
      <c r="U4" s="176">
        <v>0.45833333333333331</v>
      </c>
      <c r="V4" s="127">
        <v>0.66666666666666663</v>
      </c>
      <c r="W4" s="127">
        <v>0.70833333333333337</v>
      </c>
      <c r="X4" s="176">
        <v>0.83333333333333337</v>
      </c>
      <c r="Y4" s="84">
        <f t="shared" ref="Y4" si="3">IFERROR(MOD(X4-U4,1)-(W4-V4),"")</f>
        <v>0.33333333333333331</v>
      </c>
      <c r="Z4" s="176">
        <v>0.54166666666666663</v>
      </c>
      <c r="AA4" s="127">
        <v>0.66666666666666663</v>
      </c>
      <c r="AB4" s="127">
        <v>0.70833333333333337</v>
      </c>
      <c r="AC4" s="176">
        <v>0.91666666666666663</v>
      </c>
      <c r="AD4" s="84">
        <f t="shared" ref="AD4:AD36" si="4">IFERROR(MOD(AC4-Z4,1)-(AB4-AA4),"")</f>
        <v>0.33333333333333326</v>
      </c>
      <c r="AE4" s="176">
        <v>0.54166666666666663</v>
      </c>
      <c r="AF4" s="127">
        <v>0.66666666666666663</v>
      </c>
      <c r="AG4" s="127">
        <v>0.70833333333333337</v>
      </c>
      <c r="AH4" s="176">
        <v>0.91666666666666663</v>
      </c>
      <c r="AI4" s="84">
        <f t="shared" ref="AI4:AI36" si="5">IFERROR(MOD(AH4-AE4,1)-(AG4-AF4),"")</f>
        <v>0.33333333333333326</v>
      </c>
      <c r="AJ4" s="431" t="s">
        <v>15</v>
      </c>
      <c r="AK4" s="127" t="s">
        <v>15</v>
      </c>
      <c r="AL4" s="127" t="s">
        <v>15</v>
      </c>
      <c r="AM4" s="431" t="s">
        <v>15</v>
      </c>
      <c r="AN4" s="84" t="str">
        <f t="shared" ref="AN4:AN36" si="6">IFERROR(MOD(AM4-AJ4,1)-(AL4-AK4),"")</f>
        <v/>
      </c>
      <c r="AO4" s="28">
        <f t="shared" ref="AO4:AO36" si="7">SUM(J4,O4,T4,Y4,AD4,AI4,AN4)</f>
        <v>1.6666666666666663</v>
      </c>
      <c r="AP4" s="302"/>
      <c r="AQ4" s="30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1" customFormat="1" ht="12.75" customHeight="1" x14ac:dyDescent="0.25">
      <c r="B5" s="213" t="s">
        <v>129</v>
      </c>
      <c r="C5" s="229">
        <v>6</v>
      </c>
      <c r="D5" s="214" t="s">
        <v>393</v>
      </c>
      <c r="E5" s="553" t="s">
        <v>351</v>
      </c>
      <c r="F5" s="431" t="s">
        <v>15</v>
      </c>
      <c r="G5" s="127" t="s">
        <v>15</v>
      </c>
      <c r="H5" s="127" t="s">
        <v>15</v>
      </c>
      <c r="I5" s="431" t="s">
        <v>15</v>
      </c>
      <c r="J5" s="84" t="str">
        <f t="shared" si="0"/>
        <v/>
      </c>
      <c r="K5" s="431" t="s">
        <v>15</v>
      </c>
      <c r="L5" s="127" t="s">
        <v>15</v>
      </c>
      <c r="M5" s="127" t="s">
        <v>15</v>
      </c>
      <c r="N5" s="431" t="s">
        <v>15</v>
      </c>
      <c r="O5" s="84" t="str">
        <f t="shared" si="1"/>
        <v/>
      </c>
      <c r="P5" s="176">
        <v>0.29166666666666669</v>
      </c>
      <c r="Q5" s="127">
        <v>0.5</v>
      </c>
      <c r="R5" s="127">
        <v>0.54166666666666663</v>
      </c>
      <c r="S5" s="176">
        <v>0.66666666666666663</v>
      </c>
      <c r="T5" s="84">
        <f t="shared" si="2"/>
        <v>0.33333333333333331</v>
      </c>
      <c r="U5" s="176">
        <v>0.29166666666666669</v>
      </c>
      <c r="V5" s="127">
        <v>0.54166666666666663</v>
      </c>
      <c r="W5" s="127">
        <v>0.58333333333333337</v>
      </c>
      <c r="X5" s="176">
        <v>0.66666666666666663</v>
      </c>
      <c r="Y5" s="84">
        <f t="shared" ref="Y5:Y36" si="8">IFERROR(MOD(X5-U5,1)-(W5-V5),"")</f>
        <v>0.3333333333333332</v>
      </c>
      <c r="Z5" s="176">
        <v>0.45833333333333331</v>
      </c>
      <c r="AA5" s="127">
        <v>0.66666666666666663</v>
      </c>
      <c r="AB5" s="127">
        <v>0.70833333333333337</v>
      </c>
      <c r="AC5" s="176">
        <v>0.83333333333333337</v>
      </c>
      <c r="AD5" s="84">
        <f t="shared" si="4"/>
        <v>0.33333333333333331</v>
      </c>
      <c r="AE5" s="176">
        <v>0.54166666666666663</v>
      </c>
      <c r="AF5" s="127">
        <v>0.66666666666666663</v>
      </c>
      <c r="AG5" s="127">
        <v>0.70833333333333337</v>
      </c>
      <c r="AH5" s="176">
        <v>0.91666666666666663</v>
      </c>
      <c r="AI5" s="84">
        <f t="shared" si="5"/>
        <v>0.33333333333333326</v>
      </c>
      <c r="AJ5" s="432">
        <v>0.875</v>
      </c>
      <c r="AK5" s="127"/>
      <c r="AL5" s="127"/>
      <c r="AM5" s="432">
        <v>1</v>
      </c>
      <c r="AN5" s="84">
        <f t="shared" si="6"/>
        <v>0.125</v>
      </c>
      <c r="AO5" s="28">
        <f t="shared" si="7"/>
        <v>1.458333333333333</v>
      </c>
      <c r="AP5" s="302"/>
      <c r="AQ5" s="30" t="str">
        <f t="shared" ref="AQ5:AQ15" si="9">IF(AO5&gt;$AO$1, "Alerte Dépassement!!!","")</f>
        <v/>
      </c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 spans="2:72" s="31" customFormat="1" ht="13.5" customHeight="1" x14ac:dyDescent="0.25">
      <c r="B6" s="213" t="s">
        <v>296</v>
      </c>
      <c r="C6" s="229"/>
      <c r="D6" s="214" t="s">
        <v>393</v>
      </c>
      <c r="E6" s="553" t="s">
        <v>351</v>
      </c>
      <c r="F6" s="176">
        <v>0.29166666666666669</v>
      </c>
      <c r="G6" s="127">
        <v>0.5</v>
      </c>
      <c r="H6" s="127">
        <v>0.54166666666666663</v>
      </c>
      <c r="I6" s="176">
        <v>0.66666666666666663</v>
      </c>
      <c r="J6" s="84">
        <f t="shared" si="0"/>
        <v>0.33333333333333331</v>
      </c>
      <c r="K6" s="176">
        <v>0.29166666666666669</v>
      </c>
      <c r="L6" s="127">
        <v>0.5</v>
      </c>
      <c r="M6" s="127">
        <v>0.54166666666666663</v>
      </c>
      <c r="N6" s="176">
        <v>0.66666666666666663</v>
      </c>
      <c r="O6" s="84">
        <f t="shared" si="1"/>
        <v>0.33333333333333331</v>
      </c>
      <c r="P6" s="176">
        <v>0.35416666666666669</v>
      </c>
      <c r="Q6" s="127">
        <v>0.54166666666666663</v>
      </c>
      <c r="R6" s="127">
        <v>0.58333333333333337</v>
      </c>
      <c r="S6" s="176">
        <v>0.72916666666666663</v>
      </c>
      <c r="T6" s="84">
        <f t="shared" si="2"/>
        <v>0.3333333333333332</v>
      </c>
      <c r="U6" s="176">
        <v>0.54166666666666663</v>
      </c>
      <c r="V6" s="127">
        <v>0.66666666666666663</v>
      </c>
      <c r="W6" s="127">
        <v>0.70833333333333337</v>
      </c>
      <c r="X6" s="176">
        <v>0.91666666666666663</v>
      </c>
      <c r="Y6" s="84">
        <f t="shared" si="8"/>
        <v>0.33333333333333326</v>
      </c>
      <c r="Z6" s="176">
        <v>0.45833333333333331</v>
      </c>
      <c r="AA6" s="127">
        <v>0.625</v>
      </c>
      <c r="AB6" s="127">
        <v>0.66666666666666663</v>
      </c>
      <c r="AC6" s="176">
        <v>0.83333333333333337</v>
      </c>
      <c r="AD6" s="84">
        <f t="shared" si="4"/>
        <v>0.33333333333333343</v>
      </c>
      <c r="AE6" s="431" t="s">
        <v>15</v>
      </c>
      <c r="AF6" s="127" t="s">
        <v>15</v>
      </c>
      <c r="AG6" s="127" t="s">
        <v>15</v>
      </c>
      <c r="AH6" s="431" t="s">
        <v>15</v>
      </c>
      <c r="AI6" s="84" t="str">
        <f t="shared" si="5"/>
        <v/>
      </c>
      <c r="AJ6" s="431" t="s">
        <v>15</v>
      </c>
      <c r="AK6" s="127" t="s">
        <v>15</v>
      </c>
      <c r="AL6" s="127" t="s">
        <v>15</v>
      </c>
      <c r="AM6" s="431" t="s">
        <v>15</v>
      </c>
      <c r="AN6" s="84" t="str">
        <f t="shared" si="6"/>
        <v/>
      </c>
      <c r="AO6" s="28">
        <f t="shared" si="7"/>
        <v>1.6666666666666665</v>
      </c>
      <c r="AP6"/>
      <c r="AQ6" s="30" t="str">
        <f t="shared" si="9"/>
        <v/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2:72" s="31" customFormat="1" ht="13.5" customHeight="1" x14ac:dyDescent="0.25">
      <c r="B7" s="213" t="s">
        <v>191</v>
      </c>
      <c r="C7" s="229"/>
      <c r="D7" s="214" t="s">
        <v>393</v>
      </c>
      <c r="E7" s="553" t="s">
        <v>351</v>
      </c>
      <c r="F7" s="432">
        <v>0</v>
      </c>
      <c r="G7" s="127">
        <v>8.3333333333333329E-2</v>
      </c>
      <c r="H7" s="127">
        <v>0.16666666666666666</v>
      </c>
      <c r="I7" s="432">
        <v>0.29166666666666669</v>
      </c>
      <c r="J7" s="84">
        <f t="shared" si="0"/>
        <v>0.20833333333333337</v>
      </c>
      <c r="K7" s="176">
        <v>0.29166666666666669</v>
      </c>
      <c r="L7" s="127">
        <v>0.5</v>
      </c>
      <c r="M7" s="127">
        <v>0.54166666666666663</v>
      </c>
      <c r="N7" s="176">
        <v>0.66666666666666663</v>
      </c>
      <c r="O7" s="84">
        <f t="shared" si="1"/>
        <v>0.33333333333333331</v>
      </c>
      <c r="P7" s="176">
        <v>0.35416666666666669</v>
      </c>
      <c r="Q7" s="127">
        <v>0.54166666666666663</v>
      </c>
      <c r="R7" s="127">
        <v>0.58333333333333337</v>
      </c>
      <c r="S7" s="176">
        <v>0.72916666666666663</v>
      </c>
      <c r="T7" s="84">
        <f t="shared" si="2"/>
        <v>0.3333333333333332</v>
      </c>
      <c r="U7" s="176">
        <v>0.45833333333333331</v>
      </c>
      <c r="V7" s="127">
        <v>0.70833333333333337</v>
      </c>
      <c r="W7" s="127">
        <v>0.75</v>
      </c>
      <c r="X7" s="176">
        <v>0.83333333333333337</v>
      </c>
      <c r="Y7" s="84">
        <f t="shared" si="8"/>
        <v>0.33333333333333343</v>
      </c>
      <c r="Z7" s="176">
        <v>0.54166666666666663</v>
      </c>
      <c r="AA7" s="127">
        <v>0.70833333333333337</v>
      </c>
      <c r="AB7" s="127">
        <v>0.75</v>
      </c>
      <c r="AC7" s="176">
        <v>0.91666666666666663</v>
      </c>
      <c r="AD7" s="84">
        <f t="shared" ref="AD7" si="10">IFERROR(MOD(AC7-Z7,1)-(AB7-AA7),"")</f>
        <v>0.33333333333333337</v>
      </c>
      <c r="AE7" s="432">
        <v>0.875</v>
      </c>
      <c r="AF7" s="127"/>
      <c r="AG7" s="127"/>
      <c r="AH7" s="432">
        <v>1</v>
      </c>
      <c r="AI7" s="84">
        <f t="shared" si="5"/>
        <v>0.125</v>
      </c>
      <c r="AJ7" s="432">
        <v>0</v>
      </c>
      <c r="AK7" s="127">
        <v>8.3333333333333329E-2</v>
      </c>
      <c r="AL7" s="127">
        <v>0.16666666666666666</v>
      </c>
      <c r="AM7" s="432">
        <v>0.29166666666666669</v>
      </c>
      <c r="AN7" s="84">
        <f t="shared" si="6"/>
        <v>0.20833333333333337</v>
      </c>
      <c r="AO7" s="28">
        <f t="shared" si="7"/>
        <v>1.8750000000000004</v>
      </c>
      <c r="AP7" s="302"/>
      <c r="AQ7" s="30" t="str">
        <f t="shared" si="9"/>
        <v>Alerte Dépassement!!!</v>
      </c>
      <c r="AR7" s="34"/>
      <c r="AS7" s="33"/>
      <c r="AT7" s="33"/>
    </row>
    <row r="8" spans="2:72" s="31" customFormat="1" ht="14.25" customHeight="1" x14ac:dyDescent="0.25">
      <c r="B8" s="213" t="s">
        <v>221</v>
      </c>
      <c r="C8" s="229"/>
      <c r="D8" s="214" t="s">
        <v>393</v>
      </c>
      <c r="E8" s="553" t="s">
        <v>351</v>
      </c>
      <c r="F8" s="176">
        <v>0.29166666666666669</v>
      </c>
      <c r="G8" s="127">
        <v>0.5</v>
      </c>
      <c r="H8" s="127">
        <v>0.54166666666666663</v>
      </c>
      <c r="I8" s="176">
        <v>0.66666666666666663</v>
      </c>
      <c r="J8" s="84">
        <f t="shared" si="0"/>
        <v>0.33333333333333331</v>
      </c>
      <c r="K8" s="176">
        <v>0.54166666666666663</v>
      </c>
      <c r="L8" s="127">
        <v>0.66666666666666663</v>
      </c>
      <c r="M8" s="127">
        <v>0.70833333333333337</v>
      </c>
      <c r="N8" s="176">
        <v>0.91666666666666663</v>
      </c>
      <c r="O8" s="84">
        <f t="shared" si="1"/>
        <v>0.33333333333333326</v>
      </c>
      <c r="P8" s="176">
        <v>0.54166666666666663</v>
      </c>
      <c r="Q8" s="127">
        <v>0.66666666666666663</v>
      </c>
      <c r="R8" s="127">
        <v>0.70833333333333337</v>
      </c>
      <c r="S8" s="176">
        <v>0.91666666666666663</v>
      </c>
      <c r="T8" s="84">
        <f t="shared" si="2"/>
        <v>0.33333333333333326</v>
      </c>
      <c r="U8" s="432">
        <v>0.875</v>
      </c>
      <c r="V8" s="127"/>
      <c r="W8" s="127"/>
      <c r="X8" s="432">
        <v>1</v>
      </c>
      <c r="Y8" s="84">
        <f t="shared" si="8"/>
        <v>0.125</v>
      </c>
      <c r="Z8" s="432">
        <v>0</v>
      </c>
      <c r="AA8" s="127">
        <v>0.29166666666666669</v>
      </c>
      <c r="AB8" s="127">
        <v>0.875</v>
      </c>
      <c r="AC8" s="432">
        <v>1</v>
      </c>
      <c r="AD8" s="84">
        <v>0.33333333333333331</v>
      </c>
      <c r="AE8" s="432">
        <v>0</v>
      </c>
      <c r="AF8" s="127">
        <v>0.125</v>
      </c>
      <c r="AG8" s="127">
        <v>0.20833333333333334</v>
      </c>
      <c r="AH8" s="432">
        <v>0.29166666666666669</v>
      </c>
      <c r="AI8" s="84">
        <f t="shared" si="5"/>
        <v>0.20833333333333334</v>
      </c>
      <c r="AJ8" s="431" t="s">
        <v>15</v>
      </c>
      <c r="AK8" s="127" t="s">
        <v>15</v>
      </c>
      <c r="AL8" s="127" t="s">
        <v>15</v>
      </c>
      <c r="AM8" s="431" t="s">
        <v>15</v>
      </c>
      <c r="AN8" s="84" t="str">
        <f t="shared" si="6"/>
        <v/>
      </c>
      <c r="AO8" s="28">
        <f t="shared" si="7"/>
        <v>1.6666666666666663</v>
      </c>
      <c r="AP8"/>
      <c r="AQ8" s="30" t="str">
        <f t="shared" si="9"/>
        <v/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2:72" s="31" customFormat="1" ht="13.5" customHeight="1" x14ac:dyDescent="0.25">
      <c r="B9" s="213" t="s">
        <v>235</v>
      </c>
      <c r="C9" s="229"/>
      <c r="D9" s="214" t="s">
        <v>393</v>
      </c>
      <c r="E9" s="553" t="s">
        <v>351</v>
      </c>
      <c r="F9" s="176">
        <v>0.29166666666666669</v>
      </c>
      <c r="G9" s="127">
        <v>0.54166666666666663</v>
      </c>
      <c r="H9" s="127">
        <v>0.58333333333333337</v>
      </c>
      <c r="I9" s="176">
        <v>0.66666666666666663</v>
      </c>
      <c r="J9" s="84">
        <f t="shared" si="0"/>
        <v>0.3333333333333332</v>
      </c>
      <c r="K9" s="176">
        <v>0.41666666666666669</v>
      </c>
      <c r="L9" s="127">
        <v>0.58333333333333337</v>
      </c>
      <c r="M9" s="127">
        <v>0.625</v>
      </c>
      <c r="N9" s="176">
        <v>0.79166666666666663</v>
      </c>
      <c r="O9" s="84">
        <f t="shared" si="1"/>
        <v>0.33333333333333331</v>
      </c>
      <c r="P9" s="176">
        <v>0.54166666666666663</v>
      </c>
      <c r="Q9" s="127">
        <v>0.66666666666666663</v>
      </c>
      <c r="R9" s="127">
        <v>0.70833333333333337</v>
      </c>
      <c r="S9" s="176">
        <v>0.91666666666666663</v>
      </c>
      <c r="T9" s="84">
        <f t="shared" si="2"/>
        <v>0.33333333333333326</v>
      </c>
      <c r="U9" s="176">
        <v>0.54166666666666663</v>
      </c>
      <c r="V9" s="127">
        <v>0.66666666666666663</v>
      </c>
      <c r="W9" s="127">
        <v>0.70833333333333337</v>
      </c>
      <c r="X9" s="176">
        <v>0.91666666666666663</v>
      </c>
      <c r="Y9" s="84">
        <f t="shared" si="8"/>
        <v>0.33333333333333326</v>
      </c>
      <c r="Z9" s="431" t="s">
        <v>15</v>
      </c>
      <c r="AA9" s="127" t="s">
        <v>15</v>
      </c>
      <c r="AB9" s="127" t="s">
        <v>15</v>
      </c>
      <c r="AC9" s="431" t="s">
        <v>15</v>
      </c>
      <c r="AD9" s="84" t="str">
        <f t="shared" si="4"/>
        <v/>
      </c>
      <c r="AE9" s="431" t="s">
        <v>15</v>
      </c>
      <c r="AF9" s="127" t="s">
        <v>15</v>
      </c>
      <c r="AG9" s="127" t="s">
        <v>15</v>
      </c>
      <c r="AH9" s="431" t="s">
        <v>15</v>
      </c>
      <c r="AI9" s="84" t="str">
        <f t="shared" si="5"/>
        <v/>
      </c>
      <c r="AJ9" s="176">
        <v>0.29166666666666669</v>
      </c>
      <c r="AK9" s="127">
        <v>0.54166666666666663</v>
      </c>
      <c r="AL9" s="127">
        <v>0.58333333333333337</v>
      </c>
      <c r="AM9" s="176">
        <v>0.66666666666666663</v>
      </c>
      <c r="AN9" s="84">
        <f t="shared" si="6"/>
        <v>0.3333333333333332</v>
      </c>
      <c r="AO9" s="28">
        <f t="shared" si="7"/>
        <v>1.6666666666666663</v>
      </c>
      <c r="AP9" s="302"/>
      <c r="AQ9" s="30" t="str">
        <f t="shared" si="9"/>
        <v/>
      </c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</row>
    <row r="10" spans="2:72" s="1" customFormat="1" ht="13.5" customHeight="1" x14ac:dyDescent="0.25">
      <c r="B10" s="359" t="s">
        <v>102</v>
      </c>
      <c r="C10" s="229"/>
      <c r="D10" s="214" t="s">
        <v>393</v>
      </c>
      <c r="E10" s="553" t="s">
        <v>351</v>
      </c>
      <c r="F10" s="432">
        <v>0</v>
      </c>
      <c r="G10" s="127">
        <v>8.3333333333333329E-2</v>
      </c>
      <c r="H10" s="127">
        <v>0.16666666666666666</v>
      </c>
      <c r="I10" s="432">
        <v>0.29166666666666669</v>
      </c>
      <c r="J10" s="84">
        <f t="shared" si="0"/>
        <v>0.20833333333333337</v>
      </c>
      <c r="K10" s="176">
        <v>0.29166666666666669</v>
      </c>
      <c r="L10" s="127">
        <v>0.54166666666666663</v>
      </c>
      <c r="M10" s="127">
        <v>0.58333333333333337</v>
      </c>
      <c r="N10" s="176">
        <v>0.66666666666666663</v>
      </c>
      <c r="O10" s="84">
        <f t="shared" si="1"/>
        <v>0.3333333333333332</v>
      </c>
      <c r="P10" s="176">
        <v>0.45833333333333331</v>
      </c>
      <c r="Q10" s="127">
        <v>0.66666666666666663</v>
      </c>
      <c r="R10" s="127">
        <v>0.70833333333333337</v>
      </c>
      <c r="S10" s="176">
        <v>0.83333333333333337</v>
      </c>
      <c r="T10" s="84">
        <f t="shared" si="2"/>
        <v>0.33333333333333331</v>
      </c>
      <c r="U10" s="432">
        <v>0.875</v>
      </c>
      <c r="V10" s="127"/>
      <c r="W10" s="127"/>
      <c r="X10" s="432">
        <v>1</v>
      </c>
      <c r="Y10" s="84">
        <f t="shared" si="8"/>
        <v>0.125</v>
      </c>
      <c r="Z10" s="432">
        <v>0</v>
      </c>
      <c r="AA10" s="127">
        <v>0.29166666666666669</v>
      </c>
      <c r="AB10" s="127">
        <v>0.875</v>
      </c>
      <c r="AC10" s="432">
        <v>1</v>
      </c>
      <c r="AD10" s="84">
        <v>0.33333333333333331</v>
      </c>
      <c r="AE10" s="432">
        <v>0</v>
      </c>
      <c r="AF10" s="127">
        <v>8.3333333333333329E-2</v>
      </c>
      <c r="AG10" s="127">
        <v>0.16666666666666666</v>
      </c>
      <c r="AH10" s="432">
        <v>0.29166666666666669</v>
      </c>
      <c r="AI10" s="84">
        <f t="shared" si="5"/>
        <v>0.20833333333333337</v>
      </c>
      <c r="AJ10" s="431" t="s">
        <v>15</v>
      </c>
      <c r="AK10" s="127" t="s">
        <v>15</v>
      </c>
      <c r="AL10" s="127" t="s">
        <v>15</v>
      </c>
      <c r="AM10" s="431" t="s">
        <v>15</v>
      </c>
      <c r="AN10" s="84" t="str">
        <f t="shared" si="6"/>
        <v/>
      </c>
      <c r="AO10" s="28">
        <f t="shared" si="7"/>
        <v>1.5416666666666665</v>
      </c>
      <c r="AP10"/>
      <c r="AQ10" s="30" t="str">
        <f t="shared" si="9"/>
        <v/>
      </c>
    </row>
    <row r="11" spans="2:72" x14ac:dyDescent="0.25">
      <c r="B11" s="213" t="s">
        <v>16</v>
      </c>
      <c r="C11" s="229"/>
      <c r="D11" s="214" t="s">
        <v>393</v>
      </c>
      <c r="E11" s="553" t="s">
        <v>351</v>
      </c>
      <c r="F11" s="431" t="s">
        <v>15</v>
      </c>
      <c r="G11" s="127" t="s">
        <v>15</v>
      </c>
      <c r="H11" s="127" t="s">
        <v>15</v>
      </c>
      <c r="I11" s="431" t="s">
        <v>15</v>
      </c>
      <c r="J11" s="84" t="str">
        <f t="shared" si="0"/>
        <v/>
      </c>
      <c r="K11" s="431" t="s">
        <v>15</v>
      </c>
      <c r="L11" s="127" t="s">
        <v>15</v>
      </c>
      <c r="M11" s="127" t="s">
        <v>15</v>
      </c>
      <c r="N11" s="431" t="s">
        <v>15</v>
      </c>
      <c r="O11" s="84" t="str">
        <f t="shared" si="1"/>
        <v/>
      </c>
      <c r="P11" s="176">
        <v>0.29166666666666669</v>
      </c>
      <c r="Q11" s="127">
        <v>0.54166666666666663</v>
      </c>
      <c r="R11" s="127">
        <v>0.58333333333333337</v>
      </c>
      <c r="S11" s="176">
        <v>0.66666666666666663</v>
      </c>
      <c r="T11" s="84">
        <f t="shared" si="2"/>
        <v>0.3333333333333332</v>
      </c>
      <c r="U11" s="176">
        <v>0.29166666666666669</v>
      </c>
      <c r="V11" s="127">
        <v>0.54166666666666663</v>
      </c>
      <c r="W11" s="127">
        <v>0.58333333333333337</v>
      </c>
      <c r="X11" s="176">
        <v>0.66666666666666663</v>
      </c>
      <c r="Y11" s="84">
        <f t="shared" si="8"/>
        <v>0.3333333333333332</v>
      </c>
      <c r="Z11" s="176">
        <v>0.29166666666666669</v>
      </c>
      <c r="AA11" s="127">
        <v>0.54166666666666663</v>
      </c>
      <c r="AB11" s="127">
        <v>0.58333333333333337</v>
      </c>
      <c r="AC11" s="176">
        <v>0.66666666666666663</v>
      </c>
      <c r="AD11" s="84">
        <f t="shared" si="4"/>
        <v>0.3333333333333332</v>
      </c>
      <c r="AE11" s="176">
        <v>0.54166666666666663</v>
      </c>
      <c r="AF11" s="127">
        <v>0.66666666666666663</v>
      </c>
      <c r="AG11" s="127">
        <v>0.70833333333333337</v>
      </c>
      <c r="AH11" s="176">
        <v>0.91666666666666663</v>
      </c>
      <c r="AI11" s="84">
        <f t="shared" si="5"/>
        <v>0.33333333333333326</v>
      </c>
      <c r="AJ11" s="176">
        <v>0.45833333333333331</v>
      </c>
      <c r="AK11" s="127">
        <v>0.66666666666666663</v>
      </c>
      <c r="AL11" s="127">
        <v>0.70833333333333337</v>
      </c>
      <c r="AM11" s="176">
        <v>0.83333333333333337</v>
      </c>
      <c r="AN11" s="84">
        <f t="shared" si="6"/>
        <v>0.33333333333333331</v>
      </c>
      <c r="AO11" s="28">
        <f t="shared" si="7"/>
        <v>1.6666666666666661</v>
      </c>
      <c r="AP11" s="302"/>
      <c r="AQ11" s="30" t="str">
        <f t="shared" si="9"/>
        <v/>
      </c>
    </row>
    <row r="12" spans="2:72" x14ac:dyDescent="0.25">
      <c r="B12" s="213" t="s">
        <v>23</v>
      </c>
      <c r="C12" s="229"/>
      <c r="D12" s="214" t="s">
        <v>393</v>
      </c>
      <c r="E12" s="553" t="s">
        <v>351</v>
      </c>
      <c r="F12" s="432">
        <v>0.875</v>
      </c>
      <c r="G12" s="127"/>
      <c r="H12" s="127"/>
      <c r="I12" s="432">
        <v>1</v>
      </c>
      <c r="J12" s="84">
        <f t="shared" si="0"/>
        <v>0.125</v>
      </c>
      <c r="K12" s="432">
        <v>0</v>
      </c>
      <c r="L12" s="127">
        <v>0.29166666666666669</v>
      </c>
      <c r="M12" s="127">
        <v>0.875</v>
      </c>
      <c r="N12" s="432">
        <v>1</v>
      </c>
      <c r="O12" s="84">
        <v>0.33333333333333331</v>
      </c>
      <c r="P12" s="432">
        <v>0</v>
      </c>
      <c r="Q12" s="127">
        <v>0.29166666666666669</v>
      </c>
      <c r="R12" s="127">
        <v>0.875</v>
      </c>
      <c r="S12" s="432">
        <v>1</v>
      </c>
      <c r="T12" s="84">
        <v>0.33333333333333331</v>
      </c>
      <c r="U12" s="432">
        <v>0</v>
      </c>
      <c r="V12" s="127">
        <v>0.16666666666666666</v>
      </c>
      <c r="W12" s="127">
        <v>0.25</v>
      </c>
      <c r="X12" s="432">
        <v>0.29166666666666669</v>
      </c>
      <c r="Y12" s="84">
        <f t="shared" si="8"/>
        <v>0.20833333333333334</v>
      </c>
      <c r="Z12" s="431" t="s">
        <v>15</v>
      </c>
      <c r="AA12" s="127" t="s">
        <v>15</v>
      </c>
      <c r="AB12" s="127" t="s">
        <v>15</v>
      </c>
      <c r="AC12" s="431" t="s">
        <v>15</v>
      </c>
      <c r="AD12" s="84" t="str">
        <f t="shared" ref="AD12" si="11">IFERROR(MOD(AC12-Z12,1)-(AB12-AA12),"")</f>
        <v/>
      </c>
      <c r="AE12" s="176">
        <v>0.29166666666666669</v>
      </c>
      <c r="AF12" s="127">
        <v>0.54166666666666663</v>
      </c>
      <c r="AG12" s="127">
        <v>0.625</v>
      </c>
      <c r="AH12" s="176">
        <v>0.70833333333333337</v>
      </c>
      <c r="AI12" s="84">
        <f t="shared" si="5"/>
        <v>0.33333333333333331</v>
      </c>
      <c r="AJ12" s="176">
        <v>0.29166666666666669</v>
      </c>
      <c r="AK12" s="127">
        <v>0.54166666666666663</v>
      </c>
      <c r="AL12" s="127">
        <v>0.625</v>
      </c>
      <c r="AM12" s="176">
        <v>0.70833333333333337</v>
      </c>
      <c r="AN12" s="84">
        <f t="shared" si="6"/>
        <v>0.33333333333333331</v>
      </c>
      <c r="AO12" s="28">
        <f t="shared" si="7"/>
        <v>1.6666666666666665</v>
      </c>
      <c r="AQ12" s="30" t="str">
        <f t="shared" si="9"/>
        <v/>
      </c>
    </row>
    <row r="13" spans="2:72" ht="15.75" customHeight="1" x14ac:dyDescent="0.25">
      <c r="B13" s="213" t="s">
        <v>92</v>
      </c>
      <c r="C13" s="229"/>
      <c r="D13" s="214" t="s">
        <v>393</v>
      </c>
      <c r="E13" s="553" t="s">
        <v>351</v>
      </c>
      <c r="F13" s="176">
        <v>0.41666666666666669</v>
      </c>
      <c r="G13" s="127">
        <v>0.58333333333333337</v>
      </c>
      <c r="H13" s="127">
        <v>0.625</v>
      </c>
      <c r="I13" s="176">
        <v>0.79166666666666663</v>
      </c>
      <c r="J13" s="84">
        <f t="shared" si="0"/>
        <v>0.33333333333333331</v>
      </c>
      <c r="K13" s="176">
        <v>0.54166666666666663</v>
      </c>
      <c r="L13" s="127">
        <v>0.66666666666666663</v>
      </c>
      <c r="M13" s="127">
        <v>0.70833333333333337</v>
      </c>
      <c r="N13" s="176">
        <v>0.91666666666666663</v>
      </c>
      <c r="O13" s="84">
        <f t="shared" ref="O13" si="12">IFERROR(MOD(N13-K13,1)-(M13-L13),"")</f>
        <v>0.33333333333333326</v>
      </c>
      <c r="P13" s="176">
        <v>0.54166666666666663</v>
      </c>
      <c r="Q13" s="127">
        <v>0.66666666666666663</v>
      </c>
      <c r="R13" s="127">
        <v>0.70833333333333337</v>
      </c>
      <c r="S13" s="176">
        <v>0.91666666666666663</v>
      </c>
      <c r="T13" s="84">
        <f t="shared" si="2"/>
        <v>0.33333333333333326</v>
      </c>
      <c r="U13" s="431" t="s">
        <v>15</v>
      </c>
      <c r="V13" s="127" t="s">
        <v>15</v>
      </c>
      <c r="W13" s="127" t="s">
        <v>15</v>
      </c>
      <c r="X13" s="431" t="s">
        <v>15</v>
      </c>
      <c r="Y13" s="84" t="str">
        <f t="shared" si="8"/>
        <v/>
      </c>
      <c r="Z13" s="431" t="s">
        <v>15</v>
      </c>
      <c r="AA13" s="127" t="s">
        <v>15</v>
      </c>
      <c r="AB13" s="127" t="s">
        <v>15</v>
      </c>
      <c r="AC13" s="431" t="s">
        <v>15</v>
      </c>
      <c r="AD13" s="84" t="str">
        <f t="shared" si="4"/>
        <v/>
      </c>
      <c r="AE13" s="176">
        <v>0.29166666666666669</v>
      </c>
      <c r="AF13" s="127">
        <v>0.54166666666666663</v>
      </c>
      <c r="AG13" s="127">
        <v>0.58333333333333337</v>
      </c>
      <c r="AH13" s="176">
        <v>0.66666666666666663</v>
      </c>
      <c r="AI13" s="84">
        <f t="shared" si="5"/>
        <v>0.3333333333333332</v>
      </c>
      <c r="AJ13" s="176">
        <v>0.29166666666666669</v>
      </c>
      <c r="AK13" s="127">
        <v>0.54166666666666663</v>
      </c>
      <c r="AL13" s="127">
        <v>0.58333333333333337</v>
      </c>
      <c r="AM13" s="176">
        <v>0.66666666666666663</v>
      </c>
      <c r="AN13" s="84">
        <f t="shared" si="6"/>
        <v>0.3333333333333332</v>
      </c>
      <c r="AO13" s="28">
        <f t="shared" si="7"/>
        <v>1.6666666666666663</v>
      </c>
      <c r="AP13" s="302"/>
      <c r="AQ13" s="30" t="str">
        <f t="shared" si="9"/>
        <v/>
      </c>
    </row>
    <row r="14" spans="2:72" s="33" customFormat="1" ht="13.5" customHeight="1" x14ac:dyDescent="0.25">
      <c r="B14" s="213" t="s">
        <v>94</v>
      </c>
      <c r="C14" s="229"/>
      <c r="D14" s="214" t="s">
        <v>393</v>
      </c>
      <c r="E14" s="553" t="s">
        <v>351</v>
      </c>
      <c r="F14" s="176">
        <v>0.45833333333333331</v>
      </c>
      <c r="G14" s="127">
        <v>0.625</v>
      </c>
      <c r="H14" s="127">
        <v>0.66666666666666663</v>
      </c>
      <c r="I14" s="176">
        <v>0.83333333333333337</v>
      </c>
      <c r="J14" s="84">
        <f t="shared" si="0"/>
        <v>0.33333333333333343</v>
      </c>
      <c r="K14" s="176">
        <v>0.5</v>
      </c>
      <c r="L14" s="127">
        <v>0.625</v>
      </c>
      <c r="M14" s="127">
        <v>0.66666666666666663</v>
      </c>
      <c r="N14" s="176">
        <v>0.875</v>
      </c>
      <c r="O14" s="84">
        <f t="shared" si="1"/>
        <v>0.33333333333333337</v>
      </c>
      <c r="P14" s="176">
        <v>0.5</v>
      </c>
      <c r="Q14" s="127">
        <v>0.625</v>
      </c>
      <c r="R14" s="127">
        <v>0.66666666666666663</v>
      </c>
      <c r="S14" s="176">
        <v>0.875</v>
      </c>
      <c r="T14" s="84">
        <f t="shared" si="2"/>
        <v>0.33333333333333337</v>
      </c>
      <c r="U14" s="431" t="s">
        <v>15</v>
      </c>
      <c r="V14" s="127" t="s">
        <v>15</v>
      </c>
      <c r="W14" s="127" t="s">
        <v>15</v>
      </c>
      <c r="X14" s="431" t="s">
        <v>15</v>
      </c>
      <c r="Y14" s="84" t="str">
        <f t="shared" si="8"/>
        <v/>
      </c>
      <c r="Z14" s="431" t="s">
        <v>15</v>
      </c>
      <c r="AA14" s="127" t="s">
        <v>15</v>
      </c>
      <c r="AB14" s="127" t="s">
        <v>15</v>
      </c>
      <c r="AC14" s="431" t="s">
        <v>15</v>
      </c>
      <c r="AD14" s="84" t="str">
        <f t="shared" si="4"/>
        <v/>
      </c>
      <c r="AE14" s="176">
        <v>0.29166666666666669</v>
      </c>
      <c r="AF14" s="127">
        <v>0.54166666666666663</v>
      </c>
      <c r="AG14" s="127">
        <v>0.625</v>
      </c>
      <c r="AH14" s="176">
        <v>0.70833333333333337</v>
      </c>
      <c r="AI14" s="84">
        <f t="shared" si="5"/>
        <v>0.33333333333333331</v>
      </c>
      <c r="AJ14" s="176">
        <v>0.29166666666666669</v>
      </c>
      <c r="AK14" s="127">
        <v>0.5</v>
      </c>
      <c r="AL14" s="127">
        <v>0.54166666666666663</v>
      </c>
      <c r="AM14" s="176">
        <v>0.66666666666666663</v>
      </c>
      <c r="AN14" s="84">
        <f t="shared" si="6"/>
        <v>0.33333333333333331</v>
      </c>
      <c r="AO14" s="28">
        <f t="shared" si="7"/>
        <v>1.6666666666666665</v>
      </c>
      <c r="AP14"/>
      <c r="AQ14" s="30" t="str">
        <f t="shared" si="9"/>
        <v/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spans="2:72" x14ac:dyDescent="0.25">
      <c r="B15" s="213" t="s">
        <v>48</v>
      </c>
      <c r="C15" s="229"/>
      <c r="D15" s="214" t="s">
        <v>393</v>
      </c>
      <c r="E15" s="553" t="s">
        <v>351</v>
      </c>
      <c r="F15" s="432">
        <v>0</v>
      </c>
      <c r="G15" s="127">
        <v>0.29166666666666669</v>
      </c>
      <c r="H15" s="127">
        <v>0.875</v>
      </c>
      <c r="I15" s="432">
        <v>1</v>
      </c>
      <c r="J15" s="84">
        <v>0.33333333333333331</v>
      </c>
      <c r="K15" s="432">
        <v>0</v>
      </c>
      <c r="L15" s="127">
        <v>8.3333333333333329E-2</v>
      </c>
      <c r="M15" s="127">
        <v>0.16666666666666666</v>
      </c>
      <c r="N15" s="432">
        <v>0.29166666666666669</v>
      </c>
      <c r="O15" s="84">
        <f t="shared" si="1"/>
        <v>0.20833333333333337</v>
      </c>
      <c r="P15" s="431" t="s">
        <v>15</v>
      </c>
      <c r="Q15" s="127" t="s">
        <v>15</v>
      </c>
      <c r="R15" s="127" t="s">
        <v>15</v>
      </c>
      <c r="S15" s="431" t="s">
        <v>15</v>
      </c>
      <c r="T15" s="84" t="str">
        <f t="shared" si="2"/>
        <v/>
      </c>
      <c r="U15" s="431" t="s">
        <v>15</v>
      </c>
      <c r="V15" s="127" t="s">
        <v>15</v>
      </c>
      <c r="W15" s="127" t="s">
        <v>15</v>
      </c>
      <c r="X15" s="431" t="s">
        <v>15</v>
      </c>
      <c r="Y15" s="84" t="str">
        <f t="shared" si="8"/>
        <v/>
      </c>
      <c r="Z15" s="432">
        <v>0.875</v>
      </c>
      <c r="AA15" s="127"/>
      <c r="AB15" s="127"/>
      <c r="AC15" s="432">
        <v>1</v>
      </c>
      <c r="AD15" s="84">
        <f t="shared" si="4"/>
        <v>0.125</v>
      </c>
      <c r="AE15" s="432">
        <v>0</v>
      </c>
      <c r="AF15" s="127">
        <v>0.29166666666666669</v>
      </c>
      <c r="AG15" s="127">
        <v>0.875</v>
      </c>
      <c r="AH15" s="432">
        <v>1</v>
      </c>
      <c r="AI15" s="84">
        <v>0.33333333333333331</v>
      </c>
      <c r="AJ15" s="432">
        <v>0</v>
      </c>
      <c r="AK15" s="127">
        <v>0.29166666666666669</v>
      </c>
      <c r="AL15" s="127">
        <v>0.875</v>
      </c>
      <c r="AM15" s="432">
        <v>1</v>
      </c>
      <c r="AN15" s="84">
        <v>0.33333333333333331</v>
      </c>
      <c r="AO15" s="28">
        <f t="shared" si="7"/>
        <v>1.3333333333333333</v>
      </c>
      <c r="AP15" s="302"/>
      <c r="AQ15" s="30" t="str">
        <f t="shared" si="9"/>
        <v/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2:72" x14ac:dyDescent="0.25">
      <c r="B16" s="213" t="s">
        <v>97</v>
      </c>
      <c r="C16" s="229"/>
      <c r="D16" s="214" t="s">
        <v>393</v>
      </c>
      <c r="E16" s="553" t="s">
        <v>351</v>
      </c>
      <c r="F16" s="176">
        <v>0.45833333333333331</v>
      </c>
      <c r="G16" s="127">
        <v>0.625</v>
      </c>
      <c r="H16" s="127">
        <v>0.66666666666666663</v>
      </c>
      <c r="I16" s="176">
        <v>0.83333333333333337</v>
      </c>
      <c r="J16" s="84">
        <f t="shared" si="0"/>
        <v>0.33333333333333343</v>
      </c>
      <c r="K16" s="176">
        <v>0.45833333333333331</v>
      </c>
      <c r="L16" s="127">
        <v>0.625</v>
      </c>
      <c r="M16" s="127">
        <v>0.66666666666666663</v>
      </c>
      <c r="N16" s="176">
        <v>0.83333333333333337</v>
      </c>
      <c r="O16" s="84">
        <f t="shared" si="1"/>
        <v>0.33333333333333343</v>
      </c>
      <c r="P16" s="431" t="s">
        <v>15</v>
      </c>
      <c r="Q16" s="127" t="s">
        <v>15</v>
      </c>
      <c r="R16" s="127" t="s">
        <v>15</v>
      </c>
      <c r="S16" s="431" t="s">
        <v>15</v>
      </c>
      <c r="T16" s="84" t="str">
        <f t="shared" si="2"/>
        <v/>
      </c>
      <c r="U16" s="431" t="s">
        <v>15</v>
      </c>
      <c r="V16" s="127" t="s">
        <v>15</v>
      </c>
      <c r="W16" s="127" t="s">
        <v>15</v>
      </c>
      <c r="X16" s="431" t="s">
        <v>15</v>
      </c>
      <c r="Y16" s="84" t="str">
        <f t="shared" si="8"/>
        <v/>
      </c>
      <c r="Z16" s="176">
        <v>0.375</v>
      </c>
      <c r="AA16" s="127">
        <v>0.625</v>
      </c>
      <c r="AB16" s="127">
        <v>0.66666666666666663</v>
      </c>
      <c r="AC16" s="176">
        <v>0.75</v>
      </c>
      <c r="AD16" s="84">
        <f t="shared" si="4"/>
        <v>0.33333333333333337</v>
      </c>
      <c r="AE16" s="176">
        <v>0.375</v>
      </c>
      <c r="AF16" s="127">
        <v>0.58333333333333337</v>
      </c>
      <c r="AG16" s="127">
        <v>0.625</v>
      </c>
      <c r="AH16" s="176">
        <v>0.75</v>
      </c>
      <c r="AI16" s="84">
        <f t="shared" si="5"/>
        <v>0.33333333333333337</v>
      </c>
      <c r="AJ16" s="176">
        <v>0.375</v>
      </c>
      <c r="AK16" s="127">
        <v>0.625</v>
      </c>
      <c r="AL16" s="127">
        <v>0.66666666666666663</v>
      </c>
      <c r="AM16" s="176">
        <v>0.75</v>
      </c>
      <c r="AN16" s="84">
        <f t="shared" si="6"/>
        <v>0.33333333333333337</v>
      </c>
      <c r="AO16" s="28">
        <f t="shared" si="7"/>
        <v>1.666666666666667</v>
      </c>
      <c r="AQ16" s="30"/>
    </row>
    <row r="17" spans="2:72" x14ac:dyDescent="0.25">
      <c r="B17" s="213" t="s">
        <v>91</v>
      </c>
      <c r="C17" s="229" t="s">
        <v>299</v>
      </c>
      <c r="D17" s="214" t="s">
        <v>393</v>
      </c>
      <c r="E17" s="553" t="s">
        <v>351</v>
      </c>
      <c r="F17" s="176">
        <v>0.5</v>
      </c>
      <c r="G17" s="127">
        <v>0.58333333333333337</v>
      </c>
      <c r="H17" s="127">
        <v>0.66666666666666663</v>
      </c>
      <c r="I17" s="176">
        <v>0.91666666666666663</v>
      </c>
      <c r="J17" s="84">
        <f t="shared" si="0"/>
        <v>0.33333333333333337</v>
      </c>
      <c r="K17" s="431" t="s">
        <v>15</v>
      </c>
      <c r="L17" s="127" t="s">
        <v>15</v>
      </c>
      <c r="M17" s="127" t="s">
        <v>15</v>
      </c>
      <c r="N17" s="431" t="s">
        <v>15</v>
      </c>
      <c r="O17" s="84" t="str">
        <f t="shared" si="1"/>
        <v/>
      </c>
      <c r="P17" s="431" t="s">
        <v>15</v>
      </c>
      <c r="Q17" s="127" t="s">
        <v>15</v>
      </c>
      <c r="R17" s="127" t="s">
        <v>15</v>
      </c>
      <c r="S17" s="431" t="s">
        <v>15</v>
      </c>
      <c r="T17" s="84" t="str">
        <f t="shared" si="2"/>
        <v/>
      </c>
      <c r="U17" s="176">
        <v>0.29166666666666669</v>
      </c>
      <c r="V17" s="127">
        <v>0.375</v>
      </c>
      <c r="W17" s="127">
        <v>0.66666666666666663</v>
      </c>
      <c r="X17" s="176">
        <v>0.91666666666666663</v>
      </c>
      <c r="Y17" s="84">
        <f t="shared" si="8"/>
        <v>0.33333333333333337</v>
      </c>
      <c r="Z17" s="176">
        <v>0.29166666666666669</v>
      </c>
      <c r="AA17" s="127">
        <v>0.375</v>
      </c>
      <c r="AB17" s="127">
        <v>0.66666666666666663</v>
      </c>
      <c r="AC17" s="176">
        <v>0.91666666666666663</v>
      </c>
      <c r="AD17" s="84">
        <f t="shared" si="4"/>
        <v>0.33333333333333337</v>
      </c>
      <c r="AE17" s="176">
        <v>0.41666666666666669</v>
      </c>
      <c r="AF17" s="127">
        <v>0.66666666666666663</v>
      </c>
      <c r="AG17" s="127">
        <v>0.70833333333333337</v>
      </c>
      <c r="AH17" s="176">
        <v>0.79166666666666663</v>
      </c>
      <c r="AI17" s="84">
        <f t="shared" si="5"/>
        <v>0.3333333333333332</v>
      </c>
      <c r="AJ17" s="176">
        <v>0.41666666666666669</v>
      </c>
      <c r="AK17" s="127">
        <v>0.5</v>
      </c>
      <c r="AL17" s="127">
        <v>0.66666666666666663</v>
      </c>
      <c r="AM17" s="176">
        <v>0.91666666666666663</v>
      </c>
      <c r="AN17" s="84">
        <f t="shared" si="6"/>
        <v>0.33333333333333331</v>
      </c>
      <c r="AO17" s="28">
        <f t="shared" si="7"/>
        <v>1.6666666666666665</v>
      </c>
      <c r="AQ17" s="30"/>
    </row>
    <row r="18" spans="2:72" x14ac:dyDescent="0.25">
      <c r="B18" s="213" t="s">
        <v>138</v>
      </c>
      <c r="C18" s="229"/>
      <c r="D18" s="214" t="s">
        <v>393</v>
      </c>
      <c r="E18" s="553" t="s">
        <v>351</v>
      </c>
      <c r="F18" s="176">
        <v>0.5</v>
      </c>
      <c r="G18" s="127">
        <v>0.625</v>
      </c>
      <c r="H18" s="127">
        <v>0.66666666666666663</v>
      </c>
      <c r="I18" s="176">
        <v>0.875</v>
      </c>
      <c r="J18" s="84">
        <f t="shared" si="0"/>
        <v>0.33333333333333337</v>
      </c>
      <c r="K18" s="176">
        <v>0.54166666666666663</v>
      </c>
      <c r="L18" s="127">
        <v>0.66666666666666663</v>
      </c>
      <c r="M18" s="127">
        <v>0.70833333333333337</v>
      </c>
      <c r="N18" s="176">
        <v>0.91666666666666663</v>
      </c>
      <c r="O18" s="84">
        <f t="shared" si="1"/>
        <v>0.33333333333333326</v>
      </c>
      <c r="P18" s="431" t="s">
        <v>15</v>
      </c>
      <c r="Q18" s="127" t="s">
        <v>15</v>
      </c>
      <c r="R18" s="127" t="s">
        <v>15</v>
      </c>
      <c r="S18" s="431" t="s">
        <v>15</v>
      </c>
      <c r="T18" s="84" t="str">
        <f t="shared" si="2"/>
        <v/>
      </c>
      <c r="U18" s="431" t="s">
        <v>15</v>
      </c>
      <c r="V18" s="127" t="s">
        <v>15</v>
      </c>
      <c r="W18" s="127" t="s">
        <v>15</v>
      </c>
      <c r="X18" s="431" t="s">
        <v>15</v>
      </c>
      <c r="Y18" s="84" t="str">
        <f t="shared" si="8"/>
        <v/>
      </c>
      <c r="Z18" s="176">
        <v>0.29166666666666669</v>
      </c>
      <c r="AA18" s="127">
        <v>0.54166666666666663</v>
      </c>
      <c r="AB18" s="127">
        <v>0.58333333333333337</v>
      </c>
      <c r="AC18" s="176">
        <v>0.66666666666666663</v>
      </c>
      <c r="AD18" s="84">
        <f t="shared" si="4"/>
        <v>0.3333333333333332</v>
      </c>
      <c r="AE18" s="176">
        <v>0.29166666666666669</v>
      </c>
      <c r="AF18" s="127">
        <v>0.54166666666666663</v>
      </c>
      <c r="AG18" s="127">
        <v>0.58333333333333337</v>
      </c>
      <c r="AH18" s="176">
        <v>0.66666666666666663</v>
      </c>
      <c r="AI18" s="84">
        <f t="shared" si="5"/>
        <v>0.3333333333333332</v>
      </c>
      <c r="AJ18" s="176">
        <v>0.41666666666666669</v>
      </c>
      <c r="AK18" s="127">
        <v>0.54166666666666663</v>
      </c>
      <c r="AL18" s="127">
        <v>0.58333333333333337</v>
      </c>
      <c r="AM18" s="176">
        <v>0.79166666666666663</v>
      </c>
      <c r="AN18" s="84">
        <f t="shared" si="6"/>
        <v>0.3333333333333332</v>
      </c>
      <c r="AO18" s="28">
        <f t="shared" si="7"/>
        <v>1.6666666666666663</v>
      </c>
      <c r="AP18" s="302"/>
      <c r="AQ18" s="30"/>
    </row>
    <row r="19" spans="2:72" x14ac:dyDescent="0.25">
      <c r="B19" s="213" t="s">
        <v>86</v>
      </c>
      <c r="C19" s="229"/>
      <c r="D19" s="214" t="s">
        <v>393</v>
      </c>
      <c r="E19" s="553" t="s">
        <v>351</v>
      </c>
      <c r="F19" s="176">
        <v>0.29166666666666669</v>
      </c>
      <c r="G19" s="127">
        <v>0.54166666666666663</v>
      </c>
      <c r="H19" s="127">
        <v>0.58333333333333337</v>
      </c>
      <c r="I19" s="176">
        <v>0.66666666666666663</v>
      </c>
      <c r="J19" s="84">
        <f t="shared" si="0"/>
        <v>0.3333333333333332</v>
      </c>
      <c r="K19" s="176">
        <v>0.29166666666666669</v>
      </c>
      <c r="L19" s="127">
        <v>0.54166666666666663</v>
      </c>
      <c r="M19" s="127">
        <v>0.58333333333333337</v>
      </c>
      <c r="N19" s="176">
        <v>0.66666666666666663</v>
      </c>
      <c r="O19" s="84">
        <f t="shared" si="1"/>
        <v>0.3333333333333332</v>
      </c>
      <c r="P19" s="176">
        <v>0.29166666666666669</v>
      </c>
      <c r="Q19" s="127">
        <v>0.54166666666666663</v>
      </c>
      <c r="R19" s="127">
        <v>0.58333333333333337</v>
      </c>
      <c r="S19" s="176">
        <v>0.66666666666666663</v>
      </c>
      <c r="T19" s="84">
        <f t="shared" si="2"/>
        <v>0.3333333333333332</v>
      </c>
      <c r="U19" s="176">
        <v>0.45833333333333331</v>
      </c>
      <c r="V19" s="127">
        <v>0.66666666666666663</v>
      </c>
      <c r="W19" s="127">
        <v>0.70833333333333337</v>
      </c>
      <c r="X19" s="176">
        <v>0.83333333333333337</v>
      </c>
      <c r="Y19" s="84">
        <f t="shared" si="8"/>
        <v>0.33333333333333331</v>
      </c>
      <c r="Z19" s="176" t="s">
        <v>690</v>
      </c>
      <c r="AA19" s="127"/>
      <c r="AB19" s="127"/>
      <c r="AC19" s="176" t="s">
        <v>690</v>
      </c>
      <c r="AD19" s="84" t="str">
        <f t="shared" si="4"/>
        <v/>
      </c>
      <c r="AE19" s="431" t="s">
        <v>15</v>
      </c>
      <c r="AF19" s="127" t="s">
        <v>15</v>
      </c>
      <c r="AG19" s="127" t="s">
        <v>15</v>
      </c>
      <c r="AH19" s="431" t="s">
        <v>15</v>
      </c>
      <c r="AI19" s="84" t="str">
        <f t="shared" si="5"/>
        <v/>
      </c>
      <c r="AJ19" s="431" t="s">
        <v>15</v>
      </c>
      <c r="AK19" s="127" t="s">
        <v>15</v>
      </c>
      <c r="AL19" s="127" t="s">
        <v>15</v>
      </c>
      <c r="AM19" s="431" t="s">
        <v>15</v>
      </c>
      <c r="AN19" s="84" t="str">
        <f t="shared" si="6"/>
        <v/>
      </c>
      <c r="AO19" s="28">
        <f t="shared" si="7"/>
        <v>1.3333333333333328</v>
      </c>
      <c r="AQ19" s="30"/>
    </row>
    <row r="20" spans="2:72" x14ac:dyDescent="0.25">
      <c r="B20" s="211" t="s">
        <v>20</v>
      </c>
      <c r="C20" s="229"/>
      <c r="D20" s="215" t="s">
        <v>392</v>
      </c>
      <c r="E20" s="553" t="s">
        <v>351</v>
      </c>
      <c r="F20" s="431" t="s">
        <v>15</v>
      </c>
      <c r="G20" s="127" t="s">
        <v>15</v>
      </c>
      <c r="H20" s="127" t="s">
        <v>15</v>
      </c>
      <c r="I20" s="431" t="s">
        <v>15</v>
      </c>
      <c r="J20" s="84" t="str">
        <f t="shared" si="0"/>
        <v/>
      </c>
      <c r="K20" s="431" t="s">
        <v>15</v>
      </c>
      <c r="L20" s="127" t="s">
        <v>15</v>
      </c>
      <c r="M20" s="127" t="s">
        <v>15</v>
      </c>
      <c r="N20" s="431" t="s">
        <v>15</v>
      </c>
      <c r="O20" s="84" t="str">
        <f t="shared" si="1"/>
        <v/>
      </c>
      <c r="P20" s="176">
        <v>0.29166666666666669</v>
      </c>
      <c r="Q20" s="127">
        <v>0.5</v>
      </c>
      <c r="R20" s="127">
        <v>0.54166666666666663</v>
      </c>
      <c r="S20" s="176">
        <v>0.66666666666666663</v>
      </c>
      <c r="T20" s="84">
        <f t="shared" si="2"/>
        <v>0.33333333333333331</v>
      </c>
      <c r="U20" s="176">
        <v>0.29166666666666669</v>
      </c>
      <c r="V20" s="127">
        <v>0.5</v>
      </c>
      <c r="W20" s="127">
        <v>0.54166666666666663</v>
      </c>
      <c r="X20" s="176">
        <v>0.66666666666666663</v>
      </c>
      <c r="Y20" s="84">
        <f t="shared" si="8"/>
        <v>0.33333333333333331</v>
      </c>
      <c r="Z20" s="176">
        <v>0.33333333333333331</v>
      </c>
      <c r="AA20" s="127">
        <v>0.58333333333333337</v>
      </c>
      <c r="AB20" s="127">
        <v>0.625</v>
      </c>
      <c r="AC20" s="176">
        <v>0.70833333333333337</v>
      </c>
      <c r="AD20" s="84">
        <f t="shared" si="4"/>
        <v>0.33333333333333343</v>
      </c>
      <c r="AE20" s="176">
        <v>0.5</v>
      </c>
      <c r="AF20" s="127">
        <v>0.625</v>
      </c>
      <c r="AG20" s="127">
        <v>0.66666666666666663</v>
      </c>
      <c r="AH20" s="176">
        <v>0.875</v>
      </c>
      <c r="AI20" s="84">
        <f t="shared" si="5"/>
        <v>0.33333333333333337</v>
      </c>
      <c r="AJ20" s="176">
        <v>0.5</v>
      </c>
      <c r="AK20" s="127">
        <v>0.625</v>
      </c>
      <c r="AL20" s="127">
        <v>0.66666666666666663</v>
      </c>
      <c r="AM20" s="176">
        <v>0.875</v>
      </c>
      <c r="AN20" s="84">
        <f t="shared" si="6"/>
        <v>0.33333333333333337</v>
      </c>
      <c r="AO20" s="28">
        <f t="shared" si="7"/>
        <v>1.666666666666667</v>
      </c>
      <c r="AP20" s="302"/>
      <c r="AQ20" s="30"/>
    </row>
    <row r="21" spans="2:72" x14ac:dyDescent="0.25">
      <c r="B21" s="211" t="s">
        <v>105</v>
      </c>
      <c r="C21" s="229"/>
      <c r="D21" s="215" t="s">
        <v>392</v>
      </c>
      <c r="E21" s="553" t="s">
        <v>351</v>
      </c>
      <c r="F21" s="176" t="s">
        <v>156</v>
      </c>
      <c r="G21" s="127" t="s">
        <v>156</v>
      </c>
      <c r="H21" s="127" t="s">
        <v>156</v>
      </c>
      <c r="I21" s="176" t="s">
        <v>156</v>
      </c>
      <c r="J21" s="84" t="str">
        <f t="shared" si="0"/>
        <v/>
      </c>
      <c r="K21" s="176" t="s">
        <v>156</v>
      </c>
      <c r="L21" s="127" t="s">
        <v>156</v>
      </c>
      <c r="M21" s="127" t="s">
        <v>156</v>
      </c>
      <c r="N21" s="176" t="s">
        <v>156</v>
      </c>
      <c r="O21" s="84" t="str">
        <f t="shared" si="1"/>
        <v/>
      </c>
      <c r="P21" s="176" t="s">
        <v>156</v>
      </c>
      <c r="Q21" s="127" t="s">
        <v>156</v>
      </c>
      <c r="R21" s="127" t="s">
        <v>156</v>
      </c>
      <c r="S21" s="176" t="s">
        <v>156</v>
      </c>
      <c r="T21" s="84" t="str">
        <f t="shared" si="2"/>
        <v/>
      </c>
      <c r="U21" s="176" t="s">
        <v>156</v>
      </c>
      <c r="V21" s="127" t="s">
        <v>156</v>
      </c>
      <c r="W21" s="127" t="s">
        <v>156</v>
      </c>
      <c r="X21" s="176" t="s">
        <v>156</v>
      </c>
      <c r="Y21" s="84" t="str">
        <f t="shared" si="8"/>
        <v/>
      </c>
      <c r="Z21" s="176" t="s">
        <v>156</v>
      </c>
      <c r="AA21" s="127" t="s">
        <v>156</v>
      </c>
      <c r="AB21" s="127" t="s">
        <v>156</v>
      </c>
      <c r="AC21" s="176" t="s">
        <v>156</v>
      </c>
      <c r="AD21" s="84" t="str">
        <f t="shared" si="4"/>
        <v/>
      </c>
      <c r="AE21" s="176" t="s">
        <v>156</v>
      </c>
      <c r="AF21" s="127" t="s">
        <v>156</v>
      </c>
      <c r="AG21" s="127" t="s">
        <v>156</v>
      </c>
      <c r="AH21" s="176" t="s">
        <v>156</v>
      </c>
      <c r="AI21" s="84" t="str">
        <f t="shared" si="5"/>
        <v/>
      </c>
      <c r="AJ21" s="176" t="s">
        <v>156</v>
      </c>
      <c r="AK21" s="127" t="s">
        <v>156</v>
      </c>
      <c r="AL21" s="127" t="s">
        <v>156</v>
      </c>
      <c r="AM21" s="176" t="s">
        <v>156</v>
      </c>
      <c r="AN21" s="84" t="str">
        <f t="shared" si="6"/>
        <v/>
      </c>
      <c r="AO21" s="28">
        <f t="shared" si="7"/>
        <v>0</v>
      </c>
      <c r="AP21" s="302"/>
      <c r="AQ21" s="30" t="str">
        <f t="shared" ref="AQ21:AQ32" si="13">IF(AO21&gt;$AO$1, "Alerte Dépassement!!!","")</f>
        <v/>
      </c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</row>
    <row r="22" spans="2:72" x14ac:dyDescent="0.25">
      <c r="B22" s="211" t="s">
        <v>106</v>
      </c>
      <c r="C22" s="229"/>
      <c r="D22" s="215" t="s">
        <v>392</v>
      </c>
      <c r="E22" s="553" t="s">
        <v>351</v>
      </c>
      <c r="F22" s="176">
        <v>0.29166666666666669</v>
      </c>
      <c r="G22" s="127">
        <v>0.54166666666666663</v>
      </c>
      <c r="H22" s="127">
        <v>0.58333333333333337</v>
      </c>
      <c r="I22" s="176">
        <v>0.66666666666666663</v>
      </c>
      <c r="J22" s="84">
        <f t="shared" si="0"/>
        <v>0.3333333333333332</v>
      </c>
      <c r="K22" s="176">
        <v>0.29166666666666669</v>
      </c>
      <c r="L22" s="127">
        <v>0.54166666666666663</v>
      </c>
      <c r="M22" s="127">
        <v>0.58333333333333337</v>
      </c>
      <c r="N22" s="176">
        <v>0.66666666666666663</v>
      </c>
      <c r="O22" s="84">
        <f t="shared" si="1"/>
        <v>0.3333333333333332</v>
      </c>
      <c r="P22" s="176">
        <v>0.29166666666666669</v>
      </c>
      <c r="Q22" s="127">
        <v>0.54166666666666663</v>
      </c>
      <c r="R22" s="127">
        <v>0.58333333333333337</v>
      </c>
      <c r="S22" s="176">
        <v>0.66666666666666663</v>
      </c>
      <c r="T22" s="84">
        <f t="shared" si="2"/>
        <v>0.3333333333333332</v>
      </c>
      <c r="U22" s="176">
        <v>0.54166666666666663</v>
      </c>
      <c r="V22" s="127">
        <v>0.66666666666666663</v>
      </c>
      <c r="W22" s="127">
        <v>0.70833333333333337</v>
      </c>
      <c r="X22" s="176">
        <v>0.91666666666666663</v>
      </c>
      <c r="Y22" s="84">
        <f t="shared" si="8"/>
        <v>0.33333333333333326</v>
      </c>
      <c r="Z22" s="176">
        <v>0.54166666666666663</v>
      </c>
      <c r="AA22" s="127">
        <v>0.66666666666666663</v>
      </c>
      <c r="AB22" s="127">
        <v>0.70833333333333337</v>
      </c>
      <c r="AC22" s="176">
        <v>0.91666666666666663</v>
      </c>
      <c r="AD22" s="84">
        <f t="shared" si="4"/>
        <v>0.33333333333333326</v>
      </c>
      <c r="AE22" s="431" t="s">
        <v>15</v>
      </c>
      <c r="AF22" s="127" t="s">
        <v>15</v>
      </c>
      <c r="AG22" s="127" t="s">
        <v>15</v>
      </c>
      <c r="AH22" s="431" t="s">
        <v>15</v>
      </c>
      <c r="AI22" s="84" t="str">
        <f t="shared" si="5"/>
        <v/>
      </c>
      <c r="AJ22" s="431" t="s">
        <v>15</v>
      </c>
      <c r="AK22" s="127" t="s">
        <v>15</v>
      </c>
      <c r="AL22" s="127" t="s">
        <v>15</v>
      </c>
      <c r="AM22" s="431" t="s">
        <v>15</v>
      </c>
      <c r="AN22" s="84" t="str">
        <f t="shared" si="6"/>
        <v/>
      </c>
      <c r="AO22" s="28">
        <f t="shared" si="7"/>
        <v>1.6666666666666661</v>
      </c>
      <c r="AQ22" s="30" t="str">
        <f t="shared" si="13"/>
        <v/>
      </c>
      <c r="AR22" s="34"/>
      <c r="AS22" s="33"/>
      <c r="AT22" s="33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</row>
    <row r="23" spans="2:72" x14ac:dyDescent="0.25">
      <c r="B23" s="211" t="s">
        <v>139</v>
      </c>
      <c r="C23" s="229"/>
      <c r="D23" s="215" t="s">
        <v>392</v>
      </c>
      <c r="E23" s="553" t="s">
        <v>351</v>
      </c>
      <c r="F23" s="176">
        <v>0.5</v>
      </c>
      <c r="G23" s="127">
        <v>0.625</v>
      </c>
      <c r="H23" s="127">
        <v>0.66666666666666663</v>
      </c>
      <c r="I23" s="176">
        <v>0.875</v>
      </c>
      <c r="J23" s="84">
        <f t="shared" si="0"/>
        <v>0.33333333333333337</v>
      </c>
      <c r="K23" s="432">
        <v>0.875</v>
      </c>
      <c r="L23" s="127"/>
      <c r="M23" s="127"/>
      <c r="N23" s="432">
        <v>1</v>
      </c>
      <c r="O23" s="84">
        <f t="shared" si="1"/>
        <v>0.125</v>
      </c>
      <c r="P23" s="432">
        <v>0</v>
      </c>
      <c r="Q23" s="127">
        <v>0.29166666666666669</v>
      </c>
      <c r="R23" s="127">
        <v>0.875</v>
      </c>
      <c r="S23" s="432">
        <v>1</v>
      </c>
      <c r="T23" s="84">
        <v>0.33333333333333331</v>
      </c>
      <c r="U23" s="432">
        <v>0</v>
      </c>
      <c r="V23" s="127">
        <v>0.16666666666666666</v>
      </c>
      <c r="W23" s="127">
        <v>0.25</v>
      </c>
      <c r="X23" s="432">
        <v>0.29166666666666669</v>
      </c>
      <c r="Y23" s="84">
        <f t="shared" si="8"/>
        <v>0.20833333333333334</v>
      </c>
      <c r="Z23" s="431" t="s">
        <v>15</v>
      </c>
      <c r="AA23" s="127" t="s">
        <v>15</v>
      </c>
      <c r="AB23" s="127" t="s">
        <v>15</v>
      </c>
      <c r="AC23" s="431" t="s">
        <v>15</v>
      </c>
      <c r="AD23" s="84" t="str">
        <f t="shared" si="4"/>
        <v/>
      </c>
      <c r="AE23" s="176">
        <v>0.29166666666666669</v>
      </c>
      <c r="AF23" s="127">
        <v>0.54166666666666663</v>
      </c>
      <c r="AG23" s="127">
        <v>0.58333333333333337</v>
      </c>
      <c r="AH23" s="176">
        <v>0.66666666666666663</v>
      </c>
      <c r="AI23" s="84">
        <f t="shared" si="5"/>
        <v>0.3333333333333332</v>
      </c>
      <c r="AJ23" s="176">
        <v>0.29166666666666669</v>
      </c>
      <c r="AK23" s="127">
        <v>0.54166666666666663</v>
      </c>
      <c r="AL23" s="127">
        <v>0.58333333333333337</v>
      </c>
      <c r="AM23" s="176">
        <v>0.66666666666666663</v>
      </c>
      <c r="AN23" s="84">
        <f t="shared" si="6"/>
        <v>0.3333333333333332</v>
      </c>
      <c r="AO23" s="28">
        <f t="shared" si="7"/>
        <v>1.6666666666666665</v>
      </c>
      <c r="AP23" s="302"/>
      <c r="AQ23" s="30" t="str">
        <f t="shared" si="13"/>
        <v/>
      </c>
      <c r="AR23" s="34"/>
      <c r="AS23" s="31"/>
      <c r="AT23" s="33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</row>
    <row r="24" spans="2:72" x14ac:dyDescent="0.25">
      <c r="B24" s="211" t="s">
        <v>319</v>
      </c>
      <c r="C24" s="229"/>
      <c r="D24" s="215" t="s">
        <v>392</v>
      </c>
      <c r="E24" s="553" t="s">
        <v>351</v>
      </c>
      <c r="F24" s="431" t="s">
        <v>15</v>
      </c>
      <c r="G24" s="127" t="s">
        <v>15</v>
      </c>
      <c r="H24" s="127" t="s">
        <v>15</v>
      </c>
      <c r="I24" s="431" t="s">
        <v>15</v>
      </c>
      <c r="J24" s="84" t="str">
        <f t="shared" si="0"/>
        <v/>
      </c>
      <c r="K24" s="431" t="s">
        <v>15</v>
      </c>
      <c r="L24" s="127" t="s">
        <v>15</v>
      </c>
      <c r="M24" s="127" t="s">
        <v>15</v>
      </c>
      <c r="N24" s="431" t="s">
        <v>15</v>
      </c>
      <c r="O24" s="84" t="str">
        <f t="shared" si="1"/>
        <v/>
      </c>
      <c r="P24" s="176">
        <v>0.29166666666666669</v>
      </c>
      <c r="Q24" s="127">
        <v>0.5</v>
      </c>
      <c r="R24" s="127">
        <v>0.54166666666666663</v>
      </c>
      <c r="S24" s="176">
        <v>0.66666666666666663</v>
      </c>
      <c r="T24" s="84">
        <f t="shared" si="2"/>
        <v>0.33333333333333331</v>
      </c>
      <c r="U24" s="176">
        <v>0.29166666666666669</v>
      </c>
      <c r="V24" s="127">
        <v>0.5</v>
      </c>
      <c r="W24" s="127">
        <v>0.54166666666666663</v>
      </c>
      <c r="X24" s="176">
        <v>0.66666666666666663</v>
      </c>
      <c r="Y24" s="84">
        <f t="shared" si="8"/>
        <v>0.33333333333333331</v>
      </c>
      <c r="Z24" s="176">
        <v>0.29166666666666669</v>
      </c>
      <c r="AA24" s="127">
        <v>0.5</v>
      </c>
      <c r="AB24" s="127">
        <v>0.54166666666666663</v>
      </c>
      <c r="AC24" s="176">
        <v>0.66666666666666663</v>
      </c>
      <c r="AD24" s="84">
        <f t="shared" si="4"/>
        <v>0.33333333333333331</v>
      </c>
      <c r="AE24" s="176">
        <v>0.54166666666666663</v>
      </c>
      <c r="AF24" s="127">
        <v>0.66666666666666663</v>
      </c>
      <c r="AG24" s="127">
        <v>0.70833333333333337</v>
      </c>
      <c r="AH24" s="176">
        <v>0.91666666666666663</v>
      </c>
      <c r="AI24" s="84">
        <f t="shared" si="5"/>
        <v>0.33333333333333326</v>
      </c>
      <c r="AJ24" s="432">
        <v>0.875</v>
      </c>
      <c r="AK24" s="127"/>
      <c r="AL24" s="127"/>
      <c r="AM24" s="432">
        <v>1</v>
      </c>
      <c r="AN24" s="84">
        <f t="shared" si="6"/>
        <v>0.125</v>
      </c>
      <c r="AO24" s="28">
        <f t="shared" si="7"/>
        <v>1.4583333333333333</v>
      </c>
      <c r="AQ24" s="30" t="str">
        <f t="shared" si="13"/>
        <v/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2:72" ht="14.25" customHeight="1" x14ac:dyDescent="0.25">
      <c r="B25" s="211" t="s">
        <v>93</v>
      </c>
      <c r="C25" s="229"/>
      <c r="D25" s="215" t="s">
        <v>392</v>
      </c>
      <c r="E25" s="553" t="s">
        <v>351</v>
      </c>
      <c r="F25" s="176">
        <v>0.45833333333333331</v>
      </c>
      <c r="G25" s="127">
        <v>0.625</v>
      </c>
      <c r="H25" s="127">
        <v>0.66666666666666663</v>
      </c>
      <c r="I25" s="176">
        <v>0.83333333333333337</v>
      </c>
      <c r="J25" s="84">
        <f t="shared" si="0"/>
        <v>0.33333333333333343</v>
      </c>
      <c r="K25" s="176">
        <v>0.5</v>
      </c>
      <c r="L25" s="127">
        <v>0.625</v>
      </c>
      <c r="M25" s="127">
        <v>0.66666666666666663</v>
      </c>
      <c r="N25" s="176">
        <v>0.875</v>
      </c>
      <c r="O25" s="84">
        <f t="shared" si="1"/>
        <v>0.33333333333333337</v>
      </c>
      <c r="P25" s="176">
        <v>0.45833333333333331</v>
      </c>
      <c r="Q25" s="127">
        <v>0.625</v>
      </c>
      <c r="R25" s="127">
        <v>0.66666666666666663</v>
      </c>
      <c r="S25" s="176">
        <v>0.83333333333333337</v>
      </c>
      <c r="T25" s="84">
        <f t="shared" si="2"/>
        <v>0.33333333333333343</v>
      </c>
      <c r="U25" s="431" t="s">
        <v>15</v>
      </c>
      <c r="V25" s="127" t="s">
        <v>15</v>
      </c>
      <c r="W25" s="127" t="s">
        <v>15</v>
      </c>
      <c r="X25" s="431" t="s">
        <v>15</v>
      </c>
      <c r="Y25" s="84" t="str">
        <f t="shared" si="8"/>
        <v/>
      </c>
      <c r="Z25" s="431" t="s">
        <v>15</v>
      </c>
      <c r="AA25" s="127" t="s">
        <v>15</v>
      </c>
      <c r="AB25" s="127" t="s">
        <v>15</v>
      </c>
      <c r="AC25" s="431" t="s">
        <v>15</v>
      </c>
      <c r="AD25" s="84" t="str">
        <f t="shared" si="4"/>
        <v/>
      </c>
      <c r="AE25" s="176">
        <v>0.29166666666666669</v>
      </c>
      <c r="AF25" s="127">
        <v>0.54166666666666663</v>
      </c>
      <c r="AG25" s="127">
        <v>0.58333333333333337</v>
      </c>
      <c r="AH25" s="176">
        <v>0.66666666666666663</v>
      </c>
      <c r="AI25" s="84">
        <f t="shared" si="5"/>
        <v>0.3333333333333332</v>
      </c>
      <c r="AJ25" s="176">
        <v>0.29166666666666669</v>
      </c>
      <c r="AK25" s="127">
        <v>0.54166666666666663</v>
      </c>
      <c r="AL25" s="127">
        <v>0.58333333333333337</v>
      </c>
      <c r="AM25" s="176">
        <v>0.66666666666666663</v>
      </c>
      <c r="AN25" s="84">
        <f t="shared" si="6"/>
        <v>0.3333333333333332</v>
      </c>
      <c r="AO25" s="28">
        <f t="shared" si="7"/>
        <v>1.6666666666666667</v>
      </c>
      <c r="AP25" s="302"/>
      <c r="AQ25" s="30" t="str">
        <f t="shared" si="13"/>
        <v/>
      </c>
    </row>
    <row r="26" spans="2:72" x14ac:dyDescent="0.25">
      <c r="B26" s="211" t="s">
        <v>104</v>
      </c>
      <c r="C26" s="229"/>
      <c r="D26" s="215" t="s">
        <v>392</v>
      </c>
      <c r="E26" s="553" t="s">
        <v>351</v>
      </c>
      <c r="F26" s="176">
        <v>0.45833333333333331</v>
      </c>
      <c r="G26" s="127">
        <v>0.58333333333333337</v>
      </c>
      <c r="H26" s="127">
        <v>0.625</v>
      </c>
      <c r="I26" s="176">
        <v>0.83333333333333337</v>
      </c>
      <c r="J26" s="84">
        <f t="shared" si="0"/>
        <v>0.33333333333333343</v>
      </c>
      <c r="K26" s="176">
        <v>0.45833333333333331</v>
      </c>
      <c r="L26" s="127">
        <v>0.58333333333333337</v>
      </c>
      <c r="M26" s="127">
        <v>0.625</v>
      </c>
      <c r="N26" s="176">
        <v>0.83333333333333337</v>
      </c>
      <c r="O26" s="84">
        <f t="shared" si="1"/>
        <v>0.33333333333333343</v>
      </c>
      <c r="P26" s="431" t="s">
        <v>15</v>
      </c>
      <c r="Q26" s="127" t="s">
        <v>15</v>
      </c>
      <c r="R26" s="127" t="s">
        <v>15</v>
      </c>
      <c r="S26" s="431" t="s">
        <v>15</v>
      </c>
      <c r="T26" s="84" t="str">
        <f t="shared" si="2"/>
        <v/>
      </c>
      <c r="U26" s="431" t="s">
        <v>15</v>
      </c>
      <c r="V26" s="127" t="s">
        <v>15</v>
      </c>
      <c r="W26" s="127" t="s">
        <v>15</v>
      </c>
      <c r="X26" s="431" t="s">
        <v>15</v>
      </c>
      <c r="Y26" s="84" t="str">
        <f t="shared" si="8"/>
        <v/>
      </c>
      <c r="Z26" s="176">
        <v>0.29166666666666669</v>
      </c>
      <c r="AA26" s="127">
        <v>0.54166666666666663</v>
      </c>
      <c r="AB26" s="127">
        <v>0.58333333333333337</v>
      </c>
      <c r="AC26" s="176">
        <v>0.66666666666666663</v>
      </c>
      <c r="AD26" s="84">
        <f t="shared" si="4"/>
        <v>0.3333333333333332</v>
      </c>
      <c r="AE26" s="176">
        <v>0.29166666666666669</v>
      </c>
      <c r="AF26" s="127">
        <v>0.54166666666666663</v>
      </c>
      <c r="AG26" s="127">
        <v>0.58333333333333337</v>
      </c>
      <c r="AH26" s="176">
        <v>0.66666666666666663</v>
      </c>
      <c r="AI26" s="84">
        <f t="shared" si="5"/>
        <v>0.3333333333333332</v>
      </c>
      <c r="AJ26" s="176">
        <v>0.41666666666666669</v>
      </c>
      <c r="AK26" s="127">
        <v>0.54166666666666663</v>
      </c>
      <c r="AL26" s="127">
        <v>0.58333333333333337</v>
      </c>
      <c r="AM26" s="176">
        <v>0.79166666666666663</v>
      </c>
      <c r="AN26" s="84">
        <f t="shared" si="6"/>
        <v>0.3333333333333332</v>
      </c>
      <c r="AO26" s="28">
        <f t="shared" si="7"/>
        <v>1.6666666666666665</v>
      </c>
      <c r="AQ26" s="30" t="str">
        <f t="shared" si="13"/>
        <v/>
      </c>
      <c r="AR26" s="1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2:72" x14ac:dyDescent="0.25">
      <c r="B27" s="211" t="s">
        <v>87</v>
      </c>
      <c r="C27" s="229"/>
      <c r="D27" s="215" t="s">
        <v>392</v>
      </c>
      <c r="E27" s="553" t="s">
        <v>351</v>
      </c>
      <c r="F27" s="176">
        <v>0.29166666666666669</v>
      </c>
      <c r="G27" s="127">
        <v>0.54166666666666663</v>
      </c>
      <c r="H27" s="127">
        <v>0.58333333333333337</v>
      </c>
      <c r="I27" s="176">
        <v>0.66666666666666663</v>
      </c>
      <c r="J27" s="84">
        <f t="shared" si="0"/>
        <v>0.3333333333333332</v>
      </c>
      <c r="K27" s="176">
        <v>0.29166666666666669</v>
      </c>
      <c r="L27" s="127">
        <v>0.54166666666666663</v>
      </c>
      <c r="M27" s="127">
        <v>0.58333333333333337</v>
      </c>
      <c r="N27" s="176">
        <v>0.66666666666666663</v>
      </c>
      <c r="O27" s="84">
        <f t="shared" si="1"/>
        <v>0.3333333333333332</v>
      </c>
      <c r="P27" s="176">
        <v>0.41666666666666669</v>
      </c>
      <c r="Q27" s="127">
        <v>0.58333333333333337</v>
      </c>
      <c r="R27" s="127">
        <v>0.625</v>
      </c>
      <c r="S27" s="176">
        <v>0.79166666666666663</v>
      </c>
      <c r="T27" s="84">
        <f t="shared" si="2"/>
        <v>0.33333333333333331</v>
      </c>
      <c r="U27" s="176">
        <v>0.45833333333333331</v>
      </c>
      <c r="V27" s="127">
        <v>0.625</v>
      </c>
      <c r="W27" s="127">
        <v>0.66666666666666663</v>
      </c>
      <c r="X27" s="176">
        <v>0.83333333333333337</v>
      </c>
      <c r="Y27" s="84">
        <f t="shared" si="8"/>
        <v>0.33333333333333343</v>
      </c>
      <c r="Z27" s="176">
        <v>0.45833333333333331</v>
      </c>
      <c r="AA27" s="127">
        <v>0.625</v>
      </c>
      <c r="AB27" s="127">
        <v>0.66666666666666663</v>
      </c>
      <c r="AC27" s="176">
        <v>0.83333333333333337</v>
      </c>
      <c r="AD27" s="84">
        <f t="shared" si="4"/>
        <v>0.33333333333333343</v>
      </c>
      <c r="AE27" s="431" t="s">
        <v>15</v>
      </c>
      <c r="AF27" s="127" t="s">
        <v>15</v>
      </c>
      <c r="AG27" s="127" t="s">
        <v>15</v>
      </c>
      <c r="AH27" s="431" t="s">
        <v>15</v>
      </c>
      <c r="AI27" s="84" t="str">
        <f t="shared" si="5"/>
        <v/>
      </c>
      <c r="AJ27" s="431" t="s">
        <v>15</v>
      </c>
      <c r="AK27" s="127" t="s">
        <v>15</v>
      </c>
      <c r="AL27" s="127" t="s">
        <v>15</v>
      </c>
      <c r="AM27" s="431" t="s">
        <v>15</v>
      </c>
      <c r="AN27" s="84" t="str">
        <f t="shared" si="6"/>
        <v/>
      </c>
      <c r="AO27" s="28">
        <f t="shared" si="7"/>
        <v>1.6666666666666667</v>
      </c>
      <c r="AP27" s="302"/>
      <c r="AQ27" s="30" t="str">
        <f t="shared" si="13"/>
        <v/>
      </c>
    </row>
    <row r="28" spans="2:72" x14ac:dyDescent="0.25">
      <c r="B28" s="211" t="s">
        <v>140</v>
      </c>
      <c r="C28" s="229"/>
      <c r="D28" s="215" t="s">
        <v>392</v>
      </c>
      <c r="E28" s="553" t="s">
        <v>351</v>
      </c>
      <c r="F28" s="176">
        <v>0.29166666666666669</v>
      </c>
      <c r="G28" s="127">
        <v>0.54166666666666663</v>
      </c>
      <c r="H28" s="127">
        <v>0.58333333333333337</v>
      </c>
      <c r="I28" s="176">
        <v>0.66666666666666663</v>
      </c>
      <c r="J28" s="84">
        <f t="shared" si="0"/>
        <v>0.3333333333333332</v>
      </c>
      <c r="K28" s="176">
        <v>0.41666666666666669</v>
      </c>
      <c r="L28" s="127">
        <v>0.58333333333333337</v>
      </c>
      <c r="M28" s="127">
        <v>0.625</v>
      </c>
      <c r="N28" s="176">
        <v>0.79166666666666663</v>
      </c>
      <c r="O28" s="84">
        <f t="shared" si="1"/>
        <v>0.33333333333333331</v>
      </c>
      <c r="P28" s="176">
        <v>0.45833333333333331</v>
      </c>
      <c r="Q28" s="127">
        <v>0.66666666666666663</v>
      </c>
      <c r="R28" s="127">
        <v>0.70833333333333337</v>
      </c>
      <c r="S28" s="176">
        <v>0.83333333333333337</v>
      </c>
      <c r="T28" s="84">
        <f t="shared" si="2"/>
        <v>0.33333333333333331</v>
      </c>
      <c r="U28" s="176">
        <v>0.54166666666666663</v>
      </c>
      <c r="V28" s="127">
        <v>0.66666666666666663</v>
      </c>
      <c r="W28" s="127">
        <v>0.70833333333333337</v>
      </c>
      <c r="X28" s="176">
        <v>0.91666666666666663</v>
      </c>
      <c r="Y28" s="84">
        <f t="shared" si="8"/>
        <v>0.33333333333333326</v>
      </c>
      <c r="Z28" s="431" t="s">
        <v>15</v>
      </c>
      <c r="AA28" s="127" t="s">
        <v>15</v>
      </c>
      <c r="AB28" s="127" t="s">
        <v>15</v>
      </c>
      <c r="AC28" s="431" t="s">
        <v>15</v>
      </c>
      <c r="AD28" s="84" t="str">
        <f t="shared" si="4"/>
        <v/>
      </c>
      <c r="AE28" s="431" t="s">
        <v>15</v>
      </c>
      <c r="AF28" s="127" t="s">
        <v>15</v>
      </c>
      <c r="AG28" s="127" t="s">
        <v>15</v>
      </c>
      <c r="AH28" s="431" t="s">
        <v>15</v>
      </c>
      <c r="AI28" s="84" t="str">
        <f t="shared" si="5"/>
        <v/>
      </c>
      <c r="AJ28" s="176">
        <v>0.29166666666666669</v>
      </c>
      <c r="AK28" s="127">
        <v>0.54166666666666663</v>
      </c>
      <c r="AL28" s="127">
        <v>0.58333333333333337</v>
      </c>
      <c r="AM28" s="176">
        <v>0.66666666666666663</v>
      </c>
      <c r="AN28" s="84">
        <f t="shared" si="6"/>
        <v>0.3333333333333332</v>
      </c>
      <c r="AO28" s="28">
        <f t="shared" si="7"/>
        <v>1.6666666666666663</v>
      </c>
      <c r="AQ28" s="30" t="str">
        <f t="shared" si="13"/>
        <v/>
      </c>
    </row>
    <row r="29" spans="2:72" x14ac:dyDescent="0.25">
      <c r="B29" s="211" t="s">
        <v>96</v>
      </c>
      <c r="C29" s="229" t="s">
        <v>325</v>
      </c>
      <c r="D29" s="215" t="s">
        <v>392</v>
      </c>
      <c r="E29" s="553" t="s">
        <v>351</v>
      </c>
      <c r="F29" s="176" t="s">
        <v>404</v>
      </c>
      <c r="G29" s="127" t="s">
        <v>404</v>
      </c>
      <c r="H29" s="127" t="s">
        <v>404</v>
      </c>
      <c r="I29" s="176" t="s">
        <v>404</v>
      </c>
      <c r="J29" s="84" t="str">
        <f t="shared" si="0"/>
        <v/>
      </c>
      <c r="K29" s="176" t="s">
        <v>404</v>
      </c>
      <c r="L29" s="127" t="s">
        <v>404</v>
      </c>
      <c r="M29" s="127" t="s">
        <v>404</v>
      </c>
      <c r="N29" s="176" t="s">
        <v>404</v>
      </c>
      <c r="O29" s="84" t="str">
        <f t="shared" si="1"/>
        <v/>
      </c>
      <c r="P29" s="176" t="s">
        <v>404</v>
      </c>
      <c r="Q29" s="127" t="s">
        <v>404</v>
      </c>
      <c r="R29" s="127" t="s">
        <v>404</v>
      </c>
      <c r="S29" s="176" t="s">
        <v>404</v>
      </c>
      <c r="T29" s="84" t="str">
        <f t="shared" si="2"/>
        <v/>
      </c>
      <c r="U29" s="176" t="s">
        <v>404</v>
      </c>
      <c r="V29" s="127" t="s">
        <v>404</v>
      </c>
      <c r="W29" s="127" t="s">
        <v>404</v>
      </c>
      <c r="X29" s="176" t="s">
        <v>404</v>
      </c>
      <c r="Y29" s="84" t="str">
        <f t="shared" si="8"/>
        <v/>
      </c>
      <c r="Z29" s="176" t="s">
        <v>404</v>
      </c>
      <c r="AA29" s="127" t="s">
        <v>404</v>
      </c>
      <c r="AB29" s="127" t="s">
        <v>404</v>
      </c>
      <c r="AC29" s="176" t="s">
        <v>404</v>
      </c>
      <c r="AD29" s="84" t="str">
        <f t="shared" si="4"/>
        <v/>
      </c>
      <c r="AE29" s="176" t="s">
        <v>404</v>
      </c>
      <c r="AF29" s="127" t="s">
        <v>404</v>
      </c>
      <c r="AG29" s="127" t="s">
        <v>404</v>
      </c>
      <c r="AH29" s="176" t="s">
        <v>404</v>
      </c>
      <c r="AI29" s="84" t="str">
        <f t="shared" si="5"/>
        <v/>
      </c>
      <c r="AJ29" s="176" t="s">
        <v>404</v>
      </c>
      <c r="AK29" s="127" t="s">
        <v>404</v>
      </c>
      <c r="AL29" s="127" t="s">
        <v>404</v>
      </c>
      <c r="AM29" s="176" t="s">
        <v>404</v>
      </c>
      <c r="AN29" s="84" t="str">
        <f t="shared" si="6"/>
        <v/>
      </c>
      <c r="AO29" s="28">
        <f t="shared" si="7"/>
        <v>0</v>
      </c>
      <c r="AP29" s="302"/>
      <c r="AQ29" s="30" t="str">
        <f t="shared" si="13"/>
        <v/>
      </c>
    </row>
    <row r="30" spans="2:72" x14ac:dyDescent="0.25">
      <c r="B30" s="211" t="s">
        <v>243</v>
      </c>
      <c r="C30" s="229"/>
      <c r="D30" s="215" t="s">
        <v>392</v>
      </c>
      <c r="E30" s="553" t="s">
        <v>351</v>
      </c>
      <c r="F30" s="176">
        <v>0.29166666666666669</v>
      </c>
      <c r="G30" s="127">
        <v>0.54166666666666663</v>
      </c>
      <c r="H30" s="127">
        <v>0.58333333333333337</v>
      </c>
      <c r="I30" s="176">
        <v>0.66666666666666663</v>
      </c>
      <c r="J30" s="84">
        <f t="shared" si="0"/>
        <v>0.3333333333333332</v>
      </c>
      <c r="K30" s="176">
        <v>0.41666666666666669</v>
      </c>
      <c r="L30" s="127">
        <v>0.58333333333333337</v>
      </c>
      <c r="M30" s="127">
        <v>0.625</v>
      </c>
      <c r="N30" s="176">
        <v>0.79166666666666663</v>
      </c>
      <c r="O30" s="84">
        <f t="shared" si="1"/>
        <v>0.33333333333333331</v>
      </c>
      <c r="P30" s="176">
        <v>0.5</v>
      </c>
      <c r="Q30" s="127">
        <v>0.625</v>
      </c>
      <c r="R30" s="127">
        <v>0.66666666666666663</v>
      </c>
      <c r="S30" s="176">
        <v>0.875</v>
      </c>
      <c r="T30" s="84">
        <f t="shared" si="2"/>
        <v>0.33333333333333337</v>
      </c>
      <c r="U30" s="176">
        <v>0.45833333333333331</v>
      </c>
      <c r="V30" s="127">
        <v>0.625</v>
      </c>
      <c r="W30" s="127">
        <v>0.66666666666666663</v>
      </c>
      <c r="X30" s="176">
        <v>0.83333333333333337</v>
      </c>
      <c r="Y30" s="84">
        <f t="shared" si="8"/>
        <v>0.33333333333333343</v>
      </c>
      <c r="Z30" s="431" t="s">
        <v>15</v>
      </c>
      <c r="AA30" s="127" t="s">
        <v>15</v>
      </c>
      <c r="AB30" s="127" t="s">
        <v>15</v>
      </c>
      <c r="AC30" s="431" t="s">
        <v>15</v>
      </c>
      <c r="AD30" s="84" t="str">
        <f t="shared" si="4"/>
        <v/>
      </c>
      <c r="AE30" s="431" t="s">
        <v>15</v>
      </c>
      <c r="AF30" s="127" t="s">
        <v>15</v>
      </c>
      <c r="AG30" s="127" t="s">
        <v>15</v>
      </c>
      <c r="AH30" s="431" t="s">
        <v>15</v>
      </c>
      <c r="AI30" s="84" t="str">
        <f t="shared" si="5"/>
        <v/>
      </c>
      <c r="AJ30" s="176">
        <v>0.29166666666666669</v>
      </c>
      <c r="AK30" s="127">
        <v>0.54166666666666663</v>
      </c>
      <c r="AL30" s="127">
        <v>0.58333333333333337</v>
      </c>
      <c r="AM30" s="176">
        <v>0.66666666666666663</v>
      </c>
      <c r="AN30" s="84">
        <f t="shared" si="6"/>
        <v>0.3333333333333332</v>
      </c>
      <c r="AO30" s="28">
        <f t="shared" si="7"/>
        <v>1.6666666666666665</v>
      </c>
      <c r="AQ30" s="30" t="str">
        <f t="shared" si="13"/>
        <v/>
      </c>
    </row>
    <row r="31" spans="2:72" x14ac:dyDescent="0.25">
      <c r="B31" s="211" t="s">
        <v>164</v>
      </c>
      <c r="C31" s="229" t="s">
        <v>396</v>
      </c>
      <c r="D31" s="215" t="s">
        <v>392</v>
      </c>
      <c r="E31" s="553" t="s">
        <v>351</v>
      </c>
      <c r="F31" s="431" t="s">
        <v>15</v>
      </c>
      <c r="G31" s="127" t="s">
        <v>15</v>
      </c>
      <c r="H31" s="127" t="s">
        <v>15</v>
      </c>
      <c r="I31" s="431" t="s">
        <v>15</v>
      </c>
      <c r="J31" s="84" t="str">
        <f t="shared" ref="J31" si="14">IFERROR(MOD(I31-F31,1)-(H31-G31),"")</f>
        <v/>
      </c>
      <c r="K31" s="176">
        <v>0.35416666666666669</v>
      </c>
      <c r="L31" s="127">
        <v>0.54166666666666663</v>
      </c>
      <c r="M31" s="127">
        <v>0.58333333333333337</v>
      </c>
      <c r="N31" s="176">
        <v>0.6875</v>
      </c>
      <c r="O31" s="84">
        <f t="shared" si="1"/>
        <v>0.29166666666666657</v>
      </c>
      <c r="P31" s="176">
        <v>0.35416666666666669</v>
      </c>
      <c r="Q31" s="127">
        <v>0.54166666666666663</v>
      </c>
      <c r="R31" s="127">
        <v>0.58333333333333337</v>
      </c>
      <c r="S31" s="176">
        <v>0.6875</v>
      </c>
      <c r="T31" s="84">
        <f t="shared" si="2"/>
        <v>0.29166666666666657</v>
      </c>
      <c r="U31" s="176">
        <v>0.35416666666666669</v>
      </c>
      <c r="V31" s="127">
        <v>0.54166666666666663</v>
      </c>
      <c r="W31" s="127">
        <v>0.58333333333333337</v>
      </c>
      <c r="X31" s="176">
        <v>0.6875</v>
      </c>
      <c r="Y31" s="84">
        <f t="shared" si="8"/>
        <v>0.29166666666666657</v>
      </c>
      <c r="Z31" s="176">
        <v>0.35416666666666669</v>
      </c>
      <c r="AA31" s="127">
        <v>0.54166666666666663</v>
      </c>
      <c r="AB31" s="127">
        <v>0.58333333333333337</v>
      </c>
      <c r="AC31" s="176">
        <v>0.6875</v>
      </c>
      <c r="AD31" s="84">
        <f t="shared" si="4"/>
        <v>0.29166666666666657</v>
      </c>
      <c r="AE31" s="176">
        <v>0.35416666666666669</v>
      </c>
      <c r="AF31" s="127">
        <v>0.54166666666666663</v>
      </c>
      <c r="AG31" s="127">
        <v>0.58333333333333337</v>
      </c>
      <c r="AH31" s="176">
        <v>0.6875</v>
      </c>
      <c r="AI31" s="84">
        <f t="shared" si="5"/>
        <v>0.29166666666666657</v>
      </c>
      <c r="AJ31" s="431" t="s">
        <v>15</v>
      </c>
      <c r="AK31" s="127" t="s">
        <v>15</v>
      </c>
      <c r="AL31" s="127" t="s">
        <v>15</v>
      </c>
      <c r="AM31" s="431" t="s">
        <v>15</v>
      </c>
      <c r="AN31" s="84" t="str">
        <f t="shared" si="6"/>
        <v/>
      </c>
      <c r="AO31" s="28">
        <f t="shared" si="7"/>
        <v>1.4583333333333328</v>
      </c>
      <c r="AP31" s="302"/>
      <c r="AQ31" s="30" t="str">
        <f t="shared" si="13"/>
        <v/>
      </c>
    </row>
    <row r="32" spans="2:72" x14ac:dyDescent="0.25">
      <c r="B32" s="211" t="s">
        <v>90</v>
      </c>
      <c r="C32" s="229"/>
      <c r="D32" s="215" t="s">
        <v>392</v>
      </c>
      <c r="E32" s="553" t="s">
        <v>351</v>
      </c>
      <c r="F32" s="176">
        <v>0.29166666666666669</v>
      </c>
      <c r="G32" s="127">
        <v>0.54166666666666663</v>
      </c>
      <c r="H32" s="127">
        <v>0.58333333333333337</v>
      </c>
      <c r="I32" s="176">
        <v>0.66666666666666663</v>
      </c>
      <c r="J32" s="84">
        <f t="shared" si="0"/>
        <v>0.3333333333333332</v>
      </c>
      <c r="K32" s="176">
        <v>0.29166666666666669</v>
      </c>
      <c r="L32" s="127">
        <v>0.54166666666666663</v>
      </c>
      <c r="M32" s="127">
        <v>0.58333333333333337</v>
      </c>
      <c r="N32" s="176">
        <v>0.66666666666666663</v>
      </c>
      <c r="O32" s="84">
        <f t="shared" si="1"/>
        <v>0.3333333333333332</v>
      </c>
      <c r="P32" s="176">
        <v>0.45833333333333331</v>
      </c>
      <c r="Q32" s="127">
        <v>0.625</v>
      </c>
      <c r="R32" s="127">
        <v>0.66666666666666663</v>
      </c>
      <c r="S32" s="176">
        <v>0.83333333333333337</v>
      </c>
      <c r="T32" s="84">
        <f t="shared" si="2"/>
        <v>0.33333333333333343</v>
      </c>
      <c r="U32" s="176">
        <v>0.5</v>
      </c>
      <c r="V32" s="127">
        <v>0.625</v>
      </c>
      <c r="W32" s="127">
        <v>0.66666666666666663</v>
      </c>
      <c r="X32" s="176">
        <v>0.875</v>
      </c>
      <c r="Y32" s="84">
        <f t="shared" si="8"/>
        <v>0.33333333333333337</v>
      </c>
      <c r="Z32" s="431" t="s">
        <v>15</v>
      </c>
      <c r="AA32" s="127" t="s">
        <v>15</v>
      </c>
      <c r="AB32" s="127" t="s">
        <v>15</v>
      </c>
      <c r="AC32" s="431" t="s">
        <v>15</v>
      </c>
      <c r="AD32" s="84" t="str">
        <f t="shared" si="4"/>
        <v/>
      </c>
      <c r="AE32" s="431" t="s">
        <v>15</v>
      </c>
      <c r="AF32" s="127" t="s">
        <v>15</v>
      </c>
      <c r="AG32" s="127" t="s">
        <v>15</v>
      </c>
      <c r="AH32" s="431" t="s">
        <v>15</v>
      </c>
      <c r="AI32" s="84" t="str">
        <f t="shared" si="5"/>
        <v/>
      </c>
      <c r="AJ32" s="176">
        <v>0.29166666666666669</v>
      </c>
      <c r="AK32" s="127">
        <v>0.54166666666666663</v>
      </c>
      <c r="AL32" s="127">
        <v>0.58333333333333337</v>
      </c>
      <c r="AM32" s="176">
        <v>0.66666666666666663</v>
      </c>
      <c r="AN32" s="84">
        <f t="shared" si="6"/>
        <v>0.3333333333333332</v>
      </c>
      <c r="AO32" s="28">
        <f t="shared" si="7"/>
        <v>1.6666666666666663</v>
      </c>
      <c r="AQ32" s="30" t="str">
        <f t="shared" si="13"/>
        <v/>
      </c>
    </row>
    <row r="33" spans="2:43" x14ac:dyDescent="0.25">
      <c r="B33" s="211" t="s">
        <v>103</v>
      </c>
      <c r="C33" s="229" t="s">
        <v>299</v>
      </c>
      <c r="D33" s="215" t="s">
        <v>392</v>
      </c>
      <c r="E33" s="553" t="s">
        <v>351</v>
      </c>
      <c r="F33" s="176">
        <v>0.5</v>
      </c>
      <c r="G33" s="127">
        <v>0.70833333333333337</v>
      </c>
      <c r="H33" s="127">
        <v>0.79166666666666663</v>
      </c>
      <c r="I33" s="176">
        <v>0.91666666666666663</v>
      </c>
      <c r="J33" s="84">
        <f t="shared" si="0"/>
        <v>0.33333333333333337</v>
      </c>
      <c r="K33" s="431" t="s">
        <v>15</v>
      </c>
      <c r="L33" s="127" t="s">
        <v>15</v>
      </c>
      <c r="M33" s="127" t="s">
        <v>15</v>
      </c>
      <c r="N33" s="431" t="s">
        <v>15</v>
      </c>
      <c r="O33" s="84" t="str">
        <f t="shared" si="1"/>
        <v/>
      </c>
      <c r="P33" s="431" t="s">
        <v>15</v>
      </c>
      <c r="Q33" s="127" t="s">
        <v>15</v>
      </c>
      <c r="R33" s="127" t="s">
        <v>15</v>
      </c>
      <c r="S33" s="431" t="s">
        <v>15</v>
      </c>
      <c r="T33" s="84" t="str">
        <f t="shared" si="2"/>
        <v/>
      </c>
      <c r="U33" s="176">
        <v>0.29166666666666669</v>
      </c>
      <c r="V33" s="127">
        <v>0.41666666666666669</v>
      </c>
      <c r="W33" s="127">
        <v>0.66666666666666663</v>
      </c>
      <c r="X33" s="176">
        <v>0.875</v>
      </c>
      <c r="Y33" s="84">
        <f t="shared" si="8"/>
        <v>0.33333333333333331</v>
      </c>
      <c r="Z33" s="176">
        <v>0.29166666666666669</v>
      </c>
      <c r="AA33" s="127">
        <v>0.375</v>
      </c>
      <c r="AB33" s="127">
        <v>0.66666666666666663</v>
      </c>
      <c r="AC33" s="176">
        <v>0.91666666666666663</v>
      </c>
      <c r="AD33" s="84">
        <f t="shared" si="4"/>
        <v>0.33333333333333337</v>
      </c>
      <c r="AE33" s="176">
        <v>0.5</v>
      </c>
      <c r="AF33" s="127">
        <v>0.58333333333333337</v>
      </c>
      <c r="AG33" s="127">
        <v>0.66666666666666663</v>
      </c>
      <c r="AH33" s="176">
        <v>0.91666666666666663</v>
      </c>
      <c r="AI33" s="84">
        <f t="shared" si="5"/>
        <v>0.33333333333333337</v>
      </c>
      <c r="AJ33" s="176">
        <v>0.5</v>
      </c>
      <c r="AK33" s="127">
        <v>0.58333333333333337</v>
      </c>
      <c r="AL33" s="127">
        <v>0.66666666666666663</v>
      </c>
      <c r="AM33" s="176">
        <v>0.91666666666666663</v>
      </c>
      <c r="AN33" s="84">
        <f t="shared" si="6"/>
        <v>0.33333333333333337</v>
      </c>
      <c r="AO33" s="28">
        <f t="shared" si="7"/>
        <v>1.666666666666667</v>
      </c>
      <c r="AQ33" s="30"/>
    </row>
    <row r="34" spans="2:43" x14ac:dyDescent="0.25">
      <c r="B34" s="211" t="s">
        <v>95</v>
      </c>
      <c r="C34" s="229" t="s">
        <v>404</v>
      </c>
      <c r="D34" s="215" t="s">
        <v>392</v>
      </c>
      <c r="E34" s="553" t="s">
        <v>351</v>
      </c>
      <c r="F34" s="176" t="s">
        <v>404</v>
      </c>
      <c r="G34" s="127" t="s">
        <v>404</v>
      </c>
      <c r="H34" s="127" t="s">
        <v>404</v>
      </c>
      <c r="I34" s="176" t="s">
        <v>404</v>
      </c>
      <c r="J34" s="84" t="str">
        <f t="shared" si="0"/>
        <v/>
      </c>
      <c r="K34" s="176" t="s">
        <v>404</v>
      </c>
      <c r="L34" s="127" t="s">
        <v>404</v>
      </c>
      <c r="M34" s="127" t="s">
        <v>404</v>
      </c>
      <c r="N34" s="176" t="s">
        <v>404</v>
      </c>
      <c r="O34" s="84" t="str">
        <f t="shared" si="1"/>
        <v/>
      </c>
      <c r="P34" s="176" t="s">
        <v>404</v>
      </c>
      <c r="Q34" s="127" t="s">
        <v>404</v>
      </c>
      <c r="R34" s="127" t="s">
        <v>404</v>
      </c>
      <c r="S34" s="176" t="s">
        <v>404</v>
      </c>
      <c r="T34" s="84" t="str">
        <f t="shared" si="2"/>
        <v/>
      </c>
      <c r="U34" s="176" t="s">
        <v>404</v>
      </c>
      <c r="V34" s="127" t="s">
        <v>404</v>
      </c>
      <c r="W34" s="127" t="s">
        <v>404</v>
      </c>
      <c r="X34" s="176" t="s">
        <v>404</v>
      </c>
      <c r="Y34" s="84" t="str">
        <f t="shared" si="8"/>
        <v/>
      </c>
      <c r="Z34" s="176" t="s">
        <v>404</v>
      </c>
      <c r="AA34" s="127" t="s">
        <v>404</v>
      </c>
      <c r="AB34" s="127" t="s">
        <v>404</v>
      </c>
      <c r="AC34" s="176" t="s">
        <v>404</v>
      </c>
      <c r="AD34" s="84" t="str">
        <f t="shared" si="4"/>
        <v/>
      </c>
      <c r="AE34" s="176" t="s">
        <v>404</v>
      </c>
      <c r="AF34" s="127" t="s">
        <v>404</v>
      </c>
      <c r="AG34" s="127" t="s">
        <v>404</v>
      </c>
      <c r="AH34" s="176" t="s">
        <v>404</v>
      </c>
      <c r="AI34" s="84" t="str">
        <f t="shared" si="5"/>
        <v/>
      </c>
      <c r="AJ34" s="176" t="s">
        <v>404</v>
      </c>
      <c r="AK34" s="127" t="s">
        <v>404</v>
      </c>
      <c r="AL34" s="127" t="s">
        <v>404</v>
      </c>
      <c r="AM34" s="176" t="s">
        <v>404</v>
      </c>
      <c r="AN34" s="84" t="str">
        <f t="shared" si="6"/>
        <v/>
      </c>
      <c r="AO34" s="28">
        <f t="shared" si="7"/>
        <v>0</v>
      </c>
      <c r="AP34" s="302"/>
      <c r="AQ34" s="30"/>
    </row>
    <row r="35" spans="2:43" x14ac:dyDescent="0.25">
      <c r="B35" s="211" t="s">
        <v>124</v>
      </c>
      <c r="C35" s="229"/>
      <c r="D35" s="215" t="s">
        <v>392</v>
      </c>
      <c r="E35" s="553" t="s">
        <v>351</v>
      </c>
      <c r="F35" s="432">
        <v>0.875</v>
      </c>
      <c r="G35" s="127"/>
      <c r="H35" s="127"/>
      <c r="I35" s="432">
        <v>1</v>
      </c>
      <c r="J35" s="84">
        <f t="shared" si="0"/>
        <v>0.125</v>
      </c>
      <c r="K35" s="432">
        <v>0</v>
      </c>
      <c r="L35" s="127">
        <v>0.16666666666666666</v>
      </c>
      <c r="M35" s="127">
        <v>0.25</v>
      </c>
      <c r="N35" s="432">
        <v>0.29166666666666669</v>
      </c>
      <c r="O35" s="84">
        <f t="shared" si="1"/>
        <v>0.20833333333333334</v>
      </c>
      <c r="P35" s="431" t="s">
        <v>15</v>
      </c>
      <c r="Q35" s="127" t="s">
        <v>15</v>
      </c>
      <c r="R35" s="127" t="s">
        <v>15</v>
      </c>
      <c r="S35" s="431" t="s">
        <v>15</v>
      </c>
      <c r="T35" s="84" t="str">
        <f t="shared" si="2"/>
        <v/>
      </c>
      <c r="U35" s="176">
        <v>0.29166666666666669</v>
      </c>
      <c r="V35" s="127">
        <v>0.54166666666666663</v>
      </c>
      <c r="W35" s="127">
        <v>0.625</v>
      </c>
      <c r="X35" s="176">
        <v>0.70833333333333337</v>
      </c>
      <c r="Y35" s="84">
        <f t="shared" si="8"/>
        <v>0.33333333333333331</v>
      </c>
      <c r="Z35" s="176">
        <v>0.29166666666666669</v>
      </c>
      <c r="AA35" s="127">
        <v>0.54166666666666663</v>
      </c>
      <c r="AB35" s="127">
        <v>0.625</v>
      </c>
      <c r="AC35" s="176">
        <v>0.70833333333333337</v>
      </c>
      <c r="AD35" s="84">
        <f t="shared" si="4"/>
        <v>0.33333333333333331</v>
      </c>
      <c r="AE35" s="176">
        <v>0.41666666666666669</v>
      </c>
      <c r="AF35" s="127">
        <v>0.66666666666666663</v>
      </c>
      <c r="AG35" s="127">
        <v>0.70833333333333337</v>
      </c>
      <c r="AH35" s="176">
        <v>0.79166666666666663</v>
      </c>
      <c r="AI35" s="84">
        <f t="shared" si="5"/>
        <v>0.3333333333333332</v>
      </c>
      <c r="AJ35" s="176">
        <v>0.54166666666666663</v>
      </c>
      <c r="AK35" s="127">
        <v>0.66666666666666663</v>
      </c>
      <c r="AL35" s="127">
        <v>0.70833333333333337</v>
      </c>
      <c r="AM35" s="176">
        <v>0.91666666666666663</v>
      </c>
      <c r="AN35" s="84">
        <f t="shared" si="6"/>
        <v>0.33333333333333326</v>
      </c>
      <c r="AO35" s="28">
        <f t="shared" si="7"/>
        <v>1.6666666666666665</v>
      </c>
      <c r="AQ35" s="30"/>
    </row>
    <row r="36" spans="2:43" x14ac:dyDescent="0.25">
      <c r="B36" s="211" t="s">
        <v>107</v>
      </c>
      <c r="C36" s="229"/>
      <c r="D36" s="215" t="s">
        <v>392</v>
      </c>
      <c r="E36" s="553" t="s">
        <v>351</v>
      </c>
      <c r="F36" s="431" t="s">
        <v>15</v>
      </c>
      <c r="G36" s="127" t="s">
        <v>15</v>
      </c>
      <c r="H36" s="127" t="s">
        <v>15</v>
      </c>
      <c r="I36" s="431" t="s">
        <v>15</v>
      </c>
      <c r="J36" s="84" t="str">
        <f t="shared" si="0"/>
        <v/>
      </c>
      <c r="K36" s="431" t="s">
        <v>15</v>
      </c>
      <c r="L36" s="127" t="s">
        <v>15</v>
      </c>
      <c r="M36" s="127" t="s">
        <v>15</v>
      </c>
      <c r="N36" s="431" t="s">
        <v>15</v>
      </c>
      <c r="O36" s="84" t="str">
        <f t="shared" si="1"/>
        <v/>
      </c>
      <c r="P36" s="176">
        <v>0.29166666666666669</v>
      </c>
      <c r="Q36" s="127">
        <v>0.54166666666666663</v>
      </c>
      <c r="R36" s="127">
        <v>0.625</v>
      </c>
      <c r="S36" s="176">
        <v>0.70833333333333337</v>
      </c>
      <c r="T36" s="84">
        <f t="shared" si="2"/>
        <v>0.33333333333333331</v>
      </c>
      <c r="U36" s="176">
        <v>0.29166666666666669</v>
      </c>
      <c r="V36" s="127">
        <v>0.54166666666666663</v>
      </c>
      <c r="W36" s="127">
        <v>0.625</v>
      </c>
      <c r="X36" s="176">
        <v>0.70833333333333337</v>
      </c>
      <c r="Y36" s="84">
        <f t="shared" si="8"/>
        <v>0.33333333333333331</v>
      </c>
      <c r="Z36" s="176">
        <v>0.29166666666666669</v>
      </c>
      <c r="AA36" s="127">
        <v>0.54166666666666663</v>
      </c>
      <c r="AB36" s="127">
        <v>0.625</v>
      </c>
      <c r="AC36" s="176">
        <v>0.70833333333333337</v>
      </c>
      <c r="AD36" s="84">
        <f t="shared" si="4"/>
        <v>0.33333333333333331</v>
      </c>
      <c r="AE36" s="176">
        <v>0.54166666666666663</v>
      </c>
      <c r="AF36" s="127">
        <v>0.66666666666666663</v>
      </c>
      <c r="AG36" s="127">
        <v>0.70833333333333337</v>
      </c>
      <c r="AH36" s="176">
        <v>0.91666666666666663</v>
      </c>
      <c r="AI36" s="84">
        <f t="shared" si="5"/>
        <v>0.33333333333333326</v>
      </c>
      <c r="AJ36" s="176">
        <v>0.54166666666666663</v>
      </c>
      <c r="AK36" s="127">
        <v>0.66666666666666663</v>
      </c>
      <c r="AL36" s="127">
        <v>0.70833333333333337</v>
      </c>
      <c r="AM36" s="176">
        <v>0.91666666666666663</v>
      </c>
      <c r="AN36" s="84">
        <f t="shared" si="6"/>
        <v>0.33333333333333326</v>
      </c>
      <c r="AO36" s="28">
        <f t="shared" si="7"/>
        <v>1.6666666666666665</v>
      </c>
      <c r="AP36" s="302"/>
      <c r="AQ36" s="30"/>
    </row>
    <row r="37" spans="2:43" x14ac:dyDescent="0.25">
      <c r="H37" s="121"/>
    </row>
    <row r="41" spans="2:43" ht="15.75" x14ac:dyDescent="0.25">
      <c r="B41" s="132">
        <f>AVERAGE(F41,K41,P41,U41,Z41,AE41,AJ41)</f>
        <v>8.1428571428571423</v>
      </c>
      <c r="D41" s="133">
        <v>0.29166666666666669</v>
      </c>
      <c r="E41" s="109" t="s">
        <v>73</v>
      </c>
      <c r="F41" s="107">
        <f>COUNTIF(F$4:F$37,$D41)</f>
        <v>9</v>
      </c>
      <c r="K41" s="107">
        <f t="shared" ref="K41:K50" si="15">COUNTIF(K$4:K$37,$D41)</f>
        <v>8</v>
      </c>
      <c r="P41" s="107">
        <f t="shared" ref="P41:P50" si="16">COUNTIF(P$4:P$37,$D41)</f>
        <v>8</v>
      </c>
      <c r="U41" s="107">
        <f t="shared" ref="U41:U50" si="17">COUNTIF(U$4:U$37,$D41)</f>
        <v>8</v>
      </c>
      <c r="Z41" s="107">
        <f t="shared" ref="Z41:Z50" si="18">COUNTIF(Z$4:Z$37,$D41)</f>
        <v>8</v>
      </c>
      <c r="AE41" s="107">
        <f t="shared" ref="AE41:AE50" si="19">COUNTIF(AE$4:AE$37,$D41)</f>
        <v>7</v>
      </c>
      <c r="AJ41" s="107">
        <f t="shared" ref="AJ41:AJ50" si="20">COUNTIF(AJ$4:AJ$37,$D41)</f>
        <v>9</v>
      </c>
    </row>
    <row r="42" spans="2:43" ht="15.75" x14ac:dyDescent="0.25">
      <c r="B42" s="132">
        <f t="shared" ref="B42:B49" si="21">AVERAGE(F42,K42,P42,U42,Z42,AE42,AJ42)</f>
        <v>0.14285714285714285</v>
      </c>
      <c r="D42" s="133">
        <v>0.33333333333333331</v>
      </c>
      <c r="E42" s="109" t="s">
        <v>73</v>
      </c>
      <c r="F42" s="107">
        <f t="shared" ref="F42:F49" si="22">COUNTIF(F$4:F$37,$D42)</f>
        <v>0</v>
      </c>
      <c r="K42" s="107">
        <f t="shared" si="15"/>
        <v>0</v>
      </c>
      <c r="P42" s="107">
        <f t="shared" si="16"/>
        <v>0</v>
      </c>
      <c r="U42" s="107">
        <f t="shared" si="17"/>
        <v>0</v>
      </c>
      <c r="Z42" s="107">
        <f t="shared" si="18"/>
        <v>1</v>
      </c>
      <c r="AE42" s="107">
        <f t="shared" si="19"/>
        <v>0</v>
      </c>
      <c r="AJ42" s="107">
        <f t="shared" si="20"/>
        <v>0</v>
      </c>
    </row>
    <row r="43" spans="2:43" ht="15.75" x14ac:dyDescent="0.25">
      <c r="B43" s="132">
        <f t="shared" si="21"/>
        <v>1.4285714285714286</v>
      </c>
      <c r="D43" s="133">
        <v>0.41666666666666669</v>
      </c>
      <c r="E43" s="109" t="s">
        <v>98</v>
      </c>
      <c r="F43" s="108">
        <f t="shared" si="22"/>
        <v>1</v>
      </c>
      <c r="K43" s="108">
        <f t="shared" si="15"/>
        <v>3</v>
      </c>
      <c r="P43" s="108">
        <f t="shared" si="16"/>
        <v>1</v>
      </c>
      <c r="U43" s="108">
        <f t="shared" si="17"/>
        <v>0</v>
      </c>
      <c r="Z43" s="108">
        <f t="shared" si="18"/>
        <v>0</v>
      </c>
      <c r="AE43" s="108">
        <f t="shared" si="19"/>
        <v>2</v>
      </c>
      <c r="AJ43" s="108">
        <f t="shared" si="20"/>
        <v>3</v>
      </c>
    </row>
    <row r="44" spans="2:43" ht="15.75" x14ac:dyDescent="0.25">
      <c r="B44" s="132">
        <f t="shared" si="21"/>
        <v>2.7142857142857144</v>
      </c>
      <c r="D44" s="133">
        <v>0.45833333333333331</v>
      </c>
      <c r="E44" s="109" t="s">
        <v>98</v>
      </c>
      <c r="F44" s="108">
        <f t="shared" si="22"/>
        <v>4</v>
      </c>
      <c r="K44" s="108">
        <f t="shared" si="15"/>
        <v>2</v>
      </c>
      <c r="P44" s="108">
        <f t="shared" si="16"/>
        <v>4</v>
      </c>
      <c r="U44" s="108">
        <f t="shared" si="17"/>
        <v>5</v>
      </c>
      <c r="Z44" s="108">
        <f t="shared" si="18"/>
        <v>3</v>
      </c>
      <c r="AE44" s="108">
        <f t="shared" si="19"/>
        <v>0</v>
      </c>
      <c r="AJ44" s="108">
        <f t="shared" si="20"/>
        <v>1</v>
      </c>
    </row>
    <row r="45" spans="2:43" ht="15.75" x14ac:dyDescent="0.25">
      <c r="B45" s="132">
        <f t="shared" si="21"/>
        <v>1.8571428571428572</v>
      </c>
      <c r="D45" s="133">
        <v>0.5</v>
      </c>
      <c r="E45" s="109" t="s">
        <v>31</v>
      </c>
      <c r="F45" s="64">
        <f t="shared" si="22"/>
        <v>4</v>
      </c>
      <c r="K45" s="64">
        <f t="shared" si="15"/>
        <v>2</v>
      </c>
      <c r="P45" s="64">
        <f t="shared" si="16"/>
        <v>2</v>
      </c>
      <c r="U45" s="64">
        <f t="shared" si="17"/>
        <v>1</v>
      </c>
      <c r="Z45" s="64">
        <f t="shared" si="18"/>
        <v>0</v>
      </c>
      <c r="AE45" s="64">
        <f t="shared" si="19"/>
        <v>2</v>
      </c>
      <c r="AJ45" s="64">
        <f t="shared" si="20"/>
        <v>2</v>
      </c>
    </row>
    <row r="46" spans="2:43" ht="15.75" x14ac:dyDescent="0.25">
      <c r="B46" s="132">
        <f t="shared" si="21"/>
        <v>2.8571428571428572</v>
      </c>
      <c r="D46" s="133">
        <v>0.54166666666666663</v>
      </c>
      <c r="E46" s="109" t="s">
        <v>31</v>
      </c>
      <c r="F46" s="64">
        <f t="shared" si="22"/>
        <v>0</v>
      </c>
      <c r="K46" s="64">
        <f t="shared" si="15"/>
        <v>3</v>
      </c>
      <c r="P46" s="64">
        <f t="shared" si="16"/>
        <v>3</v>
      </c>
      <c r="U46" s="64">
        <f t="shared" si="17"/>
        <v>4</v>
      </c>
      <c r="Z46" s="64">
        <f t="shared" si="18"/>
        <v>3</v>
      </c>
      <c r="AE46" s="64">
        <f t="shared" si="19"/>
        <v>5</v>
      </c>
      <c r="AJ46" s="64">
        <f t="shared" si="20"/>
        <v>2</v>
      </c>
    </row>
    <row r="47" spans="2:43" ht="15.75" x14ac:dyDescent="0.25">
      <c r="B47" s="132">
        <f t="shared" si="21"/>
        <v>0</v>
      </c>
      <c r="D47" s="133">
        <v>0.58333333333333337</v>
      </c>
      <c r="E47" s="109" t="s">
        <v>31</v>
      </c>
      <c r="F47" s="64">
        <f t="shared" si="22"/>
        <v>0</v>
      </c>
      <c r="K47" s="64">
        <f t="shared" si="15"/>
        <v>0</v>
      </c>
      <c r="P47" s="64">
        <f t="shared" si="16"/>
        <v>0</v>
      </c>
      <c r="U47" s="64">
        <f t="shared" si="17"/>
        <v>0</v>
      </c>
      <c r="Z47" s="64">
        <f t="shared" si="18"/>
        <v>0</v>
      </c>
      <c r="AE47" s="64">
        <f t="shared" si="19"/>
        <v>0</v>
      </c>
      <c r="AJ47" s="64">
        <f t="shared" si="20"/>
        <v>0</v>
      </c>
    </row>
    <row r="48" spans="2:43" ht="15.75" x14ac:dyDescent="0.25">
      <c r="B48" s="132">
        <f t="shared" si="21"/>
        <v>0</v>
      </c>
      <c r="D48" s="133">
        <v>0.625</v>
      </c>
      <c r="E48" s="109" t="s">
        <v>31</v>
      </c>
      <c r="F48" s="64">
        <f t="shared" si="22"/>
        <v>0</v>
      </c>
      <c r="K48" s="64">
        <f t="shared" si="15"/>
        <v>0</v>
      </c>
      <c r="P48" s="64">
        <f t="shared" si="16"/>
        <v>0</v>
      </c>
      <c r="U48" s="64">
        <f t="shared" si="17"/>
        <v>0</v>
      </c>
      <c r="Z48" s="64">
        <f t="shared" si="18"/>
        <v>0</v>
      </c>
      <c r="AE48" s="64">
        <f t="shared" si="19"/>
        <v>0</v>
      </c>
      <c r="AJ48" s="64">
        <f t="shared" si="20"/>
        <v>0</v>
      </c>
    </row>
    <row r="49" spans="2:37" ht="15.75" x14ac:dyDescent="0.25">
      <c r="B49" s="132">
        <f t="shared" si="21"/>
        <v>7.5714285714285712</v>
      </c>
      <c r="D49" s="134" t="s">
        <v>15</v>
      </c>
      <c r="E49" s="109" t="s">
        <v>15</v>
      </c>
      <c r="F49" s="112">
        <f t="shared" si="22"/>
        <v>7</v>
      </c>
      <c r="K49" s="112">
        <f t="shared" si="15"/>
        <v>7</v>
      </c>
      <c r="P49" s="112">
        <f t="shared" si="16"/>
        <v>7</v>
      </c>
      <c r="U49" s="112">
        <f t="shared" si="17"/>
        <v>7</v>
      </c>
      <c r="Z49" s="112">
        <f t="shared" si="18"/>
        <v>9</v>
      </c>
      <c r="AE49" s="112">
        <f t="shared" si="19"/>
        <v>8</v>
      </c>
      <c r="AJ49" s="112">
        <f t="shared" si="20"/>
        <v>8</v>
      </c>
    </row>
    <row r="50" spans="2:37" ht="15.75" x14ac:dyDescent="0.25">
      <c r="B50" s="132">
        <f>AVERAGE(F50,K50,P50,U50,Z50,AE50,AJ50)</f>
        <v>1.2857142857142858</v>
      </c>
      <c r="D50" s="133">
        <v>0.875</v>
      </c>
      <c r="E50" s="109" t="s">
        <v>19</v>
      </c>
      <c r="F50" s="114">
        <f>COUNTIF(F$4:F$37,$D50)</f>
        <v>2</v>
      </c>
      <c r="G50" s="114">
        <f>COUNTIF(H$4:H$37,$D50)</f>
        <v>1</v>
      </c>
      <c r="K50" s="114">
        <f t="shared" si="15"/>
        <v>1</v>
      </c>
      <c r="L50" s="114">
        <f>COUNTIF(M$4:M$37,$D50)</f>
        <v>1</v>
      </c>
      <c r="P50" s="114">
        <f t="shared" si="16"/>
        <v>0</v>
      </c>
      <c r="Q50" s="114">
        <f>COUNTIF(R$4:R$37,$D50)</f>
        <v>2</v>
      </c>
      <c r="U50" s="114">
        <f t="shared" si="17"/>
        <v>2</v>
      </c>
      <c r="V50" s="114">
        <f>COUNTIF(W$4:W$37,$D50)</f>
        <v>0</v>
      </c>
      <c r="Z50" s="114">
        <f t="shared" si="18"/>
        <v>1</v>
      </c>
      <c r="AA50" s="114">
        <f>COUNTIF(AB$4:AB$37,$D50)</f>
        <v>2</v>
      </c>
      <c r="AE50" s="114">
        <f t="shared" si="19"/>
        <v>1</v>
      </c>
      <c r="AF50" s="114">
        <f>COUNTIF(AG$4:AG$37,$D50)</f>
        <v>1</v>
      </c>
      <c r="AJ50" s="114">
        <f t="shared" si="20"/>
        <v>2</v>
      </c>
      <c r="AK50" s="114">
        <f>COUNTIF(AL$4:AL$37,$D50)</f>
        <v>1</v>
      </c>
    </row>
    <row r="54" spans="2:37" x14ac:dyDescent="0.25">
      <c r="L54" s="184"/>
    </row>
    <row r="55" spans="2:37" x14ac:dyDescent="0.25">
      <c r="B55" s="175">
        <f>J2</f>
        <v>6.9999999999999973</v>
      </c>
    </row>
    <row r="56" spans="2:37" x14ac:dyDescent="0.25">
      <c r="B56" s="175">
        <f>O2</f>
        <v>7.1666666666666643</v>
      </c>
    </row>
    <row r="57" spans="2:37" x14ac:dyDescent="0.25">
      <c r="B57" s="175">
        <f>T2</f>
        <v>7.6249999999999973</v>
      </c>
    </row>
    <row r="58" spans="2:37" x14ac:dyDescent="0.25">
      <c r="B58" s="175">
        <f>Y2</f>
        <v>6.9583333333333313</v>
      </c>
    </row>
    <row r="59" spans="2:37" x14ac:dyDescent="0.25">
      <c r="B59" s="175">
        <f>AD2</f>
        <v>6.4166666666666652</v>
      </c>
    </row>
    <row r="60" spans="2:37" x14ac:dyDescent="0.25">
      <c r="B60" s="175">
        <f>AI2</f>
        <v>6.8333333333333313</v>
      </c>
    </row>
    <row r="61" spans="2:37" x14ac:dyDescent="0.25">
      <c r="B61" s="175">
        <f>AN2</f>
        <v>6.7916666666666643</v>
      </c>
    </row>
    <row r="64" spans="2:37" x14ac:dyDescent="0.25">
      <c r="B64" s="175">
        <v>3.583333333333333</v>
      </c>
      <c r="N64" s="155"/>
    </row>
    <row r="65" spans="2:27" x14ac:dyDescent="0.25">
      <c r="B65" s="175">
        <v>4.2499999999999991</v>
      </c>
      <c r="M65" s="155"/>
    </row>
    <row r="66" spans="2:27" x14ac:dyDescent="0.25">
      <c r="B66" s="175">
        <v>5.2499999999999991</v>
      </c>
    </row>
    <row r="67" spans="2:27" x14ac:dyDescent="0.25">
      <c r="B67" s="175">
        <v>5.2499999999999991</v>
      </c>
    </row>
    <row r="68" spans="2:27" x14ac:dyDescent="0.25">
      <c r="B68" s="175">
        <v>5.2499999999999991</v>
      </c>
    </row>
    <row r="69" spans="2:27" x14ac:dyDescent="0.25">
      <c r="B69" s="175">
        <v>4.6666666666666652</v>
      </c>
    </row>
    <row r="70" spans="2:27" x14ac:dyDescent="0.25">
      <c r="B70" s="175">
        <v>5.3333333333333313</v>
      </c>
      <c r="AA70" t="s">
        <v>0</v>
      </c>
    </row>
    <row r="177" spans="4:14" x14ac:dyDescent="0.25">
      <c r="D177" s="1"/>
      <c r="E177" s="147"/>
      <c r="F177" s="171"/>
      <c r="G177" s="171"/>
      <c r="H177" s="171"/>
      <c r="I177" s="171"/>
      <c r="J177" s="171"/>
      <c r="K177" s="171"/>
      <c r="L177" s="171"/>
      <c r="N177" s="231"/>
    </row>
    <row r="178" spans="4:14" x14ac:dyDescent="0.25">
      <c r="D178" s="190"/>
      <c r="E178" s="147"/>
      <c r="F178" s="35"/>
      <c r="G178" s="35"/>
      <c r="H178" s="35"/>
      <c r="I178" s="35"/>
      <c r="J178" s="35"/>
      <c r="K178" s="35"/>
      <c r="L178" s="35"/>
    </row>
    <row r="179" spans="4:14" x14ac:dyDescent="0.25">
      <c r="D179" s="1"/>
      <c r="E179" s="147"/>
      <c r="F179" s="35"/>
      <c r="G179" s="35"/>
      <c r="H179" s="35"/>
      <c r="I179" s="35"/>
      <c r="J179" s="35"/>
      <c r="K179" s="35"/>
      <c r="L179" s="35"/>
    </row>
    <row r="180" spans="4:14" x14ac:dyDescent="0.25">
      <c r="D180" s="1"/>
      <c r="E180" s="147"/>
      <c r="F180" s="35"/>
      <c r="G180" s="35"/>
      <c r="H180" s="35"/>
      <c r="I180" s="35"/>
      <c r="J180" s="35"/>
      <c r="K180" s="35"/>
      <c r="L180" s="35"/>
    </row>
    <row r="181" spans="4:14" x14ac:dyDescent="0.25">
      <c r="D181" s="1"/>
      <c r="E181" s="147"/>
      <c r="F181" s="35"/>
      <c r="G181" s="35"/>
      <c r="H181" s="35"/>
      <c r="I181" s="35"/>
      <c r="J181" s="35"/>
      <c r="K181" s="35"/>
      <c r="L181" s="35"/>
    </row>
    <row r="182" spans="4:14" x14ac:dyDescent="0.25">
      <c r="D182" s="1"/>
      <c r="E182" s="147"/>
      <c r="F182" s="35"/>
      <c r="G182" s="35"/>
      <c r="H182" s="35"/>
      <c r="I182" s="35"/>
      <c r="J182" s="35"/>
      <c r="K182" s="35"/>
      <c r="L182" s="35"/>
    </row>
    <row r="183" spans="4:14" x14ac:dyDescent="0.25">
      <c r="D183" s="1"/>
      <c r="E183" s="147"/>
      <c r="F183" s="35"/>
      <c r="G183" s="35"/>
      <c r="H183" s="35"/>
      <c r="I183" s="35"/>
      <c r="J183" s="35"/>
      <c r="K183" s="35"/>
      <c r="L183" s="35"/>
    </row>
    <row r="184" spans="4:14" x14ac:dyDescent="0.25">
      <c r="D184" s="1"/>
      <c r="E184" s="147"/>
      <c r="F184" s="35"/>
      <c r="G184" s="35"/>
      <c r="H184" s="35"/>
      <c r="I184" s="35"/>
      <c r="J184" s="35"/>
      <c r="K184" s="35"/>
      <c r="L184" s="35"/>
    </row>
    <row r="185" spans="4:14" x14ac:dyDescent="0.25">
      <c r="D185" s="1"/>
      <c r="E185" s="147"/>
      <c r="F185" s="35"/>
      <c r="G185" s="35"/>
      <c r="H185" s="35"/>
      <c r="I185" s="35"/>
      <c r="J185" s="35"/>
      <c r="K185" s="35"/>
      <c r="L185" s="35"/>
    </row>
    <row r="186" spans="4:14" x14ac:dyDescent="0.25">
      <c r="D186" s="1"/>
      <c r="E186" s="147"/>
      <c r="F186" s="35"/>
      <c r="G186" s="35"/>
      <c r="H186" s="35"/>
      <c r="I186" s="35"/>
      <c r="J186" s="35"/>
      <c r="K186" s="35"/>
      <c r="L186" s="35"/>
    </row>
    <row r="187" spans="4:14" x14ac:dyDescent="0.25">
      <c r="D187" s="1"/>
      <c r="E187" s="147"/>
      <c r="F187" s="171"/>
      <c r="G187" s="171"/>
      <c r="H187" s="171"/>
      <c r="I187" s="171"/>
      <c r="J187" s="171"/>
      <c r="K187" s="171"/>
      <c r="L187" s="171"/>
    </row>
    <row r="188" spans="4:14" x14ac:dyDescent="0.25">
      <c r="D188" s="1"/>
      <c r="E188" s="110"/>
      <c r="F188" s="35"/>
      <c r="G188" s="35"/>
      <c r="H188" s="35"/>
      <c r="I188" s="35"/>
      <c r="J188" s="35"/>
      <c r="K188" s="35"/>
      <c r="L188" s="35"/>
    </row>
    <row r="191" spans="4:14" x14ac:dyDescent="0.25">
      <c r="E191" s="110"/>
      <c r="F191" s="196"/>
      <c r="G191" s="196"/>
      <c r="H191" s="196"/>
      <c r="I191" s="196"/>
      <c r="J191" s="196"/>
      <c r="K191" s="196"/>
      <c r="L191" s="196"/>
    </row>
    <row r="248" spans="2:12" ht="15.75" thickBot="1" x14ac:dyDescent="0.3"/>
    <row r="249" spans="2:12" ht="19.5" thickBot="1" x14ac:dyDescent="0.35">
      <c r="B249" s="385"/>
      <c r="C249" s="541" t="s">
        <v>351</v>
      </c>
      <c r="D249" s="543" t="s">
        <v>708</v>
      </c>
      <c r="E249" s="548" t="s">
        <v>709</v>
      </c>
      <c r="F249" s="548" t="s">
        <v>710</v>
      </c>
      <c r="G249" s="548" t="s">
        <v>711</v>
      </c>
      <c r="H249" s="548" t="s">
        <v>712</v>
      </c>
      <c r="I249" s="548" t="s">
        <v>713</v>
      </c>
      <c r="J249" s="549" t="s">
        <v>714</v>
      </c>
      <c r="K249" s="385"/>
      <c r="L249" s="385"/>
    </row>
    <row r="250" spans="2:12" x14ac:dyDescent="0.25">
      <c r="B250" s="537" t="s">
        <v>691</v>
      </c>
      <c r="C250" s="543" t="s">
        <v>165</v>
      </c>
      <c r="D250" s="550">
        <f>COUNTIFS($E$4:$E$191,$C$249,F$4:F$191,$C250)</f>
        <v>0</v>
      </c>
      <c r="E250" s="550">
        <f>COUNTIFS($E$4:$E$191,$C$249,K$4:K$191,$C250)</f>
        <v>0</v>
      </c>
      <c r="F250" s="550">
        <f>COUNTIFS($E$4:$E$191,$C$249,P$4:P$191,$C250)</f>
        <v>0</v>
      </c>
      <c r="G250" s="550">
        <f>COUNTIFS($E$4:$E$191,$C$249,I$4:I$191,$C250)</f>
        <v>0</v>
      </c>
      <c r="H250" s="550">
        <f>COUNTIFS($E$4:$E$191,$C$249,U$4:U$191,$C250)</f>
        <v>0</v>
      </c>
      <c r="I250" s="550">
        <f>COUNTIFS($E$4:$E$191,$C$249,AE$4:AE$191,$C250)</f>
        <v>0</v>
      </c>
      <c r="J250" s="550">
        <f>COUNTIFS($E$4:$E$191,$C$249,AJ$4:AJ$191,$C250)</f>
        <v>0</v>
      </c>
      <c r="K250" s="385"/>
      <c r="L250" s="385"/>
    </row>
    <row r="251" spans="2:12" ht="15.75" thickBot="1" x14ac:dyDescent="0.3">
      <c r="B251" s="538" t="s">
        <v>692</v>
      </c>
      <c r="C251" s="544" t="s">
        <v>159</v>
      </c>
      <c r="D251" s="550">
        <f>COUNTIFS($E$4:$E$191,$C$249,F$4:F$191,$C251)</f>
        <v>0</v>
      </c>
      <c r="E251" s="550">
        <f>COUNTIFS($E$4:$E$191,$C$249,K$4:K$191,$C251)</f>
        <v>0</v>
      </c>
      <c r="F251" s="550">
        <f>COUNTIFS($E$4:$E$191,$C$249,P$4:P$191,$C251)</f>
        <v>0</v>
      </c>
      <c r="G251" s="550">
        <f>COUNTIFS($E$4:$E$191,$C$249,I$4:I$191,$C251)</f>
        <v>0</v>
      </c>
      <c r="H251" s="550">
        <f>COUNTIFS($E$4:$E$191,$C$249,U$4:U$191,$C251)</f>
        <v>0</v>
      </c>
      <c r="I251" s="550">
        <f>COUNTIFS($E$4:$E$191,$C$249,AE$4:AE$191,$C251)</f>
        <v>0</v>
      </c>
      <c r="J251" s="550">
        <f>COUNTIFS($E$4:$E$191,$C$249,AJ$4:AJ$191,$C251)</f>
        <v>0</v>
      </c>
      <c r="K251" s="385"/>
      <c r="L251" s="385"/>
    </row>
    <row r="252" spans="2:12" ht="15.75" thickBot="1" x14ac:dyDescent="0.3">
      <c r="B252" s="538" t="s">
        <v>693</v>
      </c>
      <c r="C252" s="545" t="s">
        <v>396</v>
      </c>
      <c r="D252" s="551">
        <f>--COUNTIFS(F4:F191,$L$252,$C4:$C191,$C252,$E4:$E191,$C249)*$K252</f>
        <v>0</v>
      </c>
      <c r="E252" s="551">
        <f>--COUNTIFS(K4:K191,$L$252,$C4:$C191,$C252,$E4:$E191,$C249)*$K252</f>
        <v>4.1666666666666664E-2</v>
      </c>
      <c r="F252" s="551">
        <f>--COUNTIFS(P4:P191,$L$252,$C4:$C191,$C252,$E4:$E191,$C249)*$K252</f>
        <v>4.1666666666666664E-2</v>
      </c>
      <c r="G252" s="551">
        <f>--COUNTIFS(U4:U191,$L$252,$C4:$C191,$C252,$E4:$E191,$C249)*$K252</f>
        <v>4.1666666666666664E-2</v>
      </c>
      <c r="H252" s="551">
        <f>--COUNTIFS(Z4:Z191,$L$252,$C4:$C191,$C252,$E4:$E191,$C249)*$K252</f>
        <v>4.1666666666666664E-2</v>
      </c>
      <c r="I252" s="551">
        <f>--COUNTIFS(AE4:AE191,$L$252,$C4:$C191,$C252,$E4:$E191,$C249)*$K252</f>
        <v>4.1666666666666664E-2</v>
      </c>
      <c r="J252" s="551">
        <f>--COUNTIFS(AJ4:AJ191,$L$252,$C4:$C191,$C252,$E4:$E191,$C249)*$K252</f>
        <v>0</v>
      </c>
      <c r="K252" s="547">
        <v>4.1666666666666664E-2</v>
      </c>
      <c r="L252" s="542" t="s">
        <v>717</v>
      </c>
    </row>
    <row r="253" spans="2:12" x14ac:dyDescent="0.25">
      <c r="B253" s="538" t="s">
        <v>694</v>
      </c>
      <c r="C253" s="544" t="s">
        <v>15</v>
      </c>
      <c r="D253" s="550">
        <f>COUNTIFS($E$4:$E$191,$C$249,F$4:F$191,$C253)</f>
        <v>7</v>
      </c>
      <c r="E253" s="550">
        <f>COUNTIFS($E$4:$E$191,$C$249,K$4:K$191,$C253)</f>
        <v>7</v>
      </c>
      <c r="F253" s="550">
        <f>COUNTIFS($E$4:$E$191,$C$249,P$4:P$191,$C253)</f>
        <v>7</v>
      </c>
      <c r="G253" s="550">
        <f>COUNTIFS($E$4:$E$191,$C$249,I$4:I$191,$C253)</f>
        <v>7</v>
      </c>
      <c r="H253" s="550">
        <f>COUNTIFS($E$4:$E$191,$C$249,U$4:U$191,$C253)</f>
        <v>7</v>
      </c>
      <c r="I253" s="550">
        <f>COUNTIFS($E$4:$E$191,$C$249,AE$4:AE$191,$C253)</f>
        <v>8</v>
      </c>
      <c r="J253" s="550">
        <f>COUNTIFS($E$4:$E$191,$C$249,AJ$4:AJ$191,$C253)</f>
        <v>8</v>
      </c>
      <c r="K253" s="385"/>
      <c r="L253" s="385"/>
    </row>
    <row r="254" spans="2:12" x14ac:dyDescent="0.25">
      <c r="B254" s="538" t="s">
        <v>695</v>
      </c>
      <c r="C254" s="544"/>
      <c r="D254" s="550"/>
      <c r="E254" s="550"/>
      <c r="F254" s="550"/>
      <c r="G254" s="550"/>
      <c r="H254" s="550"/>
      <c r="I254" s="550"/>
      <c r="J254" s="550"/>
      <c r="K254" s="385"/>
      <c r="L254" s="385"/>
    </row>
    <row r="255" spans="2:12" x14ac:dyDescent="0.25">
      <c r="B255" s="539" t="s">
        <v>696</v>
      </c>
      <c r="C255" s="544"/>
      <c r="D255" s="550"/>
      <c r="E255" s="550"/>
      <c r="F255" s="550"/>
      <c r="G255" s="550"/>
      <c r="H255" s="550"/>
      <c r="I255" s="550"/>
      <c r="J255" s="550"/>
      <c r="K255" s="385"/>
      <c r="L255" s="385"/>
    </row>
    <row r="256" spans="2:12" x14ac:dyDescent="0.25">
      <c r="B256" s="539" t="s">
        <v>697</v>
      </c>
      <c r="C256" s="544"/>
      <c r="D256" s="550"/>
      <c r="E256" s="550"/>
      <c r="F256" s="550"/>
      <c r="G256" s="550"/>
      <c r="H256" s="550"/>
      <c r="I256" s="550"/>
      <c r="J256" s="550"/>
      <c r="K256" s="385"/>
      <c r="L256" s="385"/>
    </row>
    <row r="257" spans="2:12" x14ac:dyDescent="0.25">
      <c r="B257" s="539" t="s">
        <v>698</v>
      </c>
      <c r="C257" s="544"/>
      <c r="D257" s="550"/>
      <c r="E257" s="550"/>
      <c r="F257" s="550"/>
      <c r="G257" s="550"/>
      <c r="H257" s="550"/>
      <c r="I257" s="550"/>
      <c r="J257" s="550"/>
      <c r="K257" s="385"/>
      <c r="L257" s="385"/>
    </row>
    <row r="258" spans="2:12" x14ac:dyDescent="0.25">
      <c r="B258" s="539" t="s">
        <v>699</v>
      </c>
      <c r="C258" s="544"/>
      <c r="D258" s="550"/>
      <c r="E258" s="550"/>
      <c r="F258" s="550"/>
      <c r="G258" s="550"/>
      <c r="H258" s="550"/>
      <c r="I258" s="550"/>
      <c r="J258" s="550"/>
      <c r="K258" s="385"/>
      <c r="L258" s="385"/>
    </row>
    <row r="259" spans="2:12" x14ac:dyDescent="0.25">
      <c r="B259" s="539" t="s">
        <v>700</v>
      </c>
      <c r="C259" s="544"/>
      <c r="D259" s="550"/>
      <c r="E259" s="550"/>
      <c r="F259" s="550"/>
      <c r="G259" s="550"/>
      <c r="H259" s="550"/>
      <c r="I259" s="550"/>
      <c r="J259" s="550"/>
      <c r="K259" s="385"/>
      <c r="L259" s="385"/>
    </row>
    <row r="260" spans="2:12" x14ac:dyDescent="0.25">
      <c r="B260" s="539" t="s">
        <v>701</v>
      </c>
      <c r="C260" s="544" t="s">
        <v>715</v>
      </c>
      <c r="D260" s="550">
        <f>COUNTIFS($E$4:$E$191,$C$249,F$4:F$191,$C260)</f>
        <v>0</v>
      </c>
      <c r="E260" s="550">
        <f>COUNTIFS($E$4:$E$191,$C$249,K$4:K$191,$C260)</f>
        <v>0</v>
      </c>
      <c r="F260" s="550">
        <f>COUNTIFS($E$4:$E$191,$C$249,P$4:P$191,$C260)</f>
        <v>0</v>
      </c>
      <c r="G260" s="550">
        <f>COUNTIFS($E$4:$E$191,$C$249,I$4:I$191,$C260)</f>
        <v>0</v>
      </c>
      <c r="H260" s="550">
        <f>COUNTIFS($E$4:$E$191,$C$249,U$4:U$191,$C260)</f>
        <v>0</v>
      </c>
      <c r="I260" s="550">
        <f>COUNTIFS($E$4:$E$191,$C$249,AE$4:AE$191,$C260)</f>
        <v>0</v>
      </c>
      <c r="J260" s="550">
        <f>COUNTIFS($E$4:$E$191,$C$249,AJ$4:AJ$191,$C260)</f>
        <v>0</v>
      </c>
      <c r="K260" s="385"/>
      <c r="L260" s="385"/>
    </row>
    <row r="261" spans="2:12" x14ac:dyDescent="0.25">
      <c r="B261" s="540" t="s">
        <v>702</v>
      </c>
      <c r="C261" s="544"/>
      <c r="D261" s="550"/>
      <c r="E261" s="550"/>
      <c r="F261" s="550"/>
      <c r="G261" s="550"/>
      <c r="H261" s="550"/>
      <c r="I261" s="550"/>
      <c r="J261" s="550"/>
      <c r="K261" s="385"/>
      <c r="L261" s="385"/>
    </row>
    <row r="262" spans="2:12" x14ac:dyDescent="0.25">
      <c r="B262" s="540" t="s">
        <v>703</v>
      </c>
      <c r="C262" s="544" t="s">
        <v>716</v>
      </c>
      <c r="D262" s="550">
        <f>COUNTIFS($E$4:$E$191,$C$249,F$4:F$191,$C262)</f>
        <v>0</v>
      </c>
      <c r="E262" s="550">
        <f>COUNTIFS($E$4:$E$191,$C$249,K$4:K$191,$C262)</f>
        <v>0</v>
      </c>
      <c r="F262" s="550">
        <f>COUNTIFS($E$4:$E$191,$C$249,P$4:P$191,$C262)</f>
        <v>0</v>
      </c>
      <c r="G262" s="550">
        <f>COUNTIFS($E$4:$E$191,$C$249,I$4:I$191,$C262)</f>
        <v>0</v>
      </c>
      <c r="H262" s="550">
        <f>COUNTIFS($E$4:$E$191,$C$249,U$4:U$191,$C262)</f>
        <v>0</v>
      </c>
      <c r="I262" s="550">
        <f>COUNTIFS($E$4:$E$191,$C$249,AE$4:AE$191,$C262)</f>
        <v>0</v>
      </c>
      <c r="J262" s="550">
        <f>COUNTIFS($E$4:$E$191,$C$249,AJ$4:AJ$191,$C262)</f>
        <v>0</v>
      </c>
      <c r="K262" s="385"/>
      <c r="L262" s="385"/>
    </row>
    <row r="263" spans="2:12" x14ac:dyDescent="0.25">
      <c r="B263" s="540" t="s">
        <v>704</v>
      </c>
      <c r="C263" s="544"/>
      <c r="D263" s="550"/>
      <c r="E263" s="550"/>
      <c r="F263" s="550"/>
      <c r="G263" s="550"/>
      <c r="H263" s="550"/>
      <c r="I263" s="550"/>
      <c r="J263" s="550"/>
      <c r="K263" s="385"/>
      <c r="L263" s="385"/>
    </row>
    <row r="264" spans="2:12" x14ac:dyDescent="0.25">
      <c r="B264" s="536" t="s">
        <v>705</v>
      </c>
      <c r="C264" s="544" t="s">
        <v>156</v>
      </c>
      <c r="D264" s="550">
        <f>COUNTIFS($E$4:$E$191,$C$249,F$4:F$191,$C264)</f>
        <v>1</v>
      </c>
      <c r="E264" s="550">
        <f>COUNTIFS($E$4:$E$191,$C$249,K$4:K$191,$C264)</f>
        <v>1</v>
      </c>
      <c r="F264" s="550">
        <f>COUNTIFS($E$4:$E$191,$C$249,P$4:P$191,$C264)</f>
        <v>1</v>
      </c>
      <c r="G264" s="550">
        <f>COUNTIFS($E$4:$E$191,$C$249,I$4:I$191,$C264)</f>
        <v>1</v>
      </c>
      <c r="H264" s="550">
        <f>COUNTIFS($E$4:$E$191,$C$249,U$4:U$191,$C264)</f>
        <v>1</v>
      </c>
      <c r="I264" s="550">
        <f>COUNTIFS($E$4:$E$191,$C$249,AE$4:AE$191,$C264)</f>
        <v>1</v>
      </c>
      <c r="J264" s="550">
        <f>COUNTIFS($E$4:$E$191,$C$249,AJ$4:AJ$191,$C264)</f>
        <v>1</v>
      </c>
      <c r="K264" s="385"/>
      <c r="L264" s="385"/>
    </row>
    <row r="265" spans="2:12" x14ac:dyDescent="0.25">
      <c r="B265" s="536" t="s">
        <v>706</v>
      </c>
      <c r="C265" s="544"/>
      <c r="D265" s="552">
        <f>SUMIFS(J$4:J$191,$E4:$E191,$C249)</f>
        <v>6.9999999999999973</v>
      </c>
      <c r="E265" s="552">
        <f>SUMIFS(O$4:O$191,$E4:$E191,$C249)</f>
        <v>7.1666666666666643</v>
      </c>
      <c r="F265" s="552">
        <f>SUMIFS(T$4:T$191,$E4:$E191,$C249)</f>
        <v>7.6249999999999973</v>
      </c>
      <c r="G265" s="552">
        <f>SUMIFS(Y$4:Y$191,$E4:$E191,$C249)</f>
        <v>6.9583333333333313</v>
      </c>
      <c r="H265" s="552">
        <f>SUMIFS(AE$4:AE$191,$E4:$E191,$C249)</f>
        <v>8.1875000000000018</v>
      </c>
      <c r="I265" s="552">
        <f>SUMIFS(AI$4:AI$191,$E4:$E191,$C249)</f>
        <v>6.8333333333333313</v>
      </c>
      <c r="J265" s="552">
        <f>SUMIFS(AN$4:AN$191,$E4:$E191,$C249)</f>
        <v>6.7916666666666643</v>
      </c>
      <c r="K265" s="385"/>
      <c r="L265" s="385"/>
    </row>
    <row r="266" spans="2:12" ht="15.75" thickBot="1" x14ac:dyDescent="0.3">
      <c r="B266" s="536" t="s">
        <v>707</v>
      </c>
      <c r="C266" s="546"/>
      <c r="D266" s="550">
        <f>COUNTIF($E4:$E190,$C249)</f>
        <v>33</v>
      </c>
      <c r="E266" s="550">
        <f>D266</f>
        <v>33</v>
      </c>
      <c r="F266" s="550">
        <f t="shared" ref="F266:J266" si="23">E266</f>
        <v>33</v>
      </c>
      <c r="G266" s="550">
        <f t="shared" si="23"/>
        <v>33</v>
      </c>
      <c r="H266" s="550">
        <f t="shared" si="23"/>
        <v>33</v>
      </c>
      <c r="I266" s="550">
        <f t="shared" si="23"/>
        <v>33</v>
      </c>
      <c r="J266" s="550">
        <f t="shared" si="23"/>
        <v>33</v>
      </c>
      <c r="K266" s="385"/>
      <c r="L266" s="385"/>
    </row>
  </sheetData>
  <autoFilter ref="B3:BT36" xr:uid="{00000000-0009-0000-0000-000003000000}">
    <sortState xmlns:xlrd2="http://schemas.microsoft.com/office/spreadsheetml/2017/richdata2" ref="B4:BT36">
      <sortCondition ref="E3:E36"/>
    </sortState>
  </autoFilter>
  <mergeCells count="7">
    <mergeCell ref="AJ1:AN1"/>
    <mergeCell ref="F1:J1"/>
    <mergeCell ref="K1:O1"/>
    <mergeCell ref="P1:T1"/>
    <mergeCell ref="U1:Y1"/>
    <mergeCell ref="Z1:AD1"/>
    <mergeCell ref="AE1:AI1"/>
  </mergeCells>
  <phoneticPr fontId="17" type="noConversion"/>
  <conditionalFormatting sqref="J4:J36">
    <cfRule type="cellIs" dxfId="558" priority="38" operator="lessThan">
      <formula>0.333333333333333</formula>
    </cfRule>
    <cfRule type="cellIs" dxfId="557" priority="39" operator="greaterThan">
      <formula>0.333333333333333</formula>
    </cfRule>
  </conditionalFormatting>
  <conditionalFormatting sqref="O4:O36">
    <cfRule type="cellIs" dxfId="556" priority="4" operator="lessThan">
      <formula>0.333333333333333</formula>
    </cfRule>
    <cfRule type="cellIs" dxfId="555" priority="5" operator="greaterThan">
      <formula>0.333333333333333</formula>
    </cfRule>
  </conditionalFormatting>
  <conditionalFormatting sqref="T4:T36">
    <cfRule type="cellIs" dxfId="554" priority="22" operator="lessThan">
      <formula>0.333333333333333</formula>
    </cfRule>
    <cfRule type="cellIs" dxfId="553" priority="23" operator="greaterThan">
      <formula>0.333333333333333</formula>
    </cfRule>
  </conditionalFormatting>
  <conditionalFormatting sqref="Y4:Y36">
    <cfRule type="cellIs" dxfId="552" priority="10" operator="lessThan">
      <formula>0.333333333333333</formula>
    </cfRule>
    <cfRule type="cellIs" dxfId="551" priority="11" operator="greaterThan">
      <formula>0.333333333333333</formula>
    </cfRule>
  </conditionalFormatting>
  <conditionalFormatting sqref="AD4:AD36">
    <cfRule type="cellIs" dxfId="550" priority="14" operator="lessThan">
      <formula>0.333333333333333</formula>
    </cfRule>
    <cfRule type="cellIs" dxfId="549" priority="15" operator="greaterThan">
      <formula>0.333333333333333</formula>
    </cfRule>
  </conditionalFormatting>
  <conditionalFormatting sqref="AI4:AI36">
    <cfRule type="cellIs" dxfId="548" priority="6" operator="lessThan">
      <formula>0.333333333333333</formula>
    </cfRule>
    <cfRule type="cellIs" dxfId="547" priority="7" operator="greaterThan">
      <formula>0.333333333333333</formula>
    </cfRule>
  </conditionalFormatting>
  <conditionalFormatting sqref="AN4:AN36">
    <cfRule type="cellIs" dxfId="546" priority="24" operator="lessThan">
      <formula>0.333333333333333</formula>
    </cfRule>
    <cfRule type="cellIs" dxfId="545" priority="25" operator="greaterThan">
      <formula>0.333333333333333</formula>
    </cfRule>
  </conditionalFormatting>
  <conditionalFormatting sqref="C252">
    <cfRule type="cellIs" dxfId="1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BO266"/>
  <sheetViews>
    <sheetView tabSelected="1" zoomScale="80" zoomScaleNormal="80" workbookViewId="0">
      <pane xSplit="2" ySplit="3" topLeftCell="C121" activePane="bottomRight" state="frozen"/>
      <selection activeCell="G31" sqref="G31"/>
      <selection pane="topRight" activeCell="G31" sqref="G31"/>
      <selection pane="bottomLeft" activeCell="G31" sqref="G31"/>
      <selection pane="bottomRight" activeCell="G193" sqref="G193"/>
    </sheetView>
  </sheetViews>
  <sheetFormatPr baseColWidth="10" defaultColWidth="11.42578125" defaultRowHeight="12.75" x14ac:dyDescent="0.2"/>
  <cols>
    <col min="1" max="1" width="10.5703125" style="1" hidden="1" customWidth="1"/>
    <col min="2" max="2" width="20.140625" style="1" customWidth="1"/>
    <col min="3" max="3" width="10.7109375" style="1" bestFit="1" customWidth="1"/>
    <col min="4" max="4" width="6" style="1" bestFit="1" customWidth="1"/>
    <col min="5" max="5" width="10.7109375" style="1" bestFit="1" customWidth="1"/>
    <col min="6" max="6" width="8.5703125" style="1" bestFit="1" customWidth="1"/>
    <col min="7" max="7" width="8.85546875" style="1" bestFit="1" customWidth="1"/>
    <col min="8" max="8" width="6.42578125" style="1" customWidth="1"/>
    <col min="9" max="9" width="10.28515625" style="1" customWidth="1"/>
    <col min="10" max="11" width="9.85546875" style="1" bestFit="1" customWidth="1"/>
    <col min="12" max="12" width="9.28515625" style="1" customWidth="1"/>
    <col min="13" max="13" width="7.28515625" style="1" bestFit="1" customWidth="1"/>
    <col min="14" max="14" width="10.42578125" style="1" customWidth="1"/>
    <col min="15" max="15" width="9.85546875" style="1" bestFit="1" customWidth="1"/>
    <col min="16" max="16" width="8.5703125" style="1" bestFit="1" customWidth="1"/>
    <col min="17" max="17" width="9.28515625" style="1" customWidth="1"/>
    <col min="18" max="18" width="7.28515625" style="1" bestFit="1" customWidth="1"/>
    <col min="19" max="20" width="9.85546875" style="1" bestFit="1" customWidth="1"/>
    <col min="21" max="21" width="8.5703125" style="1" bestFit="1" customWidth="1"/>
    <col min="22" max="22" width="9.140625" style="1" bestFit="1" customWidth="1"/>
    <col min="23" max="23" width="7.28515625" style="1" bestFit="1" customWidth="1"/>
    <col min="24" max="25" width="9.85546875" style="1" bestFit="1" customWidth="1"/>
    <col min="26" max="26" width="9.5703125" style="1" bestFit="1" customWidth="1"/>
    <col min="27" max="27" width="10.28515625" style="1" customWidth="1"/>
    <col min="28" max="28" width="7.85546875" style="1" bestFit="1" customWidth="1"/>
    <col min="29" max="30" width="9.85546875" style="1" bestFit="1" customWidth="1"/>
    <col min="31" max="31" width="9.140625" style="1" bestFit="1" customWidth="1"/>
    <col min="32" max="32" width="9.28515625" style="1" customWidth="1"/>
    <col min="33" max="33" width="9.140625" style="1" bestFit="1" customWidth="1"/>
    <col min="34" max="34" width="9.85546875" style="1" bestFit="1" customWidth="1"/>
    <col min="35" max="35" width="9.7109375" style="1" customWidth="1"/>
    <col min="36" max="36" width="8.5703125" style="1" bestFit="1" customWidth="1"/>
    <col min="37" max="37" width="10.28515625" style="1" bestFit="1" customWidth="1"/>
    <col min="38" max="38" width="7.28515625" style="1" bestFit="1" customWidth="1"/>
    <col min="39" max="39" width="10.5703125" style="1" customWidth="1"/>
    <col min="40" max="40" width="9.85546875" style="1" bestFit="1" customWidth="1"/>
    <col min="41" max="41" width="10.5703125" style="1" customWidth="1"/>
    <col min="42" max="42" width="5.85546875" style="1" bestFit="1" customWidth="1"/>
    <col min="43" max="43" width="6.28515625" style="1" bestFit="1" customWidth="1"/>
    <col min="44" max="44" width="8.7109375" style="1" bestFit="1" customWidth="1"/>
    <col min="45" max="45" width="5.7109375" style="1" bestFit="1" customWidth="1"/>
    <col min="46" max="46" width="9.140625" style="1" bestFit="1" customWidth="1"/>
    <col min="47" max="47" width="7.28515625" style="1" bestFit="1" customWidth="1"/>
    <col min="48" max="48" width="9.5703125" style="1" bestFit="1" customWidth="1"/>
    <col min="49" max="49" width="2.28515625" style="1" bestFit="1" customWidth="1"/>
    <col min="50" max="50" width="6" style="1" bestFit="1" customWidth="1"/>
    <col min="51" max="51" width="5.85546875" style="1" bestFit="1" customWidth="1"/>
    <col min="52" max="52" width="6.28515625" style="1" bestFit="1" customWidth="1"/>
    <col min="53" max="53" width="9.140625" style="1" bestFit="1" customWidth="1"/>
    <col min="54" max="54" width="5.7109375" style="1" bestFit="1" customWidth="1"/>
    <col min="55" max="55" width="9.140625" style="1" bestFit="1" customWidth="1"/>
    <col min="56" max="56" width="7.28515625" style="1" bestFit="1" customWidth="1"/>
    <col min="57" max="57" width="9.5703125" style="1" bestFit="1" customWidth="1"/>
    <col min="58" max="58" width="11.42578125" style="1"/>
    <col min="59" max="59" width="6" style="1" bestFit="1" customWidth="1"/>
    <col min="60" max="61" width="6.7109375" style="1" bestFit="1" customWidth="1"/>
    <col min="62" max="62" width="9.140625" style="1" bestFit="1" customWidth="1"/>
    <col min="63" max="63" width="6.7109375" style="1" bestFit="1" customWidth="1"/>
    <col min="64" max="64" width="9.140625" style="1" bestFit="1" customWidth="1"/>
    <col min="65" max="65" width="7.28515625" style="1" bestFit="1" customWidth="1"/>
    <col min="66" max="66" width="9.5703125" style="1" bestFit="1" customWidth="1"/>
    <col min="67" max="67" width="1.7109375" style="1" bestFit="1" customWidth="1"/>
    <col min="68" max="16384" width="11.42578125" style="1"/>
  </cols>
  <sheetData>
    <row r="1" spans="1:67" s="4" customFormat="1" ht="13.5" thickBot="1" x14ac:dyDescent="0.25">
      <c r="A1" s="51" t="str">
        <f>"S"&amp;_xlfn.ISOWEEKNUM(F1)</f>
        <v>S20</v>
      </c>
      <c r="B1" s="135" t="str">
        <f>"S"&amp;_xlfn.ISOWEEKNUM(F1)</f>
        <v>S20</v>
      </c>
      <c r="C1" s="99"/>
      <c r="E1" s="1"/>
      <c r="F1" s="520">
        <f>'S&amp;E'!H3</f>
        <v>46153</v>
      </c>
      <c r="G1" s="521"/>
      <c r="H1" s="521"/>
      <c r="I1" s="521"/>
      <c r="J1" s="522"/>
      <c r="K1" s="520">
        <f>F1+1</f>
        <v>46154</v>
      </c>
      <c r="L1" s="521"/>
      <c r="M1" s="521"/>
      <c r="N1" s="521"/>
      <c r="O1" s="522"/>
      <c r="P1" s="520">
        <f>K1+1</f>
        <v>46155</v>
      </c>
      <c r="Q1" s="521"/>
      <c r="R1" s="521"/>
      <c r="S1" s="521"/>
      <c r="T1" s="522"/>
      <c r="U1" s="520">
        <f>P1+1</f>
        <v>46156</v>
      </c>
      <c r="V1" s="521"/>
      <c r="W1" s="521"/>
      <c r="X1" s="521"/>
      <c r="Y1" s="522"/>
      <c r="Z1" s="520">
        <f>U1+1</f>
        <v>46157</v>
      </c>
      <c r="AA1" s="521"/>
      <c r="AB1" s="521"/>
      <c r="AC1" s="521"/>
      <c r="AD1" s="522"/>
      <c r="AE1" s="520">
        <f>Z1+1</f>
        <v>46158</v>
      </c>
      <c r="AF1" s="521"/>
      <c r="AG1" s="521"/>
      <c r="AH1" s="521"/>
      <c r="AI1" s="522"/>
      <c r="AJ1" s="517">
        <f>AE1+1</f>
        <v>46159</v>
      </c>
      <c r="AK1" s="518"/>
      <c r="AL1" s="518"/>
      <c r="AM1" s="518"/>
      <c r="AN1" s="519"/>
      <c r="AO1" s="2">
        <v>1.6666666666666665</v>
      </c>
      <c r="AP1" s="3">
        <f>AO2/AO1</f>
        <v>20.675000000000001</v>
      </c>
      <c r="AT1" s="1"/>
      <c r="BO1" s="4" t="s">
        <v>0</v>
      </c>
    </row>
    <row r="2" spans="1:67" ht="14.25" thickTop="1" thickBot="1" x14ac:dyDescent="0.25">
      <c r="F2" s="68" t="s">
        <v>1</v>
      </c>
      <c r="G2" s="6">
        <f>J2/"8:00:00"</f>
        <v>17.875000000000004</v>
      </c>
      <c r="H2" s="7">
        <f>J2/$AO$2</f>
        <v>0.17291414752116085</v>
      </c>
      <c r="I2" s="69">
        <f>COUNT(F4:F88)</f>
        <v>26</v>
      </c>
      <c r="J2" s="9">
        <f>SUM(J4:J88)</f>
        <v>5.9583333333333339</v>
      </c>
      <c r="K2" s="68" t="s">
        <v>1</v>
      </c>
      <c r="L2" s="6">
        <f>O2/"8:00:00"</f>
        <v>21.625</v>
      </c>
      <c r="M2" s="7">
        <f>O2/$AO$2</f>
        <v>0.20918984280532046</v>
      </c>
      <c r="N2" s="69">
        <f>COUNT(K4:K88)</f>
        <v>31</v>
      </c>
      <c r="O2" s="9">
        <f>SUM(O4:O88)</f>
        <v>7.208333333333333</v>
      </c>
      <c r="P2" s="68" t="s">
        <v>1</v>
      </c>
      <c r="Q2" s="6">
        <f>T2/"8:00:00"</f>
        <v>22.875</v>
      </c>
      <c r="R2" s="7">
        <f>T2/$AO$2</f>
        <v>0.22128174123337366</v>
      </c>
      <c r="S2" s="69">
        <f>COUNT(P4:P88)</f>
        <v>30</v>
      </c>
      <c r="T2" s="9">
        <f>SUM(T4:T88)</f>
        <v>7.6249999999999991</v>
      </c>
      <c r="U2" s="68" t="s">
        <v>1</v>
      </c>
      <c r="V2" s="6">
        <f>Y2/"8:00:00"</f>
        <v>21.249999999999996</v>
      </c>
      <c r="W2" s="7">
        <f>Y2/$AO$2</f>
        <v>0.20556227327690446</v>
      </c>
      <c r="X2" s="69">
        <f>COUNT(U4:U88)</f>
        <v>29</v>
      </c>
      <c r="Y2" s="9">
        <f>SUM(Y4:Y88)</f>
        <v>7.0833333333333321</v>
      </c>
      <c r="Z2" s="68" t="s">
        <v>1</v>
      </c>
      <c r="AA2" s="6">
        <f>AD2/"8:00:00"</f>
        <v>20.25</v>
      </c>
      <c r="AB2" s="7">
        <f>AD2/$AO$2</f>
        <v>0.19588875453446192</v>
      </c>
      <c r="AC2" s="69">
        <f>COUNT(Z4:Z88)</f>
        <v>29</v>
      </c>
      <c r="AD2" s="9">
        <f>SUM(AD4:AD88)</f>
        <v>6.7499999999999991</v>
      </c>
      <c r="AE2" s="68" t="s">
        <v>1</v>
      </c>
      <c r="AF2" s="6">
        <f>AI2/"8:00:00"</f>
        <v>17.5</v>
      </c>
      <c r="AG2" s="7">
        <f>AI2/$AO$2</f>
        <v>0.16928657799274488</v>
      </c>
      <c r="AH2" s="69">
        <f>COUNT(AE4:AE88)</f>
        <v>23</v>
      </c>
      <c r="AI2" s="9">
        <f>SUM(AI4:AI88)</f>
        <v>5.833333333333333</v>
      </c>
      <c r="AJ2" s="68" t="s">
        <v>1</v>
      </c>
      <c r="AK2" s="6">
        <f>AN2/"8:00:00"</f>
        <v>16.5</v>
      </c>
      <c r="AL2" s="7">
        <f>AN2/$AO$2</f>
        <v>0.15961305925030231</v>
      </c>
      <c r="AM2" s="69">
        <f>COUNT(AJ4:AJ88)</f>
        <v>23</v>
      </c>
      <c r="AN2" s="9">
        <f>SUM(AN4:AN88)</f>
        <v>5.5</v>
      </c>
      <c r="AO2" s="9">
        <f>SUM(AO4:AO35)</f>
        <v>34.458333333333329</v>
      </c>
      <c r="AP2" s="9" t="s">
        <v>3</v>
      </c>
      <c r="AR2" s="12">
        <v>1.6666666666666667</v>
      </c>
    </row>
    <row r="3" spans="1:67" s="26" customFormat="1" ht="22.5" customHeight="1" thickBot="1" x14ac:dyDescent="0.3">
      <c r="A3" s="14" t="s">
        <v>247</v>
      </c>
      <c r="B3" s="15" t="s">
        <v>141</v>
      </c>
      <c r="C3" s="15" t="s">
        <v>80</v>
      </c>
      <c r="E3" s="16" t="s">
        <v>9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  <c r="AP3" s="24" t="s">
        <v>3</v>
      </c>
    </row>
    <row r="4" spans="1:67" ht="15" x14ac:dyDescent="0.25">
      <c r="A4" s="150" t="s">
        <v>293</v>
      </c>
      <c r="B4" s="144" t="s">
        <v>196</v>
      </c>
      <c r="C4" s="79" t="s">
        <v>67</v>
      </c>
      <c r="D4" s="146" t="s">
        <v>470</v>
      </c>
      <c r="E4" s="79" t="s">
        <v>352</v>
      </c>
      <c r="F4" s="433" t="s">
        <v>15</v>
      </c>
      <c r="G4" s="81" t="s">
        <v>15</v>
      </c>
      <c r="H4" s="324" t="s">
        <v>15</v>
      </c>
      <c r="I4" s="435" t="s">
        <v>15</v>
      </c>
      <c r="J4" s="73" t="str">
        <f t="shared" ref="J4:J46" si="0">IFERROR(MOD(I4-F4,1)-(H4-G4),"")</f>
        <v/>
      </c>
      <c r="K4" s="433" t="s">
        <v>15</v>
      </c>
      <c r="L4" s="98" t="s">
        <v>15</v>
      </c>
      <c r="M4" s="98" t="s">
        <v>15</v>
      </c>
      <c r="N4" s="433" t="s">
        <v>15</v>
      </c>
      <c r="O4" s="84" t="str">
        <f t="shared" ref="O4:O46" si="1">IFERROR(MOD(N4-K4,1)-(M4-L4),"")</f>
        <v/>
      </c>
      <c r="P4" s="182">
        <v>0.29166666666666669</v>
      </c>
      <c r="Q4" s="381"/>
      <c r="R4" s="159"/>
      <c r="S4" s="96">
        <v>0.54166666666666663</v>
      </c>
      <c r="T4" s="73">
        <f t="shared" ref="T4:T22" si="2">IFERROR(MOD(S4-P4,1)-(R4-Q4),"")</f>
        <v>0.24999999999999994</v>
      </c>
      <c r="U4" s="182">
        <v>0.29166666666666669</v>
      </c>
      <c r="V4" s="181"/>
      <c r="W4" s="181"/>
      <c r="X4" s="96">
        <v>0.54166666666666663</v>
      </c>
      <c r="Y4" s="73">
        <f t="shared" ref="Y4:Y46" si="3">IFERROR(MOD(X4-U4,1)-(W4-V4),"")</f>
        <v>0.24999999999999994</v>
      </c>
      <c r="Z4" s="182">
        <v>0.375</v>
      </c>
      <c r="AA4" s="181"/>
      <c r="AB4" s="181"/>
      <c r="AC4" s="96">
        <v>0.54166666666666663</v>
      </c>
      <c r="AD4" s="73">
        <f t="shared" ref="AD4:AD46" si="4">IFERROR(MOD(AC4-Z4,1)-(AB4-AA4),"")</f>
        <v>0.16666666666666663</v>
      </c>
      <c r="AE4" s="182">
        <v>0.375</v>
      </c>
      <c r="AF4" s="181"/>
      <c r="AG4" s="181"/>
      <c r="AH4" s="96">
        <v>0.54166666666666663</v>
      </c>
      <c r="AI4" s="73">
        <f t="shared" ref="AI4:AI22" si="5">IFERROR(MOD(AH4-AE4,1)-(AG4-AF4),"")</f>
        <v>0.16666666666666663</v>
      </c>
      <c r="AJ4" s="433" t="s">
        <v>15</v>
      </c>
      <c r="AK4" s="98" t="s">
        <v>15</v>
      </c>
      <c r="AL4" s="98" t="s">
        <v>15</v>
      </c>
      <c r="AM4" s="433" t="s">
        <v>15</v>
      </c>
      <c r="AN4" s="73" t="str">
        <f t="shared" ref="AN4:AN46" si="6">IFERROR(MOD(AM4-AJ4,1)-(AL4-AK4),"")</f>
        <v/>
      </c>
      <c r="AO4" s="28">
        <f t="shared" ref="AO4:AO67" si="7">SUM(J4,O4,T4,Y4,AD4,AI4,AN4)</f>
        <v>0.83333333333333315</v>
      </c>
      <c r="AP4" s="302"/>
      <c r="AR4" s="305">
        <f t="shared" ref="AR4:AR53" si="8">COUNTIF(F4:AN4,"OFF")/4</f>
        <v>3</v>
      </c>
    </row>
    <row r="5" spans="1:67" s="36" customFormat="1" ht="15" x14ac:dyDescent="0.25">
      <c r="A5" s="150" t="s">
        <v>275</v>
      </c>
      <c r="B5" s="144" t="s">
        <v>161</v>
      </c>
      <c r="C5" s="79" t="s">
        <v>67</v>
      </c>
      <c r="D5" s="146" t="s">
        <v>469</v>
      </c>
      <c r="E5" s="79" t="s">
        <v>352</v>
      </c>
      <c r="F5" s="88">
        <v>0.33333333333333331</v>
      </c>
      <c r="G5" s="172"/>
      <c r="H5" s="127"/>
      <c r="I5" s="82">
        <v>0.58333333333333337</v>
      </c>
      <c r="J5" s="73">
        <f t="shared" si="0"/>
        <v>0.25000000000000006</v>
      </c>
      <c r="K5" s="80">
        <v>0.33333333333333331</v>
      </c>
      <c r="L5" s="172"/>
      <c r="M5" s="127"/>
      <c r="N5" s="82">
        <v>0.58333333333333337</v>
      </c>
      <c r="O5" s="73">
        <f t="shared" si="1"/>
        <v>0.25000000000000006</v>
      </c>
      <c r="P5" s="80">
        <v>0.33333333333333331</v>
      </c>
      <c r="Q5" s="180"/>
      <c r="R5" s="180"/>
      <c r="S5" s="82">
        <v>0.58333333333333337</v>
      </c>
      <c r="T5" s="73">
        <f t="shared" si="2"/>
        <v>0.25000000000000006</v>
      </c>
      <c r="U5" s="80">
        <v>0.33333333333333331</v>
      </c>
      <c r="V5" s="180"/>
      <c r="W5" s="180"/>
      <c r="X5" s="82">
        <v>0.58333333333333337</v>
      </c>
      <c r="Y5" s="73">
        <f t="shared" si="3"/>
        <v>0.25000000000000006</v>
      </c>
      <c r="Z5" s="433" t="s">
        <v>15</v>
      </c>
      <c r="AA5" s="81" t="s">
        <v>15</v>
      </c>
      <c r="AB5" s="324" t="s">
        <v>15</v>
      </c>
      <c r="AC5" s="435" t="s">
        <v>15</v>
      </c>
      <c r="AD5" s="73" t="str">
        <f t="shared" si="4"/>
        <v/>
      </c>
      <c r="AE5" s="433" t="s">
        <v>15</v>
      </c>
      <c r="AF5" s="81" t="s">
        <v>15</v>
      </c>
      <c r="AG5" s="324" t="s">
        <v>15</v>
      </c>
      <c r="AH5" s="435" t="s">
        <v>15</v>
      </c>
      <c r="AI5" s="73" t="str">
        <f t="shared" si="5"/>
        <v/>
      </c>
      <c r="AJ5" s="433" t="s">
        <v>15</v>
      </c>
      <c r="AK5" s="81" t="s">
        <v>15</v>
      </c>
      <c r="AL5" s="324" t="s">
        <v>15</v>
      </c>
      <c r="AM5" s="435" t="s">
        <v>15</v>
      </c>
      <c r="AN5" s="73" t="str">
        <f t="shared" si="6"/>
        <v/>
      </c>
      <c r="AO5" s="28">
        <f t="shared" si="7"/>
        <v>1.0000000000000002</v>
      </c>
      <c r="AP5"/>
      <c r="AQ5" s="1"/>
      <c r="AR5" s="305">
        <f t="shared" si="8"/>
        <v>3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s="31" customFormat="1" ht="15" x14ac:dyDescent="0.25">
      <c r="A6" s="150" t="s">
        <v>278</v>
      </c>
      <c r="B6" s="125" t="s">
        <v>65</v>
      </c>
      <c r="C6" s="79" t="s">
        <v>67</v>
      </c>
      <c r="D6" s="146" t="s">
        <v>473</v>
      </c>
      <c r="E6" s="79" t="s">
        <v>352</v>
      </c>
      <c r="F6" s="433" t="s">
        <v>15</v>
      </c>
      <c r="G6" s="81" t="s">
        <v>15</v>
      </c>
      <c r="H6" s="324" t="s">
        <v>15</v>
      </c>
      <c r="I6" s="435" t="s">
        <v>15</v>
      </c>
      <c r="J6" s="73" t="str">
        <f t="shared" si="0"/>
        <v/>
      </c>
      <c r="K6" s="434" t="s">
        <v>15</v>
      </c>
      <c r="L6" s="324" t="s">
        <v>15</v>
      </c>
      <c r="M6" s="324" t="s">
        <v>15</v>
      </c>
      <c r="N6" s="435" t="s">
        <v>15</v>
      </c>
      <c r="O6" s="73" t="str">
        <f t="shared" si="1"/>
        <v/>
      </c>
      <c r="P6" s="80">
        <v>0.375</v>
      </c>
      <c r="Q6" s="128"/>
      <c r="R6" s="127"/>
      <c r="S6" s="82">
        <v>0.625</v>
      </c>
      <c r="T6" s="73">
        <f t="shared" si="2"/>
        <v>0.25</v>
      </c>
      <c r="U6" s="80">
        <v>0.375</v>
      </c>
      <c r="V6" s="128"/>
      <c r="W6" s="127"/>
      <c r="X6" s="82">
        <v>0.625</v>
      </c>
      <c r="Y6" s="73">
        <f t="shared" si="3"/>
        <v>0.25</v>
      </c>
      <c r="Z6" s="80">
        <v>0.375</v>
      </c>
      <c r="AA6" s="128"/>
      <c r="AB6" s="127"/>
      <c r="AC6" s="80">
        <v>0.625</v>
      </c>
      <c r="AD6" s="73">
        <f t="shared" si="4"/>
        <v>0.25</v>
      </c>
      <c r="AE6" s="80">
        <v>0.375</v>
      </c>
      <c r="AF6" s="126"/>
      <c r="AG6" s="127"/>
      <c r="AH6" s="82">
        <v>0.625</v>
      </c>
      <c r="AI6" s="73">
        <f t="shared" si="5"/>
        <v>0.25</v>
      </c>
      <c r="AJ6" s="433" t="s">
        <v>15</v>
      </c>
      <c r="AK6" s="81" t="s">
        <v>15</v>
      </c>
      <c r="AL6" s="324" t="s">
        <v>15</v>
      </c>
      <c r="AM6" s="435" t="s">
        <v>15</v>
      </c>
      <c r="AN6" s="73" t="str">
        <f t="shared" si="6"/>
        <v/>
      </c>
      <c r="AO6" s="28">
        <f t="shared" si="7"/>
        <v>1</v>
      </c>
      <c r="AP6"/>
      <c r="AQ6" s="1"/>
      <c r="AR6" s="305">
        <f t="shared" si="8"/>
        <v>3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s="31" customFormat="1" ht="15" x14ac:dyDescent="0.25">
      <c r="A7" s="150" t="s">
        <v>258</v>
      </c>
      <c r="B7" s="144" t="s">
        <v>162</v>
      </c>
      <c r="C7" s="79" t="s">
        <v>67</v>
      </c>
      <c r="D7" s="146" t="s">
        <v>475</v>
      </c>
      <c r="E7" s="79" t="s">
        <v>352</v>
      </c>
      <c r="F7" s="433" t="s">
        <v>15</v>
      </c>
      <c r="G7" s="81" t="s">
        <v>15</v>
      </c>
      <c r="H7" s="324" t="s">
        <v>15</v>
      </c>
      <c r="I7" s="435" t="s">
        <v>15</v>
      </c>
      <c r="J7" s="73" t="str">
        <f t="shared" si="0"/>
        <v/>
      </c>
      <c r="K7" s="88">
        <v>0.54166666666666663</v>
      </c>
      <c r="L7" s="128"/>
      <c r="M7" s="127"/>
      <c r="N7" s="83">
        <v>0.79166666666666663</v>
      </c>
      <c r="O7" s="73">
        <f t="shared" si="1"/>
        <v>0.25</v>
      </c>
      <c r="P7" s="88">
        <v>0.375</v>
      </c>
      <c r="Q7" s="180"/>
      <c r="R7" s="180"/>
      <c r="S7" s="83">
        <v>0.625</v>
      </c>
      <c r="T7" s="73">
        <f t="shared" si="2"/>
        <v>0.25</v>
      </c>
      <c r="U7" s="88">
        <v>0.625</v>
      </c>
      <c r="V7" s="179"/>
      <c r="W7" s="180"/>
      <c r="X7" s="82">
        <v>0.875</v>
      </c>
      <c r="Y7" s="73">
        <f t="shared" si="3"/>
        <v>0.25</v>
      </c>
      <c r="Z7" s="88">
        <v>0.625</v>
      </c>
      <c r="AA7" s="306"/>
      <c r="AB7" s="127"/>
      <c r="AC7" s="153">
        <v>0.875</v>
      </c>
      <c r="AD7" s="73">
        <f t="shared" si="4"/>
        <v>0.25</v>
      </c>
      <c r="AE7" s="434" t="s">
        <v>15</v>
      </c>
      <c r="AF7" s="324" t="s">
        <v>15</v>
      </c>
      <c r="AG7" s="324" t="s">
        <v>15</v>
      </c>
      <c r="AH7" s="435" t="s">
        <v>15</v>
      </c>
      <c r="AI7" s="73" t="str">
        <f t="shared" si="5"/>
        <v/>
      </c>
      <c r="AJ7" s="434" t="s">
        <v>15</v>
      </c>
      <c r="AK7" s="324" t="s">
        <v>15</v>
      </c>
      <c r="AL7" s="324" t="s">
        <v>15</v>
      </c>
      <c r="AM7" s="435" t="s">
        <v>15</v>
      </c>
      <c r="AN7" s="73" t="str">
        <f t="shared" si="6"/>
        <v/>
      </c>
      <c r="AO7" s="28">
        <f t="shared" si="7"/>
        <v>1</v>
      </c>
      <c r="AP7"/>
      <c r="AQ7" s="1"/>
      <c r="AR7" s="305">
        <f t="shared" si="8"/>
        <v>3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ht="15" x14ac:dyDescent="0.25">
      <c r="A8" s="150" t="s">
        <v>274</v>
      </c>
      <c r="B8" s="144" t="s">
        <v>157</v>
      </c>
      <c r="C8" s="79" t="s">
        <v>67</v>
      </c>
      <c r="D8" s="146" t="s">
        <v>476</v>
      </c>
      <c r="E8" s="79" t="s">
        <v>352</v>
      </c>
      <c r="F8" s="433" t="s">
        <v>15</v>
      </c>
      <c r="G8" s="81" t="s">
        <v>15</v>
      </c>
      <c r="H8" s="324" t="s">
        <v>15</v>
      </c>
      <c r="I8" s="435" t="s">
        <v>15</v>
      </c>
      <c r="J8" s="73" t="str">
        <f t="shared" si="0"/>
        <v/>
      </c>
      <c r="K8" s="80">
        <v>0.625</v>
      </c>
      <c r="L8" s="128"/>
      <c r="M8" s="127"/>
      <c r="N8" s="101">
        <v>0.875</v>
      </c>
      <c r="O8" s="73">
        <f t="shared" si="1"/>
        <v>0.25</v>
      </c>
      <c r="P8" s="88">
        <v>0.625</v>
      </c>
      <c r="Q8" s="179"/>
      <c r="R8" s="180"/>
      <c r="S8" s="82">
        <v>0.875</v>
      </c>
      <c r="T8" s="73">
        <f t="shared" si="2"/>
        <v>0.25</v>
      </c>
      <c r="U8" s="88">
        <v>0.625</v>
      </c>
      <c r="V8" s="179"/>
      <c r="W8" s="180"/>
      <c r="X8" s="82">
        <v>0.875</v>
      </c>
      <c r="Y8" s="73">
        <f t="shared" si="3"/>
        <v>0.25</v>
      </c>
      <c r="Z8" s="80">
        <v>0.625</v>
      </c>
      <c r="AA8" s="172"/>
      <c r="AB8" s="127"/>
      <c r="AC8" s="152">
        <v>0.875</v>
      </c>
      <c r="AD8" s="73">
        <f t="shared" si="4"/>
        <v>0.25</v>
      </c>
      <c r="AE8" s="434" t="s">
        <v>15</v>
      </c>
      <c r="AF8" s="324" t="s">
        <v>15</v>
      </c>
      <c r="AG8" s="324" t="s">
        <v>15</v>
      </c>
      <c r="AH8" s="434" t="s">
        <v>15</v>
      </c>
      <c r="AI8" s="73" t="str">
        <f t="shared" si="5"/>
        <v/>
      </c>
      <c r="AJ8" s="434" t="s">
        <v>15</v>
      </c>
      <c r="AK8" s="324" t="s">
        <v>15</v>
      </c>
      <c r="AL8" s="324" t="s">
        <v>15</v>
      </c>
      <c r="AM8" s="434" t="s">
        <v>15</v>
      </c>
      <c r="AN8" s="73" t="str">
        <f t="shared" si="6"/>
        <v/>
      </c>
      <c r="AO8" s="28">
        <f t="shared" si="7"/>
        <v>1</v>
      </c>
      <c r="AP8" s="302"/>
      <c r="AR8" s="305">
        <f t="shared" si="8"/>
        <v>3</v>
      </c>
    </row>
    <row r="9" spans="1:67" ht="15" x14ac:dyDescent="0.25">
      <c r="A9" s="150" t="s">
        <v>273</v>
      </c>
      <c r="B9" s="125" t="s">
        <v>47</v>
      </c>
      <c r="C9" s="79" t="s">
        <v>67</v>
      </c>
      <c r="D9" s="146" t="s">
        <v>474</v>
      </c>
      <c r="E9" s="79" t="s">
        <v>352</v>
      </c>
      <c r="F9" s="294">
        <v>0.75</v>
      </c>
      <c r="G9" s="126"/>
      <c r="H9" s="127"/>
      <c r="I9" s="183">
        <v>0.91666666666666663</v>
      </c>
      <c r="J9" s="84">
        <f t="shared" si="0"/>
        <v>0.16666666666666663</v>
      </c>
      <c r="K9" s="80">
        <v>0.75</v>
      </c>
      <c r="L9" s="128"/>
      <c r="M9" s="127"/>
      <c r="N9" s="83">
        <v>0.91666666666666663</v>
      </c>
      <c r="O9" s="84">
        <f t="shared" si="1"/>
        <v>0.16666666666666663</v>
      </c>
      <c r="P9" s="294">
        <v>0.75</v>
      </c>
      <c r="Q9" s="179"/>
      <c r="R9" s="180"/>
      <c r="S9" s="183">
        <v>0.91666666666666663</v>
      </c>
      <c r="T9" s="84">
        <f t="shared" si="2"/>
        <v>0.16666666666666663</v>
      </c>
      <c r="U9" s="294">
        <v>0.75</v>
      </c>
      <c r="V9" s="126"/>
      <c r="W9" s="127"/>
      <c r="X9" s="183">
        <v>0.91666666666666663</v>
      </c>
      <c r="Y9" s="84">
        <f t="shared" si="3"/>
        <v>0.16666666666666663</v>
      </c>
      <c r="Z9" s="294">
        <v>0.75</v>
      </c>
      <c r="AA9" s="126"/>
      <c r="AB9" s="127"/>
      <c r="AC9" s="183">
        <v>0.91666666666666663</v>
      </c>
      <c r="AD9" s="84">
        <f t="shared" si="4"/>
        <v>0.16666666666666663</v>
      </c>
      <c r="AE9" s="433" t="s">
        <v>15</v>
      </c>
      <c r="AF9" s="81" t="s">
        <v>15</v>
      </c>
      <c r="AG9" s="324" t="s">
        <v>15</v>
      </c>
      <c r="AH9" s="435" t="s">
        <v>15</v>
      </c>
      <c r="AI9" s="84" t="str">
        <f t="shared" si="5"/>
        <v/>
      </c>
      <c r="AJ9" s="433" t="s">
        <v>15</v>
      </c>
      <c r="AK9" s="81" t="s">
        <v>15</v>
      </c>
      <c r="AL9" s="324" t="s">
        <v>15</v>
      </c>
      <c r="AM9" s="435" t="s">
        <v>15</v>
      </c>
      <c r="AN9" s="84" t="str">
        <f t="shared" si="6"/>
        <v/>
      </c>
      <c r="AO9" s="28">
        <f t="shared" si="7"/>
        <v>0.83333333333333315</v>
      </c>
      <c r="AP9" s="302"/>
      <c r="AR9" s="305">
        <f t="shared" si="8"/>
        <v>2</v>
      </c>
    </row>
    <row r="10" spans="1:67" ht="15" x14ac:dyDescent="0.25">
      <c r="A10" s="150" t="s">
        <v>274</v>
      </c>
      <c r="B10" s="144" t="s">
        <v>63</v>
      </c>
      <c r="C10" s="79" t="s">
        <v>67</v>
      </c>
      <c r="D10" s="146" t="s">
        <v>468</v>
      </c>
      <c r="E10" s="79" t="s">
        <v>352</v>
      </c>
      <c r="F10" s="182" t="s">
        <v>159</v>
      </c>
      <c r="G10" s="382" t="s">
        <v>159</v>
      </c>
      <c r="H10" s="220" t="s">
        <v>159</v>
      </c>
      <c r="I10" s="382" t="s">
        <v>159</v>
      </c>
      <c r="J10" s="73" t="str">
        <f t="shared" si="0"/>
        <v/>
      </c>
      <c r="K10" s="182" t="s">
        <v>159</v>
      </c>
      <c r="L10" s="382" t="s">
        <v>159</v>
      </c>
      <c r="M10" s="220" t="s">
        <v>159</v>
      </c>
      <c r="N10" s="382" t="s">
        <v>159</v>
      </c>
      <c r="O10" s="73" t="str">
        <f t="shared" si="1"/>
        <v/>
      </c>
      <c r="P10" s="220" t="s">
        <v>159</v>
      </c>
      <c r="Q10" s="220" t="s">
        <v>159</v>
      </c>
      <c r="R10" s="220" t="s">
        <v>159</v>
      </c>
      <c r="S10" s="383" t="s">
        <v>159</v>
      </c>
      <c r="T10" s="73" t="str">
        <f t="shared" si="2"/>
        <v/>
      </c>
      <c r="U10" s="220" t="s">
        <v>159</v>
      </c>
      <c r="V10" s="220" t="s">
        <v>159</v>
      </c>
      <c r="W10" s="220" t="s">
        <v>159</v>
      </c>
      <c r="X10" s="383" t="s">
        <v>159</v>
      </c>
      <c r="Y10" s="73" t="str">
        <f t="shared" si="3"/>
        <v/>
      </c>
      <c r="Z10" s="182" t="s">
        <v>159</v>
      </c>
      <c r="AA10" s="382" t="s">
        <v>159</v>
      </c>
      <c r="AB10" s="220" t="s">
        <v>159</v>
      </c>
      <c r="AC10" s="382" t="s">
        <v>159</v>
      </c>
      <c r="AD10" s="73" t="str">
        <f t="shared" si="4"/>
        <v/>
      </c>
      <c r="AE10" s="182" t="s">
        <v>159</v>
      </c>
      <c r="AF10" s="382" t="s">
        <v>159</v>
      </c>
      <c r="AG10" s="220" t="s">
        <v>159</v>
      </c>
      <c r="AH10" s="382" t="s">
        <v>159</v>
      </c>
      <c r="AI10" s="73" t="str">
        <f t="shared" si="5"/>
        <v/>
      </c>
      <c r="AJ10" s="182" t="s">
        <v>159</v>
      </c>
      <c r="AK10" s="382" t="s">
        <v>159</v>
      </c>
      <c r="AL10" s="220" t="s">
        <v>159</v>
      </c>
      <c r="AM10" s="382" t="s">
        <v>159</v>
      </c>
      <c r="AN10" s="73" t="str">
        <f t="shared" si="6"/>
        <v/>
      </c>
      <c r="AO10" s="28">
        <f t="shared" si="7"/>
        <v>0</v>
      </c>
      <c r="AP10" s="302"/>
      <c r="AR10" s="305">
        <f t="shared" si="8"/>
        <v>0</v>
      </c>
    </row>
    <row r="11" spans="1:67" ht="15" x14ac:dyDescent="0.25">
      <c r="A11" s="150" t="s">
        <v>265</v>
      </c>
      <c r="B11" s="125" t="s">
        <v>64</v>
      </c>
      <c r="C11" s="79" t="s">
        <v>67</v>
      </c>
      <c r="D11" s="146" t="s">
        <v>471</v>
      </c>
      <c r="E11" s="79" t="s">
        <v>352</v>
      </c>
      <c r="F11" s="88">
        <v>0.375</v>
      </c>
      <c r="G11" s="126"/>
      <c r="H11" s="127"/>
      <c r="I11" s="82">
        <v>0.625</v>
      </c>
      <c r="J11" s="73">
        <f t="shared" si="0"/>
        <v>0.25</v>
      </c>
      <c r="K11" s="88">
        <v>0.66666666666666663</v>
      </c>
      <c r="L11" s="306"/>
      <c r="M11" s="127"/>
      <c r="N11" s="82">
        <v>0.91666666666666663</v>
      </c>
      <c r="O11" s="73">
        <f t="shared" si="1"/>
        <v>0.25</v>
      </c>
      <c r="P11" s="88">
        <v>0.66666666666666663</v>
      </c>
      <c r="Q11" s="306"/>
      <c r="R11" s="127"/>
      <c r="S11" s="82">
        <v>0.91666666666666663</v>
      </c>
      <c r="T11" s="73">
        <f t="shared" si="2"/>
        <v>0.25</v>
      </c>
      <c r="U11" s="434" t="s">
        <v>15</v>
      </c>
      <c r="V11" s="81" t="s">
        <v>15</v>
      </c>
      <c r="W11" s="324" t="s">
        <v>15</v>
      </c>
      <c r="X11" s="435" t="s">
        <v>15</v>
      </c>
      <c r="Y11" s="73" t="str">
        <f t="shared" si="3"/>
        <v/>
      </c>
      <c r="Z11" s="434" t="s">
        <v>15</v>
      </c>
      <c r="AA11" s="81" t="s">
        <v>15</v>
      </c>
      <c r="AB11" s="324" t="s">
        <v>15</v>
      </c>
      <c r="AC11" s="435" t="s">
        <v>15</v>
      </c>
      <c r="AD11" s="73" t="str">
        <f t="shared" si="4"/>
        <v/>
      </c>
      <c r="AE11" s="88">
        <v>0.29166666666666669</v>
      </c>
      <c r="AF11" s="126"/>
      <c r="AG11" s="127"/>
      <c r="AH11" s="82">
        <v>0.54166666666666663</v>
      </c>
      <c r="AI11" s="73">
        <f t="shared" si="5"/>
        <v>0.24999999999999994</v>
      </c>
      <c r="AJ11" s="88">
        <v>0.29166666666666669</v>
      </c>
      <c r="AK11" s="126"/>
      <c r="AL11" s="127"/>
      <c r="AM11" s="82">
        <v>0.54166666666666663</v>
      </c>
      <c r="AN11" s="73">
        <f t="shared" si="6"/>
        <v>0.24999999999999994</v>
      </c>
      <c r="AO11" s="28">
        <f t="shared" si="7"/>
        <v>1.25</v>
      </c>
      <c r="AP11"/>
      <c r="AR11" s="305">
        <f t="shared" si="8"/>
        <v>2</v>
      </c>
    </row>
    <row r="12" spans="1:67" ht="15" x14ac:dyDescent="0.25">
      <c r="A12" s="150" t="s">
        <v>269</v>
      </c>
      <c r="B12" s="148" t="s">
        <v>59</v>
      </c>
      <c r="C12" s="79" t="s">
        <v>67</v>
      </c>
      <c r="D12" s="146" t="s">
        <v>472</v>
      </c>
      <c r="E12" s="79" t="s">
        <v>719</v>
      </c>
      <c r="F12" s="182">
        <v>0.375</v>
      </c>
      <c r="G12" s="179"/>
      <c r="H12" s="180"/>
      <c r="I12" s="100">
        <v>0.54166666666666663</v>
      </c>
      <c r="J12" s="73">
        <f t="shared" si="0"/>
        <v>0.16666666666666663</v>
      </c>
      <c r="K12" s="182">
        <v>0.375</v>
      </c>
      <c r="L12" s="179"/>
      <c r="M12" s="180"/>
      <c r="N12" s="100">
        <v>0.54166666666666663</v>
      </c>
      <c r="O12" s="73">
        <f t="shared" si="1"/>
        <v>0.16666666666666663</v>
      </c>
      <c r="P12" s="434" t="s">
        <v>15</v>
      </c>
      <c r="Q12" s="324" t="s">
        <v>15</v>
      </c>
      <c r="R12" s="324" t="s">
        <v>15</v>
      </c>
      <c r="S12" s="435" t="s">
        <v>15</v>
      </c>
      <c r="T12" s="73" t="str">
        <f t="shared" si="2"/>
        <v/>
      </c>
      <c r="U12" s="434" t="s">
        <v>15</v>
      </c>
      <c r="V12" s="324" t="s">
        <v>15</v>
      </c>
      <c r="W12" s="324" t="s">
        <v>15</v>
      </c>
      <c r="X12" s="435" t="s">
        <v>15</v>
      </c>
      <c r="Y12" s="73" t="str">
        <f t="shared" si="3"/>
        <v/>
      </c>
      <c r="Z12" s="220">
        <v>0.375</v>
      </c>
      <c r="AA12" s="180"/>
      <c r="AB12" s="180"/>
      <c r="AC12" s="100">
        <v>0.54166666666666663</v>
      </c>
      <c r="AD12" s="73">
        <f t="shared" si="4"/>
        <v>0.16666666666666663</v>
      </c>
      <c r="AE12" s="182">
        <v>0.375</v>
      </c>
      <c r="AF12" s="179"/>
      <c r="AG12" s="180"/>
      <c r="AH12" s="100">
        <v>0.54166666666666663</v>
      </c>
      <c r="AI12" s="73">
        <f t="shared" si="5"/>
        <v>0.16666666666666663</v>
      </c>
      <c r="AJ12" s="182">
        <v>0.375</v>
      </c>
      <c r="AK12" s="179"/>
      <c r="AL12" s="180"/>
      <c r="AM12" s="100">
        <v>0.54166666666666663</v>
      </c>
      <c r="AN12" s="73">
        <f t="shared" si="6"/>
        <v>0.16666666666666663</v>
      </c>
      <c r="AO12" s="28">
        <f t="shared" si="7"/>
        <v>0.83333333333333315</v>
      </c>
      <c r="AP12" s="302"/>
      <c r="AR12" s="305">
        <f t="shared" si="8"/>
        <v>2</v>
      </c>
    </row>
    <row r="13" spans="1:67" ht="15" x14ac:dyDescent="0.25">
      <c r="A13" s="150" t="s">
        <v>264</v>
      </c>
      <c r="B13" s="144" t="s">
        <v>199</v>
      </c>
      <c r="C13" s="77" t="s">
        <v>68</v>
      </c>
      <c r="D13" s="146" t="s">
        <v>483</v>
      </c>
      <c r="E13" s="79" t="s">
        <v>352</v>
      </c>
      <c r="F13" s="433" t="s">
        <v>15</v>
      </c>
      <c r="G13" s="81" t="s">
        <v>15</v>
      </c>
      <c r="H13" s="324" t="s">
        <v>15</v>
      </c>
      <c r="I13" s="435" t="s">
        <v>15</v>
      </c>
      <c r="J13" s="73" t="str">
        <f t="shared" si="0"/>
        <v/>
      </c>
      <c r="K13" s="80">
        <v>0.29166666666666669</v>
      </c>
      <c r="L13" s="126"/>
      <c r="M13" s="127"/>
      <c r="N13" s="83">
        <v>0.54166666666666663</v>
      </c>
      <c r="O13" s="73">
        <f t="shared" si="1"/>
        <v>0.24999999999999994</v>
      </c>
      <c r="P13" s="220">
        <v>0.29166666666666669</v>
      </c>
      <c r="Q13" s="180"/>
      <c r="R13" s="180"/>
      <c r="S13" s="100">
        <v>0.54166666666666663</v>
      </c>
      <c r="T13" s="73">
        <f t="shared" si="2"/>
        <v>0.24999999999999994</v>
      </c>
      <c r="U13" s="220">
        <v>0.29166666666666669</v>
      </c>
      <c r="V13" s="172"/>
      <c r="W13" s="127"/>
      <c r="X13" s="100">
        <v>0.54166666666666663</v>
      </c>
      <c r="Y13" s="73">
        <f t="shared" si="3"/>
        <v>0.24999999999999994</v>
      </c>
      <c r="Z13" s="182">
        <v>0.66666666666666663</v>
      </c>
      <c r="AA13" s="179"/>
      <c r="AB13" s="180"/>
      <c r="AC13" s="100">
        <v>0.91666666666666663</v>
      </c>
      <c r="AD13" s="73">
        <f t="shared" si="4"/>
        <v>0.25</v>
      </c>
      <c r="AE13" s="433" t="s">
        <v>15</v>
      </c>
      <c r="AF13" s="81" t="s">
        <v>15</v>
      </c>
      <c r="AG13" s="324" t="s">
        <v>15</v>
      </c>
      <c r="AH13" s="435" t="s">
        <v>15</v>
      </c>
      <c r="AI13" s="73" t="str">
        <f t="shared" si="5"/>
        <v/>
      </c>
      <c r="AJ13" s="434" t="s">
        <v>15</v>
      </c>
      <c r="AK13" s="324" t="s">
        <v>15</v>
      </c>
      <c r="AL13" s="324" t="s">
        <v>15</v>
      </c>
      <c r="AM13" s="435" t="s">
        <v>15</v>
      </c>
      <c r="AN13" s="73" t="str">
        <f t="shared" si="6"/>
        <v/>
      </c>
      <c r="AO13" s="28">
        <f t="shared" si="7"/>
        <v>0.99999999999999978</v>
      </c>
      <c r="AP13" s="302"/>
      <c r="AQ13" s="31"/>
      <c r="AR13" s="305">
        <f t="shared" si="8"/>
        <v>3</v>
      </c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</row>
    <row r="14" spans="1:67" ht="15" x14ac:dyDescent="0.25">
      <c r="A14" s="150" t="s">
        <v>278</v>
      </c>
      <c r="B14" s="144" t="s">
        <v>144</v>
      </c>
      <c r="C14" s="77" t="s">
        <v>68</v>
      </c>
      <c r="D14" s="146" t="s">
        <v>478</v>
      </c>
      <c r="E14" s="79" t="s">
        <v>352</v>
      </c>
      <c r="F14" s="80">
        <v>0.29166666666666669</v>
      </c>
      <c r="G14" s="172"/>
      <c r="H14" s="127"/>
      <c r="I14" s="80">
        <v>0.54166666666666663</v>
      </c>
      <c r="J14" s="73">
        <f t="shared" si="0"/>
        <v>0.24999999999999994</v>
      </c>
      <c r="K14" s="80">
        <v>0.375</v>
      </c>
      <c r="L14" s="128"/>
      <c r="M14" s="127"/>
      <c r="N14" s="82">
        <v>0.625</v>
      </c>
      <c r="O14" s="73">
        <f t="shared" si="1"/>
        <v>0.25</v>
      </c>
      <c r="P14" s="88">
        <v>0.375</v>
      </c>
      <c r="Q14" s="180"/>
      <c r="R14" s="180"/>
      <c r="S14" s="82">
        <v>0.625</v>
      </c>
      <c r="T14" s="73">
        <f t="shared" si="2"/>
        <v>0.25</v>
      </c>
      <c r="U14" s="88">
        <v>0.54166666666666663</v>
      </c>
      <c r="V14" s="306"/>
      <c r="W14" s="127"/>
      <c r="X14" s="82">
        <v>0.79166666666666663</v>
      </c>
      <c r="Y14" s="73">
        <f t="shared" si="3"/>
        <v>0.25</v>
      </c>
      <c r="Z14" s="433" t="s">
        <v>15</v>
      </c>
      <c r="AA14" s="81" t="s">
        <v>15</v>
      </c>
      <c r="AB14" s="324" t="s">
        <v>15</v>
      </c>
      <c r="AC14" s="435" t="s">
        <v>15</v>
      </c>
      <c r="AD14" s="73" t="str">
        <f t="shared" si="4"/>
        <v/>
      </c>
      <c r="AE14" s="433" t="s">
        <v>15</v>
      </c>
      <c r="AF14" s="81" t="s">
        <v>15</v>
      </c>
      <c r="AG14" s="324" t="s">
        <v>15</v>
      </c>
      <c r="AH14" s="435" t="s">
        <v>15</v>
      </c>
      <c r="AI14" s="73" t="str">
        <f t="shared" si="5"/>
        <v/>
      </c>
      <c r="AJ14" s="220">
        <v>0.29166666666666669</v>
      </c>
      <c r="AK14" s="180"/>
      <c r="AL14" s="180"/>
      <c r="AM14" s="100">
        <v>0.54166666666666663</v>
      </c>
      <c r="AN14" s="73">
        <f t="shared" si="6"/>
        <v>0.24999999999999994</v>
      </c>
      <c r="AO14" s="28">
        <f t="shared" si="7"/>
        <v>1.25</v>
      </c>
      <c r="AP14" s="302"/>
      <c r="AR14" s="305">
        <f t="shared" si="8"/>
        <v>2</v>
      </c>
    </row>
    <row r="15" spans="1:67" ht="15" x14ac:dyDescent="0.25">
      <c r="A15" s="150" t="s">
        <v>289</v>
      </c>
      <c r="B15" s="144" t="s">
        <v>89</v>
      </c>
      <c r="C15" s="77" t="s">
        <v>68</v>
      </c>
      <c r="D15" s="146" t="s">
        <v>477</v>
      </c>
      <c r="E15" s="79" t="s">
        <v>352</v>
      </c>
      <c r="F15" s="80">
        <v>0.29166666666666669</v>
      </c>
      <c r="G15" s="172"/>
      <c r="H15" s="127"/>
      <c r="I15" s="82">
        <v>0.54166666666666663</v>
      </c>
      <c r="J15" s="73">
        <f t="shared" si="0"/>
        <v>0.24999999999999994</v>
      </c>
      <c r="K15" s="80">
        <v>0.29166666666666669</v>
      </c>
      <c r="L15" s="128"/>
      <c r="M15" s="127"/>
      <c r="N15" s="82">
        <v>0.54166666666666663</v>
      </c>
      <c r="O15" s="73">
        <f t="shared" si="1"/>
        <v>0.24999999999999994</v>
      </c>
      <c r="P15" s="80">
        <v>0.375</v>
      </c>
      <c r="Q15" s="180"/>
      <c r="R15" s="180"/>
      <c r="S15" s="88">
        <v>0.625</v>
      </c>
      <c r="T15" s="73">
        <f t="shared" si="2"/>
        <v>0.25</v>
      </c>
      <c r="U15" s="80">
        <v>0.875</v>
      </c>
      <c r="V15" s="126">
        <v>4.1666666666666664E-2</v>
      </c>
      <c r="W15" s="127">
        <v>0.125</v>
      </c>
      <c r="X15" s="82">
        <v>0.29166666666666669</v>
      </c>
      <c r="Y15" s="73">
        <f t="shared" si="3"/>
        <v>0.33333333333333337</v>
      </c>
      <c r="Z15" s="433" t="s">
        <v>15</v>
      </c>
      <c r="AA15" s="81" t="s">
        <v>15</v>
      </c>
      <c r="AB15" s="324" t="s">
        <v>15</v>
      </c>
      <c r="AC15" s="435" t="s">
        <v>15</v>
      </c>
      <c r="AD15" s="73" t="str">
        <f t="shared" si="4"/>
        <v/>
      </c>
      <c r="AE15" s="433" t="s">
        <v>15</v>
      </c>
      <c r="AF15" s="81" t="s">
        <v>15</v>
      </c>
      <c r="AG15" s="324" t="s">
        <v>15</v>
      </c>
      <c r="AH15" s="435" t="s">
        <v>15</v>
      </c>
      <c r="AI15" s="73" t="str">
        <f t="shared" si="5"/>
        <v/>
      </c>
      <c r="AJ15" s="182">
        <v>0.29166666666666669</v>
      </c>
      <c r="AK15" s="179"/>
      <c r="AL15" s="180"/>
      <c r="AM15" s="100">
        <v>0.54166666666666663</v>
      </c>
      <c r="AN15" s="73">
        <f t="shared" si="6"/>
        <v>0.24999999999999994</v>
      </c>
      <c r="AO15" s="28">
        <f t="shared" si="7"/>
        <v>1.3333333333333333</v>
      </c>
      <c r="AP15"/>
      <c r="AR15" s="305">
        <f t="shared" si="8"/>
        <v>2</v>
      </c>
    </row>
    <row r="16" spans="1:67" ht="15" x14ac:dyDescent="0.25">
      <c r="A16" s="150" t="s">
        <v>258</v>
      </c>
      <c r="B16" s="144" t="s">
        <v>198</v>
      </c>
      <c r="C16" s="77" t="s">
        <v>68</v>
      </c>
      <c r="D16" s="146" t="s">
        <v>480</v>
      </c>
      <c r="E16" s="79" t="s">
        <v>352</v>
      </c>
      <c r="F16" s="182">
        <v>0.375</v>
      </c>
      <c r="G16" s="180"/>
      <c r="H16" s="180"/>
      <c r="I16" s="96">
        <v>0.625</v>
      </c>
      <c r="J16" s="73">
        <f t="shared" si="0"/>
        <v>0.25</v>
      </c>
      <c r="K16" s="88">
        <v>0.375</v>
      </c>
      <c r="L16" s="126"/>
      <c r="M16" s="127"/>
      <c r="N16" s="83">
        <v>0.625</v>
      </c>
      <c r="O16" s="73">
        <f t="shared" si="1"/>
        <v>0.25</v>
      </c>
      <c r="P16" s="182">
        <v>0.54166666666666663</v>
      </c>
      <c r="Q16" s="179"/>
      <c r="R16" s="180"/>
      <c r="S16" s="100">
        <v>0.79166666666666663</v>
      </c>
      <c r="T16" s="73">
        <f t="shared" si="2"/>
        <v>0.25</v>
      </c>
      <c r="U16" s="157">
        <v>0.875</v>
      </c>
      <c r="V16" s="126"/>
      <c r="W16" s="127"/>
      <c r="X16" s="86">
        <v>1</v>
      </c>
      <c r="Y16" s="73">
        <f t="shared" si="3"/>
        <v>0.125</v>
      </c>
      <c r="Z16" s="157">
        <v>0</v>
      </c>
      <c r="AA16" s="126">
        <v>4.1666666666666664E-2</v>
      </c>
      <c r="AB16" s="127">
        <v>0.125</v>
      </c>
      <c r="AC16" s="86">
        <v>0.29166666666666669</v>
      </c>
      <c r="AD16" s="73">
        <f t="shared" si="4"/>
        <v>0.20833333333333334</v>
      </c>
      <c r="AE16" s="434" t="s">
        <v>15</v>
      </c>
      <c r="AF16" s="324" t="s">
        <v>15</v>
      </c>
      <c r="AG16" s="324" t="s">
        <v>15</v>
      </c>
      <c r="AH16" s="434" t="s">
        <v>15</v>
      </c>
      <c r="AI16" s="73" t="str">
        <f t="shared" si="5"/>
        <v/>
      </c>
      <c r="AJ16" s="433" t="s">
        <v>15</v>
      </c>
      <c r="AK16" s="81" t="s">
        <v>15</v>
      </c>
      <c r="AL16" s="324" t="s">
        <v>15</v>
      </c>
      <c r="AM16" s="435" t="s">
        <v>15</v>
      </c>
      <c r="AN16" s="73" t="str">
        <f t="shared" si="6"/>
        <v/>
      </c>
      <c r="AO16" s="28">
        <f t="shared" si="7"/>
        <v>1.0833333333333333</v>
      </c>
      <c r="AP16" s="302"/>
      <c r="AR16" s="305">
        <f t="shared" si="8"/>
        <v>2</v>
      </c>
    </row>
    <row r="17" spans="1:67" ht="15" x14ac:dyDescent="0.25">
      <c r="A17" s="150" t="s">
        <v>281</v>
      </c>
      <c r="B17" s="144" t="s">
        <v>197</v>
      </c>
      <c r="C17" s="77" t="s">
        <v>68</v>
      </c>
      <c r="D17" s="146" t="s">
        <v>479</v>
      </c>
      <c r="E17" s="79" t="s">
        <v>352</v>
      </c>
      <c r="F17" s="220">
        <v>0.375</v>
      </c>
      <c r="G17" s="180"/>
      <c r="H17" s="180"/>
      <c r="I17" s="27">
        <v>0.625</v>
      </c>
      <c r="J17" s="84">
        <f t="shared" si="0"/>
        <v>0.25</v>
      </c>
      <c r="K17" s="88">
        <v>0.54166666666666663</v>
      </c>
      <c r="L17" s="126"/>
      <c r="M17" s="127"/>
      <c r="N17" s="83">
        <v>0.79166666666666663</v>
      </c>
      <c r="O17" s="84">
        <f t="shared" si="1"/>
        <v>0.25</v>
      </c>
      <c r="P17" s="220">
        <v>0.54166666666666663</v>
      </c>
      <c r="Q17" s="180"/>
      <c r="R17" s="180"/>
      <c r="S17" s="100">
        <v>0.79166666666666663</v>
      </c>
      <c r="T17" s="84">
        <f t="shared" si="2"/>
        <v>0.25</v>
      </c>
      <c r="U17" s="434" t="s">
        <v>15</v>
      </c>
      <c r="V17" s="324" t="s">
        <v>15</v>
      </c>
      <c r="W17" s="324" t="s">
        <v>15</v>
      </c>
      <c r="X17" s="435" t="s">
        <v>15</v>
      </c>
      <c r="Y17" s="84" t="str">
        <f t="shared" si="3"/>
        <v/>
      </c>
      <c r="Z17" s="433" t="s">
        <v>15</v>
      </c>
      <c r="AA17" s="81" t="s">
        <v>15</v>
      </c>
      <c r="AB17" s="324" t="s">
        <v>15</v>
      </c>
      <c r="AC17" s="435" t="s">
        <v>15</v>
      </c>
      <c r="AD17" s="84" t="str">
        <f t="shared" si="4"/>
        <v/>
      </c>
      <c r="AE17" s="433" t="s">
        <v>15</v>
      </c>
      <c r="AF17" s="81" t="s">
        <v>15</v>
      </c>
      <c r="AG17" s="324" t="s">
        <v>15</v>
      </c>
      <c r="AH17" s="435" t="s">
        <v>15</v>
      </c>
      <c r="AI17" s="84" t="str">
        <f t="shared" si="5"/>
        <v/>
      </c>
      <c r="AJ17" s="220">
        <v>0.625</v>
      </c>
      <c r="AK17" s="180"/>
      <c r="AL17" s="180"/>
      <c r="AM17" s="100">
        <v>0.875</v>
      </c>
      <c r="AN17" s="84">
        <f t="shared" si="6"/>
        <v>0.25</v>
      </c>
      <c r="AO17" s="28">
        <f t="shared" si="7"/>
        <v>1</v>
      </c>
      <c r="AP17"/>
      <c r="AR17" s="305">
        <f t="shared" si="8"/>
        <v>3</v>
      </c>
    </row>
    <row r="18" spans="1:67" ht="15" x14ac:dyDescent="0.25">
      <c r="A18" s="150" t="s">
        <v>259</v>
      </c>
      <c r="B18" s="144" t="s">
        <v>136</v>
      </c>
      <c r="C18" s="77" t="s">
        <v>68</v>
      </c>
      <c r="D18" s="146" t="s">
        <v>481</v>
      </c>
      <c r="E18" s="79" t="s">
        <v>352</v>
      </c>
      <c r="F18" s="157">
        <v>0.875</v>
      </c>
      <c r="G18" s="126"/>
      <c r="H18" s="127"/>
      <c r="I18" s="86">
        <v>1</v>
      </c>
      <c r="J18" s="73">
        <f t="shared" si="0"/>
        <v>0.125</v>
      </c>
      <c r="K18" s="157">
        <v>0</v>
      </c>
      <c r="L18" s="126">
        <v>4.1666666666666664E-2</v>
      </c>
      <c r="M18" s="127">
        <v>0.125</v>
      </c>
      <c r="N18" s="86">
        <v>0.29166666666666669</v>
      </c>
      <c r="O18" s="73">
        <f t="shared" si="1"/>
        <v>0.20833333333333334</v>
      </c>
      <c r="P18" s="434" t="s">
        <v>15</v>
      </c>
      <c r="Q18" s="324" t="s">
        <v>15</v>
      </c>
      <c r="R18" s="324" t="s">
        <v>15</v>
      </c>
      <c r="S18" s="434" t="s">
        <v>15</v>
      </c>
      <c r="T18" s="73" t="str">
        <f t="shared" si="2"/>
        <v/>
      </c>
      <c r="U18" s="434" t="s">
        <v>15</v>
      </c>
      <c r="V18" s="324" t="s">
        <v>15</v>
      </c>
      <c r="W18" s="324" t="s">
        <v>15</v>
      </c>
      <c r="X18" s="434" t="s">
        <v>15</v>
      </c>
      <c r="Y18" s="73" t="str">
        <f t="shared" si="3"/>
        <v/>
      </c>
      <c r="Z18" s="80">
        <v>0.54166666666666663</v>
      </c>
      <c r="AA18" s="306"/>
      <c r="AB18" s="127"/>
      <c r="AC18" s="82">
        <v>0.79166666666666663</v>
      </c>
      <c r="AD18" s="73">
        <f t="shared" si="4"/>
        <v>0.25</v>
      </c>
      <c r="AE18" s="88">
        <v>0.66666666666666663</v>
      </c>
      <c r="AF18" s="126"/>
      <c r="AG18" s="127"/>
      <c r="AH18" s="82">
        <v>0.91666666666666663</v>
      </c>
      <c r="AI18" s="73">
        <f t="shared" si="5"/>
        <v>0.25</v>
      </c>
      <c r="AJ18" s="88">
        <v>0.66666666666666663</v>
      </c>
      <c r="AK18" s="306"/>
      <c r="AL18" s="127"/>
      <c r="AM18" s="82">
        <v>0.91666666666666663</v>
      </c>
      <c r="AN18" s="73">
        <f t="shared" si="6"/>
        <v>0.25</v>
      </c>
      <c r="AO18" s="28">
        <f t="shared" si="7"/>
        <v>1.0833333333333335</v>
      </c>
      <c r="AP18"/>
      <c r="AR18" s="305">
        <f t="shared" si="8"/>
        <v>2</v>
      </c>
    </row>
    <row r="19" spans="1:67" ht="15" x14ac:dyDescent="0.25">
      <c r="A19" s="150" t="s">
        <v>258</v>
      </c>
      <c r="B19" s="149" t="s">
        <v>76</v>
      </c>
      <c r="C19" s="91" t="s">
        <v>69</v>
      </c>
      <c r="D19" s="146" t="s">
        <v>492</v>
      </c>
      <c r="E19" s="79" t="s">
        <v>352</v>
      </c>
      <c r="F19" s="433" t="s">
        <v>15</v>
      </c>
      <c r="G19" s="81" t="s">
        <v>15</v>
      </c>
      <c r="H19" s="324" t="s">
        <v>15</v>
      </c>
      <c r="I19" s="435" t="s">
        <v>15</v>
      </c>
      <c r="J19" s="73" t="str">
        <f t="shared" si="0"/>
        <v/>
      </c>
      <c r="K19" s="434" t="s">
        <v>15</v>
      </c>
      <c r="L19" s="81" t="s">
        <v>15</v>
      </c>
      <c r="M19" s="324" t="s">
        <v>15</v>
      </c>
      <c r="N19" s="435" t="s">
        <v>15</v>
      </c>
      <c r="O19" s="73" t="str">
        <f t="shared" si="1"/>
        <v/>
      </c>
      <c r="P19" s="88">
        <v>0.29166666666666669</v>
      </c>
      <c r="Q19" s="306"/>
      <c r="R19" s="127"/>
      <c r="S19" s="82">
        <v>0.54166666666666663</v>
      </c>
      <c r="T19" s="73">
        <f t="shared" si="2"/>
        <v>0.24999999999999994</v>
      </c>
      <c r="U19" s="88">
        <v>0.29166666666666669</v>
      </c>
      <c r="V19" s="306"/>
      <c r="W19" s="127"/>
      <c r="X19" s="153">
        <v>0.54166666666666663</v>
      </c>
      <c r="Y19" s="73">
        <f t="shared" si="3"/>
        <v>0.24999999999999994</v>
      </c>
      <c r="Z19" s="88">
        <v>0.625</v>
      </c>
      <c r="AA19" s="306"/>
      <c r="AB19" s="127"/>
      <c r="AC19" s="153">
        <v>0.875</v>
      </c>
      <c r="AD19" s="73">
        <f t="shared" si="4"/>
        <v>0.25</v>
      </c>
      <c r="AE19" s="88">
        <v>0.625</v>
      </c>
      <c r="AF19" s="306"/>
      <c r="AG19" s="127"/>
      <c r="AH19" s="153">
        <v>0.875</v>
      </c>
      <c r="AI19" s="73">
        <f t="shared" si="5"/>
        <v>0.25</v>
      </c>
      <c r="AJ19" s="88">
        <v>0.625</v>
      </c>
      <c r="AK19" s="126"/>
      <c r="AL19" s="127"/>
      <c r="AM19" s="83">
        <v>0.875</v>
      </c>
      <c r="AN19" s="73">
        <f t="shared" si="6"/>
        <v>0.25</v>
      </c>
      <c r="AO19" s="28">
        <f t="shared" si="7"/>
        <v>1.25</v>
      </c>
      <c r="AP19"/>
      <c r="AR19" s="305">
        <f t="shared" si="8"/>
        <v>2</v>
      </c>
    </row>
    <row r="20" spans="1:67" ht="15" x14ac:dyDescent="0.25">
      <c r="A20" s="150" t="s">
        <v>264</v>
      </c>
      <c r="B20" s="148" t="s">
        <v>81</v>
      </c>
      <c r="C20" s="91" t="s">
        <v>69</v>
      </c>
      <c r="D20" s="146" t="s">
        <v>490</v>
      </c>
      <c r="E20" s="79" t="s">
        <v>352</v>
      </c>
      <c r="F20" s="433" t="s">
        <v>15</v>
      </c>
      <c r="G20" s="81" t="s">
        <v>15</v>
      </c>
      <c r="H20" s="324" t="s">
        <v>15</v>
      </c>
      <c r="I20" s="435" t="s">
        <v>15</v>
      </c>
      <c r="J20" s="73" t="str">
        <f t="shared" si="0"/>
        <v/>
      </c>
      <c r="K20" s="433" t="s">
        <v>15</v>
      </c>
      <c r="L20" s="324" t="s">
        <v>15</v>
      </c>
      <c r="M20" s="324" t="s">
        <v>15</v>
      </c>
      <c r="N20" s="433" t="s">
        <v>15</v>
      </c>
      <c r="O20" s="73" t="str">
        <f t="shared" si="1"/>
        <v/>
      </c>
      <c r="P20" s="433" t="s">
        <v>15</v>
      </c>
      <c r="Q20" s="324" t="s">
        <v>15</v>
      </c>
      <c r="R20" s="324" t="s">
        <v>15</v>
      </c>
      <c r="S20" s="433" t="s">
        <v>15</v>
      </c>
      <c r="T20" s="73" t="str">
        <f t="shared" si="2"/>
        <v/>
      </c>
      <c r="U20" s="88">
        <v>0.625</v>
      </c>
      <c r="V20" s="126"/>
      <c r="W20" s="127"/>
      <c r="X20" s="83">
        <v>0.875</v>
      </c>
      <c r="Y20" s="73">
        <f t="shared" si="3"/>
        <v>0.25</v>
      </c>
      <c r="Z20" s="80">
        <v>0.375</v>
      </c>
      <c r="AA20" s="126"/>
      <c r="AB20" s="127"/>
      <c r="AC20" s="82">
        <v>0.625</v>
      </c>
      <c r="AD20" s="73">
        <f t="shared" si="4"/>
        <v>0.25</v>
      </c>
      <c r="AE20" s="88">
        <v>0.625</v>
      </c>
      <c r="AF20" s="128"/>
      <c r="AG20" s="127"/>
      <c r="AH20" s="95">
        <v>0.875</v>
      </c>
      <c r="AI20" s="73">
        <f t="shared" si="5"/>
        <v>0.25</v>
      </c>
      <c r="AJ20" s="88">
        <v>0.625</v>
      </c>
      <c r="AK20" s="128"/>
      <c r="AL20" s="127"/>
      <c r="AM20" s="95">
        <v>0.875</v>
      </c>
      <c r="AN20" s="73">
        <f t="shared" si="6"/>
        <v>0.25</v>
      </c>
      <c r="AO20" s="28">
        <f t="shared" si="7"/>
        <v>1</v>
      </c>
      <c r="AP20"/>
      <c r="AR20" s="305">
        <f t="shared" si="8"/>
        <v>3</v>
      </c>
    </row>
    <row r="21" spans="1:67" ht="15" x14ac:dyDescent="0.25">
      <c r="A21" s="150" t="s">
        <v>280</v>
      </c>
      <c r="B21" s="144" t="s">
        <v>61</v>
      </c>
      <c r="C21" s="91" t="s">
        <v>69</v>
      </c>
      <c r="D21" s="146" t="s">
        <v>487</v>
      </c>
      <c r="E21" s="79" t="s">
        <v>352</v>
      </c>
      <c r="F21" s="220">
        <v>0.29166666666666669</v>
      </c>
      <c r="G21" s="180"/>
      <c r="H21" s="180"/>
      <c r="I21" s="100">
        <v>0.54166666666666663</v>
      </c>
      <c r="J21" s="73">
        <f t="shared" si="0"/>
        <v>0.24999999999999994</v>
      </c>
      <c r="K21" s="220">
        <v>0.29166666666666669</v>
      </c>
      <c r="L21" s="180"/>
      <c r="M21" s="180"/>
      <c r="N21" s="100">
        <v>0.54166666666666663</v>
      </c>
      <c r="O21" s="73">
        <f t="shared" si="1"/>
        <v>0.24999999999999994</v>
      </c>
      <c r="P21" s="220">
        <v>0.29166666666666669</v>
      </c>
      <c r="Q21" s="180"/>
      <c r="R21" s="180"/>
      <c r="S21" s="100">
        <v>0.54166666666666663</v>
      </c>
      <c r="T21" s="73">
        <f t="shared" si="2"/>
        <v>0.24999999999999994</v>
      </c>
      <c r="U21" s="220">
        <v>0.29166666666666669</v>
      </c>
      <c r="V21" s="180"/>
      <c r="W21" s="180"/>
      <c r="X21" s="100">
        <v>0.54166666666666663</v>
      </c>
      <c r="Y21" s="73">
        <f t="shared" si="3"/>
        <v>0.24999999999999994</v>
      </c>
      <c r="Z21" s="434" t="s">
        <v>15</v>
      </c>
      <c r="AA21" s="81" t="s">
        <v>15</v>
      </c>
      <c r="AB21" s="324" t="s">
        <v>15</v>
      </c>
      <c r="AC21" s="435" t="s">
        <v>15</v>
      </c>
      <c r="AD21" s="73" t="str">
        <f t="shared" si="4"/>
        <v/>
      </c>
      <c r="AE21" s="433" t="s">
        <v>15</v>
      </c>
      <c r="AF21" s="81" t="s">
        <v>15</v>
      </c>
      <c r="AG21" s="324" t="s">
        <v>15</v>
      </c>
      <c r="AH21" s="435" t="s">
        <v>15</v>
      </c>
      <c r="AI21" s="73" t="str">
        <f t="shared" si="5"/>
        <v/>
      </c>
      <c r="AJ21" s="433" t="s">
        <v>15</v>
      </c>
      <c r="AK21" s="81" t="s">
        <v>15</v>
      </c>
      <c r="AL21" s="324" t="s">
        <v>15</v>
      </c>
      <c r="AM21" s="435" t="s">
        <v>15</v>
      </c>
      <c r="AN21" s="73" t="str">
        <f t="shared" si="6"/>
        <v/>
      </c>
      <c r="AO21" s="28">
        <f t="shared" si="7"/>
        <v>0.99999999999999978</v>
      </c>
      <c r="AP21" s="302"/>
      <c r="AR21" s="305">
        <f t="shared" si="8"/>
        <v>3</v>
      </c>
    </row>
    <row r="22" spans="1:67" ht="15" x14ac:dyDescent="0.25">
      <c r="A22" s="150" t="s">
        <v>260</v>
      </c>
      <c r="B22" s="144" t="s">
        <v>142</v>
      </c>
      <c r="C22" s="91" t="s">
        <v>69</v>
      </c>
      <c r="D22" s="146" t="s">
        <v>484</v>
      </c>
      <c r="E22" s="79" t="s">
        <v>352</v>
      </c>
      <c r="F22" s="88">
        <v>0.625</v>
      </c>
      <c r="G22" s="128"/>
      <c r="H22" s="127"/>
      <c r="I22" s="95">
        <v>0.875</v>
      </c>
      <c r="J22" s="73">
        <f t="shared" si="0"/>
        <v>0.25</v>
      </c>
      <c r="K22" s="88">
        <v>0.625</v>
      </c>
      <c r="L22" s="128"/>
      <c r="M22" s="127"/>
      <c r="N22" s="95">
        <v>0.875</v>
      </c>
      <c r="O22" s="73">
        <f t="shared" si="1"/>
        <v>0.25</v>
      </c>
      <c r="P22" s="88">
        <v>0.625</v>
      </c>
      <c r="Q22" s="128"/>
      <c r="R22" s="127"/>
      <c r="S22" s="95">
        <v>0.875</v>
      </c>
      <c r="T22" s="73">
        <f t="shared" si="2"/>
        <v>0.25</v>
      </c>
      <c r="U22" s="88">
        <v>0.625</v>
      </c>
      <c r="V22" s="128"/>
      <c r="W22" s="127"/>
      <c r="X22" s="95">
        <v>0.875</v>
      </c>
      <c r="Y22" s="73">
        <f t="shared" si="3"/>
        <v>0.25</v>
      </c>
      <c r="Z22" s="433" t="s">
        <v>15</v>
      </c>
      <c r="AA22" s="324" t="s">
        <v>15</v>
      </c>
      <c r="AB22" s="324" t="s">
        <v>15</v>
      </c>
      <c r="AC22" s="433" t="s">
        <v>15</v>
      </c>
      <c r="AD22" s="73" t="str">
        <f t="shared" si="4"/>
        <v/>
      </c>
      <c r="AE22" s="433" t="s">
        <v>15</v>
      </c>
      <c r="AF22" s="324" t="s">
        <v>15</v>
      </c>
      <c r="AG22" s="324" t="s">
        <v>15</v>
      </c>
      <c r="AH22" s="433" t="s">
        <v>15</v>
      </c>
      <c r="AI22" s="73" t="str">
        <f t="shared" si="5"/>
        <v/>
      </c>
      <c r="AJ22" s="88">
        <v>0.625</v>
      </c>
      <c r="AK22" s="128"/>
      <c r="AL22" s="127"/>
      <c r="AM22" s="95">
        <v>0.875</v>
      </c>
      <c r="AN22" s="73">
        <f t="shared" si="6"/>
        <v>0.25</v>
      </c>
      <c r="AO22" s="28">
        <f t="shared" si="7"/>
        <v>1.25</v>
      </c>
      <c r="AP22"/>
      <c r="AR22" s="305">
        <f t="shared" si="8"/>
        <v>2</v>
      </c>
    </row>
    <row r="23" spans="1:67" ht="15" x14ac:dyDescent="0.25">
      <c r="A23" s="150" t="s">
        <v>295</v>
      </c>
      <c r="B23" s="144" t="s">
        <v>134</v>
      </c>
      <c r="C23" s="91" t="s">
        <v>69</v>
      </c>
      <c r="D23" s="146" t="s">
        <v>485</v>
      </c>
      <c r="E23" s="79" t="s">
        <v>352</v>
      </c>
      <c r="F23" s="157">
        <v>0</v>
      </c>
      <c r="G23" s="126">
        <v>4.1666666666666664E-2</v>
      </c>
      <c r="H23" s="127">
        <v>0.125</v>
      </c>
      <c r="I23" s="86">
        <v>0.29166666666666669</v>
      </c>
      <c r="J23" s="73">
        <f t="shared" si="0"/>
        <v>0.20833333333333334</v>
      </c>
      <c r="K23" s="85">
        <v>0.875</v>
      </c>
      <c r="L23" s="128"/>
      <c r="M23" s="127"/>
      <c r="N23" s="86">
        <v>1</v>
      </c>
      <c r="O23" s="73">
        <f t="shared" si="1"/>
        <v>0.125</v>
      </c>
      <c r="P23" s="157">
        <v>0</v>
      </c>
      <c r="Q23" s="126">
        <v>0.29166666666666669</v>
      </c>
      <c r="R23" s="127">
        <v>0.875</v>
      </c>
      <c r="S23" s="86">
        <v>1</v>
      </c>
      <c r="T23" s="73">
        <v>0.33333333333333331</v>
      </c>
      <c r="U23" s="157">
        <v>0</v>
      </c>
      <c r="V23" s="126">
        <v>4.1666666666666664E-2</v>
      </c>
      <c r="W23" s="127">
        <v>0.125</v>
      </c>
      <c r="X23" s="86">
        <v>0.29166666666666669</v>
      </c>
      <c r="Y23" s="73">
        <f t="shared" si="3"/>
        <v>0.20833333333333334</v>
      </c>
      <c r="Z23" s="85">
        <v>0.875</v>
      </c>
      <c r="AA23" s="128"/>
      <c r="AB23" s="127"/>
      <c r="AC23" s="85">
        <v>1</v>
      </c>
      <c r="AD23" s="73">
        <f t="shared" si="4"/>
        <v>0.125</v>
      </c>
      <c r="AE23" s="157">
        <v>0</v>
      </c>
      <c r="AF23" s="128">
        <v>0.29166666666666669</v>
      </c>
      <c r="AG23" s="127">
        <v>0.875</v>
      </c>
      <c r="AH23" s="85">
        <v>1</v>
      </c>
      <c r="AI23" s="73">
        <v>0.33333333333333331</v>
      </c>
      <c r="AJ23" s="157">
        <v>0.875</v>
      </c>
      <c r="AK23" s="126"/>
      <c r="AL23" s="127"/>
      <c r="AM23" s="86">
        <v>1</v>
      </c>
      <c r="AN23" s="73">
        <f t="shared" si="6"/>
        <v>0.125</v>
      </c>
      <c r="AO23" s="28">
        <f t="shared" si="7"/>
        <v>1.4583333333333333</v>
      </c>
      <c r="AP23" s="302"/>
      <c r="AR23" s="305">
        <f t="shared" si="8"/>
        <v>0</v>
      </c>
    </row>
    <row r="24" spans="1:67" ht="15" x14ac:dyDescent="0.25">
      <c r="A24" s="150" t="s">
        <v>263</v>
      </c>
      <c r="B24" s="144" t="s">
        <v>200</v>
      </c>
      <c r="C24" s="91" t="s">
        <v>69</v>
      </c>
      <c r="D24" s="146" t="s">
        <v>486</v>
      </c>
      <c r="E24" s="79" t="s">
        <v>352</v>
      </c>
      <c r="F24" s="80" t="s">
        <v>689</v>
      </c>
      <c r="G24" s="493" t="s">
        <v>689</v>
      </c>
      <c r="H24" s="493" t="s">
        <v>689</v>
      </c>
      <c r="I24" s="380" t="s">
        <v>689</v>
      </c>
      <c r="J24" s="73" t="str">
        <f t="shared" si="0"/>
        <v/>
      </c>
      <c r="K24" s="220">
        <v>0.375</v>
      </c>
      <c r="L24" s="180"/>
      <c r="M24" s="180"/>
      <c r="N24" s="27">
        <v>0.625</v>
      </c>
      <c r="O24" s="84">
        <f t="shared" si="1"/>
        <v>0.25</v>
      </c>
      <c r="P24" s="88">
        <v>0.54166666666666663</v>
      </c>
      <c r="Q24" s="126"/>
      <c r="R24" s="127"/>
      <c r="S24" s="83">
        <v>0.79166666666666663</v>
      </c>
      <c r="T24" s="84">
        <f t="shared" ref="T24" si="9">IFERROR(MOD(S24-P24,1)-(R24-Q24),"")</f>
        <v>0.25</v>
      </c>
      <c r="U24" s="220">
        <v>0.54166666666666663</v>
      </c>
      <c r="V24" s="180"/>
      <c r="W24" s="180"/>
      <c r="X24" s="100">
        <v>0.79166666666666663</v>
      </c>
      <c r="Y24" s="84">
        <f t="shared" si="3"/>
        <v>0.25</v>
      </c>
      <c r="Z24" s="220">
        <v>0.625</v>
      </c>
      <c r="AA24" s="180"/>
      <c r="AB24" s="180"/>
      <c r="AC24" s="100">
        <v>0.875</v>
      </c>
      <c r="AD24" s="73">
        <f t="shared" si="4"/>
        <v>0.25</v>
      </c>
      <c r="AE24" s="433" t="s">
        <v>15</v>
      </c>
      <c r="AF24" s="81" t="s">
        <v>15</v>
      </c>
      <c r="AG24" s="324" t="s">
        <v>15</v>
      </c>
      <c r="AH24" s="435" t="s">
        <v>15</v>
      </c>
      <c r="AI24" s="73" t="str">
        <f t="shared" ref="AI24" si="10">IFERROR(MOD(AH24-AE24,1)-(AG24-AF24),"")</f>
        <v/>
      </c>
      <c r="AJ24" s="434" t="s">
        <v>15</v>
      </c>
      <c r="AK24" s="324" t="s">
        <v>15</v>
      </c>
      <c r="AL24" s="324" t="s">
        <v>15</v>
      </c>
      <c r="AM24" s="435" t="s">
        <v>15</v>
      </c>
      <c r="AN24" s="73" t="str">
        <f t="shared" si="6"/>
        <v/>
      </c>
      <c r="AO24" s="28">
        <f t="shared" si="7"/>
        <v>1</v>
      </c>
      <c r="AP24"/>
      <c r="AQ24"/>
      <c r="AR24" s="305">
        <f t="shared" si="8"/>
        <v>2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ht="15" x14ac:dyDescent="0.25">
      <c r="A25" s="150" t="s">
        <v>269</v>
      </c>
      <c r="B25" s="144" t="s">
        <v>160</v>
      </c>
      <c r="C25" s="91" t="s">
        <v>69</v>
      </c>
      <c r="D25" s="146" t="s">
        <v>488</v>
      </c>
      <c r="E25" s="79" t="s">
        <v>352</v>
      </c>
      <c r="F25" s="157">
        <v>0.875</v>
      </c>
      <c r="G25" s="126"/>
      <c r="H25" s="127"/>
      <c r="I25" s="86">
        <v>1</v>
      </c>
      <c r="J25" s="73">
        <f t="shared" si="0"/>
        <v>0.125</v>
      </c>
      <c r="K25" s="157">
        <v>0</v>
      </c>
      <c r="L25" s="126">
        <v>4.1666666666666664E-2</v>
      </c>
      <c r="M25" s="127">
        <v>0.125</v>
      </c>
      <c r="N25" s="86">
        <v>0.29166666666666669</v>
      </c>
      <c r="O25" s="73">
        <f t="shared" si="1"/>
        <v>0.20833333333333334</v>
      </c>
      <c r="P25" s="434" t="s">
        <v>15</v>
      </c>
      <c r="Q25" s="324" t="s">
        <v>15</v>
      </c>
      <c r="R25" s="324" t="s">
        <v>15</v>
      </c>
      <c r="S25" s="435" t="s">
        <v>15</v>
      </c>
      <c r="T25" s="73" t="str">
        <f t="shared" ref="T25:T29" si="11">IFERROR(MOD(S25-P25,1)-(R25-Q25),"")</f>
        <v/>
      </c>
      <c r="U25" s="434" t="s">
        <v>15</v>
      </c>
      <c r="V25" s="324" t="s">
        <v>15</v>
      </c>
      <c r="W25" s="324" t="s">
        <v>15</v>
      </c>
      <c r="X25" s="434" t="s">
        <v>15</v>
      </c>
      <c r="Y25" s="73" t="str">
        <f t="shared" si="3"/>
        <v/>
      </c>
      <c r="Z25" s="80">
        <v>0.375</v>
      </c>
      <c r="AA25" s="128"/>
      <c r="AB25" s="127"/>
      <c r="AC25" s="101">
        <v>0.625</v>
      </c>
      <c r="AD25" s="73">
        <f t="shared" si="4"/>
        <v>0.25</v>
      </c>
      <c r="AE25" s="88">
        <v>0.66666666666666663</v>
      </c>
      <c r="AF25" s="126"/>
      <c r="AG25" s="127"/>
      <c r="AH25" s="83">
        <v>0.91666666666666663</v>
      </c>
      <c r="AI25" s="73">
        <f t="shared" ref="AI25:AI29" si="12">IFERROR(MOD(AH25-AE25,1)-(AG25-AF25),"")</f>
        <v>0.25</v>
      </c>
      <c r="AJ25" s="88">
        <v>0.66666666666666663</v>
      </c>
      <c r="AK25" s="126"/>
      <c r="AL25" s="127"/>
      <c r="AM25" s="83">
        <v>0.91666666666666663</v>
      </c>
      <c r="AN25" s="73">
        <f t="shared" si="6"/>
        <v>0.25</v>
      </c>
      <c r="AO25" s="28">
        <f t="shared" si="7"/>
        <v>1.0833333333333335</v>
      </c>
      <c r="AP25"/>
      <c r="AR25" s="305">
        <f t="shared" si="8"/>
        <v>2</v>
      </c>
    </row>
    <row r="26" spans="1:67" ht="15" x14ac:dyDescent="0.25">
      <c r="A26" s="150" t="s">
        <v>279</v>
      </c>
      <c r="B26" s="144" t="s">
        <v>135</v>
      </c>
      <c r="C26" s="78" t="s">
        <v>70</v>
      </c>
      <c r="D26" s="146" t="s">
        <v>494</v>
      </c>
      <c r="E26" s="79" t="s">
        <v>352</v>
      </c>
      <c r="F26" s="182">
        <v>0.54166666666666663</v>
      </c>
      <c r="G26" s="179"/>
      <c r="H26" s="180"/>
      <c r="I26" s="100">
        <v>0.79166666666666663</v>
      </c>
      <c r="J26" s="73">
        <f t="shared" si="0"/>
        <v>0.25</v>
      </c>
      <c r="K26" s="80">
        <v>0.29166666666666669</v>
      </c>
      <c r="L26" s="128"/>
      <c r="M26" s="127"/>
      <c r="N26" s="83">
        <v>0.54166666666666663</v>
      </c>
      <c r="O26" s="73">
        <f t="shared" si="1"/>
        <v>0.24999999999999994</v>
      </c>
      <c r="P26" s="80">
        <v>0.29166666666666669</v>
      </c>
      <c r="Q26" s="172"/>
      <c r="R26" s="127"/>
      <c r="S26" s="83">
        <v>0.54166666666666663</v>
      </c>
      <c r="T26" s="73">
        <f t="shared" si="11"/>
        <v>0.24999999999999994</v>
      </c>
      <c r="U26" s="88">
        <v>0.29166666666666669</v>
      </c>
      <c r="V26" s="306"/>
      <c r="W26" s="127"/>
      <c r="X26" s="83">
        <v>0.54166666666666663</v>
      </c>
      <c r="Y26" s="73">
        <f t="shared" si="3"/>
        <v>0.24999999999999994</v>
      </c>
      <c r="Z26" s="88">
        <v>0.54166666666666663</v>
      </c>
      <c r="AA26" s="306"/>
      <c r="AB26" s="127"/>
      <c r="AC26" s="83">
        <v>0.79166666666666663</v>
      </c>
      <c r="AD26" s="73">
        <f t="shared" si="4"/>
        <v>0.25</v>
      </c>
      <c r="AE26" s="433" t="s">
        <v>15</v>
      </c>
      <c r="AF26" s="324" t="s">
        <v>15</v>
      </c>
      <c r="AG26" s="324" t="s">
        <v>15</v>
      </c>
      <c r="AH26" s="433" t="s">
        <v>15</v>
      </c>
      <c r="AI26" s="73" t="str">
        <f t="shared" si="12"/>
        <v/>
      </c>
      <c r="AJ26" s="434" t="s">
        <v>15</v>
      </c>
      <c r="AK26" s="324" t="s">
        <v>15</v>
      </c>
      <c r="AL26" s="324" t="s">
        <v>15</v>
      </c>
      <c r="AM26" s="434" t="s">
        <v>15</v>
      </c>
      <c r="AN26" s="73" t="str">
        <f t="shared" si="6"/>
        <v/>
      </c>
      <c r="AO26" s="28">
        <f t="shared" si="7"/>
        <v>1.2499999999999998</v>
      </c>
      <c r="AP26" s="302"/>
      <c r="AR26" s="305">
        <f t="shared" si="8"/>
        <v>2</v>
      </c>
    </row>
    <row r="27" spans="1:67" ht="15" x14ac:dyDescent="0.25">
      <c r="A27" s="150" t="s">
        <v>277</v>
      </c>
      <c r="B27" s="144" t="s">
        <v>202</v>
      </c>
      <c r="C27" s="78" t="s">
        <v>70</v>
      </c>
      <c r="D27" s="146" t="s">
        <v>493</v>
      </c>
      <c r="E27" s="79" t="s">
        <v>352</v>
      </c>
      <c r="F27" s="88">
        <v>0.29166666666666669</v>
      </c>
      <c r="G27" s="126"/>
      <c r="H27" s="127"/>
      <c r="I27" s="83">
        <v>0.54166666666666663</v>
      </c>
      <c r="J27" s="73">
        <f t="shared" si="0"/>
        <v>0.24999999999999994</v>
      </c>
      <c r="K27" s="88">
        <v>0.29166666666666669</v>
      </c>
      <c r="L27" s="126"/>
      <c r="M27" s="127"/>
      <c r="N27" s="83">
        <v>0.54166666666666663</v>
      </c>
      <c r="O27" s="73">
        <f t="shared" si="1"/>
        <v>0.24999999999999994</v>
      </c>
      <c r="P27" s="220">
        <v>0.29166666666666669</v>
      </c>
      <c r="Q27" s="181"/>
      <c r="R27" s="181"/>
      <c r="S27" s="100">
        <v>0.54166666666666663</v>
      </c>
      <c r="T27" s="73">
        <f t="shared" si="11"/>
        <v>0.24999999999999994</v>
      </c>
      <c r="U27" s="182">
        <v>0.54166666666666663</v>
      </c>
      <c r="V27" s="180"/>
      <c r="W27" s="180"/>
      <c r="X27" s="100">
        <v>0.79166666666666663</v>
      </c>
      <c r="Y27" s="73">
        <f t="shared" si="3"/>
        <v>0.25</v>
      </c>
      <c r="Z27" s="220">
        <v>0.54166666666666663</v>
      </c>
      <c r="AA27" s="180"/>
      <c r="AB27" s="180"/>
      <c r="AC27" s="27">
        <v>0.79166666666666663</v>
      </c>
      <c r="AD27" s="73">
        <f t="shared" si="4"/>
        <v>0.25</v>
      </c>
      <c r="AE27" s="433" t="s">
        <v>15</v>
      </c>
      <c r="AF27" s="81" t="s">
        <v>15</v>
      </c>
      <c r="AG27" s="324" t="s">
        <v>15</v>
      </c>
      <c r="AH27" s="435" t="s">
        <v>15</v>
      </c>
      <c r="AI27" s="73" t="str">
        <f t="shared" si="12"/>
        <v/>
      </c>
      <c r="AJ27" s="433" t="s">
        <v>15</v>
      </c>
      <c r="AK27" s="81" t="s">
        <v>15</v>
      </c>
      <c r="AL27" s="324" t="s">
        <v>15</v>
      </c>
      <c r="AM27" s="435" t="s">
        <v>15</v>
      </c>
      <c r="AN27" s="73" t="str">
        <f t="shared" si="6"/>
        <v/>
      </c>
      <c r="AO27" s="28">
        <f t="shared" si="7"/>
        <v>1.2499999999999998</v>
      </c>
      <c r="AP27"/>
      <c r="AR27" s="305">
        <f t="shared" si="8"/>
        <v>2</v>
      </c>
    </row>
    <row r="28" spans="1:67" ht="15" x14ac:dyDescent="0.25">
      <c r="A28" s="150" t="s">
        <v>269</v>
      </c>
      <c r="B28" s="144" t="s">
        <v>203</v>
      </c>
      <c r="C28" s="78" t="s">
        <v>70</v>
      </c>
      <c r="D28" s="146" t="s">
        <v>498</v>
      </c>
      <c r="E28" s="79" t="s">
        <v>352</v>
      </c>
      <c r="F28" s="182">
        <v>0.66666666666666663</v>
      </c>
      <c r="G28" s="179"/>
      <c r="H28" s="180"/>
      <c r="I28" s="100">
        <v>0.875</v>
      </c>
      <c r="J28" s="73">
        <f t="shared" si="0"/>
        <v>0.20833333333333337</v>
      </c>
      <c r="K28" s="182">
        <v>0.66666666666666663</v>
      </c>
      <c r="L28" s="179"/>
      <c r="M28" s="180"/>
      <c r="N28" s="100">
        <v>0.875</v>
      </c>
      <c r="O28" s="73">
        <f t="shared" si="1"/>
        <v>0.20833333333333337</v>
      </c>
      <c r="P28" s="220">
        <v>0.66666666666666663</v>
      </c>
      <c r="Q28" s="180"/>
      <c r="R28" s="180"/>
      <c r="S28" s="100">
        <v>0.875</v>
      </c>
      <c r="T28" s="73">
        <f t="shared" si="11"/>
        <v>0.20833333333333337</v>
      </c>
      <c r="U28" s="220">
        <v>0.66666666666666663</v>
      </c>
      <c r="V28" s="180"/>
      <c r="W28" s="180"/>
      <c r="X28" s="100">
        <v>0.875</v>
      </c>
      <c r="Y28" s="73">
        <f t="shared" si="3"/>
        <v>0.20833333333333337</v>
      </c>
      <c r="Z28" s="220">
        <v>0.66666666666666663</v>
      </c>
      <c r="AA28" s="180"/>
      <c r="AB28" s="180"/>
      <c r="AC28" s="100">
        <v>0.875</v>
      </c>
      <c r="AD28" s="73">
        <f t="shared" si="4"/>
        <v>0.20833333333333337</v>
      </c>
      <c r="AE28" s="433" t="s">
        <v>15</v>
      </c>
      <c r="AF28" s="81" t="s">
        <v>15</v>
      </c>
      <c r="AG28" s="324" t="s">
        <v>15</v>
      </c>
      <c r="AH28" s="435" t="s">
        <v>15</v>
      </c>
      <c r="AI28" s="73" t="str">
        <f t="shared" si="12"/>
        <v/>
      </c>
      <c r="AJ28" s="433" t="s">
        <v>15</v>
      </c>
      <c r="AK28" s="81" t="s">
        <v>15</v>
      </c>
      <c r="AL28" s="324" t="s">
        <v>15</v>
      </c>
      <c r="AM28" s="435" t="s">
        <v>15</v>
      </c>
      <c r="AN28" s="73" t="str">
        <f t="shared" si="6"/>
        <v/>
      </c>
      <c r="AO28" s="28">
        <f t="shared" si="7"/>
        <v>1.041666666666667</v>
      </c>
      <c r="AP28" s="302"/>
      <c r="AR28" s="305">
        <f t="shared" si="8"/>
        <v>2</v>
      </c>
    </row>
    <row r="29" spans="1:67" ht="15" x14ac:dyDescent="0.25">
      <c r="A29" s="150" t="s">
        <v>261</v>
      </c>
      <c r="B29" s="144" t="s">
        <v>201</v>
      </c>
      <c r="C29" s="78" t="s">
        <v>70</v>
      </c>
      <c r="D29" s="146" t="s">
        <v>74</v>
      </c>
      <c r="E29" s="79" t="s">
        <v>352</v>
      </c>
      <c r="F29" s="433" t="s">
        <v>15</v>
      </c>
      <c r="G29" s="81" t="s">
        <v>15</v>
      </c>
      <c r="H29" s="324" t="s">
        <v>15</v>
      </c>
      <c r="I29" s="435" t="s">
        <v>15</v>
      </c>
      <c r="J29" s="73" t="str">
        <f t="shared" si="0"/>
        <v/>
      </c>
      <c r="K29" s="88">
        <v>0.54166666666666663</v>
      </c>
      <c r="L29" s="172"/>
      <c r="M29" s="127"/>
      <c r="N29" s="88">
        <v>0.79166666666666663</v>
      </c>
      <c r="O29" s="84">
        <f t="shared" si="1"/>
        <v>0.25</v>
      </c>
      <c r="P29" s="220">
        <v>0.29166666666666669</v>
      </c>
      <c r="Q29" s="179"/>
      <c r="R29" s="180"/>
      <c r="S29" s="100">
        <v>0.54166666666666663</v>
      </c>
      <c r="T29" s="84">
        <f t="shared" si="11"/>
        <v>0.24999999999999994</v>
      </c>
      <c r="U29" s="433" t="s">
        <v>15</v>
      </c>
      <c r="V29" s="81" t="s">
        <v>15</v>
      </c>
      <c r="W29" s="324" t="s">
        <v>15</v>
      </c>
      <c r="X29" s="435" t="s">
        <v>15</v>
      </c>
      <c r="Y29" s="84" t="str">
        <f t="shared" si="3"/>
        <v/>
      </c>
      <c r="Z29" s="434" t="s">
        <v>15</v>
      </c>
      <c r="AA29" s="81" t="s">
        <v>15</v>
      </c>
      <c r="AB29" s="324" t="s">
        <v>15</v>
      </c>
      <c r="AC29" s="435" t="s">
        <v>15</v>
      </c>
      <c r="AD29" s="84" t="str">
        <f t="shared" si="4"/>
        <v/>
      </c>
      <c r="AE29" s="220">
        <v>0.375</v>
      </c>
      <c r="AF29" s="179"/>
      <c r="AG29" s="180"/>
      <c r="AH29" s="100">
        <v>0.625</v>
      </c>
      <c r="AI29" s="84">
        <f t="shared" si="12"/>
        <v>0.25</v>
      </c>
      <c r="AJ29" s="220">
        <v>0.54166666666666663</v>
      </c>
      <c r="AK29" s="179"/>
      <c r="AL29" s="180"/>
      <c r="AM29" s="100">
        <v>0.79166666666666663</v>
      </c>
      <c r="AN29" s="84">
        <f t="shared" si="6"/>
        <v>0.25</v>
      </c>
      <c r="AO29" s="28">
        <f t="shared" si="7"/>
        <v>1</v>
      </c>
      <c r="AP29" s="302"/>
      <c r="AR29" s="305">
        <f t="shared" si="8"/>
        <v>3</v>
      </c>
    </row>
    <row r="30" spans="1:67" ht="15" x14ac:dyDescent="0.25">
      <c r="A30" s="150" t="s">
        <v>264</v>
      </c>
      <c r="B30" s="144" t="s">
        <v>175</v>
      </c>
      <c r="C30" s="78" t="s">
        <v>70</v>
      </c>
      <c r="D30" s="146" t="s">
        <v>495</v>
      </c>
      <c r="E30" s="79" t="s">
        <v>352</v>
      </c>
      <c r="F30" s="157">
        <v>0</v>
      </c>
      <c r="G30" s="126">
        <v>4.1666666666666664E-2</v>
      </c>
      <c r="H30" s="127">
        <v>0.125</v>
      </c>
      <c r="I30" s="86">
        <v>0.29166666666666669</v>
      </c>
      <c r="J30" s="73">
        <f t="shared" si="0"/>
        <v>0.20833333333333334</v>
      </c>
      <c r="K30" s="85">
        <v>0.875</v>
      </c>
      <c r="L30" s="128"/>
      <c r="M30" s="127"/>
      <c r="N30" s="86">
        <v>1</v>
      </c>
      <c r="O30" s="73">
        <f t="shared" si="1"/>
        <v>0.125</v>
      </c>
      <c r="P30" s="157">
        <v>0</v>
      </c>
      <c r="Q30" s="126">
        <v>0.29166666666666669</v>
      </c>
      <c r="R30" s="127">
        <v>0.875</v>
      </c>
      <c r="S30" s="86">
        <v>1</v>
      </c>
      <c r="T30" s="73">
        <v>0.33333333333333331</v>
      </c>
      <c r="U30" s="157">
        <v>0</v>
      </c>
      <c r="V30" s="126">
        <v>4.1666666666666664E-2</v>
      </c>
      <c r="W30" s="127">
        <v>0.125</v>
      </c>
      <c r="X30" s="86">
        <v>0.29166666666666669</v>
      </c>
      <c r="Y30" s="73">
        <f t="shared" si="3"/>
        <v>0.20833333333333334</v>
      </c>
      <c r="Z30" s="85">
        <v>0.875</v>
      </c>
      <c r="AA30" s="128"/>
      <c r="AB30" s="127"/>
      <c r="AC30" s="85">
        <v>1</v>
      </c>
      <c r="AD30" s="73">
        <f t="shared" si="4"/>
        <v>0.125</v>
      </c>
      <c r="AE30" s="157">
        <v>0</v>
      </c>
      <c r="AF30" s="128">
        <v>0.29166666666666669</v>
      </c>
      <c r="AG30" s="127">
        <v>0.875</v>
      </c>
      <c r="AH30" s="85">
        <v>1</v>
      </c>
      <c r="AI30" s="73">
        <v>0.33333333333333331</v>
      </c>
      <c r="AJ30" s="157">
        <v>0.875</v>
      </c>
      <c r="AK30" s="126"/>
      <c r="AL30" s="127"/>
      <c r="AM30" s="86">
        <v>1</v>
      </c>
      <c r="AN30" s="73">
        <f t="shared" si="6"/>
        <v>0.125</v>
      </c>
      <c r="AO30" s="28">
        <f t="shared" si="7"/>
        <v>1.4583333333333333</v>
      </c>
      <c r="AP30"/>
      <c r="AR30" s="305">
        <f t="shared" si="8"/>
        <v>0</v>
      </c>
    </row>
    <row r="31" spans="1:67" ht="15" x14ac:dyDescent="0.25">
      <c r="A31" s="150" t="s">
        <v>285</v>
      </c>
      <c r="B31" s="125" t="s">
        <v>72</v>
      </c>
      <c r="C31" s="78" t="s">
        <v>70</v>
      </c>
      <c r="D31" s="146" t="s">
        <v>499</v>
      </c>
      <c r="E31" s="79" t="s">
        <v>352</v>
      </c>
      <c r="F31" s="80">
        <v>0.54166666666666663</v>
      </c>
      <c r="G31" s="128"/>
      <c r="H31" s="127"/>
      <c r="I31" s="82">
        <v>0.79166666666666663</v>
      </c>
      <c r="J31" s="84">
        <f t="shared" si="0"/>
        <v>0.25</v>
      </c>
      <c r="K31" s="434" t="s">
        <v>15</v>
      </c>
      <c r="L31" s="324" t="s">
        <v>15</v>
      </c>
      <c r="M31" s="324" t="s">
        <v>15</v>
      </c>
      <c r="N31" s="435" t="s">
        <v>15</v>
      </c>
      <c r="O31" s="84" t="str">
        <f t="shared" si="1"/>
        <v/>
      </c>
      <c r="P31" s="433" t="s">
        <v>15</v>
      </c>
      <c r="Q31" s="81" t="s">
        <v>15</v>
      </c>
      <c r="R31" s="324" t="s">
        <v>15</v>
      </c>
      <c r="S31" s="435" t="s">
        <v>15</v>
      </c>
      <c r="T31" s="84" t="str">
        <f t="shared" ref="T31:T46" si="13">IFERROR(MOD(S31-P31,1)-(R31-Q31),"")</f>
        <v/>
      </c>
      <c r="U31" s="433" t="s">
        <v>15</v>
      </c>
      <c r="V31" s="81" t="s">
        <v>15</v>
      </c>
      <c r="W31" s="324" t="s">
        <v>15</v>
      </c>
      <c r="X31" s="435" t="s">
        <v>15</v>
      </c>
      <c r="Y31" s="84" t="str">
        <f t="shared" si="3"/>
        <v/>
      </c>
      <c r="Z31" s="80">
        <v>0.29166666666666669</v>
      </c>
      <c r="AA31" s="172"/>
      <c r="AB31" s="127"/>
      <c r="AC31" s="82">
        <v>0.54166666666666663</v>
      </c>
      <c r="AD31" s="84">
        <f t="shared" si="4"/>
        <v>0.24999999999999994</v>
      </c>
      <c r="AE31" s="80">
        <v>0.54166666666666663</v>
      </c>
      <c r="AF31" s="172"/>
      <c r="AG31" s="127"/>
      <c r="AH31" s="82">
        <v>0.79166666666666663</v>
      </c>
      <c r="AI31" s="84">
        <f t="shared" ref="AI31:AI46" si="14">IFERROR(MOD(AH31-AE31,1)-(AG31-AF31),"")</f>
        <v>0.25</v>
      </c>
      <c r="AJ31" s="80">
        <v>0.54166666666666663</v>
      </c>
      <c r="AK31" s="128"/>
      <c r="AL31" s="127"/>
      <c r="AM31" s="82">
        <v>0.79166666666666663</v>
      </c>
      <c r="AN31" s="84">
        <f t="shared" si="6"/>
        <v>0.25</v>
      </c>
      <c r="AO31" s="28">
        <f t="shared" si="7"/>
        <v>1</v>
      </c>
      <c r="AP31" s="302"/>
      <c r="AR31" s="305">
        <f t="shared" si="8"/>
        <v>3</v>
      </c>
    </row>
    <row r="32" spans="1:67" ht="15" x14ac:dyDescent="0.25">
      <c r="A32" s="150" t="s">
        <v>264</v>
      </c>
      <c r="B32" s="125" t="s">
        <v>137</v>
      </c>
      <c r="C32" s="124" t="s">
        <v>167</v>
      </c>
      <c r="D32" s="146" t="s">
        <v>473</v>
      </c>
      <c r="E32" s="79" t="s">
        <v>719</v>
      </c>
      <c r="F32" s="433" t="s">
        <v>15</v>
      </c>
      <c r="G32" s="81" t="s">
        <v>15</v>
      </c>
      <c r="H32" s="324" t="s">
        <v>15</v>
      </c>
      <c r="I32" s="435" t="s">
        <v>15</v>
      </c>
      <c r="J32" s="73" t="str">
        <f t="shared" si="0"/>
        <v/>
      </c>
      <c r="K32" s="433" t="s">
        <v>15</v>
      </c>
      <c r="L32" s="81" t="s">
        <v>15</v>
      </c>
      <c r="M32" s="324" t="s">
        <v>15</v>
      </c>
      <c r="N32" s="435" t="s">
        <v>15</v>
      </c>
      <c r="O32" s="73" t="str">
        <f t="shared" si="1"/>
        <v/>
      </c>
      <c r="P32" s="88">
        <v>0.33333333333333331</v>
      </c>
      <c r="Q32" s="126">
        <v>0.58333333333333337</v>
      </c>
      <c r="R32" s="127">
        <v>0.625</v>
      </c>
      <c r="S32" s="82">
        <v>0.70833333333333337</v>
      </c>
      <c r="T32" s="73">
        <f t="shared" si="13"/>
        <v>0.33333333333333343</v>
      </c>
      <c r="U32" s="88">
        <v>0.33333333333333331</v>
      </c>
      <c r="V32" s="126">
        <v>0.58333333333333337</v>
      </c>
      <c r="W32" s="127">
        <v>0.625</v>
      </c>
      <c r="X32" s="82">
        <v>0.70833333333333337</v>
      </c>
      <c r="Y32" s="73">
        <f t="shared" si="3"/>
        <v>0.33333333333333343</v>
      </c>
      <c r="Z32" s="88">
        <v>0.33333333333333331</v>
      </c>
      <c r="AA32" s="172">
        <v>0.58333333333333337</v>
      </c>
      <c r="AB32" s="127">
        <v>0.625</v>
      </c>
      <c r="AC32" s="95">
        <v>0.70833333333333337</v>
      </c>
      <c r="AD32" s="73">
        <f t="shared" si="4"/>
        <v>0.33333333333333343</v>
      </c>
      <c r="AE32" s="88">
        <v>0.33333333333333331</v>
      </c>
      <c r="AF32" s="172">
        <v>0.58333333333333337</v>
      </c>
      <c r="AG32" s="127">
        <v>0.625</v>
      </c>
      <c r="AH32" s="95">
        <v>0.70833333333333337</v>
      </c>
      <c r="AI32" s="73">
        <f t="shared" si="14"/>
        <v>0.33333333333333343</v>
      </c>
      <c r="AJ32" s="80">
        <v>0.33333333333333331</v>
      </c>
      <c r="AK32" s="172">
        <v>0.58333333333333337</v>
      </c>
      <c r="AL32" s="127">
        <v>0.625</v>
      </c>
      <c r="AM32" s="101">
        <v>0.70833333333333337</v>
      </c>
      <c r="AN32" s="73">
        <f t="shared" si="6"/>
        <v>0.33333333333333343</v>
      </c>
      <c r="AO32" s="28">
        <f t="shared" si="7"/>
        <v>1.6666666666666672</v>
      </c>
      <c r="AP32"/>
      <c r="AR32" s="305">
        <f t="shared" si="8"/>
        <v>2</v>
      </c>
    </row>
    <row r="33" spans="1:67" ht="15" x14ac:dyDescent="0.25">
      <c r="A33" s="150" t="s">
        <v>275</v>
      </c>
      <c r="B33" s="148" t="s">
        <v>54</v>
      </c>
      <c r="C33" s="124" t="s">
        <v>167</v>
      </c>
      <c r="D33" s="146" t="s">
        <v>504</v>
      </c>
      <c r="E33" s="79" t="s">
        <v>352</v>
      </c>
      <c r="F33" s="433" t="s">
        <v>15</v>
      </c>
      <c r="G33" s="81" t="s">
        <v>15</v>
      </c>
      <c r="H33" s="324" t="s">
        <v>15</v>
      </c>
      <c r="I33" s="435" t="s">
        <v>15</v>
      </c>
      <c r="J33" s="73" t="str">
        <f t="shared" si="0"/>
        <v/>
      </c>
      <c r="K33" s="434" t="s">
        <v>15</v>
      </c>
      <c r="L33" s="324" t="s">
        <v>15</v>
      </c>
      <c r="M33" s="324" t="s">
        <v>15</v>
      </c>
      <c r="N33" s="435" t="s">
        <v>15</v>
      </c>
      <c r="O33" s="73" t="str">
        <f t="shared" si="1"/>
        <v/>
      </c>
      <c r="P33" s="433" t="s">
        <v>15</v>
      </c>
      <c r="Q33" s="81" t="s">
        <v>15</v>
      </c>
      <c r="R33" s="324" t="s">
        <v>15</v>
      </c>
      <c r="S33" s="435" t="s">
        <v>15</v>
      </c>
      <c r="T33" s="73" t="str">
        <f t="shared" si="13"/>
        <v/>
      </c>
      <c r="U33" s="88">
        <v>0.375</v>
      </c>
      <c r="V33" s="126"/>
      <c r="W33" s="127"/>
      <c r="X33" s="82">
        <v>0.625</v>
      </c>
      <c r="Y33" s="73">
        <f t="shared" si="3"/>
        <v>0.25</v>
      </c>
      <c r="Z33" s="80">
        <v>0.33333333333333331</v>
      </c>
      <c r="AA33" s="128"/>
      <c r="AB33" s="127"/>
      <c r="AC33" s="83">
        <v>0.58333333333333337</v>
      </c>
      <c r="AD33" s="73">
        <f t="shared" si="4"/>
        <v>0.25000000000000006</v>
      </c>
      <c r="AE33" s="80">
        <v>0.33333333333333331</v>
      </c>
      <c r="AF33" s="128"/>
      <c r="AG33" s="127"/>
      <c r="AH33" s="83">
        <v>0.58333333333333337</v>
      </c>
      <c r="AI33" s="73">
        <f t="shared" si="14"/>
        <v>0.25000000000000006</v>
      </c>
      <c r="AJ33" s="80">
        <v>0.33333333333333331</v>
      </c>
      <c r="AK33" s="323"/>
      <c r="AL33" s="324"/>
      <c r="AM33" s="83">
        <v>0.58333333333333337</v>
      </c>
      <c r="AN33" s="73">
        <f t="shared" si="6"/>
        <v>0.25000000000000006</v>
      </c>
      <c r="AO33" s="28">
        <f t="shared" si="7"/>
        <v>1</v>
      </c>
      <c r="AP33"/>
      <c r="AQ33"/>
      <c r="AR33" s="305">
        <f t="shared" si="8"/>
        <v>3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  <row r="34" spans="1:67" ht="15" x14ac:dyDescent="0.25">
      <c r="A34" s="150" t="s">
        <v>266</v>
      </c>
      <c r="B34" s="145" t="s">
        <v>50</v>
      </c>
      <c r="C34" s="124" t="s">
        <v>167</v>
      </c>
      <c r="D34" s="146" t="s">
        <v>501</v>
      </c>
      <c r="E34" s="79" t="s">
        <v>719</v>
      </c>
      <c r="F34" s="80" t="s">
        <v>689</v>
      </c>
      <c r="G34" s="493" t="s">
        <v>689</v>
      </c>
      <c r="H34" s="493" t="s">
        <v>689</v>
      </c>
      <c r="I34" s="380" t="s">
        <v>689</v>
      </c>
      <c r="J34" s="73" t="str">
        <f t="shared" si="0"/>
        <v/>
      </c>
      <c r="K34" s="88">
        <v>0.375</v>
      </c>
      <c r="L34" s="126"/>
      <c r="M34" s="127"/>
      <c r="N34" s="82">
        <v>0.625</v>
      </c>
      <c r="O34" s="73">
        <f t="shared" si="1"/>
        <v>0.25</v>
      </c>
      <c r="P34" s="88">
        <v>0.375</v>
      </c>
      <c r="Q34" s="126"/>
      <c r="R34" s="127"/>
      <c r="S34" s="82">
        <v>0.625</v>
      </c>
      <c r="T34" s="73">
        <f t="shared" si="13"/>
        <v>0.25</v>
      </c>
      <c r="U34" s="88">
        <v>0.375</v>
      </c>
      <c r="V34" s="126"/>
      <c r="W34" s="127"/>
      <c r="X34" s="82">
        <v>0.625</v>
      </c>
      <c r="Y34" s="73">
        <f t="shared" si="3"/>
        <v>0.25</v>
      </c>
      <c r="Z34" s="88">
        <v>0.375</v>
      </c>
      <c r="AA34" s="126"/>
      <c r="AB34" s="127"/>
      <c r="AC34" s="82">
        <v>0.625</v>
      </c>
      <c r="AD34" s="73">
        <f t="shared" si="4"/>
        <v>0.25</v>
      </c>
      <c r="AE34" s="434" t="s">
        <v>15</v>
      </c>
      <c r="AF34" s="81" t="s">
        <v>15</v>
      </c>
      <c r="AG34" s="324" t="s">
        <v>15</v>
      </c>
      <c r="AH34" s="435" t="s">
        <v>15</v>
      </c>
      <c r="AI34" s="73" t="str">
        <f t="shared" si="14"/>
        <v/>
      </c>
      <c r="AJ34" s="434" t="s">
        <v>15</v>
      </c>
      <c r="AK34" s="81" t="s">
        <v>15</v>
      </c>
      <c r="AL34" s="324" t="s">
        <v>15</v>
      </c>
      <c r="AM34" s="435" t="s">
        <v>15</v>
      </c>
      <c r="AN34" s="73" t="str">
        <f t="shared" si="6"/>
        <v/>
      </c>
      <c r="AO34" s="28">
        <f t="shared" si="7"/>
        <v>1</v>
      </c>
      <c r="AP34" s="302"/>
      <c r="AR34" s="305">
        <f t="shared" si="8"/>
        <v>2</v>
      </c>
    </row>
    <row r="35" spans="1:67" ht="15" x14ac:dyDescent="0.25">
      <c r="A35" s="150" t="s">
        <v>282</v>
      </c>
      <c r="B35" s="125" t="s">
        <v>45</v>
      </c>
      <c r="C35" s="124" t="s">
        <v>167</v>
      </c>
      <c r="D35" s="146" t="s">
        <v>502</v>
      </c>
      <c r="E35" s="79" t="s">
        <v>719</v>
      </c>
      <c r="F35" s="182">
        <v>0.54166666666666663</v>
      </c>
      <c r="G35" s="179"/>
      <c r="H35" s="180"/>
      <c r="I35" s="100">
        <v>0.79166666666666663</v>
      </c>
      <c r="J35" s="73">
        <f t="shared" si="0"/>
        <v>0.25</v>
      </c>
      <c r="K35" s="80">
        <v>0.54166666666666663</v>
      </c>
      <c r="L35" s="323"/>
      <c r="M35" s="324"/>
      <c r="N35" s="82">
        <v>0.79166666666666663</v>
      </c>
      <c r="O35" s="73">
        <f t="shared" si="1"/>
        <v>0.25</v>
      </c>
      <c r="P35" s="80">
        <v>0.54166666666666663</v>
      </c>
      <c r="Q35" s="323"/>
      <c r="R35" s="324"/>
      <c r="S35" s="82">
        <v>0.79166666666666663</v>
      </c>
      <c r="T35" s="73">
        <f t="shared" si="13"/>
        <v>0.25</v>
      </c>
      <c r="U35" s="80">
        <v>0.54166666666666663</v>
      </c>
      <c r="V35" s="323"/>
      <c r="W35" s="324"/>
      <c r="X35" s="82">
        <v>0.79166666666666663</v>
      </c>
      <c r="Y35" s="73">
        <f t="shared" si="3"/>
        <v>0.25</v>
      </c>
      <c r="Z35" s="80">
        <v>0.54166666666666663</v>
      </c>
      <c r="AA35" s="323"/>
      <c r="AB35" s="324"/>
      <c r="AC35" s="82">
        <v>0.79166666666666663</v>
      </c>
      <c r="AD35" s="73">
        <f t="shared" si="4"/>
        <v>0.25</v>
      </c>
      <c r="AE35" s="433" t="s">
        <v>15</v>
      </c>
      <c r="AF35" s="81" t="s">
        <v>15</v>
      </c>
      <c r="AG35" s="324" t="s">
        <v>15</v>
      </c>
      <c r="AH35" s="435" t="s">
        <v>15</v>
      </c>
      <c r="AI35" s="73" t="str">
        <f t="shared" si="14"/>
        <v/>
      </c>
      <c r="AJ35" s="433" t="s">
        <v>15</v>
      </c>
      <c r="AK35" s="81" t="s">
        <v>15</v>
      </c>
      <c r="AL35" s="324" t="s">
        <v>15</v>
      </c>
      <c r="AM35" s="435" t="s">
        <v>15</v>
      </c>
      <c r="AN35" s="73" t="str">
        <f t="shared" si="6"/>
        <v/>
      </c>
      <c r="AO35" s="28">
        <f t="shared" si="7"/>
        <v>1.25</v>
      </c>
      <c r="AP35"/>
      <c r="AR35" s="305">
        <f t="shared" si="8"/>
        <v>2</v>
      </c>
    </row>
    <row r="36" spans="1:67" ht="15" x14ac:dyDescent="0.25">
      <c r="A36" s="150" t="s">
        <v>259</v>
      </c>
      <c r="B36" s="125" t="s">
        <v>51</v>
      </c>
      <c r="C36" s="124" t="s">
        <v>167</v>
      </c>
      <c r="D36" s="146" t="s">
        <v>503</v>
      </c>
      <c r="E36" s="79" t="s">
        <v>719</v>
      </c>
      <c r="F36" s="433" t="s">
        <v>15</v>
      </c>
      <c r="G36" s="81" t="s">
        <v>15</v>
      </c>
      <c r="H36" s="324" t="s">
        <v>15</v>
      </c>
      <c r="I36" s="435" t="s">
        <v>15</v>
      </c>
      <c r="J36" s="73" t="str">
        <f t="shared" si="0"/>
        <v/>
      </c>
      <c r="K36" s="434" t="s">
        <v>15</v>
      </c>
      <c r="L36" s="324" t="s">
        <v>15</v>
      </c>
      <c r="M36" s="324" t="s">
        <v>15</v>
      </c>
      <c r="N36" s="435" t="s">
        <v>15</v>
      </c>
      <c r="O36" s="73" t="str">
        <f t="shared" si="1"/>
        <v/>
      </c>
      <c r="P36" s="88">
        <v>0.58333333333333337</v>
      </c>
      <c r="Q36" s="126"/>
      <c r="R36" s="127"/>
      <c r="S36" s="82">
        <v>0.83333333333333337</v>
      </c>
      <c r="T36" s="73">
        <f t="shared" si="13"/>
        <v>0.25</v>
      </c>
      <c r="U36" s="80">
        <v>0.58333333333333337</v>
      </c>
      <c r="V36" s="172"/>
      <c r="W36" s="127"/>
      <c r="X36" s="152">
        <v>0.83333333333333337</v>
      </c>
      <c r="Y36" s="73">
        <f t="shared" si="3"/>
        <v>0.25</v>
      </c>
      <c r="Z36" s="80">
        <v>0.58333333333333337</v>
      </c>
      <c r="AA36" s="172"/>
      <c r="AB36" s="127"/>
      <c r="AC36" s="152">
        <v>0.83333333333333337</v>
      </c>
      <c r="AD36" s="73">
        <f t="shared" si="4"/>
        <v>0.25</v>
      </c>
      <c r="AE36" s="80">
        <v>0.58333333333333337</v>
      </c>
      <c r="AF36" s="172"/>
      <c r="AG36" s="127"/>
      <c r="AH36" s="152">
        <v>0.83333333333333337</v>
      </c>
      <c r="AI36" s="73">
        <f t="shared" si="14"/>
        <v>0.25</v>
      </c>
      <c r="AJ36" s="434" t="s">
        <v>15</v>
      </c>
      <c r="AK36" s="324" t="s">
        <v>15</v>
      </c>
      <c r="AL36" s="324" t="s">
        <v>15</v>
      </c>
      <c r="AM36" s="435" t="s">
        <v>15</v>
      </c>
      <c r="AN36" s="73" t="str">
        <f t="shared" si="6"/>
        <v/>
      </c>
      <c r="AO36" s="28">
        <f t="shared" si="7"/>
        <v>1</v>
      </c>
      <c r="AP36"/>
      <c r="AQ36" s="122"/>
      <c r="AR36" s="305">
        <f t="shared" si="8"/>
        <v>3</v>
      </c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ht="15" x14ac:dyDescent="0.25">
      <c r="A37" s="150" t="s">
        <v>269</v>
      </c>
      <c r="B37" s="125" t="s">
        <v>46</v>
      </c>
      <c r="C37" s="124" t="s">
        <v>167</v>
      </c>
      <c r="D37" s="146" t="s">
        <v>500</v>
      </c>
      <c r="E37" s="79" t="s">
        <v>719</v>
      </c>
      <c r="F37" s="182">
        <v>0.375</v>
      </c>
      <c r="G37" s="180"/>
      <c r="H37" s="180"/>
      <c r="I37" s="96">
        <v>0.625</v>
      </c>
      <c r="J37" s="73">
        <f t="shared" si="0"/>
        <v>0.25</v>
      </c>
      <c r="K37" s="80">
        <v>0.66666666666666663</v>
      </c>
      <c r="L37" s="128"/>
      <c r="M37" s="127"/>
      <c r="N37" s="82">
        <v>0.91666666666666663</v>
      </c>
      <c r="O37" s="73">
        <f t="shared" si="1"/>
        <v>0.25</v>
      </c>
      <c r="P37" s="433" t="s">
        <v>15</v>
      </c>
      <c r="Q37" s="81" t="s">
        <v>15</v>
      </c>
      <c r="R37" s="324" t="s">
        <v>15</v>
      </c>
      <c r="S37" s="435" t="s">
        <v>15</v>
      </c>
      <c r="T37" s="73" t="str">
        <f t="shared" si="13"/>
        <v/>
      </c>
      <c r="U37" s="433" t="s">
        <v>15</v>
      </c>
      <c r="V37" s="81" t="s">
        <v>15</v>
      </c>
      <c r="W37" s="324" t="s">
        <v>15</v>
      </c>
      <c r="X37" s="435" t="s">
        <v>15</v>
      </c>
      <c r="Y37" s="73" t="str">
        <f t="shared" si="3"/>
        <v/>
      </c>
      <c r="Z37" s="182">
        <v>0.29166666666666669</v>
      </c>
      <c r="AA37" s="180"/>
      <c r="AB37" s="180"/>
      <c r="AC37" s="96">
        <v>0.54166666666666663</v>
      </c>
      <c r="AD37" s="73">
        <f t="shared" si="4"/>
        <v>0.24999999999999994</v>
      </c>
      <c r="AE37" s="182">
        <v>0.29166666666666669</v>
      </c>
      <c r="AF37" s="180"/>
      <c r="AG37" s="180"/>
      <c r="AH37" s="96">
        <v>0.54166666666666663</v>
      </c>
      <c r="AI37" s="73">
        <f t="shared" si="14"/>
        <v>0.24999999999999994</v>
      </c>
      <c r="AJ37" s="182">
        <v>0.29166666666666669</v>
      </c>
      <c r="AK37" s="180"/>
      <c r="AL37" s="180"/>
      <c r="AM37" s="96">
        <v>0.54166666666666663</v>
      </c>
      <c r="AN37" s="73">
        <f t="shared" si="6"/>
        <v>0.24999999999999994</v>
      </c>
      <c r="AO37" s="28">
        <f t="shared" si="7"/>
        <v>1.25</v>
      </c>
      <c r="AP37"/>
      <c r="AQ37"/>
      <c r="AR37" s="305">
        <f t="shared" si="8"/>
        <v>2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1:67" ht="15" x14ac:dyDescent="0.25">
      <c r="A38" s="150" t="s">
        <v>263</v>
      </c>
      <c r="B38" s="149" t="s">
        <v>17</v>
      </c>
      <c r="C38" s="124" t="s">
        <v>167</v>
      </c>
      <c r="D38" s="146" t="s">
        <v>469</v>
      </c>
      <c r="E38" s="79" t="s">
        <v>719</v>
      </c>
      <c r="F38" s="88">
        <v>0.66666666666666663</v>
      </c>
      <c r="G38" s="179"/>
      <c r="H38" s="180"/>
      <c r="I38" s="82">
        <v>0.91666666666666663</v>
      </c>
      <c r="J38" s="73">
        <f t="shared" si="0"/>
        <v>0.25</v>
      </c>
      <c r="K38" s="80">
        <v>0.66666666666666663</v>
      </c>
      <c r="L38" s="323"/>
      <c r="M38" s="324"/>
      <c r="N38" s="82">
        <v>0.91666666666666663</v>
      </c>
      <c r="O38" s="73">
        <f t="shared" si="1"/>
        <v>0.25</v>
      </c>
      <c r="P38" s="433" t="s">
        <v>15</v>
      </c>
      <c r="Q38" s="81" t="s">
        <v>15</v>
      </c>
      <c r="R38" s="324" t="s">
        <v>15</v>
      </c>
      <c r="S38" s="435" t="s">
        <v>15</v>
      </c>
      <c r="T38" s="73" t="str">
        <f t="shared" si="13"/>
        <v/>
      </c>
      <c r="U38" s="433" t="s">
        <v>15</v>
      </c>
      <c r="V38" s="81" t="s">
        <v>15</v>
      </c>
      <c r="W38" s="324" t="s">
        <v>15</v>
      </c>
      <c r="X38" s="435" t="s">
        <v>15</v>
      </c>
      <c r="Y38" s="73" t="str">
        <f t="shared" si="3"/>
        <v/>
      </c>
      <c r="Z38" s="220">
        <v>0.66666666666666663</v>
      </c>
      <c r="AA38" s="180"/>
      <c r="AB38" s="180"/>
      <c r="AC38" s="27">
        <v>0.91666666666666663</v>
      </c>
      <c r="AD38" s="73">
        <f t="shared" si="4"/>
        <v>0.25</v>
      </c>
      <c r="AE38" s="220">
        <v>0.66666666666666663</v>
      </c>
      <c r="AF38" s="180"/>
      <c r="AG38" s="180"/>
      <c r="AH38" s="27">
        <v>0.91666666666666663</v>
      </c>
      <c r="AI38" s="73">
        <f t="shared" si="14"/>
        <v>0.25</v>
      </c>
      <c r="AJ38" s="80">
        <v>0.66666666666666663</v>
      </c>
      <c r="AK38" s="180"/>
      <c r="AL38" s="180"/>
      <c r="AM38" s="82">
        <v>0.91666666666666663</v>
      </c>
      <c r="AN38" s="73">
        <f t="shared" si="6"/>
        <v>0.25</v>
      </c>
      <c r="AO38" s="28">
        <f t="shared" si="7"/>
        <v>1.25</v>
      </c>
      <c r="AP38" s="302"/>
      <c r="AQ38"/>
      <c r="AR38" s="305">
        <f t="shared" si="8"/>
        <v>2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</row>
    <row r="39" spans="1:67" ht="15" x14ac:dyDescent="0.25">
      <c r="A39" s="150"/>
      <c r="B39" s="148" t="s">
        <v>368</v>
      </c>
      <c r="C39" s="111" t="s">
        <v>99</v>
      </c>
      <c r="D39" s="146" t="s">
        <v>510</v>
      </c>
      <c r="E39" s="79" t="s">
        <v>352</v>
      </c>
      <c r="F39" s="182">
        <v>0.66666666666666663</v>
      </c>
      <c r="G39" s="179"/>
      <c r="H39" s="180"/>
      <c r="I39" s="100">
        <v>0.91666666666666663</v>
      </c>
      <c r="J39" s="73">
        <f t="shared" si="0"/>
        <v>0.25</v>
      </c>
      <c r="K39" s="434" t="s">
        <v>15</v>
      </c>
      <c r="L39" s="324" t="s">
        <v>15</v>
      </c>
      <c r="M39" s="324" t="s">
        <v>15</v>
      </c>
      <c r="N39" s="435" t="s">
        <v>15</v>
      </c>
      <c r="O39" s="73" t="str">
        <f t="shared" si="1"/>
        <v/>
      </c>
      <c r="P39" s="433" t="s">
        <v>15</v>
      </c>
      <c r="Q39" s="81" t="s">
        <v>15</v>
      </c>
      <c r="R39" s="324" t="s">
        <v>15</v>
      </c>
      <c r="S39" s="435" t="s">
        <v>15</v>
      </c>
      <c r="T39" s="73" t="str">
        <f t="shared" si="13"/>
        <v/>
      </c>
      <c r="U39" s="88">
        <v>0.29166666666666669</v>
      </c>
      <c r="V39" s="126"/>
      <c r="W39" s="127"/>
      <c r="X39" s="82">
        <v>0.54166666666666663</v>
      </c>
      <c r="Y39" s="73">
        <f t="shared" si="3"/>
        <v>0.24999999999999994</v>
      </c>
      <c r="Z39" s="182">
        <v>0.29166666666666669</v>
      </c>
      <c r="AA39" s="126"/>
      <c r="AB39" s="127"/>
      <c r="AC39" s="100">
        <v>0.54166666666666663</v>
      </c>
      <c r="AD39" s="73">
        <f t="shared" si="4"/>
        <v>0.24999999999999994</v>
      </c>
      <c r="AE39" s="182">
        <v>0.29166666666666669</v>
      </c>
      <c r="AF39" s="126"/>
      <c r="AG39" s="127"/>
      <c r="AH39" s="100">
        <v>0.54166666666666663</v>
      </c>
      <c r="AI39" s="73">
        <f t="shared" si="14"/>
        <v>0.24999999999999994</v>
      </c>
      <c r="AJ39" s="182">
        <v>0.66666666666666663</v>
      </c>
      <c r="AK39" s="179"/>
      <c r="AL39" s="180"/>
      <c r="AM39" s="100">
        <v>0.91666666666666663</v>
      </c>
      <c r="AN39" s="73">
        <f t="shared" si="6"/>
        <v>0.25</v>
      </c>
      <c r="AO39" s="28">
        <f t="shared" si="7"/>
        <v>1.2499999999999998</v>
      </c>
      <c r="AP39" s="302"/>
      <c r="AR39" s="305">
        <f t="shared" si="8"/>
        <v>2</v>
      </c>
    </row>
    <row r="40" spans="1:67" ht="15" x14ac:dyDescent="0.25">
      <c r="A40" s="150" t="s">
        <v>282</v>
      </c>
      <c r="B40" s="144" t="s">
        <v>56</v>
      </c>
      <c r="C40" s="111" t="s">
        <v>99</v>
      </c>
      <c r="D40" s="146" t="s">
        <v>328</v>
      </c>
      <c r="E40" s="79" t="s">
        <v>352</v>
      </c>
      <c r="F40" s="433" t="s">
        <v>15</v>
      </c>
      <c r="G40" s="81" t="s">
        <v>15</v>
      </c>
      <c r="H40" s="324" t="s">
        <v>15</v>
      </c>
      <c r="I40" s="435" t="s">
        <v>15</v>
      </c>
      <c r="J40" s="73" t="str">
        <f t="shared" si="0"/>
        <v/>
      </c>
      <c r="K40" s="80">
        <v>0.29166666666666669</v>
      </c>
      <c r="L40" s="172"/>
      <c r="M40" s="127"/>
      <c r="N40" s="82">
        <v>0.54166666666666663</v>
      </c>
      <c r="O40" s="73">
        <f t="shared" si="1"/>
        <v>0.24999999999999994</v>
      </c>
      <c r="P40" s="182">
        <v>0.29166666666666669</v>
      </c>
      <c r="Q40" s="179"/>
      <c r="R40" s="180"/>
      <c r="S40" s="100">
        <v>0.54166666666666663</v>
      </c>
      <c r="T40" s="73">
        <f t="shared" si="13"/>
        <v>0.24999999999999994</v>
      </c>
      <c r="U40" s="182">
        <v>0.29166666666666669</v>
      </c>
      <c r="V40" s="179"/>
      <c r="W40" s="180"/>
      <c r="X40" s="100">
        <v>0.54166666666666663</v>
      </c>
      <c r="Y40" s="73">
        <f t="shared" si="3"/>
        <v>0.24999999999999994</v>
      </c>
      <c r="Z40" s="220">
        <v>0.29166666666666669</v>
      </c>
      <c r="AA40" s="180"/>
      <c r="AB40" s="180"/>
      <c r="AC40" s="27">
        <v>0.54166666666666663</v>
      </c>
      <c r="AD40" s="73">
        <f t="shared" si="4"/>
        <v>0.24999999999999994</v>
      </c>
      <c r="AE40" s="434" t="s">
        <v>15</v>
      </c>
      <c r="AF40" s="324" t="s">
        <v>15</v>
      </c>
      <c r="AG40" s="324" t="s">
        <v>15</v>
      </c>
      <c r="AH40" s="434" t="s">
        <v>15</v>
      </c>
      <c r="AI40" s="73" t="str">
        <f t="shared" si="14"/>
        <v/>
      </c>
      <c r="AJ40" s="434" t="s">
        <v>15</v>
      </c>
      <c r="AK40" s="324" t="s">
        <v>15</v>
      </c>
      <c r="AL40" s="324" t="s">
        <v>15</v>
      </c>
      <c r="AM40" s="435" t="s">
        <v>15</v>
      </c>
      <c r="AN40" s="73" t="str">
        <f t="shared" si="6"/>
        <v/>
      </c>
      <c r="AO40" s="28">
        <f t="shared" si="7"/>
        <v>0.99999999999999978</v>
      </c>
      <c r="AP40"/>
      <c r="AR40" s="305">
        <f t="shared" si="8"/>
        <v>3</v>
      </c>
    </row>
    <row r="41" spans="1:67" ht="15" x14ac:dyDescent="0.25">
      <c r="A41" s="150" t="s">
        <v>286</v>
      </c>
      <c r="B41" s="125" t="s">
        <v>66</v>
      </c>
      <c r="C41" s="111" t="s">
        <v>99</v>
      </c>
      <c r="D41" s="146" t="s">
        <v>507</v>
      </c>
      <c r="E41" s="79" t="s">
        <v>352</v>
      </c>
      <c r="F41" s="88">
        <v>0.29166666666666669</v>
      </c>
      <c r="G41" s="172"/>
      <c r="H41" s="127"/>
      <c r="I41" s="153">
        <v>0.54166666666666663</v>
      </c>
      <c r="J41" s="73">
        <f t="shared" si="0"/>
        <v>0.24999999999999994</v>
      </c>
      <c r="K41" s="434" t="s">
        <v>15</v>
      </c>
      <c r="L41" s="324" t="s">
        <v>15</v>
      </c>
      <c r="M41" s="324" t="s">
        <v>15</v>
      </c>
      <c r="N41" s="435" t="s">
        <v>15</v>
      </c>
      <c r="O41" s="73" t="str">
        <f t="shared" si="1"/>
        <v/>
      </c>
      <c r="P41" s="434" t="s">
        <v>15</v>
      </c>
      <c r="Q41" s="324" t="s">
        <v>15</v>
      </c>
      <c r="R41" s="324" t="s">
        <v>15</v>
      </c>
      <c r="S41" s="435" t="s">
        <v>15</v>
      </c>
      <c r="T41" s="73" t="str">
        <f t="shared" si="13"/>
        <v/>
      </c>
      <c r="U41" s="88">
        <v>0.29166666666666669</v>
      </c>
      <c r="V41" s="126"/>
      <c r="W41" s="127"/>
      <c r="X41" s="83">
        <v>0.54166666666666663</v>
      </c>
      <c r="Y41" s="73">
        <f t="shared" si="3"/>
        <v>0.24999999999999994</v>
      </c>
      <c r="Z41" s="433" t="s">
        <v>15</v>
      </c>
      <c r="AA41" s="81" t="s">
        <v>15</v>
      </c>
      <c r="AB41" s="324" t="s">
        <v>15</v>
      </c>
      <c r="AC41" s="435" t="s">
        <v>15</v>
      </c>
      <c r="AD41" s="73" t="str">
        <f t="shared" si="4"/>
        <v/>
      </c>
      <c r="AE41" s="88">
        <v>0.29166666666666669</v>
      </c>
      <c r="AF41" s="172"/>
      <c r="AG41" s="127"/>
      <c r="AH41" s="186">
        <v>0.54166666666666663</v>
      </c>
      <c r="AI41" s="73">
        <f t="shared" si="14"/>
        <v>0.24999999999999994</v>
      </c>
      <c r="AJ41" s="80">
        <v>0.29166666666666669</v>
      </c>
      <c r="AK41" s="172"/>
      <c r="AL41" s="127"/>
      <c r="AM41" s="153">
        <v>0.54166666666666663</v>
      </c>
      <c r="AN41" s="73">
        <f t="shared" si="6"/>
        <v>0.24999999999999994</v>
      </c>
      <c r="AO41" s="28">
        <f t="shared" si="7"/>
        <v>0.99999999999999978</v>
      </c>
      <c r="AP41"/>
      <c r="AR41" s="305">
        <f t="shared" si="8"/>
        <v>3</v>
      </c>
    </row>
    <row r="42" spans="1:67" ht="15" x14ac:dyDescent="0.25">
      <c r="A42" s="150" t="s">
        <v>258</v>
      </c>
      <c r="B42" s="144" t="s">
        <v>158</v>
      </c>
      <c r="C42" s="111" t="s">
        <v>99</v>
      </c>
      <c r="D42" s="146" t="s">
        <v>159</v>
      </c>
      <c r="E42" s="79" t="s">
        <v>352</v>
      </c>
      <c r="F42" s="80" t="s">
        <v>159</v>
      </c>
      <c r="G42" s="80" t="s">
        <v>159</v>
      </c>
      <c r="H42" s="80" t="s">
        <v>159</v>
      </c>
      <c r="I42" s="80" t="s">
        <v>159</v>
      </c>
      <c r="J42" s="73" t="str">
        <f t="shared" si="0"/>
        <v/>
      </c>
      <c r="K42" s="80" t="s">
        <v>159</v>
      </c>
      <c r="L42" s="80" t="s">
        <v>159</v>
      </c>
      <c r="M42" s="80" t="s">
        <v>159</v>
      </c>
      <c r="N42" s="80" t="s">
        <v>159</v>
      </c>
      <c r="O42" s="73" t="str">
        <f t="shared" si="1"/>
        <v/>
      </c>
      <c r="P42" s="80" t="s">
        <v>159</v>
      </c>
      <c r="Q42" s="80" t="s">
        <v>159</v>
      </c>
      <c r="R42" s="80" t="s">
        <v>159</v>
      </c>
      <c r="S42" s="80" t="s">
        <v>159</v>
      </c>
      <c r="T42" s="73" t="str">
        <f t="shared" si="13"/>
        <v/>
      </c>
      <c r="U42" s="80" t="s">
        <v>159</v>
      </c>
      <c r="V42" s="80" t="s">
        <v>159</v>
      </c>
      <c r="W42" s="80" t="s">
        <v>159</v>
      </c>
      <c r="X42" s="80" t="s">
        <v>159</v>
      </c>
      <c r="Y42" s="73" t="str">
        <f t="shared" si="3"/>
        <v/>
      </c>
      <c r="Z42" s="80" t="s">
        <v>159</v>
      </c>
      <c r="AA42" s="80" t="s">
        <v>159</v>
      </c>
      <c r="AB42" s="80" t="s">
        <v>159</v>
      </c>
      <c r="AC42" s="80" t="s">
        <v>159</v>
      </c>
      <c r="AD42" s="73" t="str">
        <f t="shared" si="4"/>
        <v/>
      </c>
      <c r="AE42" s="80" t="s">
        <v>159</v>
      </c>
      <c r="AF42" s="80" t="s">
        <v>159</v>
      </c>
      <c r="AG42" s="80" t="s">
        <v>159</v>
      </c>
      <c r="AH42" s="80" t="s">
        <v>159</v>
      </c>
      <c r="AI42" s="73" t="str">
        <f t="shared" si="14"/>
        <v/>
      </c>
      <c r="AJ42" s="80" t="s">
        <v>159</v>
      </c>
      <c r="AK42" s="80" t="s">
        <v>159</v>
      </c>
      <c r="AL42" s="80" t="s">
        <v>159</v>
      </c>
      <c r="AM42" s="80" t="s">
        <v>159</v>
      </c>
      <c r="AN42" s="73" t="str">
        <f t="shared" si="6"/>
        <v/>
      </c>
      <c r="AO42" s="28">
        <f t="shared" si="7"/>
        <v>0</v>
      </c>
      <c r="AP42" s="302"/>
      <c r="AR42" s="305">
        <f t="shared" si="8"/>
        <v>0</v>
      </c>
    </row>
    <row r="43" spans="1:67" ht="15" x14ac:dyDescent="0.25">
      <c r="A43" s="150" t="s">
        <v>262</v>
      </c>
      <c r="B43" s="125" t="s">
        <v>49</v>
      </c>
      <c r="C43" s="111" t="s">
        <v>99</v>
      </c>
      <c r="D43" s="146" t="s">
        <v>508</v>
      </c>
      <c r="E43" s="79" t="s">
        <v>352</v>
      </c>
      <c r="F43" s="433" t="s">
        <v>15</v>
      </c>
      <c r="G43" s="81" t="s">
        <v>15</v>
      </c>
      <c r="H43" s="324" t="s">
        <v>15</v>
      </c>
      <c r="I43" s="435" t="s">
        <v>15</v>
      </c>
      <c r="J43" s="73" t="str">
        <f t="shared" si="0"/>
        <v/>
      </c>
      <c r="K43" s="80">
        <v>0.29166666666666669</v>
      </c>
      <c r="L43" s="172"/>
      <c r="M43" s="127"/>
      <c r="N43" s="82">
        <v>0.54166666666666663</v>
      </c>
      <c r="O43" s="73">
        <f t="shared" si="1"/>
        <v>0.24999999999999994</v>
      </c>
      <c r="P43" s="182">
        <v>0.54166666666666663</v>
      </c>
      <c r="Q43" s="179"/>
      <c r="R43" s="180"/>
      <c r="S43" s="100">
        <v>0.79166666666666663</v>
      </c>
      <c r="T43" s="73">
        <f t="shared" si="13"/>
        <v>0.25</v>
      </c>
      <c r="U43" s="182">
        <v>0.66666666666666663</v>
      </c>
      <c r="V43" s="179"/>
      <c r="W43" s="180"/>
      <c r="X43" s="100">
        <v>0.91666666666666663</v>
      </c>
      <c r="Y43" s="73">
        <f t="shared" si="3"/>
        <v>0.25</v>
      </c>
      <c r="Z43" s="80">
        <v>0.66666666666666663</v>
      </c>
      <c r="AA43" s="128"/>
      <c r="AB43" s="127"/>
      <c r="AC43" s="101">
        <v>0.91666666666666663</v>
      </c>
      <c r="AD43" s="73">
        <f t="shared" si="4"/>
        <v>0.25</v>
      </c>
      <c r="AE43" s="80">
        <v>0.66666666666666663</v>
      </c>
      <c r="AF43" s="128"/>
      <c r="AG43" s="127"/>
      <c r="AH43" s="101">
        <v>0.91666666666666663</v>
      </c>
      <c r="AI43" s="73">
        <f t="shared" si="14"/>
        <v>0.25</v>
      </c>
      <c r="AJ43" s="434" t="s">
        <v>15</v>
      </c>
      <c r="AK43" s="324" t="s">
        <v>15</v>
      </c>
      <c r="AL43" s="324" t="s">
        <v>15</v>
      </c>
      <c r="AM43" s="435" t="s">
        <v>15</v>
      </c>
      <c r="AN43" s="73" t="str">
        <f t="shared" si="6"/>
        <v/>
      </c>
      <c r="AO43" s="28">
        <f t="shared" si="7"/>
        <v>1.25</v>
      </c>
      <c r="AP43" s="302"/>
      <c r="AR43" s="305">
        <f t="shared" si="8"/>
        <v>2</v>
      </c>
    </row>
    <row r="44" spans="1:67" ht="15" x14ac:dyDescent="0.25">
      <c r="A44" s="150" t="s">
        <v>282</v>
      </c>
      <c r="B44" s="125" t="s">
        <v>77</v>
      </c>
      <c r="C44" s="111" t="s">
        <v>99</v>
      </c>
      <c r="D44" s="146" t="s">
        <v>505</v>
      </c>
      <c r="E44" s="79" t="s">
        <v>352</v>
      </c>
      <c r="F44" s="80">
        <v>0.54166666666666663</v>
      </c>
      <c r="G44" s="172"/>
      <c r="H44" s="127"/>
      <c r="I44" s="82">
        <v>0.79166666666666663</v>
      </c>
      <c r="J44" s="73">
        <f t="shared" si="0"/>
        <v>0.25</v>
      </c>
      <c r="K44" s="88">
        <v>0.54166666666666663</v>
      </c>
      <c r="L44" s="306"/>
      <c r="M44" s="127"/>
      <c r="N44" s="82">
        <v>0.79166666666666663</v>
      </c>
      <c r="O44" s="73">
        <f t="shared" si="1"/>
        <v>0.25</v>
      </c>
      <c r="P44" s="88">
        <v>0.54166666666666663</v>
      </c>
      <c r="Q44" s="306"/>
      <c r="R44" s="127"/>
      <c r="S44" s="82">
        <v>0.79166666666666663</v>
      </c>
      <c r="T44" s="73">
        <f t="shared" si="13"/>
        <v>0.25</v>
      </c>
      <c r="U44" s="434" t="s">
        <v>15</v>
      </c>
      <c r="V44" s="324" t="s">
        <v>15</v>
      </c>
      <c r="W44" s="324" t="s">
        <v>15</v>
      </c>
      <c r="X44" s="435" t="s">
        <v>15</v>
      </c>
      <c r="Y44" s="73" t="str">
        <f t="shared" si="3"/>
        <v/>
      </c>
      <c r="Z44" s="433" t="s">
        <v>15</v>
      </c>
      <c r="AA44" s="81" t="s">
        <v>15</v>
      </c>
      <c r="AB44" s="324" t="s">
        <v>15</v>
      </c>
      <c r="AC44" s="435" t="s">
        <v>15</v>
      </c>
      <c r="AD44" s="73" t="str">
        <f t="shared" si="4"/>
        <v/>
      </c>
      <c r="AE44" s="220">
        <v>0.54166666666666663</v>
      </c>
      <c r="AF44" s="180"/>
      <c r="AG44" s="180"/>
      <c r="AH44" s="100">
        <v>0.79166666666666663</v>
      </c>
      <c r="AI44" s="73">
        <f t="shared" si="14"/>
        <v>0.25</v>
      </c>
      <c r="AJ44" s="220">
        <v>0.54166666666666663</v>
      </c>
      <c r="AK44" s="180"/>
      <c r="AL44" s="180"/>
      <c r="AM44" s="100">
        <v>0.79166666666666663</v>
      </c>
      <c r="AN44" s="73">
        <f t="shared" si="6"/>
        <v>0.25</v>
      </c>
      <c r="AO44" s="28">
        <f t="shared" si="7"/>
        <v>1.25</v>
      </c>
      <c r="AP44" s="302"/>
      <c r="AR44" s="305">
        <f t="shared" si="8"/>
        <v>2</v>
      </c>
    </row>
    <row r="45" spans="1:67" ht="15" x14ac:dyDescent="0.25">
      <c r="A45" s="150" t="s">
        <v>288</v>
      </c>
      <c r="B45" s="144" t="s">
        <v>88</v>
      </c>
      <c r="C45" s="111" t="s">
        <v>99</v>
      </c>
      <c r="D45" s="146" t="s">
        <v>506</v>
      </c>
      <c r="E45" s="79" t="s">
        <v>352</v>
      </c>
      <c r="F45" s="88">
        <v>0.29166666666666669</v>
      </c>
      <c r="G45" s="306"/>
      <c r="H45" s="127"/>
      <c r="I45" s="82">
        <v>0.54166666666666663</v>
      </c>
      <c r="J45" s="73">
        <f t="shared" si="0"/>
        <v>0.24999999999999994</v>
      </c>
      <c r="K45" s="80">
        <v>0.375</v>
      </c>
      <c r="L45" s="172"/>
      <c r="M45" s="127"/>
      <c r="N45" s="82">
        <v>0.625</v>
      </c>
      <c r="O45" s="73">
        <f t="shared" si="1"/>
        <v>0.25</v>
      </c>
      <c r="P45" s="80">
        <v>0.54166666666666663</v>
      </c>
      <c r="Q45" s="172"/>
      <c r="R45" s="127"/>
      <c r="S45" s="82">
        <v>0.79166666666666663</v>
      </c>
      <c r="T45" s="73">
        <f t="shared" si="13"/>
        <v>0.25</v>
      </c>
      <c r="U45" s="434" t="s">
        <v>15</v>
      </c>
      <c r="V45" s="324" t="s">
        <v>15</v>
      </c>
      <c r="W45" s="324" t="s">
        <v>15</v>
      </c>
      <c r="X45" s="435" t="s">
        <v>15</v>
      </c>
      <c r="Y45" s="73" t="str">
        <f t="shared" si="3"/>
        <v/>
      </c>
      <c r="Z45" s="434" t="s">
        <v>15</v>
      </c>
      <c r="AA45" s="324" t="s">
        <v>15</v>
      </c>
      <c r="AB45" s="324" t="s">
        <v>15</v>
      </c>
      <c r="AC45" s="435" t="s">
        <v>15</v>
      </c>
      <c r="AD45" s="73" t="str">
        <f t="shared" si="4"/>
        <v/>
      </c>
      <c r="AE45" s="220">
        <v>0.29166666666666669</v>
      </c>
      <c r="AF45" s="179"/>
      <c r="AG45" s="180"/>
      <c r="AH45" s="100">
        <v>0.54166666666666663</v>
      </c>
      <c r="AI45" s="73">
        <f t="shared" si="14"/>
        <v>0.24999999999999994</v>
      </c>
      <c r="AJ45" s="182">
        <v>0.29166666666666669</v>
      </c>
      <c r="AK45" s="306"/>
      <c r="AL45" s="127"/>
      <c r="AM45" s="100">
        <v>0.54166666666666663</v>
      </c>
      <c r="AN45" s="73">
        <f t="shared" si="6"/>
        <v>0.24999999999999994</v>
      </c>
      <c r="AO45" s="28">
        <f t="shared" si="7"/>
        <v>1.25</v>
      </c>
      <c r="AP45" s="302"/>
      <c r="AR45" s="305">
        <f t="shared" si="8"/>
        <v>2</v>
      </c>
    </row>
    <row r="46" spans="1:67" ht="12.75" customHeight="1" x14ac:dyDescent="0.25">
      <c r="A46" s="150" t="s">
        <v>271</v>
      </c>
      <c r="B46" s="125" t="s">
        <v>62</v>
      </c>
      <c r="C46" s="111" t="s">
        <v>99</v>
      </c>
      <c r="D46" s="146" t="s">
        <v>509</v>
      </c>
      <c r="E46" s="79" t="s">
        <v>352</v>
      </c>
      <c r="F46" s="182">
        <v>0.375</v>
      </c>
      <c r="G46" s="180"/>
      <c r="H46" s="180"/>
      <c r="I46" s="96">
        <v>0.625</v>
      </c>
      <c r="J46" s="73">
        <f t="shared" si="0"/>
        <v>0.25</v>
      </c>
      <c r="K46" s="88">
        <v>0.375</v>
      </c>
      <c r="L46" s="306"/>
      <c r="M46" s="127"/>
      <c r="N46" s="82">
        <v>0.625</v>
      </c>
      <c r="O46" s="73">
        <f t="shared" si="1"/>
        <v>0.25</v>
      </c>
      <c r="P46" s="433" t="s">
        <v>15</v>
      </c>
      <c r="Q46" s="81" t="s">
        <v>15</v>
      </c>
      <c r="R46" s="324" t="s">
        <v>15</v>
      </c>
      <c r="S46" s="435" t="s">
        <v>15</v>
      </c>
      <c r="T46" s="73" t="str">
        <f t="shared" si="13"/>
        <v/>
      </c>
      <c r="U46" s="433" t="s">
        <v>15</v>
      </c>
      <c r="V46" s="81" t="s">
        <v>15</v>
      </c>
      <c r="W46" s="324" t="s">
        <v>15</v>
      </c>
      <c r="X46" s="435" t="s">
        <v>15</v>
      </c>
      <c r="Y46" s="73" t="str">
        <f t="shared" si="3"/>
        <v/>
      </c>
      <c r="Z46" s="433" t="s">
        <v>15</v>
      </c>
      <c r="AA46" s="81" t="s">
        <v>15</v>
      </c>
      <c r="AB46" s="324" t="s">
        <v>15</v>
      </c>
      <c r="AC46" s="435" t="s">
        <v>15</v>
      </c>
      <c r="AD46" s="73" t="str">
        <f t="shared" si="4"/>
        <v/>
      </c>
      <c r="AE46" s="182">
        <v>0.375</v>
      </c>
      <c r="AF46" s="180"/>
      <c r="AG46" s="180"/>
      <c r="AH46" s="96">
        <v>0.625</v>
      </c>
      <c r="AI46" s="73">
        <f t="shared" si="14"/>
        <v>0.25</v>
      </c>
      <c r="AJ46" s="88">
        <v>0.375</v>
      </c>
      <c r="AK46" s="306"/>
      <c r="AL46" s="127"/>
      <c r="AM46" s="82">
        <v>0.625</v>
      </c>
      <c r="AN46" s="73">
        <f t="shared" si="6"/>
        <v>0.25</v>
      </c>
      <c r="AO46" s="28">
        <f t="shared" si="7"/>
        <v>1</v>
      </c>
      <c r="AP46"/>
      <c r="AR46" s="305">
        <f t="shared" si="8"/>
        <v>3</v>
      </c>
    </row>
    <row r="47" spans="1:67" ht="12.75" customHeight="1" x14ac:dyDescent="0.25">
      <c r="A47" s="150" t="s">
        <v>276</v>
      </c>
      <c r="B47" s="125"/>
      <c r="C47" s="146"/>
      <c r="D47" s="146"/>
      <c r="E47" s="91"/>
      <c r="F47" s="88"/>
      <c r="G47" s="97"/>
      <c r="H47" s="98"/>
      <c r="I47" s="88"/>
      <c r="J47" s="151"/>
      <c r="K47" s="152"/>
      <c r="L47" s="158"/>
      <c r="M47" s="159"/>
      <c r="N47" s="153"/>
      <c r="O47" s="84"/>
      <c r="P47" s="80"/>
      <c r="Q47" s="97"/>
      <c r="R47" s="98"/>
      <c r="S47" s="88"/>
      <c r="T47" s="73"/>
      <c r="U47" s="80"/>
      <c r="V47" s="158"/>
      <c r="W47" s="159"/>
      <c r="X47" s="82"/>
      <c r="Y47" s="73"/>
      <c r="Z47" s="96"/>
      <c r="AA47" s="131"/>
      <c r="AB47" s="98"/>
      <c r="AC47" s="95"/>
      <c r="AD47" s="73"/>
      <c r="AE47" s="80"/>
      <c r="AF47" s="87"/>
      <c r="AG47" s="81"/>
      <c r="AH47" s="82"/>
      <c r="AI47" s="73"/>
      <c r="AJ47" s="80"/>
      <c r="AK47" s="87"/>
      <c r="AL47" s="81"/>
      <c r="AM47" s="82"/>
      <c r="AN47" s="73"/>
      <c r="AO47" s="28">
        <f t="shared" si="7"/>
        <v>0</v>
      </c>
      <c r="AP47" s="302"/>
      <c r="AR47" s="305">
        <f t="shared" si="8"/>
        <v>0</v>
      </c>
    </row>
    <row r="48" spans="1:67" ht="12.75" customHeight="1" x14ac:dyDescent="0.25">
      <c r="A48" s="150" t="s">
        <v>283</v>
      </c>
      <c r="B48" s="144"/>
      <c r="C48" s="146"/>
      <c r="D48" s="146"/>
      <c r="E48" s="91"/>
      <c r="F48" s="88"/>
      <c r="G48" s="97"/>
      <c r="H48" s="98"/>
      <c r="I48" s="88"/>
      <c r="J48" s="151"/>
      <c r="K48" s="152"/>
      <c r="L48" s="158"/>
      <c r="M48" s="159"/>
      <c r="N48" s="153"/>
      <c r="O48" s="84"/>
      <c r="P48" s="80"/>
      <c r="Q48" s="97"/>
      <c r="R48" s="98"/>
      <c r="S48" s="88"/>
      <c r="T48" s="73"/>
      <c r="U48" s="80"/>
      <c r="V48" s="158"/>
      <c r="W48" s="159"/>
      <c r="X48" s="82"/>
      <c r="Y48" s="73"/>
      <c r="Z48" s="96"/>
      <c r="AA48" s="131"/>
      <c r="AB48" s="98"/>
      <c r="AC48" s="95"/>
      <c r="AD48" s="73"/>
      <c r="AE48" s="80"/>
      <c r="AF48" s="87"/>
      <c r="AG48" s="81"/>
      <c r="AH48" s="82"/>
      <c r="AI48" s="73"/>
      <c r="AJ48" s="80"/>
      <c r="AK48" s="87"/>
      <c r="AL48" s="81"/>
      <c r="AM48" s="82"/>
      <c r="AN48" s="73"/>
      <c r="AO48" s="28">
        <f t="shared" si="7"/>
        <v>0</v>
      </c>
      <c r="AP48" s="302"/>
      <c r="AR48" s="305">
        <f t="shared" si="8"/>
        <v>0</v>
      </c>
    </row>
    <row r="49" spans="1:44" ht="12.75" customHeight="1" x14ac:dyDescent="0.25">
      <c r="A49" s="150" t="s">
        <v>285</v>
      </c>
      <c r="B49" s="125"/>
      <c r="C49" s="146"/>
      <c r="D49" s="146"/>
      <c r="E49" s="91"/>
      <c r="F49" s="88"/>
      <c r="G49" s="97"/>
      <c r="H49" s="98"/>
      <c r="I49" s="88"/>
      <c r="J49" s="151"/>
      <c r="K49" s="152"/>
      <c r="L49" s="158"/>
      <c r="M49" s="159"/>
      <c r="N49" s="153"/>
      <c r="O49" s="84"/>
      <c r="P49" s="80"/>
      <c r="Q49" s="97"/>
      <c r="R49" s="98"/>
      <c r="S49" s="88"/>
      <c r="T49" s="73"/>
      <c r="U49" s="80"/>
      <c r="V49" s="158"/>
      <c r="W49" s="159"/>
      <c r="X49" s="82"/>
      <c r="Y49" s="73"/>
      <c r="Z49" s="96"/>
      <c r="AA49" s="131"/>
      <c r="AB49" s="98"/>
      <c r="AC49" s="95"/>
      <c r="AD49" s="73"/>
      <c r="AE49" s="80"/>
      <c r="AF49" s="87"/>
      <c r="AG49" s="81"/>
      <c r="AH49" s="82"/>
      <c r="AI49" s="73"/>
      <c r="AJ49" s="80"/>
      <c r="AK49" s="87"/>
      <c r="AL49" s="81"/>
      <c r="AM49" s="82"/>
      <c r="AN49" s="73"/>
      <c r="AO49" s="28">
        <f t="shared" si="7"/>
        <v>0</v>
      </c>
      <c r="AP49" s="302"/>
      <c r="AR49" s="305">
        <f t="shared" si="8"/>
        <v>0</v>
      </c>
    </row>
    <row r="50" spans="1:44" ht="12.75" customHeight="1" x14ac:dyDescent="0.25">
      <c r="A50" s="150" t="s">
        <v>266</v>
      </c>
      <c r="B50" s="125"/>
      <c r="C50" s="146"/>
      <c r="D50" s="146"/>
      <c r="E50" s="91"/>
      <c r="F50" s="88"/>
      <c r="G50" s="97"/>
      <c r="H50" s="98"/>
      <c r="I50" s="88"/>
      <c r="J50" s="151"/>
      <c r="K50" s="152"/>
      <c r="L50" s="158"/>
      <c r="M50" s="159"/>
      <c r="N50" s="153"/>
      <c r="O50" s="84"/>
      <c r="P50" s="80"/>
      <c r="Q50" s="97"/>
      <c r="R50" s="98"/>
      <c r="S50" s="88"/>
      <c r="T50" s="73"/>
      <c r="U50" s="80"/>
      <c r="V50" s="158"/>
      <c r="W50" s="159"/>
      <c r="X50" s="82"/>
      <c r="Y50" s="73"/>
      <c r="Z50" s="96"/>
      <c r="AA50" s="131"/>
      <c r="AB50" s="98"/>
      <c r="AC50" s="95"/>
      <c r="AD50" s="73"/>
      <c r="AE50" s="80"/>
      <c r="AF50" s="87"/>
      <c r="AG50" s="81"/>
      <c r="AH50" s="82"/>
      <c r="AI50" s="73"/>
      <c r="AJ50" s="80"/>
      <c r="AK50" s="87"/>
      <c r="AL50" s="81"/>
      <c r="AM50" s="82"/>
      <c r="AN50" s="73"/>
      <c r="AO50" s="28">
        <f t="shared" si="7"/>
        <v>0</v>
      </c>
      <c r="AP50"/>
      <c r="AR50" s="305">
        <f t="shared" si="8"/>
        <v>0</v>
      </c>
    </row>
    <row r="51" spans="1:44" ht="12.75" customHeight="1" x14ac:dyDescent="0.25">
      <c r="A51" s="150" t="s">
        <v>271</v>
      </c>
      <c r="B51" s="144"/>
      <c r="C51" s="146"/>
      <c r="D51" s="146"/>
      <c r="E51" s="91"/>
      <c r="F51" s="88"/>
      <c r="G51" s="97"/>
      <c r="H51" s="98"/>
      <c r="I51" s="88"/>
      <c r="J51" s="151"/>
      <c r="K51" s="152"/>
      <c r="L51" s="158"/>
      <c r="M51" s="159"/>
      <c r="N51" s="153"/>
      <c r="O51" s="84"/>
      <c r="P51" s="80"/>
      <c r="Q51" s="97"/>
      <c r="R51" s="98"/>
      <c r="S51" s="88"/>
      <c r="T51" s="73"/>
      <c r="U51" s="80"/>
      <c r="V51" s="158"/>
      <c r="W51" s="159"/>
      <c r="X51" s="82"/>
      <c r="Y51" s="73"/>
      <c r="Z51" s="96"/>
      <c r="AA51" s="131"/>
      <c r="AB51" s="98"/>
      <c r="AC51" s="95"/>
      <c r="AD51" s="73"/>
      <c r="AE51" s="80"/>
      <c r="AF51" s="87"/>
      <c r="AG51" s="81"/>
      <c r="AH51" s="82"/>
      <c r="AI51" s="73"/>
      <c r="AJ51" s="80"/>
      <c r="AK51" s="87"/>
      <c r="AL51" s="81"/>
      <c r="AM51" s="82"/>
      <c r="AN51" s="73"/>
      <c r="AO51" s="28">
        <f t="shared" si="7"/>
        <v>0</v>
      </c>
      <c r="AP51"/>
      <c r="AR51" s="305">
        <f t="shared" si="8"/>
        <v>0</v>
      </c>
    </row>
    <row r="52" spans="1:44" ht="12.75" customHeight="1" x14ac:dyDescent="0.25">
      <c r="A52" s="150" t="s">
        <v>258</v>
      </c>
      <c r="B52" s="125"/>
      <c r="C52" s="146"/>
      <c r="D52" s="146"/>
      <c r="E52" s="91"/>
      <c r="F52" s="88"/>
      <c r="G52" s="97"/>
      <c r="H52" s="98"/>
      <c r="I52" s="88"/>
      <c r="J52" s="151"/>
      <c r="K52" s="152"/>
      <c r="L52" s="158"/>
      <c r="M52" s="159"/>
      <c r="N52" s="153"/>
      <c r="O52" s="84"/>
      <c r="P52" s="80"/>
      <c r="Q52" s="97"/>
      <c r="R52" s="98"/>
      <c r="S52" s="88"/>
      <c r="T52" s="73"/>
      <c r="U52" s="80"/>
      <c r="V52" s="158"/>
      <c r="W52" s="159"/>
      <c r="X52" s="82"/>
      <c r="Y52" s="73"/>
      <c r="Z52" s="96"/>
      <c r="AA52" s="131"/>
      <c r="AB52" s="98"/>
      <c r="AC52" s="95"/>
      <c r="AD52" s="73"/>
      <c r="AE52" s="80"/>
      <c r="AF52" s="87"/>
      <c r="AG52" s="81"/>
      <c r="AH52" s="82"/>
      <c r="AI52" s="73"/>
      <c r="AJ52" s="80"/>
      <c r="AK52" s="87"/>
      <c r="AL52" s="81"/>
      <c r="AM52" s="82"/>
      <c r="AN52" s="73"/>
      <c r="AO52" s="28">
        <f t="shared" si="7"/>
        <v>0</v>
      </c>
      <c r="AP52" s="302"/>
      <c r="AR52" s="305">
        <f t="shared" si="8"/>
        <v>0</v>
      </c>
    </row>
    <row r="53" spans="1:44" ht="12.75" customHeight="1" x14ac:dyDescent="0.25">
      <c r="A53" s="150" t="s">
        <v>276</v>
      </c>
      <c r="B53" s="125"/>
      <c r="C53" s="146"/>
      <c r="D53" s="146"/>
      <c r="E53" s="91"/>
      <c r="F53" s="88"/>
      <c r="G53" s="97"/>
      <c r="H53" s="98"/>
      <c r="I53" s="88"/>
      <c r="J53" s="151"/>
      <c r="K53" s="152"/>
      <c r="L53" s="158"/>
      <c r="M53" s="159"/>
      <c r="N53" s="153"/>
      <c r="O53" s="84"/>
      <c r="P53" s="80"/>
      <c r="Q53" s="97"/>
      <c r="R53" s="98"/>
      <c r="S53" s="88"/>
      <c r="T53" s="73"/>
      <c r="U53" s="80"/>
      <c r="V53" s="158"/>
      <c r="W53" s="159"/>
      <c r="X53" s="82"/>
      <c r="Y53" s="73"/>
      <c r="Z53" s="96"/>
      <c r="AA53" s="131"/>
      <c r="AB53" s="98"/>
      <c r="AC53" s="95"/>
      <c r="AD53" s="73"/>
      <c r="AE53" s="80"/>
      <c r="AF53" s="87"/>
      <c r="AG53" s="81"/>
      <c r="AH53" s="82"/>
      <c r="AI53" s="73"/>
      <c r="AJ53" s="80"/>
      <c r="AK53" s="87"/>
      <c r="AL53" s="81"/>
      <c r="AM53" s="82"/>
      <c r="AN53" s="73"/>
      <c r="AO53" s="28">
        <f t="shared" si="7"/>
        <v>0</v>
      </c>
      <c r="AP53" s="302"/>
      <c r="AR53" s="305">
        <f t="shared" si="8"/>
        <v>0</v>
      </c>
    </row>
    <row r="54" spans="1:44" ht="12.75" customHeight="1" x14ac:dyDescent="0.2">
      <c r="A54" s="150"/>
      <c r="B54" s="148"/>
      <c r="C54" s="147"/>
      <c r="D54" s="146"/>
      <c r="E54" s="91"/>
      <c r="F54" s="88"/>
      <c r="G54" s="97"/>
      <c r="H54" s="98"/>
      <c r="I54" s="88"/>
      <c r="J54" s="151"/>
      <c r="K54" s="152"/>
      <c r="L54" s="158"/>
      <c r="M54" s="159"/>
      <c r="N54" s="153"/>
      <c r="O54" s="84"/>
      <c r="P54" s="80"/>
      <c r="Q54" s="97"/>
      <c r="R54" s="98"/>
      <c r="S54" s="88"/>
      <c r="T54" s="73"/>
      <c r="U54" s="80"/>
      <c r="V54" s="158"/>
      <c r="W54" s="159"/>
      <c r="X54" s="82"/>
      <c r="Y54" s="73"/>
      <c r="Z54" s="96"/>
      <c r="AA54" s="131"/>
      <c r="AB54" s="98"/>
      <c r="AC54" s="95"/>
      <c r="AD54" s="73"/>
      <c r="AE54" s="80"/>
      <c r="AF54" s="87"/>
      <c r="AG54" s="81"/>
      <c r="AH54" s="82"/>
      <c r="AI54" s="73"/>
      <c r="AJ54" s="80"/>
      <c r="AK54" s="87"/>
      <c r="AL54" s="81"/>
      <c r="AM54" s="82"/>
      <c r="AN54" s="73"/>
      <c r="AO54" s="28">
        <f t="shared" si="7"/>
        <v>0</v>
      </c>
    </row>
    <row r="55" spans="1:44" ht="12.75" customHeight="1" x14ac:dyDescent="0.2">
      <c r="A55" s="150"/>
      <c r="B55" s="148"/>
      <c r="C55" s="147"/>
      <c r="D55" s="146"/>
      <c r="E55" s="91"/>
      <c r="F55" s="88"/>
      <c r="G55" s="97"/>
      <c r="H55" s="98"/>
      <c r="I55" s="88"/>
      <c r="J55" s="151"/>
      <c r="K55" s="152"/>
      <c r="L55" s="158"/>
      <c r="M55" s="159"/>
      <c r="N55" s="153"/>
      <c r="O55" s="84"/>
      <c r="P55" s="80"/>
      <c r="Q55" s="97"/>
      <c r="R55" s="98"/>
      <c r="S55" s="88"/>
      <c r="T55" s="73"/>
      <c r="U55" s="80"/>
      <c r="V55" s="158"/>
      <c r="W55" s="159"/>
      <c r="X55" s="82"/>
      <c r="Y55" s="73"/>
      <c r="Z55" s="96"/>
      <c r="AA55" s="131"/>
      <c r="AB55" s="98"/>
      <c r="AC55" s="95"/>
      <c r="AD55" s="73"/>
      <c r="AE55" s="80"/>
      <c r="AF55" s="87"/>
      <c r="AG55" s="81"/>
      <c r="AH55" s="82"/>
      <c r="AI55" s="73"/>
      <c r="AJ55" s="80"/>
      <c r="AK55" s="87"/>
      <c r="AL55" s="81"/>
      <c r="AM55" s="82"/>
      <c r="AN55" s="73"/>
      <c r="AO55" s="28">
        <f t="shared" si="7"/>
        <v>0</v>
      </c>
    </row>
    <row r="56" spans="1:44" ht="12.75" customHeight="1" x14ac:dyDescent="0.2">
      <c r="A56" s="150"/>
      <c r="B56" s="148"/>
      <c r="C56" s="147"/>
      <c r="D56" s="146"/>
      <c r="E56" s="91"/>
      <c r="F56" s="88"/>
      <c r="G56" s="97"/>
      <c r="H56" s="98"/>
      <c r="I56" s="88"/>
      <c r="J56" s="151"/>
      <c r="K56" s="152"/>
      <c r="L56" s="158"/>
      <c r="M56" s="159"/>
      <c r="N56" s="153"/>
      <c r="O56" s="84"/>
      <c r="P56" s="80"/>
      <c r="Q56" s="97"/>
      <c r="R56" s="98"/>
      <c r="S56" s="88"/>
      <c r="T56" s="73"/>
      <c r="U56" s="80"/>
      <c r="V56" s="158"/>
      <c r="W56" s="159"/>
      <c r="X56" s="82"/>
      <c r="Y56" s="73"/>
      <c r="Z56" s="96"/>
      <c r="AA56" s="131"/>
      <c r="AB56" s="98"/>
      <c r="AC56" s="95"/>
      <c r="AD56" s="73"/>
      <c r="AE56" s="80"/>
      <c r="AF56" s="87"/>
      <c r="AG56" s="81"/>
      <c r="AH56" s="82"/>
      <c r="AI56" s="73"/>
      <c r="AJ56" s="80"/>
      <c r="AK56" s="87"/>
      <c r="AL56" s="81"/>
      <c r="AM56" s="82"/>
      <c r="AN56" s="73"/>
      <c r="AO56" s="28">
        <f t="shared" si="7"/>
        <v>0</v>
      </c>
    </row>
    <row r="57" spans="1:44" ht="12.75" customHeight="1" x14ac:dyDescent="0.2">
      <c r="A57" s="150"/>
      <c r="B57" s="148"/>
      <c r="C57" s="147"/>
      <c r="D57" s="146"/>
      <c r="E57" s="91"/>
      <c r="F57" s="88"/>
      <c r="G57" s="97"/>
      <c r="H57" s="98"/>
      <c r="I57" s="88"/>
      <c r="J57" s="151"/>
      <c r="K57" s="152"/>
      <c r="L57" s="158"/>
      <c r="M57" s="159"/>
      <c r="N57" s="153"/>
      <c r="O57" s="84"/>
      <c r="P57" s="80"/>
      <c r="Q57" s="97"/>
      <c r="R57" s="98"/>
      <c r="S57" s="88"/>
      <c r="T57" s="73"/>
      <c r="U57" s="80"/>
      <c r="V57" s="158"/>
      <c r="W57" s="159"/>
      <c r="X57" s="82"/>
      <c r="Y57" s="73"/>
      <c r="Z57" s="96"/>
      <c r="AA57" s="131"/>
      <c r="AB57" s="98"/>
      <c r="AC57" s="95"/>
      <c r="AD57" s="73"/>
      <c r="AE57" s="80"/>
      <c r="AF57" s="87"/>
      <c r="AG57" s="81"/>
      <c r="AH57" s="82"/>
      <c r="AI57" s="73"/>
      <c r="AJ57" s="80"/>
      <c r="AK57" s="87"/>
      <c r="AL57" s="81"/>
      <c r="AM57" s="82"/>
      <c r="AN57" s="73"/>
      <c r="AO57" s="28">
        <f t="shared" si="7"/>
        <v>0</v>
      </c>
    </row>
    <row r="58" spans="1:44" ht="12.75" customHeight="1" x14ac:dyDescent="0.2">
      <c r="A58" s="150"/>
      <c r="B58" s="148"/>
      <c r="C58" s="147"/>
      <c r="D58" s="146"/>
      <c r="E58" s="91"/>
      <c r="F58" s="88"/>
      <c r="G58" s="97"/>
      <c r="H58" s="98"/>
      <c r="I58" s="88"/>
      <c r="J58" s="151"/>
      <c r="K58" s="152"/>
      <c r="L58" s="158"/>
      <c r="M58" s="159"/>
      <c r="N58" s="153"/>
      <c r="O58" s="84"/>
      <c r="P58" s="80"/>
      <c r="Q58" s="97"/>
      <c r="R58" s="98"/>
      <c r="S58" s="88"/>
      <c r="T58" s="73"/>
      <c r="U58" s="80"/>
      <c r="V58" s="158"/>
      <c r="W58" s="159"/>
      <c r="X58" s="82"/>
      <c r="Y58" s="73"/>
      <c r="Z58" s="96"/>
      <c r="AA58" s="131"/>
      <c r="AB58" s="98"/>
      <c r="AC58" s="95"/>
      <c r="AD58" s="73"/>
      <c r="AE58" s="80"/>
      <c r="AF58" s="87"/>
      <c r="AG58" s="81"/>
      <c r="AH58" s="82"/>
      <c r="AI58" s="73"/>
      <c r="AJ58" s="80"/>
      <c r="AK58" s="87"/>
      <c r="AL58" s="81"/>
      <c r="AM58" s="82"/>
      <c r="AN58" s="73"/>
      <c r="AO58" s="28">
        <f t="shared" si="7"/>
        <v>0</v>
      </c>
    </row>
    <row r="59" spans="1:44" ht="12.75" customHeight="1" x14ac:dyDescent="0.2">
      <c r="A59" s="150"/>
      <c r="B59" s="148"/>
      <c r="C59" s="147"/>
      <c r="D59" s="146"/>
      <c r="E59" s="91"/>
      <c r="F59" s="88"/>
      <c r="G59" s="97"/>
      <c r="H59" s="98"/>
      <c r="I59" s="88"/>
      <c r="J59" s="151"/>
      <c r="K59" s="152"/>
      <c r="L59" s="158"/>
      <c r="M59" s="159"/>
      <c r="N59" s="153"/>
      <c r="O59" s="84"/>
      <c r="P59" s="80"/>
      <c r="Q59" s="97"/>
      <c r="R59" s="98"/>
      <c r="S59" s="88"/>
      <c r="T59" s="73"/>
      <c r="U59" s="80"/>
      <c r="V59" s="158"/>
      <c r="W59" s="159"/>
      <c r="X59" s="82"/>
      <c r="Y59" s="73"/>
      <c r="Z59" s="96"/>
      <c r="AA59" s="131"/>
      <c r="AB59" s="98"/>
      <c r="AC59" s="95"/>
      <c r="AD59" s="73"/>
      <c r="AE59" s="80"/>
      <c r="AF59" s="87"/>
      <c r="AG59" s="81"/>
      <c r="AH59" s="82"/>
      <c r="AI59" s="73"/>
      <c r="AJ59" s="80"/>
      <c r="AK59" s="87"/>
      <c r="AL59" s="81"/>
      <c r="AM59" s="82"/>
      <c r="AN59" s="73"/>
      <c r="AO59" s="28">
        <f t="shared" si="7"/>
        <v>0</v>
      </c>
    </row>
    <row r="60" spans="1:44" ht="12.75" customHeight="1" x14ac:dyDescent="0.2">
      <c r="A60" s="150"/>
      <c r="B60" s="148"/>
      <c r="C60" s="147"/>
      <c r="D60" s="146"/>
      <c r="E60" s="91"/>
      <c r="F60" s="88"/>
      <c r="G60" s="97"/>
      <c r="H60" s="98"/>
      <c r="I60" s="88"/>
      <c r="J60" s="151"/>
      <c r="K60" s="152"/>
      <c r="L60" s="158"/>
      <c r="M60" s="159"/>
      <c r="N60" s="153"/>
      <c r="O60" s="84"/>
      <c r="P60" s="80"/>
      <c r="Q60" s="97"/>
      <c r="R60" s="98"/>
      <c r="S60" s="88"/>
      <c r="T60" s="73"/>
      <c r="U60" s="80"/>
      <c r="V60" s="158"/>
      <c r="W60" s="159"/>
      <c r="X60" s="82"/>
      <c r="Y60" s="73"/>
      <c r="Z60" s="96"/>
      <c r="AA60" s="131"/>
      <c r="AB60" s="98"/>
      <c r="AC60" s="95"/>
      <c r="AD60" s="73"/>
      <c r="AE60" s="80"/>
      <c r="AF60" s="87"/>
      <c r="AG60" s="81"/>
      <c r="AH60" s="82"/>
      <c r="AI60" s="73"/>
      <c r="AJ60" s="80"/>
      <c r="AK60" s="87"/>
      <c r="AL60" s="81"/>
      <c r="AM60" s="82"/>
      <c r="AN60" s="73"/>
      <c r="AO60" s="28">
        <f t="shared" si="7"/>
        <v>0</v>
      </c>
    </row>
    <row r="61" spans="1:44" ht="12.75" customHeight="1" x14ac:dyDescent="0.2">
      <c r="A61" s="150"/>
      <c r="B61" s="148"/>
      <c r="C61" s="147"/>
      <c r="D61" s="146"/>
      <c r="E61" s="91"/>
      <c r="F61" s="88"/>
      <c r="G61" s="97"/>
      <c r="H61" s="98"/>
      <c r="I61" s="88"/>
      <c r="J61" s="151"/>
      <c r="K61" s="152"/>
      <c r="L61" s="158"/>
      <c r="M61" s="159"/>
      <c r="N61" s="153"/>
      <c r="O61" s="84"/>
      <c r="P61" s="80"/>
      <c r="Q61" s="97"/>
      <c r="R61" s="98"/>
      <c r="S61" s="88"/>
      <c r="T61" s="73"/>
      <c r="U61" s="80"/>
      <c r="V61" s="158"/>
      <c r="W61" s="159"/>
      <c r="X61" s="82"/>
      <c r="Y61" s="73"/>
      <c r="Z61" s="96"/>
      <c r="AA61" s="131"/>
      <c r="AB61" s="98"/>
      <c r="AC61" s="95"/>
      <c r="AD61" s="73"/>
      <c r="AE61" s="80"/>
      <c r="AF61" s="87"/>
      <c r="AG61" s="81"/>
      <c r="AH61" s="82"/>
      <c r="AI61" s="73"/>
      <c r="AJ61" s="80"/>
      <c r="AK61" s="87"/>
      <c r="AL61" s="81"/>
      <c r="AM61" s="82"/>
      <c r="AN61" s="73"/>
      <c r="AO61" s="28">
        <f t="shared" si="7"/>
        <v>0</v>
      </c>
    </row>
    <row r="62" spans="1:44" ht="12.75" customHeight="1" x14ac:dyDescent="0.2">
      <c r="A62" s="150"/>
      <c r="B62" s="148"/>
      <c r="C62" s="147"/>
      <c r="D62" s="146"/>
      <c r="E62" s="91"/>
      <c r="F62" s="88"/>
      <c r="G62" s="97"/>
      <c r="H62" s="98"/>
      <c r="I62" s="88"/>
      <c r="J62" s="151"/>
      <c r="K62" s="152"/>
      <c r="L62" s="158"/>
      <c r="M62" s="159"/>
      <c r="N62" s="153"/>
      <c r="O62" s="84"/>
      <c r="P62" s="80"/>
      <c r="Q62" s="97"/>
      <c r="R62" s="98"/>
      <c r="S62" s="88"/>
      <c r="T62" s="73"/>
      <c r="U62" s="80"/>
      <c r="V62" s="158"/>
      <c r="W62" s="159"/>
      <c r="X62" s="82"/>
      <c r="Y62" s="73"/>
      <c r="Z62" s="96"/>
      <c r="AA62" s="131"/>
      <c r="AB62" s="98"/>
      <c r="AC62" s="95"/>
      <c r="AD62" s="73"/>
      <c r="AE62" s="80"/>
      <c r="AF62" s="87"/>
      <c r="AG62" s="81"/>
      <c r="AH62" s="82"/>
      <c r="AI62" s="73"/>
      <c r="AJ62" s="80"/>
      <c r="AK62" s="87"/>
      <c r="AL62" s="81"/>
      <c r="AM62" s="82"/>
      <c r="AN62" s="73"/>
      <c r="AO62" s="28">
        <f t="shared" si="7"/>
        <v>0</v>
      </c>
    </row>
    <row r="63" spans="1:44" ht="12.75" customHeight="1" x14ac:dyDescent="0.2">
      <c r="A63" s="150"/>
      <c r="B63" s="148"/>
      <c r="C63" s="147"/>
      <c r="D63" s="146"/>
      <c r="E63" s="91"/>
      <c r="F63" s="88"/>
      <c r="G63" s="97"/>
      <c r="H63" s="98"/>
      <c r="I63" s="88"/>
      <c r="J63" s="151"/>
      <c r="K63" s="152"/>
      <c r="L63" s="158"/>
      <c r="M63" s="159"/>
      <c r="N63" s="153"/>
      <c r="O63" s="84"/>
      <c r="P63" s="80"/>
      <c r="Q63" s="97"/>
      <c r="R63" s="98"/>
      <c r="S63" s="88"/>
      <c r="T63" s="73"/>
      <c r="U63" s="80"/>
      <c r="V63" s="158"/>
      <c r="W63" s="159"/>
      <c r="X63" s="82"/>
      <c r="Y63" s="73"/>
      <c r="Z63" s="96"/>
      <c r="AA63" s="131"/>
      <c r="AB63" s="98"/>
      <c r="AC63" s="95"/>
      <c r="AD63" s="73"/>
      <c r="AE63" s="80"/>
      <c r="AF63" s="87"/>
      <c r="AG63" s="81"/>
      <c r="AH63" s="82"/>
      <c r="AI63" s="73"/>
      <c r="AJ63" s="80"/>
      <c r="AK63" s="87"/>
      <c r="AL63" s="81"/>
      <c r="AM63" s="82"/>
      <c r="AN63" s="73"/>
      <c r="AO63" s="28">
        <f t="shared" si="7"/>
        <v>0</v>
      </c>
    </row>
    <row r="64" spans="1:44" ht="12.75" customHeight="1" x14ac:dyDescent="0.2">
      <c r="A64" s="150"/>
      <c r="B64" s="148"/>
      <c r="C64" s="147"/>
      <c r="D64" s="146"/>
      <c r="E64" s="91"/>
      <c r="F64" s="88"/>
      <c r="G64" s="97"/>
      <c r="H64" s="98"/>
      <c r="I64" s="88"/>
      <c r="J64" s="151"/>
      <c r="K64" s="152"/>
      <c r="L64" s="158"/>
      <c r="M64" s="159"/>
      <c r="N64" s="153"/>
      <c r="O64" s="84"/>
      <c r="P64" s="80"/>
      <c r="Q64" s="97"/>
      <c r="R64" s="98"/>
      <c r="S64" s="88"/>
      <c r="T64" s="73"/>
      <c r="U64" s="80"/>
      <c r="V64" s="158"/>
      <c r="W64" s="159"/>
      <c r="X64" s="82"/>
      <c r="Y64" s="73"/>
      <c r="Z64" s="96"/>
      <c r="AA64" s="131"/>
      <c r="AB64" s="98"/>
      <c r="AC64" s="95"/>
      <c r="AD64" s="73"/>
      <c r="AE64" s="80"/>
      <c r="AF64" s="87"/>
      <c r="AG64" s="81"/>
      <c r="AH64" s="82"/>
      <c r="AI64" s="73"/>
      <c r="AJ64" s="80"/>
      <c r="AK64" s="87"/>
      <c r="AL64" s="81"/>
      <c r="AM64" s="82"/>
      <c r="AN64" s="73"/>
      <c r="AO64" s="28">
        <f t="shared" si="7"/>
        <v>0</v>
      </c>
    </row>
    <row r="65" spans="1:67" ht="12.75" customHeight="1" x14ac:dyDescent="0.2">
      <c r="A65" s="150"/>
      <c r="B65" s="148"/>
      <c r="C65" s="147"/>
      <c r="D65" s="146"/>
      <c r="E65" s="91"/>
      <c r="F65" s="88"/>
      <c r="G65" s="97"/>
      <c r="H65" s="98"/>
      <c r="I65" s="88"/>
      <c r="J65" s="151"/>
      <c r="K65" s="152"/>
      <c r="L65" s="158"/>
      <c r="M65" s="159"/>
      <c r="N65" s="153"/>
      <c r="O65" s="84"/>
      <c r="P65" s="80"/>
      <c r="Q65" s="97"/>
      <c r="R65" s="98"/>
      <c r="S65" s="88"/>
      <c r="T65" s="73"/>
      <c r="U65" s="80"/>
      <c r="V65" s="158"/>
      <c r="W65" s="159"/>
      <c r="X65" s="82"/>
      <c r="Y65" s="73"/>
      <c r="Z65" s="96"/>
      <c r="AA65" s="131"/>
      <c r="AB65" s="98"/>
      <c r="AC65" s="95"/>
      <c r="AD65" s="73"/>
      <c r="AE65" s="80"/>
      <c r="AF65" s="87"/>
      <c r="AG65" s="81"/>
      <c r="AH65" s="82"/>
      <c r="AI65" s="73"/>
      <c r="AJ65" s="80"/>
      <c r="AK65" s="87"/>
      <c r="AL65" s="81"/>
      <c r="AM65" s="82"/>
      <c r="AN65" s="73"/>
      <c r="AO65" s="28">
        <f t="shared" si="7"/>
        <v>0</v>
      </c>
    </row>
    <row r="66" spans="1:67" ht="12.75" customHeight="1" x14ac:dyDescent="0.2">
      <c r="A66" s="150"/>
      <c r="B66" s="148"/>
      <c r="C66" s="147"/>
      <c r="D66" s="146"/>
      <c r="E66" s="91"/>
      <c r="F66" s="88"/>
      <c r="G66" s="97"/>
      <c r="H66" s="98"/>
      <c r="I66" s="88"/>
      <c r="J66" s="151"/>
      <c r="K66" s="152"/>
      <c r="L66" s="158"/>
      <c r="M66" s="159"/>
      <c r="N66" s="153"/>
      <c r="O66" s="84"/>
      <c r="P66" s="80"/>
      <c r="Q66" s="97"/>
      <c r="R66" s="98"/>
      <c r="S66" s="88"/>
      <c r="T66" s="73"/>
      <c r="U66" s="80"/>
      <c r="V66" s="158"/>
      <c r="W66" s="159"/>
      <c r="X66" s="82"/>
      <c r="Y66" s="73"/>
      <c r="Z66" s="96"/>
      <c r="AA66" s="131"/>
      <c r="AB66" s="98"/>
      <c r="AC66" s="95"/>
      <c r="AD66" s="73"/>
      <c r="AE66" s="80"/>
      <c r="AF66" s="87"/>
      <c r="AG66" s="81"/>
      <c r="AH66" s="82"/>
      <c r="AI66" s="73"/>
      <c r="AJ66" s="80"/>
      <c r="AK66" s="87"/>
      <c r="AL66" s="81"/>
      <c r="AM66" s="82"/>
      <c r="AN66" s="73"/>
      <c r="AO66" s="28">
        <f t="shared" si="7"/>
        <v>0</v>
      </c>
    </row>
    <row r="67" spans="1:67" ht="12.75" customHeight="1" x14ac:dyDescent="0.2">
      <c r="A67" s="150"/>
      <c r="B67" s="148"/>
      <c r="C67" s="147"/>
      <c r="D67" s="146"/>
      <c r="E67" s="91"/>
      <c r="F67" s="88"/>
      <c r="G67" s="97"/>
      <c r="H67" s="98"/>
      <c r="I67" s="88"/>
      <c r="J67" s="151"/>
      <c r="K67" s="152"/>
      <c r="L67" s="158"/>
      <c r="M67" s="159"/>
      <c r="N67" s="153"/>
      <c r="O67" s="84"/>
      <c r="P67" s="80"/>
      <c r="Q67" s="97"/>
      <c r="R67" s="98"/>
      <c r="S67" s="88"/>
      <c r="T67" s="73"/>
      <c r="U67" s="80"/>
      <c r="V67" s="158"/>
      <c r="W67" s="159"/>
      <c r="X67" s="82"/>
      <c r="Y67" s="73"/>
      <c r="Z67" s="96"/>
      <c r="AA67" s="131"/>
      <c r="AB67" s="98"/>
      <c r="AC67" s="95"/>
      <c r="AD67" s="73"/>
      <c r="AE67" s="80"/>
      <c r="AF67" s="87"/>
      <c r="AG67" s="81"/>
      <c r="AH67" s="82"/>
      <c r="AI67" s="73"/>
      <c r="AJ67" s="80"/>
      <c r="AK67" s="87"/>
      <c r="AL67" s="81"/>
      <c r="AM67" s="82"/>
      <c r="AN67" s="73"/>
      <c r="AO67" s="28">
        <f t="shared" si="7"/>
        <v>0</v>
      </c>
    </row>
    <row r="68" spans="1:67" ht="12.75" customHeight="1" x14ac:dyDescent="0.2">
      <c r="A68" s="150"/>
      <c r="B68" s="148"/>
      <c r="C68" s="147"/>
      <c r="D68" s="146"/>
      <c r="E68" s="91"/>
      <c r="F68" s="88"/>
      <c r="G68" s="97"/>
      <c r="H68" s="98"/>
      <c r="I68" s="88"/>
      <c r="J68" s="151"/>
      <c r="K68" s="152"/>
      <c r="L68" s="158"/>
      <c r="M68" s="159"/>
      <c r="N68" s="153"/>
      <c r="O68" s="84"/>
      <c r="P68" s="80"/>
      <c r="Q68" s="97"/>
      <c r="R68" s="98"/>
      <c r="S68" s="88"/>
      <c r="T68" s="73"/>
      <c r="U68" s="80"/>
      <c r="V68" s="158"/>
      <c r="W68" s="159"/>
      <c r="X68" s="82"/>
      <c r="Y68" s="73"/>
      <c r="Z68" s="96"/>
      <c r="AA68" s="131"/>
      <c r="AB68" s="98"/>
      <c r="AC68" s="95"/>
      <c r="AD68" s="73"/>
      <c r="AE68" s="80"/>
      <c r="AF68" s="87"/>
      <c r="AG68" s="81"/>
      <c r="AH68" s="82"/>
      <c r="AI68" s="73"/>
      <c r="AJ68" s="80"/>
      <c r="AK68" s="87"/>
      <c r="AL68" s="81"/>
      <c r="AM68" s="82"/>
      <c r="AN68" s="73"/>
      <c r="AO68" s="28">
        <f t="shared" ref="AO68:AO77" si="15">SUM(J68,O68,T68,Y68,AD68,AI68,AN68)</f>
        <v>0</v>
      </c>
    </row>
    <row r="69" spans="1:67" ht="12.75" customHeight="1" x14ac:dyDescent="0.2">
      <c r="A69" s="150"/>
      <c r="B69" s="148"/>
      <c r="C69" s="147"/>
      <c r="D69" s="146"/>
      <c r="E69" s="91"/>
      <c r="F69" s="88"/>
      <c r="G69" s="97"/>
      <c r="H69" s="98"/>
      <c r="I69" s="88"/>
      <c r="J69" s="151"/>
      <c r="K69" s="152"/>
      <c r="L69" s="158"/>
      <c r="M69" s="159"/>
      <c r="N69" s="153"/>
      <c r="O69" s="84"/>
      <c r="P69" s="80"/>
      <c r="Q69" s="97"/>
      <c r="R69" s="98"/>
      <c r="S69" s="88"/>
      <c r="T69" s="73"/>
      <c r="U69" s="80"/>
      <c r="V69" s="158"/>
      <c r="W69" s="159"/>
      <c r="X69" s="82"/>
      <c r="Y69" s="73"/>
      <c r="Z69" s="96"/>
      <c r="AA69" s="131"/>
      <c r="AB69" s="98"/>
      <c r="AC69" s="95"/>
      <c r="AD69" s="73"/>
      <c r="AE69" s="80"/>
      <c r="AF69" s="87"/>
      <c r="AG69" s="81"/>
      <c r="AH69" s="82"/>
      <c r="AI69" s="73"/>
      <c r="AJ69" s="80"/>
      <c r="AK69" s="87"/>
      <c r="AL69" s="81"/>
      <c r="AM69" s="82"/>
      <c r="AN69" s="73"/>
      <c r="AO69" s="28">
        <f t="shared" si="15"/>
        <v>0</v>
      </c>
    </row>
    <row r="70" spans="1:67" ht="12.75" customHeight="1" x14ac:dyDescent="0.2">
      <c r="A70" s="150"/>
      <c r="B70" s="148"/>
      <c r="C70" s="147"/>
      <c r="D70" s="146"/>
      <c r="E70" s="91"/>
      <c r="F70" s="88"/>
      <c r="G70" s="97"/>
      <c r="H70" s="98"/>
      <c r="I70" s="88"/>
      <c r="J70" s="151"/>
      <c r="K70" s="152"/>
      <c r="L70" s="158"/>
      <c r="M70" s="159"/>
      <c r="N70" s="153"/>
      <c r="O70" s="84"/>
      <c r="P70" s="80"/>
      <c r="Q70" s="97"/>
      <c r="R70" s="98"/>
      <c r="S70" s="88"/>
      <c r="T70" s="73"/>
      <c r="U70" s="80"/>
      <c r="V70" s="158"/>
      <c r="W70" s="159"/>
      <c r="X70" s="82"/>
      <c r="Y70" s="73"/>
      <c r="Z70" s="96"/>
      <c r="AA70" s="131"/>
      <c r="AB70" s="98"/>
      <c r="AC70" s="95"/>
      <c r="AD70" s="73"/>
      <c r="AE70" s="80"/>
      <c r="AF70" s="87"/>
      <c r="AG70" s="81"/>
      <c r="AH70" s="82"/>
      <c r="AI70" s="73"/>
      <c r="AJ70" s="80"/>
      <c r="AK70" s="87"/>
      <c r="AL70" s="81"/>
      <c r="AM70" s="82"/>
      <c r="AN70" s="73"/>
      <c r="AO70" s="28">
        <f t="shared" si="15"/>
        <v>0</v>
      </c>
    </row>
    <row r="71" spans="1:67" ht="12.75" customHeight="1" x14ac:dyDescent="0.2">
      <c r="A71" s="150"/>
      <c r="B71" s="148"/>
      <c r="C71" s="147"/>
      <c r="D71" s="146"/>
      <c r="E71" s="91"/>
      <c r="F71" s="88"/>
      <c r="G71" s="97"/>
      <c r="H71" s="98"/>
      <c r="I71" s="88"/>
      <c r="J71" s="151"/>
      <c r="K71" s="152"/>
      <c r="L71" s="158"/>
      <c r="M71" s="159"/>
      <c r="N71" s="153"/>
      <c r="O71" s="84"/>
      <c r="P71" s="80"/>
      <c r="Q71" s="97"/>
      <c r="R71" s="98"/>
      <c r="S71" s="88"/>
      <c r="T71" s="73"/>
      <c r="U71" s="80"/>
      <c r="V71" s="158"/>
      <c r="W71" s="159"/>
      <c r="X71" s="82"/>
      <c r="Y71" s="73"/>
      <c r="Z71" s="96"/>
      <c r="AA71" s="131"/>
      <c r="AB71" s="98"/>
      <c r="AC71" s="95"/>
      <c r="AD71" s="73"/>
      <c r="AE71" s="80"/>
      <c r="AF71" s="87"/>
      <c r="AG71" s="81"/>
      <c r="AH71" s="82"/>
      <c r="AI71" s="73"/>
      <c r="AJ71" s="80"/>
      <c r="AK71" s="87"/>
      <c r="AL71" s="81"/>
      <c r="AM71" s="82"/>
      <c r="AN71" s="73"/>
      <c r="AO71" s="28">
        <f t="shared" si="15"/>
        <v>0</v>
      </c>
    </row>
    <row r="72" spans="1:67" ht="12.75" customHeight="1" x14ac:dyDescent="0.2">
      <c r="A72" s="150"/>
      <c r="B72" s="148"/>
      <c r="C72" s="147"/>
      <c r="D72" s="146"/>
      <c r="E72" s="91"/>
      <c r="F72" s="88"/>
      <c r="G72" s="97"/>
      <c r="H72" s="98"/>
      <c r="I72" s="88"/>
      <c r="J72" s="151"/>
      <c r="K72" s="152"/>
      <c r="L72" s="158"/>
      <c r="M72" s="159"/>
      <c r="N72" s="153"/>
      <c r="O72" s="84"/>
      <c r="P72" s="80"/>
      <c r="Q72" s="97"/>
      <c r="R72" s="98"/>
      <c r="S72" s="88"/>
      <c r="T72" s="73"/>
      <c r="U72" s="80"/>
      <c r="V72" s="158"/>
      <c r="W72" s="159"/>
      <c r="X72" s="82"/>
      <c r="Y72" s="73"/>
      <c r="Z72" s="96"/>
      <c r="AA72" s="131"/>
      <c r="AB72" s="98"/>
      <c r="AC72" s="95"/>
      <c r="AD72" s="73"/>
      <c r="AE72" s="80"/>
      <c r="AF72" s="87"/>
      <c r="AG72" s="81"/>
      <c r="AH72" s="82"/>
      <c r="AI72" s="73"/>
      <c r="AJ72" s="80"/>
      <c r="AK72" s="87"/>
      <c r="AL72" s="81"/>
      <c r="AM72" s="82"/>
      <c r="AN72" s="73"/>
      <c r="AO72" s="28">
        <f t="shared" si="15"/>
        <v>0</v>
      </c>
    </row>
    <row r="73" spans="1:67" ht="12.75" customHeight="1" x14ac:dyDescent="0.2">
      <c r="A73" s="150"/>
      <c r="B73" s="148"/>
      <c r="C73" s="147"/>
      <c r="D73" s="146"/>
      <c r="E73" s="91"/>
      <c r="F73" s="88"/>
      <c r="G73" s="97"/>
      <c r="H73" s="98"/>
      <c r="I73" s="88"/>
      <c r="J73" s="151"/>
      <c r="K73" s="152"/>
      <c r="L73" s="158"/>
      <c r="M73" s="159"/>
      <c r="N73" s="153"/>
      <c r="O73" s="84"/>
      <c r="P73" s="80"/>
      <c r="Q73" s="97"/>
      <c r="R73" s="98"/>
      <c r="S73" s="88"/>
      <c r="T73" s="73"/>
      <c r="U73" s="80"/>
      <c r="V73" s="158"/>
      <c r="W73" s="159"/>
      <c r="X73" s="82"/>
      <c r="Y73" s="73"/>
      <c r="Z73" s="96"/>
      <c r="AA73" s="131"/>
      <c r="AB73" s="98"/>
      <c r="AC73" s="95"/>
      <c r="AD73" s="73"/>
      <c r="AE73" s="80"/>
      <c r="AF73" s="87"/>
      <c r="AG73" s="81"/>
      <c r="AH73" s="82"/>
      <c r="AI73" s="73"/>
      <c r="AJ73" s="80"/>
      <c r="AK73" s="87"/>
      <c r="AL73" s="81"/>
      <c r="AM73" s="82"/>
      <c r="AN73" s="73"/>
      <c r="AO73" s="28">
        <f t="shared" si="15"/>
        <v>0</v>
      </c>
    </row>
    <row r="74" spans="1:67" ht="12.75" customHeight="1" x14ac:dyDescent="0.2">
      <c r="A74" s="150"/>
      <c r="B74" s="148"/>
      <c r="C74" s="147"/>
      <c r="D74" s="146"/>
      <c r="E74" s="91"/>
      <c r="F74" s="88"/>
      <c r="G74" s="97"/>
      <c r="H74" s="98"/>
      <c r="I74" s="88"/>
      <c r="J74" s="151"/>
      <c r="K74" s="152"/>
      <c r="L74" s="158"/>
      <c r="M74" s="159"/>
      <c r="N74" s="153"/>
      <c r="O74" s="84"/>
      <c r="P74" s="80"/>
      <c r="Q74" s="97"/>
      <c r="R74" s="98"/>
      <c r="S74" s="88"/>
      <c r="T74" s="73"/>
      <c r="U74" s="80"/>
      <c r="V74" s="158"/>
      <c r="W74" s="159"/>
      <c r="X74" s="82"/>
      <c r="Y74" s="73"/>
      <c r="Z74" s="96"/>
      <c r="AA74" s="131"/>
      <c r="AB74" s="98"/>
      <c r="AC74" s="95"/>
      <c r="AD74" s="73"/>
      <c r="AE74" s="80"/>
      <c r="AF74" s="87"/>
      <c r="AG74" s="81"/>
      <c r="AH74" s="82"/>
      <c r="AI74" s="73"/>
      <c r="AJ74" s="80"/>
      <c r="AK74" s="87"/>
      <c r="AL74" s="81"/>
      <c r="AM74" s="82"/>
      <c r="AN74" s="73"/>
      <c r="AO74" s="28">
        <f t="shared" si="15"/>
        <v>0</v>
      </c>
    </row>
    <row r="75" spans="1:67" ht="12.75" customHeight="1" x14ac:dyDescent="0.2">
      <c r="A75" s="150"/>
      <c r="B75" s="148"/>
      <c r="C75" s="147"/>
      <c r="D75" s="146"/>
      <c r="E75" s="91"/>
      <c r="F75" s="88"/>
      <c r="G75" s="97"/>
      <c r="H75" s="98"/>
      <c r="I75" s="88"/>
      <c r="J75" s="151"/>
      <c r="K75" s="152"/>
      <c r="L75" s="158"/>
      <c r="M75" s="159"/>
      <c r="N75" s="153"/>
      <c r="O75" s="84"/>
      <c r="P75" s="80"/>
      <c r="Q75" s="97"/>
      <c r="R75" s="98"/>
      <c r="S75" s="88"/>
      <c r="T75" s="73"/>
      <c r="U75" s="80"/>
      <c r="V75" s="158"/>
      <c r="W75" s="159"/>
      <c r="X75" s="82"/>
      <c r="Y75" s="73"/>
      <c r="Z75" s="96"/>
      <c r="AA75" s="131"/>
      <c r="AB75" s="98"/>
      <c r="AC75" s="95"/>
      <c r="AD75" s="73"/>
      <c r="AE75" s="80"/>
      <c r="AF75" s="87"/>
      <c r="AG75" s="81"/>
      <c r="AH75" s="82"/>
      <c r="AI75" s="73"/>
      <c r="AJ75" s="80"/>
      <c r="AK75" s="87"/>
      <c r="AL75" s="81"/>
      <c r="AM75" s="82"/>
      <c r="AN75" s="73"/>
      <c r="AO75" s="28">
        <f t="shared" si="15"/>
        <v>0</v>
      </c>
    </row>
    <row r="76" spans="1:67" ht="12.75" customHeight="1" x14ac:dyDescent="0.2">
      <c r="A76" s="150"/>
      <c r="B76" s="148"/>
      <c r="C76" s="147"/>
      <c r="D76" s="146"/>
      <c r="E76" s="91"/>
      <c r="F76" s="88"/>
      <c r="G76" s="97"/>
      <c r="H76" s="98"/>
      <c r="I76" s="88"/>
      <c r="J76" s="151"/>
      <c r="K76" s="152"/>
      <c r="L76" s="158"/>
      <c r="M76" s="159"/>
      <c r="N76" s="153"/>
      <c r="O76" s="84"/>
      <c r="P76" s="80"/>
      <c r="Q76" s="97"/>
      <c r="R76" s="98"/>
      <c r="S76" s="88"/>
      <c r="T76" s="73"/>
      <c r="U76" s="80"/>
      <c r="V76" s="158"/>
      <c r="W76" s="159"/>
      <c r="X76" s="82"/>
      <c r="Y76" s="73"/>
      <c r="Z76" s="96"/>
      <c r="AA76" s="131"/>
      <c r="AB76" s="98"/>
      <c r="AC76" s="95"/>
      <c r="AD76" s="73"/>
      <c r="AE76" s="80"/>
      <c r="AF76" s="87"/>
      <c r="AG76" s="81"/>
      <c r="AH76" s="82"/>
      <c r="AI76" s="73"/>
      <c r="AJ76" s="80"/>
      <c r="AK76" s="87"/>
      <c r="AL76" s="81"/>
      <c r="AM76" s="82"/>
      <c r="AN76" s="73"/>
      <c r="AO76" s="28">
        <f t="shared" si="15"/>
        <v>0</v>
      </c>
    </row>
    <row r="77" spans="1:67" x14ac:dyDescent="0.2">
      <c r="A77" s="150"/>
      <c r="B77" s="148"/>
      <c r="C77" s="147"/>
      <c r="D77" s="146"/>
      <c r="E77" s="91"/>
      <c r="F77" s="88"/>
      <c r="G77" s="97"/>
      <c r="H77" s="98"/>
      <c r="I77" s="88"/>
      <c r="J77" s="151"/>
      <c r="K77" s="152"/>
      <c r="L77" s="158"/>
      <c r="M77" s="159"/>
      <c r="N77" s="153"/>
      <c r="O77" s="84"/>
      <c r="P77" s="80"/>
      <c r="Q77" s="97"/>
      <c r="R77" s="98"/>
      <c r="S77" s="88"/>
      <c r="T77" s="73"/>
      <c r="U77" s="80"/>
      <c r="V77" s="158"/>
      <c r="W77" s="159"/>
      <c r="X77" s="82"/>
      <c r="Y77" s="73"/>
      <c r="Z77" s="96"/>
      <c r="AA77" s="131"/>
      <c r="AB77" s="98"/>
      <c r="AC77" s="95"/>
      <c r="AD77" s="73"/>
      <c r="AE77" s="80"/>
      <c r="AF77" s="87"/>
      <c r="AG77" s="81"/>
      <c r="AH77" s="82"/>
      <c r="AI77" s="73"/>
      <c r="AJ77" s="80"/>
      <c r="AK77" s="87"/>
      <c r="AL77" s="81"/>
      <c r="AM77" s="82"/>
      <c r="AN77" s="73"/>
      <c r="AO77" s="28">
        <f t="shared" si="15"/>
        <v>0</v>
      </c>
    </row>
    <row r="78" spans="1:67" customFormat="1" ht="15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1:67" customFormat="1" ht="15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customFormat="1" ht="15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customFormat="1" ht="15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hidden="1" x14ac:dyDescent="0.2"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</row>
    <row r="83" spans="1:67" customFormat="1" ht="15" hidden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customFormat="1" ht="15" hidden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customFormat="1" ht="15" hidden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customFormat="1" ht="15" hidden="1" x14ac:dyDescent="0.25">
      <c r="A86" s="1"/>
      <c r="B86" s="15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customFormat="1" ht="15" hidden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customFormat="1" ht="15" hidden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hidden="1" x14ac:dyDescent="0.2"/>
    <row r="90" spans="1:67" hidden="1" x14ac:dyDescent="0.2"/>
    <row r="91" spans="1:67" hidden="1" x14ac:dyDescent="0.2"/>
    <row r="92" spans="1:67" hidden="1" x14ac:dyDescent="0.2"/>
    <row r="93" spans="1:67" hidden="1" x14ac:dyDescent="0.2">
      <c r="N93" s="104"/>
      <c r="O93" s="37"/>
    </row>
    <row r="95" spans="1:67" ht="15.75" x14ac:dyDescent="0.25">
      <c r="B95" s="1" t="s">
        <v>100</v>
      </c>
      <c r="C95" s="1">
        <f>COUNTIF(D$4:D$38,B95)</f>
        <v>0</v>
      </c>
      <c r="D95" s="123">
        <v>0.29166666666666669</v>
      </c>
      <c r="E95" s="109" t="s">
        <v>73</v>
      </c>
      <c r="F95" s="280">
        <f t="shared" ref="F95:F106" si="16">COUNTIF(F$4:F$88,$D95)</f>
        <v>6</v>
      </c>
      <c r="G95" s="110"/>
      <c r="K95" s="107">
        <f t="shared" ref="K95:K106" si="17">COUNTIF(K$4:K$88,$D95)</f>
        <v>7</v>
      </c>
      <c r="L95" s="110"/>
      <c r="P95" s="107">
        <f t="shared" ref="P95:P106" si="18">COUNTIF(P$4:P$88,$D95)</f>
        <v>8</v>
      </c>
      <c r="Q95" s="110"/>
      <c r="U95" s="107">
        <f t="shared" ref="U95:U106" si="19">COUNTIF(U$4:U$88,$D95)</f>
        <v>8</v>
      </c>
      <c r="V95" s="110"/>
      <c r="Z95" s="107">
        <f t="shared" ref="Z95:Z106" si="20">COUNTIF(Z$4:Z$88,$D95)</f>
        <v>4</v>
      </c>
      <c r="AA95" s="110"/>
      <c r="AE95" s="107">
        <f t="shared" ref="AE95:AE106" si="21">COUNTIF(AE$4:AE$88,$D95)</f>
        <v>5</v>
      </c>
      <c r="AF95" s="110"/>
      <c r="AJ95" s="107">
        <f t="shared" ref="AJ95:AJ106" si="22">COUNTIF(AJ$4:AJ$88,$D95)</f>
        <v>6</v>
      </c>
      <c r="AK95" s="110"/>
    </row>
    <row r="96" spans="1:67" ht="15.75" x14ac:dyDescent="0.25">
      <c r="B96" s="1" t="s">
        <v>195</v>
      </c>
      <c r="C96" s="1">
        <f>COUNTIF(D$4:D$38,B96)</f>
        <v>0</v>
      </c>
      <c r="D96" s="123">
        <v>0.33333333333333331</v>
      </c>
      <c r="E96" s="109" t="s">
        <v>73</v>
      </c>
      <c r="F96" s="107">
        <f t="shared" si="16"/>
        <v>1</v>
      </c>
      <c r="G96" s="110">
        <f>SUM(F95:F97)</f>
        <v>13</v>
      </c>
      <c r="K96" s="107">
        <f t="shared" si="17"/>
        <v>1</v>
      </c>
      <c r="L96" s="110">
        <f>SUM(K95:K97)</f>
        <v>15</v>
      </c>
      <c r="P96" s="107">
        <f t="shared" si="18"/>
        <v>2</v>
      </c>
      <c r="Q96" s="110">
        <f>SUM(P95:P97)</f>
        <v>15</v>
      </c>
      <c r="U96" s="107">
        <f t="shared" si="19"/>
        <v>2</v>
      </c>
      <c r="V96" s="110">
        <f>SUM(U95:U97)</f>
        <v>13</v>
      </c>
      <c r="Z96" s="107">
        <f t="shared" si="20"/>
        <v>2</v>
      </c>
      <c r="AA96" s="110">
        <f>SUM(Z95:Z97)</f>
        <v>12</v>
      </c>
      <c r="AE96" s="107">
        <f t="shared" si="21"/>
        <v>2</v>
      </c>
      <c r="AF96" s="110">
        <f>SUM(AE95:AE97)</f>
        <v>12</v>
      </c>
      <c r="AJ96" s="107">
        <f t="shared" si="22"/>
        <v>2</v>
      </c>
      <c r="AK96" s="110">
        <f>SUM(AJ95:AJ97)</f>
        <v>10</v>
      </c>
    </row>
    <row r="97" spans="2:37" ht="15.75" x14ac:dyDescent="0.25">
      <c r="B97" s="1" t="s">
        <v>194</v>
      </c>
      <c r="C97" s="1">
        <f>COUNTIF(D$4:D$38,B97)</f>
        <v>0</v>
      </c>
      <c r="D97" s="123">
        <v>0.375</v>
      </c>
      <c r="E97" s="109" t="s">
        <v>73</v>
      </c>
      <c r="F97" s="280">
        <f t="shared" si="16"/>
        <v>6</v>
      </c>
      <c r="G97" s="110"/>
      <c r="K97" s="107">
        <f t="shared" si="17"/>
        <v>7</v>
      </c>
      <c r="L97" s="110"/>
      <c r="P97" s="107">
        <f t="shared" si="18"/>
        <v>5</v>
      </c>
      <c r="Q97" s="110"/>
      <c r="U97" s="107">
        <f t="shared" si="19"/>
        <v>3</v>
      </c>
      <c r="V97" s="110"/>
      <c r="Z97" s="107">
        <f t="shared" si="20"/>
        <v>6</v>
      </c>
      <c r="AA97" s="110"/>
      <c r="AE97" s="107">
        <f t="shared" si="21"/>
        <v>5</v>
      </c>
      <c r="AF97" s="110"/>
      <c r="AJ97" s="107">
        <f t="shared" si="22"/>
        <v>2</v>
      </c>
      <c r="AK97" s="110"/>
    </row>
    <row r="98" spans="2:37" ht="15.75" x14ac:dyDescent="0.25">
      <c r="D98" s="123">
        <v>0.41666666666666669</v>
      </c>
      <c r="E98" s="109" t="s">
        <v>98</v>
      </c>
      <c r="F98" s="209">
        <f t="shared" si="16"/>
        <v>0</v>
      </c>
      <c r="G98" s="110"/>
      <c r="K98" s="209">
        <f t="shared" si="17"/>
        <v>0</v>
      </c>
      <c r="L98" s="110"/>
      <c r="P98" s="209">
        <f t="shared" si="18"/>
        <v>0</v>
      </c>
      <c r="Q98" s="110"/>
      <c r="U98" s="209">
        <f t="shared" si="19"/>
        <v>0</v>
      </c>
      <c r="V98" s="110"/>
      <c r="Z98" s="209">
        <f t="shared" si="20"/>
        <v>0</v>
      </c>
      <c r="AA98" s="110"/>
      <c r="AE98" s="209">
        <f t="shared" si="21"/>
        <v>0</v>
      </c>
      <c r="AF98" s="110"/>
      <c r="AJ98" s="209">
        <f t="shared" si="22"/>
        <v>0</v>
      </c>
      <c r="AK98" s="110"/>
    </row>
    <row r="99" spans="2:37" ht="15.75" x14ac:dyDescent="0.25">
      <c r="D99" s="123">
        <v>0.45833333333333331</v>
      </c>
      <c r="E99" s="109" t="s">
        <v>31</v>
      </c>
      <c r="F99" s="209">
        <f t="shared" si="16"/>
        <v>0</v>
      </c>
      <c r="G99" s="110">
        <f>SUM(F98:F101)</f>
        <v>4</v>
      </c>
      <c r="K99" s="209">
        <f t="shared" si="17"/>
        <v>0</v>
      </c>
      <c r="L99" s="110">
        <f>SUM(K98:K101)</f>
        <v>5</v>
      </c>
      <c r="P99" s="209">
        <f t="shared" si="18"/>
        <v>0</v>
      </c>
      <c r="Q99" s="110">
        <f>SUM(P98:P101)</f>
        <v>7</v>
      </c>
      <c r="U99" s="209">
        <f t="shared" si="19"/>
        <v>0</v>
      </c>
      <c r="V99" s="110">
        <f>SUM(U98:U101)</f>
        <v>4</v>
      </c>
      <c r="Z99" s="209">
        <f t="shared" si="20"/>
        <v>0</v>
      </c>
      <c r="AA99" s="110">
        <f>SUM(Z98:Z101)</f>
        <v>4</v>
      </c>
      <c r="AE99" s="209">
        <f t="shared" si="21"/>
        <v>0</v>
      </c>
      <c r="AF99" s="110">
        <f>SUM(AE98:AE101)</f>
        <v>2</v>
      </c>
      <c r="AJ99" s="209">
        <f t="shared" si="22"/>
        <v>0</v>
      </c>
      <c r="AK99" s="110">
        <f>SUM(AJ98:AJ101)</f>
        <v>3</v>
      </c>
    </row>
    <row r="100" spans="2:37" ht="15.75" x14ac:dyDescent="0.25">
      <c r="D100" s="123">
        <v>0.5</v>
      </c>
      <c r="E100" s="109" t="s">
        <v>31</v>
      </c>
      <c r="F100" s="209">
        <f t="shared" si="16"/>
        <v>0</v>
      </c>
      <c r="G100" s="110"/>
      <c r="K100" s="209">
        <f t="shared" si="17"/>
        <v>0</v>
      </c>
      <c r="L100" s="110"/>
      <c r="P100" s="209">
        <f t="shared" si="18"/>
        <v>0</v>
      </c>
      <c r="Q100" s="110"/>
      <c r="U100" s="209">
        <f t="shared" si="19"/>
        <v>0</v>
      </c>
      <c r="V100" s="110"/>
      <c r="Z100" s="209">
        <f t="shared" si="20"/>
        <v>0</v>
      </c>
      <c r="AA100" s="110"/>
      <c r="AE100" s="209">
        <f t="shared" si="21"/>
        <v>0</v>
      </c>
      <c r="AF100" s="110"/>
      <c r="AJ100" s="209">
        <f t="shared" si="22"/>
        <v>0</v>
      </c>
      <c r="AK100" s="110"/>
    </row>
    <row r="101" spans="2:37" ht="15.75" x14ac:dyDescent="0.25">
      <c r="D101" s="123">
        <v>0.54166666666666663</v>
      </c>
      <c r="E101" s="109" t="s">
        <v>31</v>
      </c>
      <c r="F101" s="307">
        <f t="shared" si="16"/>
        <v>4</v>
      </c>
      <c r="G101" s="110"/>
      <c r="K101" s="209">
        <f t="shared" si="17"/>
        <v>5</v>
      </c>
      <c r="L101" s="110"/>
      <c r="P101" s="209">
        <f t="shared" si="18"/>
        <v>7</v>
      </c>
      <c r="Q101" s="110"/>
      <c r="U101" s="209">
        <f t="shared" si="19"/>
        <v>4</v>
      </c>
      <c r="V101" s="110"/>
      <c r="Z101" s="209">
        <f t="shared" si="20"/>
        <v>4</v>
      </c>
      <c r="AA101" s="110"/>
      <c r="AE101" s="209">
        <f t="shared" si="21"/>
        <v>2</v>
      </c>
      <c r="AF101" s="110"/>
      <c r="AJ101" s="209">
        <f t="shared" si="22"/>
        <v>3</v>
      </c>
      <c r="AK101" s="110"/>
    </row>
    <row r="102" spans="2:37" ht="15.75" x14ac:dyDescent="0.25">
      <c r="D102" s="123">
        <v>0.625</v>
      </c>
      <c r="E102" s="109" t="s">
        <v>31</v>
      </c>
      <c r="F102" s="281">
        <f t="shared" si="16"/>
        <v>1</v>
      </c>
      <c r="G102" s="110"/>
      <c r="K102" s="108">
        <f t="shared" si="17"/>
        <v>2</v>
      </c>
      <c r="L102" s="110"/>
      <c r="P102" s="108">
        <f t="shared" si="18"/>
        <v>2</v>
      </c>
      <c r="Q102" s="110"/>
      <c r="U102" s="108">
        <f t="shared" si="19"/>
        <v>4</v>
      </c>
      <c r="V102" s="110"/>
      <c r="Z102" s="108">
        <f t="shared" si="20"/>
        <v>4</v>
      </c>
      <c r="AA102" s="110"/>
      <c r="AE102" s="108">
        <f t="shared" si="21"/>
        <v>2</v>
      </c>
      <c r="AF102" s="110"/>
      <c r="AJ102" s="108">
        <f t="shared" si="22"/>
        <v>4</v>
      </c>
      <c r="AK102" s="110"/>
    </row>
    <row r="103" spans="2:37" ht="15.75" x14ac:dyDescent="0.25">
      <c r="D103" s="123">
        <v>0.66666666666666663</v>
      </c>
      <c r="E103" s="109" t="s">
        <v>31</v>
      </c>
      <c r="F103" s="281">
        <f t="shared" si="16"/>
        <v>3</v>
      </c>
      <c r="G103" s="110">
        <f>SUM(F102:F104)</f>
        <v>4</v>
      </c>
      <c r="K103" s="108">
        <f t="shared" si="17"/>
        <v>4</v>
      </c>
      <c r="L103" s="110">
        <f>SUM(K102:K104)</f>
        <v>6</v>
      </c>
      <c r="P103" s="108">
        <f t="shared" si="18"/>
        <v>2</v>
      </c>
      <c r="Q103" s="110">
        <f>SUM(P102:P104)</f>
        <v>4</v>
      </c>
      <c r="U103" s="108">
        <f t="shared" si="19"/>
        <v>2</v>
      </c>
      <c r="V103" s="110">
        <f>SUM(U102:U104)</f>
        <v>6</v>
      </c>
      <c r="Z103" s="108">
        <f t="shared" si="20"/>
        <v>4</v>
      </c>
      <c r="AA103" s="110">
        <f>SUM(Z102:Z104)</f>
        <v>8</v>
      </c>
      <c r="AE103" s="108">
        <f t="shared" si="21"/>
        <v>4</v>
      </c>
      <c r="AF103" s="110">
        <f>SUM(AE102:AE104)</f>
        <v>6</v>
      </c>
      <c r="AJ103" s="108">
        <f t="shared" si="22"/>
        <v>4</v>
      </c>
      <c r="AK103" s="110">
        <f>SUM(AJ102:AJ104)</f>
        <v>8</v>
      </c>
    </row>
    <row r="104" spans="2:37" ht="15.75" x14ac:dyDescent="0.25">
      <c r="D104" s="123">
        <v>0.70833333333333337</v>
      </c>
      <c r="E104" s="109" t="s">
        <v>31</v>
      </c>
      <c r="F104" s="108">
        <f t="shared" si="16"/>
        <v>0</v>
      </c>
      <c r="K104" s="108">
        <f t="shared" si="17"/>
        <v>0</v>
      </c>
      <c r="P104" s="108">
        <f t="shared" si="18"/>
        <v>0</v>
      </c>
      <c r="U104" s="108">
        <f t="shared" si="19"/>
        <v>0</v>
      </c>
      <c r="Z104" s="108">
        <f t="shared" si="20"/>
        <v>0</v>
      </c>
      <c r="AE104" s="108">
        <f t="shared" si="21"/>
        <v>0</v>
      </c>
      <c r="AJ104" s="108">
        <f t="shared" si="22"/>
        <v>0</v>
      </c>
    </row>
    <row r="105" spans="2:37" ht="15" x14ac:dyDescent="0.25">
      <c r="B105" s="120">
        <f>AVERAGE(F105:AJ105)</f>
        <v>13.428571428571429</v>
      </c>
      <c r="D105" s="123" t="s">
        <v>15</v>
      </c>
      <c r="E105" s="110" t="s">
        <v>15</v>
      </c>
      <c r="F105" s="61">
        <f t="shared" si="16"/>
        <v>13</v>
      </c>
      <c r="K105" s="61">
        <f t="shared" si="17"/>
        <v>10</v>
      </c>
      <c r="P105" s="61">
        <f t="shared" si="18"/>
        <v>11</v>
      </c>
      <c r="U105" s="61">
        <f t="shared" si="19"/>
        <v>12</v>
      </c>
      <c r="Z105" s="61">
        <f t="shared" si="20"/>
        <v>12</v>
      </c>
      <c r="AE105" s="61">
        <f t="shared" si="21"/>
        <v>18</v>
      </c>
      <c r="AJ105" s="61">
        <f t="shared" si="22"/>
        <v>18</v>
      </c>
    </row>
    <row r="106" spans="2:37" ht="15" x14ac:dyDescent="0.25">
      <c r="B106" s="120">
        <f>AVERAGE(F106:AJ106)</f>
        <v>1.0769230769230769</v>
      </c>
      <c r="D106" s="123">
        <v>0.875</v>
      </c>
      <c r="E106" s="110" t="s">
        <v>19</v>
      </c>
      <c r="F106" s="65">
        <f t="shared" si="16"/>
        <v>2</v>
      </c>
      <c r="G106" s="65">
        <f>COUNTIF(H$4:H$88,$D106)</f>
        <v>0</v>
      </c>
      <c r="K106" s="65">
        <f t="shared" si="17"/>
        <v>2</v>
      </c>
      <c r="L106" s="65">
        <f>COUNTIF(M$4:M$88,$D106)</f>
        <v>0</v>
      </c>
      <c r="P106" s="65">
        <f t="shared" si="18"/>
        <v>0</v>
      </c>
      <c r="Q106" s="65">
        <f>COUNTIF(R$4:R$88,$D106)</f>
        <v>2</v>
      </c>
      <c r="U106" s="65">
        <f t="shared" si="19"/>
        <v>2</v>
      </c>
      <c r="V106" s="65">
        <f>COUNTIF(W$4:W$88,$D106)</f>
        <v>0</v>
      </c>
      <c r="Z106" s="65">
        <f t="shared" si="20"/>
        <v>2</v>
      </c>
      <c r="AA106" s="65">
        <f>COUNTIF(AB$4:AB$88,$D106)</f>
        <v>0</v>
      </c>
      <c r="AE106" s="65">
        <f t="shared" si="21"/>
        <v>0</v>
      </c>
      <c r="AF106" s="65">
        <f>COUNTIF(AG$4:AG$88,$D106)</f>
        <v>2</v>
      </c>
      <c r="AJ106" s="65">
        <f t="shared" si="22"/>
        <v>2</v>
      </c>
      <c r="AK106" s="65">
        <f>COUNTIF(AL$4:AL$88,$D106)</f>
        <v>0</v>
      </c>
    </row>
    <row r="107" spans="2:37" x14ac:dyDescent="0.2">
      <c r="B107" s="120">
        <f>AVERAGE(F107:AJ107)</f>
        <v>23.333333333333332</v>
      </c>
      <c r="G107" s="110">
        <f>SUM(G95:G105)</f>
        <v>21</v>
      </c>
      <c r="L107" s="110">
        <f>SUM(L95:L105)</f>
        <v>26</v>
      </c>
      <c r="Q107" s="110">
        <f>SUM(Q95:Q105)</f>
        <v>26</v>
      </c>
      <c r="V107" s="110">
        <f>SUM(V95:V105)</f>
        <v>23</v>
      </c>
      <c r="AA107" s="110">
        <f>SUM(AA95:AA105)</f>
        <v>24</v>
      </c>
      <c r="AF107" s="110">
        <f>SUM(AF95:AF105)</f>
        <v>20</v>
      </c>
      <c r="AK107" s="110">
        <f>SUM(AK95:AK105)</f>
        <v>21</v>
      </c>
    </row>
    <row r="111" spans="2:37" x14ac:dyDescent="0.2">
      <c r="M111" s="156"/>
      <c r="O111" s="156"/>
    </row>
    <row r="112" spans="2:37" x14ac:dyDescent="0.2">
      <c r="M112" s="161"/>
    </row>
    <row r="131" spans="2:2" x14ac:dyDescent="0.2">
      <c r="B131" s="30">
        <f>J2</f>
        <v>5.9583333333333339</v>
      </c>
    </row>
    <row r="132" spans="2:2" x14ac:dyDescent="0.2">
      <c r="B132" s="30">
        <f>O2</f>
        <v>7.208333333333333</v>
      </c>
    </row>
    <row r="133" spans="2:2" x14ac:dyDescent="0.2">
      <c r="B133" s="30">
        <f>T2</f>
        <v>7.6249999999999991</v>
      </c>
    </row>
    <row r="134" spans="2:2" x14ac:dyDescent="0.2">
      <c r="B134" s="30">
        <f>Y2</f>
        <v>7.0833333333333321</v>
      </c>
    </row>
    <row r="135" spans="2:2" x14ac:dyDescent="0.2">
      <c r="B135" s="30">
        <f>AD2</f>
        <v>6.7499999999999991</v>
      </c>
    </row>
    <row r="136" spans="2:2" x14ac:dyDescent="0.2">
      <c r="B136" s="30">
        <f>AI2</f>
        <v>5.833333333333333</v>
      </c>
    </row>
    <row r="137" spans="2:2" x14ac:dyDescent="0.2">
      <c r="B137" s="30">
        <f>AN2</f>
        <v>5.5</v>
      </c>
    </row>
    <row r="140" spans="2:2" x14ac:dyDescent="0.2">
      <c r="B140" s="30">
        <v>13.79166666666667</v>
      </c>
    </row>
    <row r="141" spans="2:2" x14ac:dyDescent="0.2">
      <c r="B141" s="30">
        <v>14.916666666666673</v>
      </c>
    </row>
    <row r="142" spans="2:2" x14ac:dyDescent="0.2">
      <c r="B142" s="30">
        <v>14.333333333333337</v>
      </c>
    </row>
    <row r="143" spans="2:2" x14ac:dyDescent="0.2">
      <c r="B143" s="30">
        <v>14.833333333333339</v>
      </c>
    </row>
    <row r="144" spans="2:2" x14ac:dyDescent="0.2">
      <c r="B144" s="30">
        <v>10.958333333333332</v>
      </c>
    </row>
    <row r="145" spans="2:2" x14ac:dyDescent="0.2">
      <c r="B145" s="30">
        <v>9.7083333333333304</v>
      </c>
    </row>
    <row r="146" spans="2:2" x14ac:dyDescent="0.2">
      <c r="B146" s="30">
        <v>13.583333333333339</v>
      </c>
    </row>
    <row r="161" spans="4:14" x14ac:dyDescent="0.2">
      <c r="E161" s="147"/>
      <c r="F161" s="171"/>
      <c r="G161" s="171"/>
      <c r="H161" s="171"/>
      <c r="I161" s="171"/>
      <c r="J161" s="171"/>
      <c r="K161" s="171"/>
      <c r="L161" s="171"/>
      <c r="N161" s="231"/>
    </row>
    <row r="162" spans="4:14" x14ac:dyDescent="0.2">
      <c r="D162" s="190"/>
      <c r="E162" s="147"/>
      <c r="F162" s="35"/>
      <c r="G162" s="35"/>
      <c r="H162" s="35"/>
      <c r="I162" s="35"/>
      <c r="J162" s="35"/>
      <c r="K162" s="35"/>
      <c r="L162" s="35"/>
    </row>
    <row r="163" spans="4:14" x14ac:dyDescent="0.2">
      <c r="E163" s="147"/>
      <c r="F163" s="35"/>
      <c r="G163" s="35"/>
      <c r="H163" s="35"/>
      <c r="I163" s="35"/>
      <c r="J163" s="35"/>
      <c r="K163" s="35"/>
      <c r="L163" s="35"/>
    </row>
    <row r="164" spans="4:14" x14ac:dyDescent="0.2">
      <c r="E164" s="147"/>
      <c r="F164" s="35"/>
      <c r="G164" s="35"/>
      <c r="H164" s="35"/>
      <c r="I164" s="35"/>
      <c r="J164" s="35"/>
      <c r="K164" s="35"/>
      <c r="L164" s="35"/>
    </row>
    <row r="165" spans="4:14" x14ac:dyDescent="0.2">
      <c r="E165" s="147"/>
      <c r="F165" s="35"/>
      <c r="G165" s="35"/>
      <c r="H165" s="35"/>
      <c r="I165" s="35"/>
      <c r="J165" s="35"/>
      <c r="K165" s="35"/>
      <c r="L165" s="35"/>
    </row>
    <row r="166" spans="4:14" x14ac:dyDescent="0.2">
      <c r="E166" s="147"/>
      <c r="F166" s="35"/>
      <c r="G166" s="35"/>
      <c r="H166" s="35"/>
      <c r="I166" s="35"/>
      <c r="J166" s="35"/>
      <c r="K166" s="35"/>
      <c r="L166" s="35"/>
    </row>
    <row r="167" spans="4:14" x14ac:dyDescent="0.2">
      <c r="E167" s="147"/>
      <c r="F167" s="35"/>
      <c r="G167" s="35"/>
      <c r="H167" s="35"/>
      <c r="I167" s="35"/>
      <c r="J167" s="35"/>
      <c r="K167" s="35"/>
      <c r="L167" s="35"/>
    </row>
    <row r="168" spans="4:14" x14ac:dyDescent="0.2">
      <c r="E168" s="147"/>
      <c r="F168" s="35"/>
      <c r="G168" s="35"/>
      <c r="H168" s="35"/>
      <c r="I168" s="35"/>
      <c r="J168" s="35"/>
      <c r="K168" s="35"/>
      <c r="L168" s="35"/>
    </row>
    <row r="169" spans="4:14" x14ac:dyDescent="0.2">
      <c r="E169" s="147"/>
      <c r="F169" s="35"/>
      <c r="G169" s="35"/>
      <c r="H169" s="35"/>
      <c r="I169" s="35"/>
      <c r="J169" s="35"/>
      <c r="K169" s="35"/>
      <c r="L169" s="35"/>
    </row>
    <row r="170" spans="4:14" x14ac:dyDescent="0.2">
      <c r="E170" s="147"/>
      <c r="F170" s="35"/>
      <c r="G170" s="35"/>
      <c r="H170" s="35"/>
      <c r="I170" s="35"/>
      <c r="J170" s="35"/>
      <c r="K170" s="35"/>
      <c r="L170" s="35"/>
    </row>
    <row r="171" spans="4:14" x14ac:dyDescent="0.2">
      <c r="E171" s="147"/>
      <c r="F171" s="171"/>
      <c r="G171" s="171"/>
      <c r="H171" s="171"/>
      <c r="I171" s="171"/>
      <c r="J171" s="171"/>
      <c r="K171" s="171"/>
      <c r="L171" s="171"/>
    </row>
    <row r="172" spans="4:14" x14ac:dyDescent="0.2">
      <c r="E172" s="110"/>
      <c r="F172" s="35"/>
      <c r="G172" s="35"/>
      <c r="H172" s="35"/>
      <c r="I172" s="35"/>
      <c r="J172" s="35"/>
      <c r="K172" s="35"/>
      <c r="L172" s="35"/>
    </row>
    <row r="175" spans="4:14" x14ac:dyDescent="0.2">
      <c r="E175" s="110"/>
      <c r="F175" s="196"/>
      <c r="G175" s="196"/>
      <c r="H175" s="196"/>
      <c r="I175" s="196"/>
      <c r="J175" s="196"/>
      <c r="K175" s="196"/>
      <c r="L175" s="196"/>
    </row>
    <row r="248" spans="2:12" ht="13.5" thickBot="1" x14ac:dyDescent="0.25"/>
    <row r="249" spans="2:12" ht="19.5" thickBot="1" x14ac:dyDescent="0.35">
      <c r="B249" s="385"/>
      <c r="C249" s="541" t="s">
        <v>719</v>
      </c>
      <c r="D249" s="543" t="s">
        <v>708</v>
      </c>
      <c r="E249" s="548" t="s">
        <v>709</v>
      </c>
      <c r="F249" s="548" t="s">
        <v>710</v>
      </c>
      <c r="G249" s="548" t="s">
        <v>711</v>
      </c>
      <c r="H249" s="548" t="s">
        <v>712</v>
      </c>
      <c r="I249" s="548" t="s">
        <v>713</v>
      </c>
      <c r="J249" s="549" t="s">
        <v>714</v>
      </c>
      <c r="K249" s="385"/>
      <c r="L249" s="385"/>
    </row>
    <row r="250" spans="2:12" ht="15" x14ac:dyDescent="0.25">
      <c r="B250" s="537" t="s">
        <v>691</v>
      </c>
      <c r="C250" s="543" t="s">
        <v>165</v>
      </c>
      <c r="D250" s="550">
        <f>COUNTIFS($E$4:$E$191,$C$249,F$4:F$191,$C250)</f>
        <v>0</v>
      </c>
      <c r="E250" s="550">
        <f>COUNTIFS($E$4:$E$191,$C$249,K$4:K$191,$C250)</f>
        <v>0</v>
      </c>
      <c r="F250" s="550">
        <f>COUNTIFS($E$4:$E$191,$C$249,P$4:P$191,$C250)</f>
        <v>0</v>
      </c>
      <c r="G250" s="550">
        <f>COUNTIFS($E$4:$E$191,$C$249,I$4:I$191,$C250)</f>
        <v>0</v>
      </c>
      <c r="H250" s="550">
        <f>COUNTIFS($E$4:$E$191,$C$249,U$4:U$191,$C250)</f>
        <v>0</v>
      </c>
      <c r="I250" s="550">
        <f>COUNTIFS($E$4:$E$191,$C$249,AE$4:AE$191,$C250)</f>
        <v>0</v>
      </c>
      <c r="J250" s="550">
        <f>COUNTIFS($E$4:$E$191,$C$249,AJ$4:AJ$191,$C250)</f>
        <v>0</v>
      </c>
      <c r="K250" s="385"/>
      <c r="L250" s="385"/>
    </row>
    <row r="251" spans="2:12" ht="15.75" thickBot="1" x14ac:dyDescent="0.25">
      <c r="B251" s="538" t="s">
        <v>692</v>
      </c>
      <c r="C251" s="544" t="s">
        <v>159</v>
      </c>
      <c r="D251" s="550">
        <f>COUNTIFS($E$4:$E$191,$C$249,F$4:F$191,$C251)</f>
        <v>0</v>
      </c>
      <c r="E251" s="550">
        <f>COUNTIFS($E$4:$E$191,$C$249,K$4:K$191,$C251)</f>
        <v>0</v>
      </c>
      <c r="F251" s="550">
        <f>COUNTIFS($E$4:$E$191,$C$249,P$4:P$191,$C251)</f>
        <v>0</v>
      </c>
      <c r="G251" s="550">
        <f>COUNTIFS($E$4:$E$191,$C$249,I$4:I$191,$C251)</f>
        <v>0</v>
      </c>
      <c r="H251" s="550">
        <f>COUNTIFS($E$4:$E$191,$C$249,U$4:U$191,$C251)</f>
        <v>0</v>
      </c>
      <c r="I251" s="550">
        <f>COUNTIFS($E$4:$E$191,$C$249,AE$4:AE$191,$C251)</f>
        <v>0</v>
      </c>
      <c r="J251" s="550">
        <f>COUNTIFS($E$4:$E$191,$C$249,AJ$4:AJ$191,$C251)</f>
        <v>0</v>
      </c>
      <c r="K251" s="385"/>
      <c r="L251" s="385"/>
    </row>
    <row r="252" spans="2:12" ht="15.75" thickBot="1" x14ac:dyDescent="0.25">
      <c r="B252" s="538" t="s">
        <v>693</v>
      </c>
      <c r="C252" s="545" t="s">
        <v>396</v>
      </c>
      <c r="D252" s="551">
        <f>--COUNTIFS(F4:F191,$L$252,$C4:$C191,$C252,$E4:$E191,$C249)*$K252</f>
        <v>0</v>
      </c>
      <c r="E252" s="551">
        <f>--COUNTIFS(K4:K191,$L$252,$C4:$C191,$C252,$E4:$E191,$C249)*$K252</f>
        <v>0</v>
      </c>
      <c r="F252" s="551">
        <f>--COUNTIFS(P4:P191,$L$252,$C4:$C191,$C252,$E4:$E191,$C249)*$K252</f>
        <v>0</v>
      </c>
      <c r="G252" s="551">
        <f>--COUNTIFS(U4:U191,$L$252,$C4:$C191,$C252,$E4:$E191,$C249)*$K252</f>
        <v>0</v>
      </c>
      <c r="H252" s="551">
        <f>--COUNTIFS(Z4:Z191,$L$252,$C4:$C191,$C252,$E4:$E191,$C249)*$K252</f>
        <v>0</v>
      </c>
      <c r="I252" s="551">
        <f>--COUNTIFS(AE4:AE191,$L$252,$C4:$C191,$C252,$E4:$E191,$C249)*$K252</f>
        <v>0</v>
      </c>
      <c r="J252" s="551">
        <f>--COUNTIFS(AJ4:AJ191,$L$252,$C4:$C191,$C252,$E4:$E191,$C249)*$K252</f>
        <v>0</v>
      </c>
      <c r="K252" s="547">
        <v>4.1666666666666664E-2</v>
      </c>
      <c r="L252" s="542" t="s">
        <v>717</v>
      </c>
    </row>
    <row r="253" spans="2:12" ht="15" x14ac:dyDescent="0.2">
      <c r="B253" s="538" t="s">
        <v>694</v>
      </c>
      <c r="C253" s="544" t="s">
        <v>15</v>
      </c>
      <c r="D253" s="550">
        <f>COUNTIFS($E$4:$E$191,$C$249,F$4:F$191,$C253)</f>
        <v>2</v>
      </c>
      <c r="E253" s="550">
        <f>COUNTIFS($E$4:$E$191,$C$249,K$4:K$191,$C253)</f>
        <v>2</v>
      </c>
      <c r="F253" s="550">
        <f>COUNTIFS($E$4:$E$191,$C$249,P$4:P$191,$C253)</f>
        <v>3</v>
      </c>
      <c r="G253" s="550">
        <f>COUNTIFS($E$4:$E$191,$C$249,I$4:I$191,$C253)</f>
        <v>2</v>
      </c>
      <c r="H253" s="550">
        <f>COUNTIFS($E$4:$E$191,$C$249,U$4:U$191,$C253)</f>
        <v>3</v>
      </c>
      <c r="I253" s="550">
        <f>COUNTIFS($E$4:$E$191,$C$249,AE$4:AE$191,$C253)</f>
        <v>2</v>
      </c>
      <c r="J253" s="550">
        <f>COUNTIFS($E$4:$E$191,$C$249,AJ$4:AJ$191,$C253)</f>
        <v>3</v>
      </c>
      <c r="K253" s="385"/>
      <c r="L253" s="385"/>
    </row>
    <row r="254" spans="2:12" ht="15" x14ac:dyDescent="0.2">
      <c r="B254" s="538" t="s">
        <v>695</v>
      </c>
      <c r="C254" s="544"/>
      <c r="D254" s="550"/>
      <c r="E254" s="550"/>
      <c r="F254" s="550"/>
      <c r="G254" s="550"/>
      <c r="H254" s="550"/>
      <c r="I254" s="550"/>
      <c r="J254" s="550"/>
      <c r="K254" s="385"/>
      <c r="L254" s="385"/>
    </row>
    <row r="255" spans="2:12" ht="15" x14ac:dyDescent="0.2">
      <c r="B255" s="539" t="s">
        <v>696</v>
      </c>
      <c r="C255" s="544"/>
      <c r="D255" s="550"/>
      <c r="E255" s="550"/>
      <c r="F255" s="550"/>
      <c r="G255" s="550"/>
      <c r="H255" s="550"/>
      <c r="I255" s="550"/>
      <c r="J255" s="550"/>
      <c r="K255" s="385"/>
      <c r="L255" s="385"/>
    </row>
    <row r="256" spans="2:12" ht="15" x14ac:dyDescent="0.2">
      <c r="B256" s="539" t="s">
        <v>697</v>
      </c>
      <c r="C256" s="544"/>
      <c r="D256" s="550"/>
      <c r="E256" s="550"/>
      <c r="F256" s="550"/>
      <c r="G256" s="550"/>
      <c r="H256" s="550"/>
      <c r="I256" s="550"/>
      <c r="J256" s="550"/>
      <c r="K256" s="385"/>
      <c r="L256" s="385"/>
    </row>
    <row r="257" spans="2:12" ht="15" x14ac:dyDescent="0.2">
      <c r="B257" s="539" t="s">
        <v>698</v>
      </c>
      <c r="C257" s="544"/>
      <c r="D257" s="550"/>
      <c r="E257" s="550"/>
      <c r="F257" s="550"/>
      <c r="G257" s="550"/>
      <c r="H257" s="550"/>
      <c r="I257" s="550"/>
      <c r="J257" s="550"/>
      <c r="K257" s="385"/>
      <c r="L257" s="385"/>
    </row>
    <row r="258" spans="2:12" ht="15" x14ac:dyDescent="0.2">
      <c r="B258" s="539" t="s">
        <v>699</v>
      </c>
      <c r="C258" s="544"/>
      <c r="D258" s="550"/>
      <c r="E258" s="550"/>
      <c r="F258" s="550"/>
      <c r="G258" s="550"/>
      <c r="H258" s="550"/>
      <c r="I258" s="550"/>
      <c r="J258" s="550"/>
      <c r="K258" s="385"/>
      <c r="L258" s="385"/>
    </row>
    <row r="259" spans="2:12" ht="15" x14ac:dyDescent="0.2">
      <c r="B259" s="539" t="s">
        <v>700</v>
      </c>
      <c r="C259" s="544"/>
      <c r="D259" s="550"/>
      <c r="E259" s="550"/>
      <c r="F259" s="550"/>
      <c r="G259" s="550"/>
      <c r="H259" s="550"/>
      <c r="I259" s="550"/>
      <c r="J259" s="550"/>
      <c r="K259" s="385"/>
      <c r="L259" s="385"/>
    </row>
    <row r="260" spans="2:12" ht="15" x14ac:dyDescent="0.2">
      <c r="B260" s="539" t="s">
        <v>701</v>
      </c>
      <c r="C260" s="544" t="s">
        <v>715</v>
      </c>
      <c r="D260" s="550">
        <f>COUNTIFS($E$4:$E$191,$C$249,F$4:F$191,$C260)</f>
        <v>0</v>
      </c>
      <c r="E260" s="550">
        <f>COUNTIFS($E$4:$E$191,$C$249,K$4:K$191,$C260)</f>
        <v>0</v>
      </c>
      <c r="F260" s="550">
        <f>COUNTIFS($E$4:$E$191,$C$249,P$4:P$191,$C260)</f>
        <v>0</v>
      </c>
      <c r="G260" s="550">
        <f>COUNTIFS($E$4:$E$191,$C$249,I$4:I$191,$C260)</f>
        <v>0</v>
      </c>
      <c r="H260" s="550">
        <f>COUNTIFS($E$4:$E$191,$C$249,U$4:U$191,$C260)</f>
        <v>0</v>
      </c>
      <c r="I260" s="550">
        <f>COUNTIFS($E$4:$E$191,$C$249,AE$4:AE$191,$C260)</f>
        <v>0</v>
      </c>
      <c r="J260" s="550">
        <f>COUNTIFS($E$4:$E$191,$C$249,AJ$4:AJ$191,$C260)</f>
        <v>0</v>
      </c>
      <c r="K260" s="385"/>
      <c r="L260" s="385"/>
    </row>
    <row r="261" spans="2:12" ht="15" x14ac:dyDescent="0.25">
      <c r="B261" s="540" t="s">
        <v>702</v>
      </c>
      <c r="C261" s="544"/>
      <c r="D261" s="550"/>
      <c r="E261" s="550"/>
      <c r="F261" s="550"/>
      <c r="G261" s="550"/>
      <c r="H261" s="550"/>
      <c r="I261" s="550"/>
      <c r="J261" s="550"/>
      <c r="K261" s="385"/>
      <c r="L261" s="385"/>
    </row>
    <row r="262" spans="2:12" ht="15" x14ac:dyDescent="0.25">
      <c r="B262" s="540" t="s">
        <v>703</v>
      </c>
      <c r="C262" s="544" t="s">
        <v>716</v>
      </c>
      <c r="D262" s="550">
        <f>COUNTIFS($E$4:$E$191,$C$249,F$4:F$191,$C262)</f>
        <v>0</v>
      </c>
      <c r="E262" s="550">
        <f>COUNTIFS($E$4:$E$191,$C$249,K$4:K$191,$C262)</f>
        <v>0</v>
      </c>
      <c r="F262" s="550">
        <f>COUNTIFS($E$4:$E$191,$C$249,P$4:P$191,$C262)</f>
        <v>0</v>
      </c>
      <c r="G262" s="550">
        <f>COUNTIFS($E$4:$E$191,$C$249,I$4:I$191,$C262)</f>
        <v>0</v>
      </c>
      <c r="H262" s="550">
        <f>COUNTIFS($E$4:$E$191,$C$249,U$4:U$191,$C262)</f>
        <v>0</v>
      </c>
      <c r="I262" s="550">
        <f>COUNTIFS($E$4:$E$191,$C$249,AE$4:AE$191,$C262)</f>
        <v>0</v>
      </c>
      <c r="J262" s="550">
        <f>COUNTIFS($E$4:$E$191,$C$249,AJ$4:AJ$191,$C262)</f>
        <v>0</v>
      </c>
      <c r="K262" s="385"/>
      <c r="L262" s="385"/>
    </row>
    <row r="263" spans="2:12" ht="15" x14ac:dyDescent="0.25">
      <c r="B263" s="540" t="s">
        <v>704</v>
      </c>
      <c r="C263" s="544"/>
      <c r="D263" s="550"/>
      <c r="E263" s="550"/>
      <c r="F263" s="550"/>
      <c r="G263" s="550"/>
      <c r="H263" s="550"/>
      <c r="I263" s="550"/>
      <c r="J263" s="550"/>
      <c r="K263" s="385"/>
      <c r="L263" s="385"/>
    </row>
    <row r="264" spans="2:12" ht="15" x14ac:dyDescent="0.25">
      <c r="B264" s="536" t="s">
        <v>705</v>
      </c>
      <c r="C264" s="544" t="s">
        <v>156</v>
      </c>
      <c r="D264" s="550">
        <f>COUNTIFS($E$4:$E$191,$C$249,F$4:F$191,$C264)</f>
        <v>0</v>
      </c>
      <c r="E264" s="550">
        <f>COUNTIFS($E$4:$E$191,$C$249,K$4:K$191,$C264)</f>
        <v>0</v>
      </c>
      <c r="F264" s="550">
        <f>COUNTIFS($E$4:$E$191,$C$249,P$4:P$191,$C264)</f>
        <v>0</v>
      </c>
      <c r="G264" s="550">
        <f>COUNTIFS($E$4:$E$191,$C$249,I$4:I$191,$C264)</f>
        <v>0</v>
      </c>
      <c r="H264" s="550">
        <f>COUNTIFS($E$4:$E$191,$C$249,U$4:U$191,$C264)</f>
        <v>0</v>
      </c>
      <c r="I264" s="550">
        <f>COUNTIFS($E$4:$E$191,$C$249,AE$4:AE$191,$C264)</f>
        <v>0</v>
      </c>
      <c r="J264" s="550">
        <f>COUNTIFS($E$4:$E$191,$C$249,AJ$4:AJ$191,$C264)</f>
        <v>0</v>
      </c>
      <c r="K264" s="385"/>
      <c r="L264" s="385"/>
    </row>
    <row r="265" spans="2:12" ht="15" x14ac:dyDescent="0.25">
      <c r="B265" s="536" t="s">
        <v>706</v>
      </c>
      <c r="C265" s="544"/>
      <c r="D265" s="552">
        <f>SUMIFS(J$4:J$191,$E4:$E191,$C249)</f>
        <v>0.91666666666666663</v>
      </c>
      <c r="E265" s="552">
        <f>SUMIFS(O$4:O$191,$E4:$E191,$C249)</f>
        <v>1.1666666666666665</v>
      </c>
      <c r="F265" s="552">
        <f>SUMIFS(T$4:T$191,$E4:$E191,$C249)</f>
        <v>1.0833333333333335</v>
      </c>
      <c r="G265" s="552">
        <f>SUMIFS(Y$4:Y$191,$E4:$E191,$C249)</f>
        <v>1.0833333333333335</v>
      </c>
      <c r="H265" s="552">
        <f>SUMIFS(AE$4:AE$191,$E4:$E191,$C249)</f>
        <v>2.25</v>
      </c>
      <c r="I265" s="552">
        <f>SUMIFS(AI$4:AI$191,$E4:$E191,$C249)</f>
        <v>1.25</v>
      </c>
      <c r="J265" s="552">
        <f>SUMIFS(AN$4:AN$191,$E4:$E191,$C249)</f>
        <v>1</v>
      </c>
      <c r="K265" s="385"/>
      <c r="L265" s="385"/>
    </row>
    <row r="266" spans="2:12" ht="15.75" thickBot="1" x14ac:dyDescent="0.3">
      <c r="B266" s="536" t="s">
        <v>707</v>
      </c>
      <c r="C266" s="546"/>
      <c r="D266" s="550">
        <f>COUNTIF($E4:$E190,$C249)</f>
        <v>7</v>
      </c>
      <c r="E266" s="550">
        <f>D266</f>
        <v>7</v>
      </c>
      <c r="F266" s="550">
        <f t="shared" ref="F266:J266" si="23">E266</f>
        <v>7</v>
      </c>
      <c r="G266" s="550">
        <f t="shared" si="23"/>
        <v>7</v>
      </c>
      <c r="H266" s="550">
        <f t="shared" si="23"/>
        <v>7</v>
      </c>
      <c r="I266" s="550">
        <f t="shared" si="23"/>
        <v>7</v>
      </c>
      <c r="J266" s="550">
        <f t="shared" si="23"/>
        <v>7</v>
      </c>
      <c r="K266" s="385"/>
      <c r="L266" s="385"/>
    </row>
  </sheetData>
  <autoFilter ref="A3:BO77" xr:uid="{00000000-0009-0000-0000-000004000000}">
    <sortState xmlns:xlrd2="http://schemas.microsoft.com/office/spreadsheetml/2017/richdata2" ref="A4:BO77">
      <sortCondition ref="E3:E77"/>
    </sortState>
  </autoFilter>
  <mergeCells count="7">
    <mergeCell ref="AJ1:AN1"/>
    <mergeCell ref="F1:J1"/>
    <mergeCell ref="K1:O1"/>
    <mergeCell ref="P1:T1"/>
    <mergeCell ref="U1:Y1"/>
    <mergeCell ref="Z1:AD1"/>
    <mergeCell ref="AE1:AI1"/>
  </mergeCells>
  <conditionalFormatting sqref="B31:B32">
    <cfRule type="cellIs" dxfId="544" priority="1213" operator="equal">
      <formula>"NOK"</formula>
    </cfRule>
  </conditionalFormatting>
  <conditionalFormatting sqref="F5:F6">
    <cfRule type="containsText" dxfId="543" priority="616" operator="containsText" text="Alerte">
      <formula>NOT(ISERROR(SEARCH("Alerte",F5)))</formula>
    </cfRule>
  </conditionalFormatting>
  <conditionalFormatting sqref="F28:F29">
    <cfRule type="containsText" dxfId="542" priority="340" operator="containsText" text="Alerte">
      <formula>NOT(ISERROR(SEARCH("Alerte",F28)))</formula>
    </cfRule>
  </conditionalFormatting>
  <conditionalFormatting sqref="F35:F41">
    <cfRule type="containsText" dxfId="541" priority="212" operator="containsText" text="Alerte">
      <formula>NOT(ISERROR(SEARCH("Alerte",F35)))</formula>
    </cfRule>
  </conditionalFormatting>
  <conditionalFormatting sqref="F45:F46">
    <cfRule type="containsText" dxfId="540" priority="289" operator="containsText" text="Alerte">
      <formula>NOT(ISERROR(SEARCH("Alerte",F45)))</formula>
    </cfRule>
  </conditionalFormatting>
  <conditionalFormatting sqref="F4:H4 F6:H8 F13:H13 F26:H29 F32:H33 F43:H44">
    <cfRule type="containsText" dxfId="539" priority="277" operator="containsText" text="Alerte">
      <formula>NOT(ISERROR(SEARCH("Alerte",F4)))</formula>
    </cfRule>
  </conditionalFormatting>
  <conditionalFormatting sqref="F11:H11">
    <cfRule type="containsText" dxfId="538" priority="335" operator="containsText" text="Alerte">
      <formula>NOT(ISERROR(SEARCH("Alerte",F11)))</formula>
    </cfRule>
  </conditionalFormatting>
  <conditionalFormatting sqref="F36:H41">
    <cfRule type="containsText" dxfId="537" priority="211" operator="containsText" text="Alerte">
      <formula>NOT(ISERROR(SEARCH("Alerte",F36)))</formula>
    </cfRule>
  </conditionalFormatting>
  <conditionalFormatting sqref="F46:H46">
    <cfRule type="containsText" dxfId="536" priority="290" operator="containsText" text="Alerte">
      <formula>NOT(ISERROR(SEARCH("Alerte",F46)))</formula>
    </cfRule>
  </conditionalFormatting>
  <conditionalFormatting sqref="F4:I46">
    <cfRule type="containsText" dxfId="535" priority="110" operator="containsText" text="Alerte">
      <formula>NOT(ISERROR(SEARCH("Alerte",F4)))</formula>
    </cfRule>
  </conditionalFormatting>
  <conditionalFormatting sqref="G7:H7">
    <cfRule type="containsText" dxfId="534" priority="1210" operator="containsText" text="Alerte">
      <formula>NOT(ISERROR(SEARCH("Alerte",G7)))</formula>
    </cfRule>
  </conditionalFormatting>
  <conditionalFormatting sqref="G16:H22">
    <cfRule type="containsText" dxfId="533" priority="121" operator="containsText" text="Alerte">
      <formula>NOT(ISERROR(SEARCH("Alerte",G16)))</formula>
    </cfRule>
  </conditionalFormatting>
  <conditionalFormatting sqref="G27:H27">
    <cfRule type="containsText" dxfId="532" priority="291" operator="containsText" text="Alerte">
      <formula>NOT(ISERROR(SEARCH("Alerte",G27)))</formula>
    </cfRule>
  </conditionalFormatting>
  <conditionalFormatting sqref="G40:H41">
    <cfRule type="containsText" dxfId="531" priority="296" operator="containsText" text="Alerte">
      <formula>NOT(ISERROR(SEARCH("Alerte",G40)))</formula>
    </cfRule>
  </conditionalFormatting>
  <conditionalFormatting sqref="G43:H43">
    <cfRule type="containsText" dxfId="530" priority="675" operator="containsText" text="Alerte">
      <formula>NOT(ISERROR(SEARCH("Alerte",G43)))</formula>
    </cfRule>
  </conditionalFormatting>
  <conditionalFormatting sqref="G5:I8">
    <cfRule type="containsText" dxfId="529" priority="648" operator="containsText" text="Alerte">
      <formula>NOT(ISERROR(SEARCH("Alerte",G5)))</formula>
    </cfRule>
  </conditionalFormatting>
  <conditionalFormatting sqref="G25:I29">
    <cfRule type="containsText" dxfId="528" priority="325" operator="containsText" text="Alerte">
      <formula>NOT(ISERROR(SEARCH("Alerte",G25)))</formula>
    </cfRule>
  </conditionalFormatting>
  <conditionalFormatting sqref="G35:I35">
    <cfRule type="containsText" dxfId="527" priority="324" operator="containsText" text="Alerte">
      <formula>NOT(ISERROR(SEARCH("Alerte",G35)))</formula>
    </cfRule>
  </conditionalFormatting>
  <conditionalFormatting sqref="G45:I45">
    <cfRule type="containsText" dxfId="526" priority="305" operator="containsText" text="Alerte">
      <formula>NOT(ISERROR(SEARCH("Alerte",G45)))</formula>
    </cfRule>
  </conditionalFormatting>
  <conditionalFormatting sqref="I5:I6">
    <cfRule type="containsText" dxfId="525" priority="617" operator="containsText" text="Alerte">
      <formula>NOT(ISERROR(SEARCH("Alerte",I5)))</formula>
    </cfRule>
  </conditionalFormatting>
  <conditionalFormatting sqref="I28:I29">
    <cfRule type="containsText" dxfId="524" priority="339" operator="containsText" text="Alerte">
      <formula>NOT(ISERROR(SEARCH("Alerte",I28)))</formula>
    </cfRule>
  </conditionalFormatting>
  <conditionalFormatting sqref="I35:I41">
    <cfRule type="containsText" dxfId="523" priority="213" operator="containsText" text="Alerte">
      <formula>NOT(ISERROR(SEARCH("Alerte",I35)))</formula>
    </cfRule>
  </conditionalFormatting>
  <conditionalFormatting sqref="J4:J46">
    <cfRule type="cellIs" dxfId="522" priority="112" operator="lessThan">
      <formula>0.333333333333333</formula>
    </cfRule>
    <cfRule type="cellIs" dxfId="521" priority="113" operator="greaterThan">
      <formula>0.333333333333333</formula>
    </cfRule>
  </conditionalFormatting>
  <conditionalFormatting sqref="K5:K7 N5:N7">
    <cfRule type="containsText" dxfId="520" priority="307" operator="containsText" text="Alerte">
      <formula>NOT(ISERROR(SEARCH("Alerte",K5)))</formula>
    </cfRule>
  </conditionalFormatting>
  <conditionalFormatting sqref="K26">
    <cfRule type="containsText" dxfId="519" priority="272" operator="containsText" text="Alerte">
      <formula>NOT(ISERROR(SEARCH("Alerte",K26)))</formula>
    </cfRule>
  </conditionalFormatting>
  <conditionalFormatting sqref="K28:K30">
    <cfRule type="containsText" dxfId="518" priority="216" operator="containsText" text="Alerte">
      <formula>NOT(ISERROR(SEARCH("Alerte",K28)))</formula>
    </cfRule>
  </conditionalFormatting>
  <conditionalFormatting sqref="K37:K41 K43:M46">
    <cfRule type="containsText" dxfId="517" priority="287" operator="containsText" text="Alerte">
      <formula>NOT(ISERROR(SEARCH("Alerte",K37)))</formula>
    </cfRule>
  </conditionalFormatting>
  <conditionalFormatting sqref="K4:M4">
    <cfRule type="containsText" dxfId="516" priority="563" operator="containsText" text="Alerte">
      <formula>NOT(ISERROR(SEARCH("Alerte",K4)))</formula>
    </cfRule>
  </conditionalFormatting>
  <conditionalFormatting sqref="K6:M8">
    <cfRule type="containsText" dxfId="515" priority="308" operator="containsText" text="Alerte">
      <formula>NOT(ISERROR(SEARCH("Alerte",K6)))</formula>
    </cfRule>
  </conditionalFormatting>
  <conditionalFormatting sqref="K10:M13">
    <cfRule type="containsText" dxfId="514" priority="292" operator="containsText" text="Alerte">
      <formula>NOT(ISERROR(SEARCH("Alerte",K10)))</formula>
    </cfRule>
  </conditionalFormatting>
  <conditionalFormatting sqref="K19:M21">
    <cfRule type="containsText" dxfId="513" priority="201" operator="containsText" text="Alerte">
      <formula>NOT(ISERROR(SEARCH("Alerte",K19)))</formula>
    </cfRule>
  </conditionalFormatting>
  <conditionalFormatting sqref="K26:M29">
    <cfRule type="containsText" dxfId="512" priority="294" operator="containsText" text="Alerte">
      <formula>NOT(ISERROR(SEARCH("Alerte",K26)))</formula>
    </cfRule>
  </conditionalFormatting>
  <conditionalFormatting sqref="K31:M34">
    <cfRule type="containsText" dxfId="511" priority="36" operator="containsText" text="Alerte">
      <formula>NOT(ISERROR(SEARCH("Alerte",K31)))</formula>
    </cfRule>
  </conditionalFormatting>
  <conditionalFormatting sqref="K36:M41">
    <cfRule type="containsText" dxfId="510" priority="276" operator="containsText" text="Alerte">
      <formula>NOT(ISERROR(SEARCH("Alerte",K36)))</formula>
    </cfRule>
  </conditionalFormatting>
  <conditionalFormatting sqref="K4:N46">
    <cfRule type="containsText" dxfId="509" priority="33" operator="containsText" text="Alerte">
      <formula>NOT(ISERROR(SEARCH("Alerte",K4)))</formula>
    </cfRule>
  </conditionalFormatting>
  <conditionalFormatting sqref="L9:M10">
    <cfRule type="containsText" dxfId="508" priority="306" operator="containsText" text="Alerte">
      <formula>NOT(ISERROR(SEARCH("Alerte",L9)))</formula>
    </cfRule>
  </conditionalFormatting>
  <conditionalFormatting sqref="L13:M13">
    <cfRule type="containsText" dxfId="507" priority="322" operator="containsText" text="Alerte">
      <formula>NOT(ISERROR(SEARCH("Alerte",L13)))</formula>
    </cfRule>
  </conditionalFormatting>
  <conditionalFormatting sqref="L16:M17">
    <cfRule type="containsText" dxfId="506" priority="309" operator="containsText" text="Alerte">
      <formula>NOT(ISERROR(SEARCH("Alerte",L16)))</formula>
    </cfRule>
  </conditionalFormatting>
  <conditionalFormatting sqref="L22:M22">
    <cfRule type="containsText" dxfId="505" priority="122" operator="containsText" text="Alerte">
      <formula>NOT(ISERROR(SEARCH("Alerte",L22)))</formula>
    </cfRule>
  </conditionalFormatting>
  <conditionalFormatting sqref="L24:M24">
    <cfRule type="containsText" dxfId="504" priority="49" operator="containsText" text="Alerte">
      <formula>NOT(ISERROR(SEARCH("Alerte",L24)))</formula>
    </cfRule>
  </conditionalFormatting>
  <conditionalFormatting sqref="L27:M29">
    <cfRule type="containsText" dxfId="503" priority="295" operator="containsText" text="Alerte">
      <formula>NOT(ISERROR(SEARCH("Alerte",L27)))</formula>
    </cfRule>
  </conditionalFormatting>
  <conditionalFormatting sqref="L31:M31">
    <cfRule type="containsText" dxfId="502" priority="303" operator="containsText" text="Alerte">
      <formula>NOT(ISERROR(SEARCH("Alerte",L31)))</formula>
    </cfRule>
  </conditionalFormatting>
  <conditionalFormatting sqref="L33:M33">
    <cfRule type="containsText" dxfId="501" priority="302" operator="containsText" text="Alerte">
      <formula>NOT(ISERROR(SEARCH("Alerte",L33)))</formula>
    </cfRule>
  </conditionalFormatting>
  <conditionalFormatting sqref="L36:M36">
    <cfRule type="containsText" dxfId="500" priority="301" operator="containsText" text="Alerte">
      <formula>NOT(ISERROR(SEARCH("Alerte",L36)))</formula>
    </cfRule>
  </conditionalFormatting>
  <conditionalFormatting sqref="L38:M38">
    <cfRule type="containsText" dxfId="499" priority="300" operator="containsText" text="Alerte">
      <formula>NOT(ISERROR(SEARCH("Alerte",L38)))</formula>
    </cfRule>
  </conditionalFormatting>
  <conditionalFormatting sqref="L40:M41">
    <cfRule type="containsText" dxfId="498" priority="298" operator="containsText" text="Alerte">
      <formula>NOT(ISERROR(SEARCH("Alerte",L40)))</formula>
    </cfRule>
  </conditionalFormatting>
  <conditionalFormatting sqref="L43:M43">
    <cfRule type="containsText" dxfId="497" priority="299" operator="containsText" text="Alerte">
      <formula>NOT(ISERROR(SEARCH("Alerte",L43)))</formula>
    </cfRule>
  </conditionalFormatting>
  <conditionalFormatting sqref="L5:N8">
    <cfRule type="containsText" dxfId="496" priority="304" operator="containsText" text="Alerte">
      <formula>NOT(ISERROR(SEARCH("Alerte",L5)))</formula>
    </cfRule>
  </conditionalFormatting>
  <conditionalFormatting sqref="L18:N18">
    <cfRule type="containsText" dxfId="495" priority="210" operator="containsText" text="Alerte">
      <formula>NOT(ISERROR(SEARCH("Alerte",L18)))</formula>
    </cfRule>
  </conditionalFormatting>
  <conditionalFormatting sqref="L21:N22">
    <cfRule type="containsText" dxfId="494" priority="120" operator="containsText" text="Alerte">
      <formula>NOT(ISERROR(SEARCH("Alerte",L21)))</formula>
    </cfRule>
  </conditionalFormatting>
  <conditionalFormatting sqref="L25:N29">
    <cfRule type="containsText" dxfId="493" priority="209" operator="containsText" text="Alerte">
      <formula>NOT(ISERROR(SEARCH("Alerte",L25)))</formula>
    </cfRule>
  </conditionalFormatting>
  <conditionalFormatting sqref="L35:N35">
    <cfRule type="containsText" dxfId="492" priority="658" operator="containsText" text="Alerte">
      <formula>NOT(ISERROR(SEARCH("Alerte",L35)))</formula>
    </cfRule>
  </conditionalFormatting>
  <conditionalFormatting sqref="L45:N45">
    <cfRule type="containsText" dxfId="491" priority="319" operator="containsText" text="Alerte">
      <formula>NOT(ISERROR(SEARCH("Alerte",L45)))</formula>
    </cfRule>
  </conditionalFormatting>
  <conditionalFormatting sqref="N26">
    <cfRule type="containsText" dxfId="490" priority="273" operator="containsText" text="Alerte">
      <formula>NOT(ISERROR(SEARCH("Alerte",N26)))</formula>
    </cfRule>
  </conditionalFormatting>
  <conditionalFormatting sqref="N28:N30">
    <cfRule type="containsText" dxfId="489" priority="217" operator="containsText" text="Alerte">
      <formula>NOT(ISERROR(SEARCH("Alerte",N28)))</formula>
    </cfRule>
  </conditionalFormatting>
  <conditionalFormatting sqref="N39">
    <cfRule type="containsText" dxfId="488" priority="472" operator="containsText" text="Alerte">
      <formula>NOT(ISERROR(SEARCH("Alerte",N39)))</formula>
    </cfRule>
  </conditionalFormatting>
  <conditionalFormatting sqref="O4:O46">
    <cfRule type="cellIs" dxfId="487" priority="34" operator="lessThan">
      <formula>0.333333333333333</formula>
    </cfRule>
    <cfRule type="cellIs" dxfId="486" priority="35" operator="greaterThan">
      <formula>0.333333333333333</formula>
    </cfRule>
  </conditionalFormatting>
  <conditionalFormatting sqref="P5:P7 S5:S7">
    <cfRule type="containsText" dxfId="485" priority="321" operator="containsText" text="Alerte">
      <formula>NOT(ISERROR(SEARCH("Alerte",P5)))</formula>
    </cfRule>
  </conditionalFormatting>
  <conditionalFormatting sqref="P19:P21">
    <cfRule type="containsText" dxfId="484" priority="178" operator="containsText" text="Alerte">
      <formula>NOT(ISERROR(SEARCH("Alerte",P19)))</formula>
    </cfRule>
  </conditionalFormatting>
  <conditionalFormatting sqref="P25:P26 S25:S26">
    <cfRule type="containsText" dxfId="483" priority="285" operator="containsText" text="Alerte">
      <formula>NOT(ISERROR(SEARCH("Alerte",P25)))</formula>
    </cfRule>
  </conditionalFormatting>
  <conditionalFormatting sqref="P28:P30">
    <cfRule type="containsText" dxfId="482" priority="215" operator="containsText" text="Alerte">
      <formula>NOT(ISERROR(SEARCH("Alerte",P28)))</formula>
    </cfRule>
  </conditionalFormatting>
  <conditionalFormatting sqref="P37:P41">
    <cfRule type="containsText" dxfId="481" priority="274" operator="containsText" text="Alerte">
      <formula>NOT(ISERROR(SEARCH("Alerte",P37)))</formula>
    </cfRule>
  </conditionalFormatting>
  <conditionalFormatting sqref="P43:P46">
    <cfRule type="containsText" dxfId="480" priority="281" operator="containsText" text="Alerte">
      <formula>NOT(ISERROR(SEARCH("Alerte",P43)))</formula>
    </cfRule>
  </conditionalFormatting>
  <conditionalFormatting sqref="P6:R7">
    <cfRule type="containsText" dxfId="479" priority="284" operator="containsText" text="Alerte">
      <formula>NOT(ISERROR(SEARCH("Alerte",P6)))</formula>
    </cfRule>
  </conditionalFormatting>
  <conditionalFormatting sqref="P10:R12">
    <cfRule type="containsText" dxfId="478" priority="182" operator="containsText" text="Alerte">
      <formula>NOT(ISERROR(SEARCH("Alerte",P10)))</formula>
    </cfRule>
  </conditionalFormatting>
  <conditionalFormatting sqref="P21:R21">
    <cfRule type="containsText" dxfId="477" priority="181" operator="containsText" text="Alerte">
      <formula>NOT(ISERROR(SEARCH("Alerte",P21)))</formula>
    </cfRule>
  </conditionalFormatting>
  <conditionalFormatting sqref="P26:R28">
    <cfRule type="containsText" dxfId="476" priority="286" operator="containsText" text="Alerte">
      <formula>NOT(ISERROR(SEARCH("Alerte",P26)))</formula>
    </cfRule>
  </conditionalFormatting>
  <conditionalFormatting sqref="P31:R36">
    <cfRule type="containsText" dxfId="475" priority="32" operator="containsText" text="Alerte">
      <formula>NOT(ISERROR(SEARCH("Alerte",P31)))</formula>
    </cfRule>
  </conditionalFormatting>
  <conditionalFormatting sqref="P39:R41">
    <cfRule type="containsText" dxfId="474" priority="310" operator="containsText" text="Alerte">
      <formula>NOT(ISERROR(SEARCH("Alerte",P39)))</formula>
    </cfRule>
  </conditionalFormatting>
  <conditionalFormatting sqref="P44:R46">
    <cfRule type="containsText" dxfId="473" priority="311" operator="containsText" text="Alerte">
      <formula>NOT(ISERROR(SEARCH("Alerte",P44)))</formula>
    </cfRule>
  </conditionalFormatting>
  <conditionalFormatting sqref="P4:S46">
    <cfRule type="containsText" dxfId="472" priority="29" operator="containsText" text="Alerte">
      <formula>NOT(ISERROR(SEARCH("Alerte",P4)))</formula>
    </cfRule>
  </conditionalFormatting>
  <conditionalFormatting sqref="Q7:R7">
    <cfRule type="containsText" dxfId="471" priority="283" operator="containsText" text="Alerte">
      <formula>NOT(ISERROR(SEARCH("Alerte",Q7)))</formula>
    </cfRule>
  </conditionalFormatting>
  <conditionalFormatting sqref="Q9:R10">
    <cfRule type="containsText" dxfId="470" priority="320" operator="containsText" text="Alerte">
      <formula>NOT(ISERROR(SEARCH("Alerte",Q9)))</formula>
    </cfRule>
  </conditionalFormatting>
  <conditionalFormatting sqref="Q13:R13">
    <cfRule type="containsText" dxfId="469" priority="334" operator="containsText" text="Alerte">
      <formula>NOT(ISERROR(SEARCH("Alerte",Q13)))</formula>
    </cfRule>
  </conditionalFormatting>
  <conditionalFormatting sqref="Q16:R21">
    <cfRule type="containsText" dxfId="468" priority="176" operator="containsText" text="Alerte">
      <formula>NOT(ISERROR(SEARCH("Alerte",Q16)))</formula>
    </cfRule>
  </conditionalFormatting>
  <conditionalFormatting sqref="Q24:R24">
    <cfRule type="containsText" dxfId="467" priority="50" operator="containsText" text="Alerte">
      <formula>NOT(ISERROR(SEARCH("Alerte",Q24)))</formula>
    </cfRule>
  </conditionalFormatting>
  <conditionalFormatting sqref="Q27:R29">
    <cfRule type="containsText" dxfId="466" priority="597" operator="containsText" text="Alerte">
      <formula>NOT(ISERROR(SEARCH("Alerte",Q27)))</formula>
    </cfRule>
  </conditionalFormatting>
  <conditionalFormatting sqref="Q31:R31">
    <cfRule type="containsText" dxfId="465" priority="317" operator="containsText" text="Alerte">
      <formula>NOT(ISERROR(SEARCH("Alerte",Q31)))</formula>
    </cfRule>
  </conditionalFormatting>
  <conditionalFormatting sqref="Q33:R33">
    <cfRule type="containsText" dxfId="464" priority="316" operator="containsText" text="Alerte">
      <formula>NOT(ISERROR(SEARCH("Alerte",Q33)))</formula>
    </cfRule>
  </conditionalFormatting>
  <conditionalFormatting sqref="Q36:R36">
    <cfRule type="containsText" dxfId="463" priority="315" operator="containsText" text="Alerte">
      <formula>NOT(ISERROR(SEARCH("Alerte",Q36)))</formula>
    </cfRule>
  </conditionalFormatting>
  <conditionalFormatting sqref="Q38:R38">
    <cfRule type="containsText" dxfId="462" priority="314" operator="containsText" text="Alerte">
      <formula>NOT(ISERROR(SEARCH("Alerte",Q38)))</formula>
    </cfRule>
  </conditionalFormatting>
  <conditionalFormatting sqref="Q40:R41">
    <cfRule type="containsText" dxfId="461" priority="312" operator="containsText" text="Alerte">
      <formula>NOT(ISERROR(SEARCH("Alerte",Q40)))</formula>
    </cfRule>
  </conditionalFormatting>
  <conditionalFormatting sqref="Q43:R43">
    <cfRule type="containsText" dxfId="460" priority="313" operator="containsText" text="Alerte">
      <formula>NOT(ISERROR(SEARCH("Alerte",Q43)))</formula>
    </cfRule>
  </conditionalFormatting>
  <conditionalFormatting sqref="Q5:S8">
    <cfRule type="containsText" dxfId="459" priority="279" operator="containsText" text="Alerte">
      <formula>NOT(ISERROR(SEARCH("Alerte",Q5)))</formula>
    </cfRule>
  </conditionalFormatting>
  <conditionalFormatting sqref="Q18:S19">
    <cfRule type="containsText" dxfId="458" priority="271" operator="containsText" text="Alerte">
      <formula>NOT(ISERROR(SEARCH("Alerte",Q18)))</formula>
    </cfRule>
  </conditionalFormatting>
  <conditionalFormatting sqref="Q22:S22">
    <cfRule type="containsText" dxfId="457" priority="119" operator="containsText" text="Alerte">
      <formula>NOT(ISERROR(SEARCH("Alerte",Q22)))</formula>
    </cfRule>
  </conditionalFormatting>
  <conditionalFormatting sqref="Q25:S29">
    <cfRule type="containsText" dxfId="456" priority="278" operator="containsText" text="Alerte">
      <formula>NOT(ISERROR(SEARCH("Alerte",Q25)))</formula>
    </cfRule>
  </conditionalFormatting>
  <conditionalFormatting sqref="Q45:S45">
    <cfRule type="containsText" dxfId="455" priority="331" operator="containsText" text="Alerte">
      <formula>NOT(ISERROR(SEARCH("Alerte",Q45)))</formula>
    </cfRule>
  </conditionalFormatting>
  <conditionalFormatting sqref="S19:S21">
    <cfRule type="containsText" dxfId="454" priority="177" operator="containsText" text="Alerte">
      <formula>NOT(ISERROR(SEARCH("Alerte",S19)))</formula>
    </cfRule>
  </conditionalFormatting>
  <conditionalFormatting sqref="S28:S30">
    <cfRule type="containsText" dxfId="453" priority="214" operator="containsText" text="Alerte">
      <formula>NOT(ISERROR(SEARCH("Alerte",S28)))</formula>
    </cfRule>
  </conditionalFormatting>
  <conditionalFormatting sqref="S39:S40">
    <cfRule type="containsText" dxfId="452" priority="275" operator="containsText" text="Alerte">
      <formula>NOT(ISERROR(SEARCH("Alerte",S39)))</formula>
    </cfRule>
  </conditionalFormatting>
  <conditionalFormatting sqref="S43:S44">
    <cfRule type="containsText" dxfId="451" priority="282" operator="containsText" text="Alerte">
      <formula>NOT(ISERROR(SEARCH("Alerte",S43)))</formula>
    </cfRule>
  </conditionalFormatting>
  <conditionalFormatting sqref="T4:T46">
    <cfRule type="cellIs" dxfId="450" priority="30" operator="lessThan">
      <formula>0.333333333333333</formula>
    </cfRule>
    <cfRule type="cellIs" dxfId="449" priority="31" operator="greaterThan">
      <formula>0.333333333333333</formula>
    </cfRule>
  </conditionalFormatting>
  <conditionalFormatting sqref="U5:U7 X5:X7">
    <cfRule type="containsText" dxfId="448" priority="333" operator="containsText" text="Alerte">
      <formula>NOT(ISERROR(SEARCH("Alerte",U5)))</formula>
    </cfRule>
  </conditionalFormatting>
  <conditionalFormatting sqref="U25:U26 X25:X26">
    <cfRule type="containsText" dxfId="447" priority="336" operator="containsText" text="Alerte">
      <formula>NOT(ISERROR(SEARCH("Alerte",U25)))</formula>
    </cfRule>
  </conditionalFormatting>
  <conditionalFormatting sqref="U28:U30">
    <cfRule type="containsText" dxfId="446" priority="258" operator="containsText" text="Alerte">
      <formula>NOT(ISERROR(SEARCH("Alerte",U28)))</formula>
    </cfRule>
  </conditionalFormatting>
  <conditionalFormatting sqref="U36:U41 X36:X41">
    <cfRule type="containsText" dxfId="445" priority="260" operator="containsText" text="Alerte">
      <formula>NOT(ISERROR(SEARCH("Alerte",U36)))</formula>
    </cfRule>
  </conditionalFormatting>
  <conditionalFormatting sqref="U6:W7">
    <cfRule type="containsText" dxfId="444" priority="268" operator="containsText" text="Alerte">
      <formula>NOT(ISERROR(SEARCH("Alerte",U6)))</formula>
    </cfRule>
  </conditionalFormatting>
  <conditionalFormatting sqref="U10:W12">
    <cfRule type="containsText" dxfId="443" priority="143" operator="containsText" text="Alerte">
      <formula>NOT(ISERROR(SEARCH("Alerte",U10)))</formula>
    </cfRule>
  </conditionalFormatting>
  <conditionalFormatting sqref="U26:W28">
    <cfRule type="containsText" dxfId="442" priority="264" operator="containsText" text="Alerte">
      <formula>NOT(ISERROR(SEARCH("Alerte",U26)))</formula>
    </cfRule>
  </conditionalFormatting>
  <conditionalFormatting sqref="U34:W36">
    <cfRule type="containsText" dxfId="441" priority="28" operator="containsText" text="Alerte">
      <formula>NOT(ISERROR(SEARCH("Alerte",U34)))</formula>
    </cfRule>
  </conditionalFormatting>
  <conditionalFormatting sqref="U38:W41">
    <cfRule type="containsText" dxfId="440" priority="261" operator="containsText" text="Alerte">
      <formula>NOT(ISERROR(SEARCH("Alerte",U38)))</formula>
    </cfRule>
  </conditionalFormatting>
  <conditionalFormatting sqref="U4:X46">
    <cfRule type="containsText" dxfId="439" priority="8" operator="containsText" text="Alerte">
      <formula>NOT(ISERROR(SEARCH("Alerte",U4)))</formula>
    </cfRule>
  </conditionalFormatting>
  <conditionalFormatting sqref="V7:W7">
    <cfRule type="containsText" dxfId="438" priority="267" operator="containsText" text="Alerte">
      <formula>NOT(ISERROR(SEARCH("Alerte",V7)))</formula>
    </cfRule>
  </conditionalFormatting>
  <conditionalFormatting sqref="V9:W10">
    <cfRule type="containsText" dxfId="437" priority="332" operator="containsText" text="Alerte">
      <formula>NOT(ISERROR(SEARCH("Alerte",V9)))</formula>
    </cfRule>
  </conditionalFormatting>
  <conditionalFormatting sqref="V13:W13">
    <cfRule type="containsText" dxfId="436" priority="348" operator="containsText" text="Alerte">
      <formula>NOT(ISERROR(SEARCH("Alerte",V13)))</formula>
    </cfRule>
  </conditionalFormatting>
  <conditionalFormatting sqref="V16:W21">
    <cfRule type="containsText" dxfId="435" priority="77" operator="containsText" text="Alerte">
      <formula>NOT(ISERROR(SEARCH("Alerte",V16)))</formula>
    </cfRule>
  </conditionalFormatting>
  <conditionalFormatting sqref="V24:W24">
    <cfRule type="containsText" dxfId="434" priority="40" operator="containsText" text="Alerte">
      <formula>NOT(ISERROR(SEARCH("Alerte",V24)))</formula>
    </cfRule>
  </conditionalFormatting>
  <conditionalFormatting sqref="V31:W31">
    <cfRule type="containsText" dxfId="433" priority="330" operator="containsText" text="Alerte">
      <formula>NOT(ISERROR(SEARCH("Alerte",V31)))</formula>
    </cfRule>
  </conditionalFormatting>
  <conditionalFormatting sqref="V33:W33">
    <cfRule type="containsText" dxfId="432" priority="329" operator="containsText" text="Alerte">
      <formula>NOT(ISERROR(SEARCH("Alerte",V33)))</formula>
    </cfRule>
  </conditionalFormatting>
  <conditionalFormatting sqref="V36:W36">
    <cfRule type="containsText" dxfId="431" priority="328" operator="containsText" text="Alerte">
      <formula>NOT(ISERROR(SEARCH("Alerte",V36)))</formula>
    </cfRule>
  </conditionalFormatting>
  <conditionalFormatting sqref="V38:W38">
    <cfRule type="containsText" dxfId="430" priority="327" operator="containsText" text="Alerte">
      <formula>NOT(ISERROR(SEARCH("Alerte",V38)))</formula>
    </cfRule>
  </conditionalFormatting>
  <conditionalFormatting sqref="V40:W41">
    <cfRule type="containsText" dxfId="429" priority="326" operator="containsText" text="Alerte">
      <formula>NOT(ISERROR(SEARCH("Alerte",V40)))</formula>
    </cfRule>
  </conditionalFormatting>
  <conditionalFormatting sqref="V43:W43">
    <cfRule type="containsText" dxfId="428" priority="262" operator="containsText" text="Alerte">
      <formula>NOT(ISERROR(SEARCH("Alerte",V43)))</formula>
    </cfRule>
  </conditionalFormatting>
  <conditionalFormatting sqref="V6:X8">
    <cfRule type="containsText" dxfId="427" priority="263" operator="containsText" text="Alerte">
      <formula>NOT(ISERROR(SEARCH("Alerte",V6)))</formula>
    </cfRule>
  </conditionalFormatting>
  <conditionalFormatting sqref="V11:X11">
    <cfRule type="containsText" dxfId="426" priority="147" operator="containsText" text="Alerte">
      <formula>NOT(ISERROR(SEARCH("Alerte",V11)))</formula>
    </cfRule>
  </conditionalFormatting>
  <conditionalFormatting sqref="V22:X22">
    <cfRule type="containsText" dxfId="425" priority="118" operator="containsText" text="Alerte">
      <formula>NOT(ISERROR(SEARCH("Alerte",V22)))</formula>
    </cfRule>
  </conditionalFormatting>
  <conditionalFormatting sqref="V25:X29">
    <cfRule type="containsText" dxfId="424" priority="259" operator="containsText" text="Alerte">
      <formula>NOT(ISERROR(SEARCH("Alerte",V25)))</formula>
    </cfRule>
  </conditionalFormatting>
  <conditionalFormatting sqref="V45:X45">
    <cfRule type="containsText" dxfId="423" priority="346" operator="containsText" text="Alerte">
      <formula>NOT(ISERROR(SEARCH("Alerte",V45)))</formula>
    </cfRule>
  </conditionalFormatting>
  <conditionalFormatting sqref="X28:X30">
    <cfRule type="containsText" dxfId="422" priority="257" operator="containsText" text="Alerte">
      <formula>NOT(ISERROR(SEARCH("Alerte",X28)))</formula>
    </cfRule>
  </conditionalFormatting>
  <conditionalFormatting sqref="X43:X44">
    <cfRule type="containsText" dxfId="421" priority="323" operator="containsText" text="Alerte">
      <formula>NOT(ISERROR(SEARCH("Alerte",X43)))</formula>
    </cfRule>
  </conditionalFormatting>
  <conditionalFormatting sqref="Y4:Y46">
    <cfRule type="cellIs" dxfId="420" priority="9" operator="lessThan">
      <formula>0.333333333333333</formula>
    </cfRule>
    <cfRule type="cellIs" dxfId="419" priority="10" operator="greaterThan">
      <formula>0.333333333333333</formula>
    </cfRule>
  </conditionalFormatting>
  <conditionalFormatting sqref="Z5:Z7">
    <cfRule type="containsText" dxfId="418" priority="241" operator="containsText" text="Alerte">
      <formula>NOT(ISERROR(SEARCH("Alerte",Z5)))</formula>
    </cfRule>
  </conditionalFormatting>
  <conditionalFormatting sqref="Z25:Z26 AC25:AC26">
    <cfRule type="containsText" dxfId="417" priority="780" operator="containsText" text="Alerte">
      <formula>NOT(ISERROR(SEARCH("Alerte",Z25)))</formula>
    </cfRule>
  </conditionalFormatting>
  <conditionalFormatting sqref="Z28:Z29">
    <cfRule type="containsText" dxfId="416" priority="240" operator="containsText" text="Alerte">
      <formula>NOT(ISERROR(SEARCH("Alerte",Z28)))</formula>
    </cfRule>
  </conditionalFormatting>
  <conditionalFormatting sqref="Z36:Z41 AC36:AC41">
    <cfRule type="containsText" dxfId="415" priority="544" operator="containsText" text="Alerte">
      <formula>NOT(ISERROR(SEARCH("Alerte",Z36)))</formula>
    </cfRule>
  </conditionalFormatting>
  <conditionalFormatting sqref="Z6:AB7">
    <cfRule type="containsText" dxfId="414" priority="252" operator="containsText" text="Alerte">
      <formula>NOT(ISERROR(SEARCH("Alerte",Z6)))</formula>
    </cfRule>
  </conditionalFormatting>
  <conditionalFormatting sqref="Z10:AB12">
    <cfRule type="containsText" dxfId="413" priority="245" operator="containsText" text="Alerte">
      <formula>NOT(ISERROR(SEARCH("Alerte",Z10)))</formula>
    </cfRule>
  </conditionalFormatting>
  <conditionalFormatting sqref="Z26:AB28">
    <cfRule type="containsText" dxfId="412" priority="246" operator="containsText" text="Alerte">
      <formula>NOT(ISERROR(SEARCH("Alerte",Z26)))</formula>
    </cfRule>
  </conditionalFormatting>
  <conditionalFormatting sqref="Z34:AB36">
    <cfRule type="containsText" dxfId="411" priority="24" operator="containsText" text="Alerte">
      <formula>NOT(ISERROR(SEARCH("Alerte",Z34)))</formula>
    </cfRule>
  </conditionalFormatting>
  <conditionalFormatting sqref="Z38:AB41">
    <cfRule type="containsText" dxfId="410" priority="545" operator="containsText" text="Alerte">
      <formula>NOT(ISERROR(SEARCH("Alerte",Z38)))</formula>
    </cfRule>
  </conditionalFormatting>
  <conditionalFormatting sqref="Z43:AB46">
    <cfRule type="containsText" dxfId="409" priority="248" operator="containsText" text="Alerte">
      <formula>NOT(ISERROR(SEARCH("Alerte",Z43)))</formula>
    </cfRule>
  </conditionalFormatting>
  <conditionalFormatting sqref="Z4:AC46">
    <cfRule type="containsText" dxfId="408" priority="21" operator="containsText" text="Alerte">
      <formula>NOT(ISERROR(SEARCH("Alerte",Z4)))</formula>
    </cfRule>
  </conditionalFormatting>
  <conditionalFormatting sqref="AA7:AB7">
    <cfRule type="containsText" dxfId="407" priority="251" operator="containsText" text="Alerte">
      <formula>NOT(ISERROR(SEARCH("Alerte",AA7)))</formula>
    </cfRule>
  </conditionalFormatting>
  <conditionalFormatting sqref="AA9:AB10">
    <cfRule type="containsText" dxfId="406" priority="347" operator="containsText" text="Alerte">
      <formula>NOT(ISERROR(SEARCH("Alerte",AA9)))</formula>
    </cfRule>
  </conditionalFormatting>
  <conditionalFormatting sqref="AA13:AB13">
    <cfRule type="containsText" dxfId="405" priority="1207" operator="containsText" text="Alerte">
      <formula>NOT(ISERROR(SEARCH("Alerte",AA13)))</formula>
    </cfRule>
  </conditionalFormatting>
  <conditionalFormatting sqref="AA16:AB22">
    <cfRule type="containsText" dxfId="404" priority="106" operator="containsText" text="Alerte">
      <formula>NOT(ISERROR(SEARCH("Alerte",AA16)))</formula>
    </cfRule>
  </conditionalFormatting>
  <conditionalFormatting sqref="AA24:AB24">
    <cfRule type="containsText" dxfId="403" priority="38" operator="containsText" text="Alerte">
      <formula>NOT(ISERROR(SEARCH("Alerte",AA24)))</formula>
    </cfRule>
  </conditionalFormatting>
  <conditionalFormatting sqref="AA31:AB31">
    <cfRule type="containsText" dxfId="402" priority="345" operator="containsText" text="Alerte">
      <formula>NOT(ISERROR(SEARCH("Alerte",AA31)))</formula>
    </cfRule>
  </conditionalFormatting>
  <conditionalFormatting sqref="AA33:AB33">
    <cfRule type="containsText" dxfId="401" priority="344" operator="containsText" text="Alerte">
      <formula>NOT(ISERROR(SEARCH("Alerte",AA33)))</formula>
    </cfRule>
  </conditionalFormatting>
  <conditionalFormatting sqref="AA36:AB36">
    <cfRule type="containsText" dxfId="400" priority="343" operator="containsText" text="Alerte">
      <formula>NOT(ISERROR(SEARCH("Alerte",AA36)))</formula>
    </cfRule>
  </conditionalFormatting>
  <conditionalFormatting sqref="AA38:AB38">
    <cfRule type="containsText" dxfId="399" priority="342" operator="containsText" text="Alerte">
      <formula>NOT(ISERROR(SEARCH("Alerte",AA38)))</formula>
    </cfRule>
  </conditionalFormatting>
  <conditionalFormatting sqref="AA40:AB41">
    <cfRule type="containsText" dxfId="398" priority="341" operator="containsText" text="Alerte">
      <formula>NOT(ISERROR(SEARCH("Alerte",AA40)))</formula>
    </cfRule>
  </conditionalFormatting>
  <conditionalFormatting sqref="AA43:AB43">
    <cfRule type="containsText" dxfId="397" priority="249" operator="containsText" text="Alerte">
      <formula>NOT(ISERROR(SEARCH("Alerte",AA43)))</formula>
    </cfRule>
  </conditionalFormatting>
  <conditionalFormatting sqref="AA5:AC8">
    <cfRule type="containsText" dxfId="396" priority="243" operator="containsText" text="Alerte">
      <formula>NOT(ISERROR(SEARCH("Alerte",AA5)))</formula>
    </cfRule>
  </conditionalFormatting>
  <conditionalFormatting sqref="AA11:AC11">
    <cfRule type="containsText" dxfId="395" priority="407" operator="containsText" text="Alerte">
      <formula>NOT(ISERROR(SEARCH("Alerte",AA11)))</formula>
    </cfRule>
  </conditionalFormatting>
  <conditionalFormatting sqref="AA22:AC22">
    <cfRule type="containsText" dxfId="394" priority="107" operator="containsText" text="Alerte">
      <formula>NOT(ISERROR(SEARCH("Alerte",AA22)))</formula>
    </cfRule>
  </conditionalFormatting>
  <conditionalFormatting sqref="AA25:AC29">
    <cfRule type="containsText" dxfId="393" priority="244" operator="containsText" text="Alerte">
      <formula>NOT(ISERROR(SEARCH("Alerte",AA25)))</formula>
    </cfRule>
  </conditionalFormatting>
  <conditionalFormatting sqref="AA45:AC45">
    <cfRule type="containsText" dxfId="392" priority="1150" operator="containsText" text="Alerte">
      <formula>NOT(ISERROR(SEARCH("Alerte",AA45)))</formula>
    </cfRule>
  </conditionalFormatting>
  <conditionalFormatting sqref="AC5:AC7">
    <cfRule type="containsText" dxfId="391" priority="242" operator="containsText" text="Alerte">
      <formula>NOT(ISERROR(SEARCH("Alerte",AC5)))</formula>
    </cfRule>
  </conditionalFormatting>
  <conditionalFormatting sqref="AC28:AC29">
    <cfRule type="containsText" dxfId="390" priority="239" operator="containsText" text="Alerte">
      <formula>NOT(ISERROR(SEARCH("Alerte",AC28)))</formula>
    </cfRule>
  </conditionalFormatting>
  <conditionalFormatting sqref="AC43:AC44">
    <cfRule type="containsText" dxfId="389" priority="338" operator="containsText" text="Alerte">
      <formula>NOT(ISERROR(SEARCH("Alerte",AC43)))</formula>
    </cfRule>
  </conditionalFormatting>
  <conditionalFormatting sqref="AD4:AD46">
    <cfRule type="cellIs" dxfId="388" priority="22" operator="lessThan">
      <formula>0.333333333333333</formula>
    </cfRule>
    <cfRule type="cellIs" dxfId="387" priority="23" operator="greaterThan">
      <formula>0.333333333333333</formula>
    </cfRule>
  </conditionalFormatting>
  <conditionalFormatting sqref="AE5:AE7">
    <cfRule type="containsText" dxfId="386" priority="222" operator="containsText" text="Alerte">
      <formula>NOT(ISERROR(SEARCH("Alerte",AE5)))</formula>
    </cfRule>
  </conditionalFormatting>
  <conditionalFormatting sqref="AE28:AE29">
    <cfRule type="containsText" dxfId="385" priority="229" operator="containsText" text="Alerte">
      <formula>NOT(ISERROR(SEARCH("Alerte",AE28)))</formula>
    </cfRule>
  </conditionalFormatting>
  <conditionalFormatting sqref="AE6:AG7">
    <cfRule type="containsText" dxfId="384" priority="238" operator="containsText" text="Alerte">
      <formula>NOT(ISERROR(SEARCH("Alerte",AE6)))</formula>
    </cfRule>
  </conditionalFormatting>
  <conditionalFormatting sqref="AE10:AG12">
    <cfRule type="containsText" dxfId="383" priority="227" operator="containsText" text="Alerte">
      <formula>NOT(ISERROR(SEARCH("Alerte",AE10)))</formula>
    </cfRule>
  </conditionalFormatting>
  <conditionalFormatting sqref="AE26:AG28">
    <cfRule type="containsText" dxfId="382" priority="226" operator="containsText" text="Alerte">
      <formula>NOT(ISERROR(SEARCH("Alerte",AE26)))</formula>
    </cfRule>
  </conditionalFormatting>
  <conditionalFormatting sqref="AE43:AG46">
    <cfRule type="containsText" dxfId="381" priority="219" operator="containsText" text="Alerte">
      <formula>NOT(ISERROR(SEARCH("Alerte",AE43)))</formula>
    </cfRule>
  </conditionalFormatting>
  <conditionalFormatting sqref="AE4:AH46">
    <cfRule type="containsText" dxfId="380" priority="2" operator="containsText" text="Alerte">
      <formula>NOT(ISERROR(SEARCH("Alerte",AE4)))</formula>
    </cfRule>
  </conditionalFormatting>
  <conditionalFormatting sqref="AF7:AG7">
    <cfRule type="containsText" dxfId="379" priority="237" operator="containsText" text="Alerte">
      <formula>NOT(ISERROR(SEARCH("Alerte",AF7)))</formula>
    </cfRule>
  </conditionalFormatting>
  <conditionalFormatting sqref="AF9:AG10">
    <cfRule type="containsText" dxfId="378" priority="1169" operator="containsText" text="Alerte">
      <formula>NOT(ISERROR(SEARCH("Alerte",AF9)))</formula>
    </cfRule>
  </conditionalFormatting>
  <conditionalFormatting sqref="AF16:AG19">
    <cfRule type="containsText" dxfId="377" priority="184" operator="containsText" text="Alerte">
      <formula>NOT(ISERROR(SEARCH("Alerte",AF16)))</formula>
    </cfRule>
  </conditionalFormatting>
  <conditionalFormatting sqref="AF21:AG22">
    <cfRule type="containsText" dxfId="376" priority="87" operator="containsText" text="Alerte">
      <formula>NOT(ISERROR(SEARCH("Alerte",AF21)))</formula>
    </cfRule>
  </conditionalFormatting>
  <conditionalFormatting sqref="AF25:AG29">
    <cfRule type="containsText" dxfId="375" priority="236" operator="containsText" text="Alerte">
      <formula>NOT(ISERROR(SEARCH("Alerte",AF25)))</formula>
    </cfRule>
  </conditionalFormatting>
  <conditionalFormatting sqref="AF31:AG31">
    <cfRule type="containsText" dxfId="374" priority="1147" operator="containsText" text="Alerte">
      <formula>NOT(ISERROR(SEARCH("Alerte",AF31)))</formula>
    </cfRule>
  </conditionalFormatting>
  <conditionalFormatting sqref="AF33:AG33">
    <cfRule type="containsText" dxfId="373" priority="1146" operator="containsText" text="Alerte">
      <formula>NOT(ISERROR(SEARCH("Alerte",AF33)))</formula>
    </cfRule>
  </conditionalFormatting>
  <conditionalFormatting sqref="AF38:AG38">
    <cfRule type="containsText" dxfId="372" priority="1144" operator="containsText" text="Alerte">
      <formula>NOT(ISERROR(SEARCH("Alerte",AF38)))</formula>
    </cfRule>
  </conditionalFormatting>
  <conditionalFormatting sqref="AF40:AG40">
    <cfRule type="containsText" dxfId="371" priority="1142" operator="containsText" text="Alerte">
      <formula>NOT(ISERROR(SEARCH("Alerte",AF40)))</formula>
    </cfRule>
  </conditionalFormatting>
  <conditionalFormatting sqref="AF43:AG43">
    <cfRule type="containsText" dxfId="370" priority="230" operator="containsText" text="Alerte">
      <formula>NOT(ISERROR(SEARCH("Alerte",AF43)))</formula>
    </cfRule>
  </conditionalFormatting>
  <conditionalFormatting sqref="AF5:AH8">
    <cfRule type="containsText" dxfId="369" priority="224" operator="containsText" text="Alerte">
      <formula>NOT(ISERROR(SEARCH("Alerte",AF5)))</formula>
    </cfRule>
  </conditionalFormatting>
  <conditionalFormatting sqref="AF20:AH22">
    <cfRule type="containsText" dxfId="368" priority="99" operator="containsText" text="Alerte">
      <formula>NOT(ISERROR(SEARCH("Alerte",AF20)))</formula>
    </cfRule>
  </conditionalFormatting>
  <conditionalFormatting sqref="AF25:AH26">
    <cfRule type="containsText" dxfId="367" priority="234" operator="containsText" text="Alerte">
      <formula>NOT(ISERROR(SEARCH("Alerte",AF25)))</formula>
    </cfRule>
  </conditionalFormatting>
  <conditionalFormatting sqref="AF29:AH29">
    <cfRule type="containsText" dxfId="366" priority="235" operator="containsText" text="Alerte">
      <formula>NOT(ISERROR(SEARCH("Alerte",AF29)))</formula>
    </cfRule>
  </conditionalFormatting>
  <conditionalFormatting sqref="AH5:AH7">
    <cfRule type="containsText" dxfId="365" priority="223" operator="containsText" text="Alerte">
      <formula>NOT(ISERROR(SEARCH("Alerte",AH5)))</formula>
    </cfRule>
  </conditionalFormatting>
  <conditionalFormatting sqref="AH28:AH29">
    <cfRule type="containsText" dxfId="364" priority="228" operator="containsText" text="Alerte">
      <formula>NOT(ISERROR(SEARCH("Alerte",AH28)))</formula>
    </cfRule>
  </conditionalFormatting>
  <conditionalFormatting sqref="AH43:AH44">
    <cfRule type="containsText" dxfId="363" priority="971" operator="containsText" text="Alerte">
      <formula>NOT(ISERROR(SEARCH("Alerte",AH43)))</formula>
    </cfRule>
  </conditionalFormatting>
  <conditionalFormatting sqref="AI4:AI46">
    <cfRule type="cellIs" dxfId="362" priority="3" operator="lessThan">
      <formula>0.333333333333333</formula>
    </cfRule>
    <cfRule type="cellIs" dxfId="361" priority="4" operator="greaterThan">
      <formula>0.333333333333333</formula>
    </cfRule>
  </conditionalFormatting>
  <conditionalFormatting sqref="AJ5:AJ6">
    <cfRule type="containsText" dxfId="360" priority="158" operator="containsText" text="Alerte">
      <formula>NOT(ISERROR(SEARCH("Alerte",AJ5)))</formula>
    </cfRule>
  </conditionalFormatting>
  <conditionalFormatting sqref="AJ28:AJ29">
    <cfRule type="containsText" dxfId="359" priority="168" operator="containsText" text="Alerte">
      <formula>NOT(ISERROR(SEARCH("Alerte",AJ28)))</formula>
    </cfRule>
  </conditionalFormatting>
  <conditionalFormatting sqref="AJ6:AL7">
    <cfRule type="containsText" dxfId="358" priority="160" operator="containsText" text="Alerte">
      <formula>NOT(ISERROR(SEARCH("Alerte",AJ6)))</formula>
    </cfRule>
  </conditionalFormatting>
  <conditionalFormatting sqref="AJ11:AL11">
    <cfRule type="containsText" dxfId="357" priority="166" operator="containsText" text="Alerte">
      <formula>NOT(ISERROR(SEARCH("Alerte",AJ11)))</formula>
    </cfRule>
  </conditionalFormatting>
  <conditionalFormatting sqref="AJ24:AL24">
    <cfRule type="containsText" dxfId="356" priority="60" operator="containsText" text="Alerte">
      <formula>NOT(ISERROR(SEARCH("Alerte",AJ24)))</formula>
    </cfRule>
  </conditionalFormatting>
  <conditionalFormatting sqref="AJ26:AL27">
    <cfRule type="containsText" dxfId="355" priority="163" operator="containsText" text="Alerte">
      <formula>NOT(ISERROR(SEARCH("Alerte",AJ26)))</formula>
    </cfRule>
  </conditionalFormatting>
  <conditionalFormatting sqref="AJ36:AL36">
    <cfRule type="containsText" dxfId="354" priority="71" operator="containsText" text="Alerte">
      <formula>NOT(ISERROR(SEARCH("Alerte",AJ36)))</formula>
    </cfRule>
  </conditionalFormatting>
  <conditionalFormatting sqref="AJ43:AL44">
    <cfRule type="containsText" dxfId="353" priority="161" operator="containsText" text="Alerte">
      <formula>NOT(ISERROR(SEARCH("Alerte",AJ43)))</formula>
    </cfRule>
  </conditionalFormatting>
  <conditionalFormatting sqref="AJ46:AL46">
    <cfRule type="containsText" dxfId="352" priority="164" operator="containsText" text="Alerte">
      <formula>NOT(ISERROR(SEARCH("Alerte",AJ46)))</formula>
    </cfRule>
  </conditionalFormatting>
  <conditionalFormatting sqref="AJ4:AM46">
    <cfRule type="containsText" dxfId="351" priority="16" operator="containsText" text="Alerte">
      <formula>NOT(ISERROR(SEARCH("Alerte",AJ4)))</formula>
    </cfRule>
  </conditionalFormatting>
  <conditionalFormatting sqref="AK7:AL7">
    <cfRule type="containsText" dxfId="350" priority="174" operator="containsText" text="Alerte">
      <formula>NOT(ISERROR(SEARCH("Alerte",AK7)))</formula>
    </cfRule>
  </conditionalFormatting>
  <conditionalFormatting sqref="AK13:AL13">
    <cfRule type="containsText" dxfId="349" priority="162" operator="containsText" text="Alerte">
      <formula>NOT(ISERROR(SEARCH("Alerte",AK13)))</formula>
    </cfRule>
  </conditionalFormatting>
  <conditionalFormatting sqref="AK16:AL21">
    <cfRule type="containsText" dxfId="348" priority="126" operator="containsText" text="Alerte">
      <formula>NOT(ISERROR(SEARCH("Alerte",AK16)))</formula>
    </cfRule>
  </conditionalFormatting>
  <conditionalFormatting sqref="AK40:AL41">
    <cfRule type="containsText" dxfId="347" priority="156" operator="containsText" text="Alerte">
      <formula>NOT(ISERROR(SEARCH("Alerte",AK40)))</formula>
    </cfRule>
  </conditionalFormatting>
  <conditionalFormatting sqref="AK43:AL43">
    <cfRule type="containsText" dxfId="346" priority="169" operator="containsText" text="Alerte">
      <formula>NOT(ISERROR(SEARCH("Alerte",AK43)))</formula>
    </cfRule>
  </conditionalFormatting>
  <conditionalFormatting sqref="AK5:AM8">
    <cfRule type="containsText" dxfId="345" priority="165" operator="containsText" text="Alerte">
      <formula>NOT(ISERROR(SEARCH("Alerte",AK5)))</formula>
    </cfRule>
  </conditionalFormatting>
  <conditionalFormatting sqref="AK19:AM22">
    <cfRule type="containsText" dxfId="344" priority="90" operator="containsText" text="Alerte">
      <formula>NOT(ISERROR(SEARCH("Alerte",AK19)))</formula>
    </cfRule>
  </conditionalFormatting>
  <conditionalFormatting sqref="AK25:AM29">
    <cfRule type="containsText" dxfId="343" priority="154" operator="containsText" text="Alerte">
      <formula>NOT(ISERROR(SEARCH("Alerte",AK25)))</formula>
    </cfRule>
  </conditionalFormatting>
  <conditionalFormatting sqref="AM5:AM6">
    <cfRule type="containsText" dxfId="342" priority="159" operator="containsText" text="Alerte">
      <formula>NOT(ISERROR(SEARCH("Alerte",AM5)))</formula>
    </cfRule>
  </conditionalFormatting>
  <conditionalFormatting sqref="AM28:AM29">
    <cfRule type="containsText" dxfId="341" priority="167" operator="containsText" text="Alerte">
      <formula>NOT(ISERROR(SEARCH("Alerte",AM28)))</formula>
    </cfRule>
  </conditionalFormatting>
  <conditionalFormatting sqref="AN4:AN46">
    <cfRule type="cellIs" dxfId="340" priority="17" operator="lessThan">
      <formula>0.333333333333333</formula>
    </cfRule>
    <cfRule type="cellIs" dxfId="339" priority="18" operator="greaterThan">
      <formula>0.333333333333333</formula>
    </cfRule>
  </conditionalFormatting>
  <conditionalFormatting sqref="AO4:AO77">
    <cfRule type="cellIs" dxfId="338" priority="1214" operator="lessThan">
      <formula>1.66666666666667</formula>
    </cfRule>
    <cfRule type="cellIs" dxfId="337" priority="1215" operator="greaterThan">
      <formula>1.66666666666667</formula>
    </cfRule>
  </conditionalFormatting>
  <conditionalFormatting sqref="C25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7">
    <tabColor rgb="FF00B050"/>
  </sheetPr>
  <dimension ref="A1:BQ169"/>
  <sheetViews>
    <sheetView zoomScale="80" zoomScaleNormal="8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11.42578125" defaultRowHeight="12.75" x14ac:dyDescent="0.2"/>
  <cols>
    <col min="1" max="1" width="7.7109375" style="33" hidden="1" customWidth="1"/>
    <col min="2" max="2" width="18.28515625" style="33" customWidth="1"/>
    <col min="3" max="3" width="7.42578125" style="33" hidden="1" customWidth="1"/>
    <col min="4" max="4" width="4.42578125" style="33" bestFit="1" customWidth="1"/>
    <col min="5" max="5" width="7.85546875" style="33" bestFit="1" customWidth="1"/>
    <col min="6" max="6" width="6.5703125" style="33" customWidth="1"/>
    <col min="7" max="9" width="8.7109375" style="33" bestFit="1" customWidth="1"/>
    <col min="10" max="10" width="10.5703125" style="33" customWidth="1"/>
    <col min="11" max="11" width="7.140625" style="33" customWidth="1"/>
    <col min="12" max="12" width="8.7109375" style="33" bestFit="1" customWidth="1"/>
    <col min="13" max="13" width="6.7109375" style="33" bestFit="1" customWidth="1"/>
    <col min="14" max="14" width="7.28515625" style="33" bestFit="1" customWidth="1"/>
    <col min="15" max="15" width="11.42578125" style="33"/>
    <col min="16" max="16" width="7.140625" style="33" customWidth="1"/>
    <col min="17" max="18" width="6.7109375" style="33" bestFit="1" customWidth="1"/>
    <col min="19" max="19" width="7.28515625" style="33" bestFit="1" customWidth="1"/>
    <col min="20" max="20" width="11.140625" style="33" customWidth="1"/>
    <col min="21" max="21" width="6.42578125" style="33" customWidth="1"/>
    <col min="22" max="23" width="6.7109375" style="33" bestFit="1" customWidth="1"/>
    <col min="24" max="24" width="7.28515625" style="33" bestFit="1" customWidth="1"/>
    <col min="25" max="25" width="11.42578125" style="33"/>
    <col min="26" max="26" width="6.7109375" style="33" customWidth="1"/>
    <col min="27" max="28" width="6.7109375" style="33" bestFit="1" customWidth="1"/>
    <col min="29" max="29" width="7.28515625" style="33" bestFit="1" customWidth="1"/>
    <col min="30" max="30" width="11.42578125" style="33"/>
    <col min="31" max="31" width="7.42578125" style="33" customWidth="1"/>
    <col min="32" max="33" width="6.7109375" style="33" bestFit="1" customWidth="1"/>
    <col min="34" max="34" width="7.28515625" style="33" bestFit="1" customWidth="1"/>
    <col min="35" max="35" width="11.42578125" style="33"/>
    <col min="36" max="36" width="7.42578125" style="33" customWidth="1"/>
    <col min="37" max="38" width="6.7109375" style="33" bestFit="1" customWidth="1"/>
    <col min="39" max="39" width="7.28515625" style="33" bestFit="1" customWidth="1"/>
    <col min="40" max="40" width="11.85546875" style="33" customWidth="1"/>
    <col min="41" max="41" width="12.7109375" style="33" bestFit="1" customWidth="1"/>
    <col min="42" max="45" width="11.42578125" style="33"/>
    <col min="46" max="46" width="16.42578125" style="33" bestFit="1" customWidth="1"/>
    <col min="47" max="16384" width="11.42578125" style="33"/>
  </cols>
  <sheetData>
    <row r="1" spans="1:69" s="4" customFormat="1" ht="13.5" customHeight="1" thickBot="1" x14ac:dyDescent="0.25">
      <c r="B1" s="38" t="str">
        <f>"S"&amp;_xlfn.ISOWEEKNUM(F1)</f>
        <v>S20</v>
      </c>
      <c r="C1" s="39"/>
      <c r="D1" s="39"/>
      <c r="E1" s="40"/>
      <c r="F1" s="523">
        <f>'S&amp;E'!H3</f>
        <v>46153</v>
      </c>
      <c r="G1" s="524"/>
      <c r="H1" s="524"/>
      <c r="I1" s="524"/>
      <c r="J1" s="525"/>
      <c r="K1" s="523">
        <f>F1+1</f>
        <v>46154</v>
      </c>
      <c r="L1" s="524"/>
      <c r="M1" s="524"/>
      <c r="N1" s="524"/>
      <c r="O1" s="525"/>
      <c r="P1" s="523">
        <f>K1+1</f>
        <v>46155</v>
      </c>
      <c r="Q1" s="524"/>
      <c r="R1" s="524"/>
      <c r="S1" s="524"/>
      <c r="T1" s="525"/>
      <c r="U1" s="523">
        <f>P1+1</f>
        <v>46156</v>
      </c>
      <c r="V1" s="524"/>
      <c r="W1" s="524"/>
      <c r="X1" s="524"/>
      <c r="Y1" s="525"/>
      <c r="Z1" s="523">
        <f>U1+1</f>
        <v>46157</v>
      </c>
      <c r="AA1" s="524"/>
      <c r="AB1" s="524"/>
      <c r="AC1" s="524"/>
      <c r="AD1" s="525"/>
      <c r="AE1" s="523">
        <f>Z1+1</f>
        <v>46158</v>
      </c>
      <c r="AF1" s="524"/>
      <c r="AG1" s="524"/>
      <c r="AH1" s="524"/>
      <c r="AI1" s="525"/>
      <c r="AJ1" s="523">
        <f>AE1+1</f>
        <v>46159</v>
      </c>
      <c r="AK1" s="524"/>
      <c r="AL1" s="524"/>
      <c r="AM1" s="524"/>
      <c r="AN1" s="525"/>
      <c r="AO1" s="41"/>
      <c r="AP1" s="42"/>
      <c r="BQ1" s="4" t="s">
        <v>0</v>
      </c>
    </row>
    <row r="2" spans="1:69" s="1" customFormat="1" ht="13.5" customHeight="1" thickBot="1" x14ac:dyDescent="0.25">
      <c r="A2" s="35" t="s">
        <v>247</v>
      </c>
      <c r="B2" s="43" t="s">
        <v>6</v>
      </c>
      <c r="C2" s="43" t="s">
        <v>29</v>
      </c>
      <c r="D2" s="43"/>
      <c r="E2" s="44"/>
      <c r="F2" s="44" t="s">
        <v>1</v>
      </c>
      <c r="G2" s="45">
        <f>J2/"8:"</f>
        <v>5.0000000000000009</v>
      </c>
      <c r="H2" s="46">
        <f>J2/$AO$2</f>
        <v>0.16666666666666669</v>
      </c>
      <c r="I2" s="44" t="s">
        <v>0</v>
      </c>
      <c r="J2" s="47">
        <f>SUM(J4:J29)</f>
        <v>1.6666666666666667</v>
      </c>
      <c r="K2" s="44" t="s">
        <v>1</v>
      </c>
      <c r="L2" s="45">
        <f>O2/"8:"</f>
        <v>5.0000000000000009</v>
      </c>
      <c r="M2" s="46">
        <f>O2/$AO$2</f>
        <v>0.16666666666666669</v>
      </c>
      <c r="N2" s="44" t="s">
        <v>2</v>
      </c>
      <c r="O2" s="47">
        <f>SUM(O4:O29)</f>
        <v>1.6666666666666667</v>
      </c>
      <c r="P2" s="44" t="s">
        <v>1</v>
      </c>
      <c r="Q2" s="45">
        <f>T2/"8:"</f>
        <v>4</v>
      </c>
      <c r="R2" s="46">
        <f>T2/$AO$2</f>
        <v>0.13333333333333333</v>
      </c>
      <c r="S2" s="44" t="s">
        <v>2</v>
      </c>
      <c r="T2" s="47">
        <f>SUM(T4:T29)</f>
        <v>1.3333333333333333</v>
      </c>
      <c r="U2" s="44" t="s">
        <v>1</v>
      </c>
      <c r="V2" s="45">
        <f>Y2/"8:"</f>
        <v>4</v>
      </c>
      <c r="W2" s="46">
        <f>Y2/$AO$2</f>
        <v>0.13333333333333333</v>
      </c>
      <c r="X2" s="44" t="s">
        <v>2</v>
      </c>
      <c r="Y2" s="47">
        <f>SUM(Y4:Y29)</f>
        <v>1.3333333333333333</v>
      </c>
      <c r="Z2" s="44" t="s">
        <v>1</v>
      </c>
      <c r="AA2" s="45">
        <f>AD2/"8:"</f>
        <v>4</v>
      </c>
      <c r="AB2" s="46">
        <f>AD2/$AO$2</f>
        <v>0.13333333333333333</v>
      </c>
      <c r="AC2" s="44" t="s">
        <v>2</v>
      </c>
      <c r="AD2" s="47">
        <f>SUM(AD4:AD29)</f>
        <v>1.3333333333333333</v>
      </c>
      <c r="AE2" s="44" t="s">
        <v>1</v>
      </c>
      <c r="AF2" s="45">
        <f>AI2/"8:"</f>
        <v>4</v>
      </c>
      <c r="AG2" s="46">
        <f>AI2/$AO$2</f>
        <v>0.13333333333333333</v>
      </c>
      <c r="AH2" s="44" t="s">
        <v>2</v>
      </c>
      <c r="AI2" s="47">
        <f>SUM(AI4:AI29)</f>
        <v>1.3333333333333333</v>
      </c>
      <c r="AJ2" s="44" t="s">
        <v>1</v>
      </c>
      <c r="AK2" s="45">
        <f>AN2/"8:"</f>
        <v>4.0000000000000009</v>
      </c>
      <c r="AL2" s="46">
        <f>AN2/$AO$2</f>
        <v>0.13333333333333336</v>
      </c>
      <c r="AM2" s="44" t="s">
        <v>2</v>
      </c>
      <c r="AN2" s="47">
        <f>SUM(AN4:AN29)</f>
        <v>1.3333333333333335</v>
      </c>
      <c r="AO2" s="9">
        <f>SUM(AO4:AO29)</f>
        <v>10</v>
      </c>
      <c r="AP2" s="9" t="s">
        <v>3</v>
      </c>
      <c r="AQ2" s="10"/>
      <c r="AT2" s="57">
        <v>1.6666666666666665</v>
      </c>
    </row>
    <row r="3" spans="1:69" s="1" customFormat="1" ht="13.5" customHeight="1" thickBot="1" x14ac:dyDescent="0.25">
      <c r="A3" s="35"/>
      <c r="B3" s="43"/>
      <c r="C3" s="43"/>
      <c r="D3" s="191"/>
      <c r="E3" s="44"/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1" t="s">
        <v>13</v>
      </c>
      <c r="P3" s="17" t="s">
        <v>10</v>
      </c>
      <c r="Q3" s="18" t="s">
        <v>11</v>
      </c>
      <c r="R3" s="19"/>
      <c r="S3" s="20" t="s">
        <v>12</v>
      </c>
      <c r="T3" s="21" t="s">
        <v>13</v>
      </c>
      <c r="U3" s="17" t="s">
        <v>10</v>
      </c>
      <c r="V3" s="18" t="s">
        <v>11</v>
      </c>
      <c r="W3" s="19"/>
      <c r="X3" s="20" t="s">
        <v>12</v>
      </c>
      <c r="Y3" s="21" t="s">
        <v>13</v>
      </c>
      <c r="Z3" s="17" t="s">
        <v>10</v>
      </c>
      <c r="AA3" s="18" t="s">
        <v>11</v>
      </c>
      <c r="AB3" s="19"/>
      <c r="AC3" s="20" t="s">
        <v>12</v>
      </c>
      <c r="AD3" s="21" t="s">
        <v>13</v>
      </c>
      <c r="AE3" s="17" t="s">
        <v>10</v>
      </c>
      <c r="AF3" s="18" t="s">
        <v>11</v>
      </c>
      <c r="AG3" s="19"/>
      <c r="AH3" s="20" t="s">
        <v>12</v>
      </c>
      <c r="AI3" s="21" t="s">
        <v>13</v>
      </c>
      <c r="AJ3" s="17" t="s">
        <v>10</v>
      </c>
      <c r="AK3" s="18" t="s">
        <v>11</v>
      </c>
      <c r="AL3" s="19"/>
      <c r="AM3" s="20" t="s">
        <v>12</v>
      </c>
      <c r="AN3" s="21" t="s">
        <v>13</v>
      </c>
      <c r="AO3" s="9"/>
      <c r="AP3" s="9"/>
      <c r="AQ3" s="10"/>
      <c r="AT3" s="57"/>
    </row>
    <row r="4" spans="1:69" s="1" customFormat="1" ht="12.75" customHeight="1" x14ac:dyDescent="0.2">
      <c r="A4" s="35" t="s">
        <v>267</v>
      </c>
      <c r="B4" s="106" t="s">
        <v>171</v>
      </c>
      <c r="C4" s="115">
        <v>1</v>
      </c>
      <c r="D4" s="357" t="s">
        <v>353</v>
      </c>
      <c r="E4" s="103"/>
      <c r="F4" s="436" t="s">
        <v>165</v>
      </c>
      <c r="G4" s="324" t="s">
        <v>165</v>
      </c>
      <c r="H4" s="324" t="s">
        <v>165</v>
      </c>
      <c r="I4" s="436" t="s">
        <v>165</v>
      </c>
      <c r="J4" s="437" t="str">
        <f t="shared" ref="J4:AN10" si="0">IFERROR(MOD(I4-F4,1)-(H4-G4),"")</f>
        <v/>
      </c>
      <c r="K4" s="436" t="s">
        <v>165</v>
      </c>
      <c r="L4" s="324" t="s">
        <v>165</v>
      </c>
      <c r="M4" s="324" t="s">
        <v>165</v>
      </c>
      <c r="N4" s="436" t="s">
        <v>165</v>
      </c>
      <c r="O4" s="437" t="str">
        <f t="shared" si="0"/>
        <v/>
      </c>
      <c r="P4" s="436" t="s">
        <v>165</v>
      </c>
      <c r="Q4" s="324" t="s">
        <v>165</v>
      </c>
      <c r="R4" s="324" t="s">
        <v>165</v>
      </c>
      <c r="S4" s="436" t="s">
        <v>165</v>
      </c>
      <c r="T4" s="437" t="str">
        <f t="shared" si="0"/>
        <v/>
      </c>
      <c r="U4" s="436" t="s">
        <v>165</v>
      </c>
      <c r="V4" s="324" t="s">
        <v>165</v>
      </c>
      <c r="W4" s="324" t="s">
        <v>165</v>
      </c>
      <c r="X4" s="436" t="s">
        <v>165</v>
      </c>
      <c r="Y4" s="437" t="str">
        <f t="shared" si="0"/>
        <v/>
      </c>
      <c r="Z4" s="436" t="s">
        <v>165</v>
      </c>
      <c r="AA4" s="324" t="s">
        <v>165</v>
      </c>
      <c r="AB4" s="324" t="s">
        <v>165</v>
      </c>
      <c r="AC4" s="436" t="s">
        <v>165</v>
      </c>
      <c r="AD4" s="437" t="str">
        <f t="shared" si="0"/>
        <v/>
      </c>
      <c r="AE4" s="436" t="s">
        <v>165</v>
      </c>
      <c r="AF4" s="324" t="s">
        <v>165</v>
      </c>
      <c r="AG4" s="324" t="s">
        <v>165</v>
      </c>
      <c r="AH4" s="436" t="s">
        <v>165</v>
      </c>
      <c r="AI4" s="437" t="str">
        <f t="shared" si="0"/>
        <v/>
      </c>
      <c r="AJ4" s="436" t="s">
        <v>165</v>
      </c>
      <c r="AK4" s="324" t="s">
        <v>165</v>
      </c>
      <c r="AL4" s="324" t="s">
        <v>165</v>
      </c>
      <c r="AM4" s="436" t="s">
        <v>165</v>
      </c>
      <c r="AN4" s="376" t="str">
        <f t="shared" si="0"/>
        <v/>
      </c>
      <c r="AO4" s="28">
        <f t="shared" ref="AO4" si="1">SUM(J4,O4,T4,Y4,AD4,AI4,AN4)</f>
        <v>0</v>
      </c>
      <c r="AQ4" s="30" t="str">
        <f>IF(AO4&gt;$AO$2, "Alerte Dépassement!!!","")</f>
        <v/>
      </c>
      <c r="AR4" s="33"/>
      <c r="AS4" s="31"/>
      <c r="AT4" s="31"/>
    </row>
    <row r="5" spans="1:69" s="31" customFormat="1" ht="13.5" customHeight="1" x14ac:dyDescent="0.2">
      <c r="A5" s="35" t="s">
        <v>270</v>
      </c>
      <c r="B5" s="369" t="s">
        <v>40</v>
      </c>
      <c r="C5" s="115">
        <v>31</v>
      </c>
      <c r="D5" s="358" t="s">
        <v>353</v>
      </c>
      <c r="E5" s="103"/>
      <c r="F5" s="88">
        <v>0.5</v>
      </c>
      <c r="G5" s="126">
        <v>0.625</v>
      </c>
      <c r="H5" s="129">
        <v>0.66666666666666663</v>
      </c>
      <c r="I5" s="101">
        <v>0.875</v>
      </c>
      <c r="J5" s="73">
        <f t="shared" si="0"/>
        <v>0.33333333333333337</v>
      </c>
      <c r="K5" s="364">
        <v>0.875</v>
      </c>
      <c r="L5" s="126"/>
      <c r="M5" s="129"/>
      <c r="N5" s="76">
        <v>1</v>
      </c>
      <c r="O5" s="73">
        <f t="shared" si="0"/>
        <v>0.125</v>
      </c>
      <c r="P5" s="364">
        <v>1</v>
      </c>
      <c r="Q5" s="126">
        <v>8.3333333333333329E-2</v>
      </c>
      <c r="R5" s="129">
        <v>0.16666666666666666</v>
      </c>
      <c r="S5" s="76">
        <v>0.29166666666666669</v>
      </c>
      <c r="T5" s="73">
        <f t="shared" ref="T5:T10" si="2">IFERROR(MOD(S5-P5,1)-(R5-Q5),"")</f>
        <v>0.20833333333333343</v>
      </c>
      <c r="U5" s="365" t="s">
        <v>15</v>
      </c>
      <c r="V5" s="126" t="s">
        <v>15</v>
      </c>
      <c r="W5" s="126" t="s">
        <v>15</v>
      </c>
      <c r="X5" s="366" t="s">
        <v>15</v>
      </c>
      <c r="Y5" s="73" t="str">
        <f t="shared" si="0"/>
        <v/>
      </c>
      <c r="Z5" s="367">
        <v>0.29166666666666669</v>
      </c>
      <c r="AA5" s="195">
        <v>0.5</v>
      </c>
      <c r="AB5" s="195">
        <v>0.54166666666666663</v>
      </c>
      <c r="AC5" s="368">
        <v>0.66666666666666663</v>
      </c>
      <c r="AD5" s="73">
        <f t="shared" si="0"/>
        <v>0.33333333333333331</v>
      </c>
      <c r="AE5" s="367">
        <v>0.35416666666666669</v>
      </c>
      <c r="AF5" s="195">
        <v>0.54166666666666663</v>
      </c>
      <c r="AG5" s="195">
        <v>0.58333333333333337</v>
      </c>
      <c r="AH5" s="368">
        <v>0.72916666666666663</v>
      </c>
      <c r="AI5" s="73">
        <f t="shared" ref="AI5:AI10" si="3">IFERROR(MOD(AH5-AE5,1)-(AG5-AF5),"")</f>
        <v>0.3333333333333332</v>
      </c>
      <c r="AJ5" s="88">
        <v>0.5</v>
      </c>
      <c r="AK5" s="126">
        <v>0.625</v>
      </c>
      <c r="AL5" s="129">
        <v>0.66666666666666663</v>
      </c>
      <c r="AM5" s="101">
        <v>0.875</v>
      </c>
      <c r="AN5" s="73">
        <f t="shared" si="0"/>
        <v>0.33333333333333337</v>
      </c>
      <c r="AO5" s="28">
        <f>SUM(J5,O5,T5,Y5,AD5,AI5,AN5)</f>
        <v>1.6666666666666665</v>
      </c>
      <c r="AP5" s="29"/>
      <c r="AQ5" s="30" t="str">
        <f>IF(AO5&gt;$AO$2, "Alerte Dépassement!!!","")</f>
        <v/>
      </c>
      <c r="AR5" s="33"/>
    </row>
    <row r="6" spans="1:69" s="31" customFormat="1" ht="15" customHeight="1" x14ac:dyDescent="0.2">
      <c r="A6" s="173" t="s">
        <v>294</v>
      </c>
      <c r="B6" s="106" t="s">
        <v>109</v>
      </c>
      <c r="C6" s="113">
        <v>1</v>
      </c>
      <c r="D6" s="357" t="s">
        <v>353</v>
      </c>
      <c r="E6" s="103"/>
      <c r="F6" s="367">
        <v>0.35416666666666669</v>
      </c>
      <c r="G6" s="195">
        <v>0.54166666666666663</v>
      </c>
      <c r="H6" s="195">
        <v>0.58333333333333337</v>
      </c>
      <c r="I6" s="368">
        <v>0.72916666666666663</v>
      </c>
      <c r="J6" s="73">
        <v>0.3333333333333332</v>
      </c>
      <c r="K6" s="88">
        <v>0.5</v>
      </c>
      <c r="L6" s="126">
        <v>0.625</v>
      </c>
      <c r="M6" s="129">
        <v>0.66666666666666663</v>
      </c>
      <c r="N6" s="101">
        <v>0.875</v>
      </c>
      <c r="O6" s="73">
        <f t="shared" si="0"/>
        <v>0.33333333333333337</v>
      </c>
      <c r="P6" s="88">
        <v>0.5</v>
      </c>
      <c r="Q6" s="126">
        <v>0.625</v>
      </c>
      <c r="R6" s="129">
        <v>0.66666666666666663</v>
      </c>
      <c r="S6" s="101">
        <v>0.875</v>
      </c>
      <c r="T6" s="73">
        <f t="shared" si="2"/>
        <v>0.33333333333333337</v>
      </c>
      <c r="U6" s="364">
        <v>0.875</v>
      </c>
      <c r="V6" s="126"/>
      <c r="W6" s="129"/>
      <c r="X6" s="76">
        <v>1</v>
      </c>
      <c r="Y6" s="73">
        <f t="shared" si="0"/>
        <v>0.125</v>
      </c>
      <c r="Z6" s="364">
        <v>1</v>
      </c>
      <c r="AA6" s="126">
        <v>4.1666666666666664E-2</v>
      </c>
      <c r="AB6" s="129">
        <v>0.125</v>
      </c>
      <c r="AC6" s="76">
        <v>0.29166666666666669</v>
      </c>
      <c r="AD6" s="73">
        <f t="shared" ref="AD6:AD10" si="4">IFERROR(MOD(AC6-Z6,1)-(AB6-AA6),"")</f>
        <v>0.2083333333333334</v>
      </c>
      <c r="AE6" s="365" t="s">
        <v>15</v>
      </c>
      <c r="AF6" s="126" t="s">
        <v>15</v>
      </c>
      <c r="AG6" s="126" t="s">
        <v>15</v>
      </c>
      <c r="AH6" s="366" t="s">
        <v>15</v>
      </c>
      <c r="AI6" s="73" t="str">
        <f t="shared" si="3"/>
        <v/>
      </c>
      <c r="AJ6" s="367">
        <v>0.29166666666666669</v>
      </c>
      <c r="AK6" s="195">
        <v>0.5</v>
      </c>
      <c r="AL6" s="195">
        <v>0.54166666666666663</v>
      </c>
      <c r="AM6" s="368">
        <v>0.66666666666666663</v>
      </c>
      <c r="AN6" s="73">
        <f t="shared" ref="AN6:AN7" si="5">IFERROR(MOD(AM6-AJ6,1)-(AL6-AK6),"")</f>
        <v>0.33333333333333331</v>
      </c>
      <c r="AO6" s="28">
        <f t="shared" ref="AO6:AO10" si="6">SUM(J6,O6,T6,Y6,AD6,AI6,AN6)</f>
        <v>1.6666666666666667</v>
      </c>
      <c r="AP6" s="29"/>
      <c r="AQ6" s="30"/>
      <c r="AR6" s="33"/>
    </row>
    <row r="7" spans="1:69" s="31" customFormat="1" ht="13.5" customHeight="1" x14ac:dyDescent="0.25">
      <c r="A7" s="173" t="s">
        <v>282</v>
      </c>
      <c r="B7" s="106" t="s">
        <v>119</v>
      </c>
      <c r="C7" s="113">
        <v>31</v>
      </c>
      <c r="D7" s="357" t="s">
        <v>353</v>
      </c>
      <c r="E7" s="140"/>
      <c r="F7" s="88">
        <v>0.5</v>
      </c>
      <c r="G7" s="126">
        <v>0.625</v>
      </c>
      <c r="H7" s="129">
        <v>0.66666666666666663</v>
      </c>
      <c r="I7" s="101">
        <v>0.875</v>
      </c>
      <c r="J7" s="73">
        <f t="shared" ref="J7:J10" si="7">IFERROR(MOD(I7-F7,1)-(H7-G7),"")</f>
        <v>0.33333333333333337</v>
      </c>
      <c r="K7" s="88">
        <v>0.5</v>
      </c>
      <c r="L7" s="126">
        <v>0.625</v>
      </c>
      <c r="M7" s="129">
        <v>0.66666666666666663</v>
      </c>
      <c r="N7" s="101">
        <v>0.875</v>
      </c>
      <c r="O7" s="73">
        <f t="shared" ref="O7:O10" si="8">IFERROR(MOD(N7-K7,1)-(M7-L7),"")</f>
        <v>0.33333333333333337</v>
      </c>
      <c r="P7" s="364">
        <v>0.875</v>
      </c>
      <c r="Q7" s="126"/>
      <c r="R7" s="129"/>
      <c r="S7" s="76">
        <v>1</v>
      </c>
      <c r="T7" s="73">
        <f t="shared" si="2"/>
        <v>0.125</v>
      </c>
      <c r="U7" s="364">
        <v>1</v>
      </c>
      <c r="V7" s="126">
        <v>4.1666666666666664E-2</v>
      </c>
      <c r="W7" s="129">
        <v>0.125</v>
      </c>
      <c r="X7" s="76">
        <v>0.29166666666666669</v>
      </c>
      <c r="Y7" s="73">
        <f t="shared" si="0"/>
        <v>0.2083333333333334</v>
      </c>
      <c r="Z7" s="365" t="s">
        <v>15</v>
      </c>
      <c r="AA7" s="126" t="s">
        <v>15</v>
      </c>
      <c r="AB7" s="126" t="s">
        <v>15</v>
      </c>
      <c r="AC7" s="366" t="s">
        <v>15</v>
      </c>
      <c r="AD7" s="73" t="str">
        <f t="shared" si="4"/>
        <v/>
      </c>
      <c r="AE7" s="367">
        <v>0.29166666666666669</v>
      </c>
      <c r="AF7" s="195">
        <v>0.5</v>
      </c>
      <c r="AG7" s="195">
        <v>0.54166666666666663</v>
      </c>
      <c r="AH7" s="368">
        <v>0.66666666666666663</v>
      </c>
      <c r="AI7" s="73">
        <f t="shared" si="3"/>
        <v>0.33333333333333331</v>
      </c>
      <c r="AJ7" s="367">
        <v>0.35416666666666669</v>
      </c>
      <c r="AK7" s="195">
        <v>0.54166666666666663</v>
      </c>
      <c r="AL7" s="195">
        <v>0.58333333333333337</v>
      </c>
      <c r="AM7" s="368">
        <v>0.72916666666666663</v>
      </c>
      <c r="AN7" s="73">
        <f t="shared" si="5"/>
        <v>0.3333333333333332</v>
      </c>
      <c r="AO7" s="28">
        <f t="shared" si="6"/>
        <v>1.6666666666666667</v>
      </c>
      <c r="AP7" s="29"/>
      <c r="AQ7" s="30"/>
      <c r="AR7" s="48"/>
    </row>
    <row r="8" spans="1:69" s="31" customFormat="1" ht="13.5" customHeight="1" x14ac:dyDescent="0.25">
      <c r="A8" s="173" t="s">
        <v>269</v>
      </c>
      <c r="B8" s="106" t="s">
        <v>173</v>
      </c>
      <c r="C8" s="141">
        <v>25</v>
      </c>
      <c r="D8" s="358" t="s">
        <v>353</v>
      </c>
      <c r="E8" s="103"/>
      <c r="F8" s="367">
        <v>0.29166666666666669</v>
      </c>
      <c r="G8" s="195">
        <v>0.5</v>
      </c>
      <c r="H8" s="195">
        <v>0.54166666666666663</v>
      </c>
      <c r="I8" s="368">
        <v>0.66666666666666663</v>
      </c>
      <c r="J8" s="73">
        <f t="shared" si="7"/>
        <v>0.33333333333333331</v>
      </c>
      <c r="K8" s="367">
        <v>0.35416666666666669</v>
      </c>
      <c r="L8" s="195">
        <v>0.54166666666666663</v>
      </c>
      <c r="M8" s="195">
        <v>0.58333333333333337</v>
      </c>
      <c r="N8" s="368">
        <v>0.72916666666666663</v>
      </c>
      <c r="O8" s="73">
        <v>0.3333333333333332</v>
      </c>
      <c r="P8" s="367">
        <v>0.29166666666666669</v>
      </c>
      <c r="Q8" s="195">
        <v>0.5</v>
      </c>
      <c r="R8" s="195">
        <v>0.54166666666666663</v>
      </c>
      <c r="S8" s="368">
        <v>0.66666666666666663</v>
      </c>
      <c r="T8" s="73">
        <f t="shared" si="2"/>
        <v>0.33333333333333331</v>
      </c>
      <c r="U8" s="371">
        <v>0.5</v>
      </c>
      <c r="V8" s="334">
        <v>0.625</v>
      </c>
      <c r="W8" s="334">
        <v>0.66666666666666663</v>
      </c>
      <c r="X8" s="372">
        <v>0.875</v>
      </c>
      <c r="Y8" s="370">
        <f t="shared" ref="Y8" si="9">IFERROR(MOD(X8-U8,1)-(W8-V8),"")</f>
        <v>0.33333333333333337</v>
      </c>
      <c r="Z8" s="364">
        <v>0.875</v>
      </c>
      <c r="AA8" s="126"/>
      <c r="AB8" s="129"/>
      <c r="AC8" s="76">
        <v>1</v>
      </c>
      <c r="AD8" s="73">
        <f t="shared" si="4"/>
        <v>0.125</v>
      </c>
      <c r="AE8" s="364">
        <v>1</v>
      </c>
      <c r="AF8" s="126">
        <v>4.1666666666666664E-2</v>
      </c>
      <c r="AG8" s="129">
        <v>0.125</v>
      </c>
      <c r="AH8" s="76">
        <v>0.29166666666666669</v>
      </c>
      <c r="AI8" s="73">
        <f t="shared" si="3"/>
        <v>0.2083333333333334</v>
      </c>
      <c r="AJ8" s="365" t="s">
        <v>15</v>
      </c>
      <c r="AK8" s="126" t="s">
        <v>15</v>
      </c>
      <c r="AL8" s="126" t="s">
        <v>15</v>
      </c>
      <c r="AM8" s="366" t="s">
        <v>15</v>
      </c>
      <c r="AN8" s="73" t="str">
        <f t="shared" si="0"/>
        <v/>
      </c>
      <c r="AO8" s="28">
        <f t="shared" si="6"/>
        <v>1.6666666666666665</v>
      </c>
      <c r="AP8" s="29"/>
      <c r="AQ8" s="30"/>
      <c r="AR8" s="48"/>
    </row>
    <row r="9" spans="1:69" s="31" customFormat="1" ht="15" customHeight="1" x14ac:dyDescent="0.25">
      <c r="A9" s="130" t="s">
        <v>291</v>
      </c>
      <c r="B9" s="369" t="s">
        <v>245</v>
      </c>
      <c r="C9" s="130">
        <v>1</v>
      </c>
      <c r="D9" s="357" t="s">
        <v>353</v>
      </c>
      <c r="E9" s="103" t="s">
        <v>85</v>
      </c>
      <c r="F9" s="364">
        <v>1</v>
      </c>
      <c r="G9" s="126">
        <v>8.3333333333333329E-2</v>
      </c>
      <c r="H9" s="129">
        <v>0.16666666666666666</v>
      </c>
      <c r="I9" s="76">
        <v>0.29166666666666669</v>
      </c>
      <c r="J9" s="73">
        <f t="shared" si="7"/>
        <v>0.20833333333333343</v>
      </c>
      <c r="K9" s="367">
        <v>0.29166666666666669</v>
      </c>
      <c r="L9" s="195">
        <v>0.5</v>
      </c>
      <c r="M9" s="195">
        <v>0.54166666666666663</v>
      </c>
      <c r="N9" s="368">
        <v>0.66666666666666663</v>
      </c>
      <c r="O9" s="73">
        <f t="shared" si="8"/>
        <v>0.33333333333333331</v>
      </c>
      <c r="P9" s="367">
        <v>0.35416666666666669</v>
      </c>
      <c r="Q9" s="195">
        <v>0.54166666666666663</v>
      </c>
      <c r="R9" s="195">
        <v>0.58333333333333337</v>
      </c>
      <c r="S9" s="368">
        <v>0.72916666666666663</v>
      </c>
      <c r="T9" s="73">
        <v>0.3333333333333332</v>
      </c>
      <c r="U9" s="367">
        <v>0.35416666666666669</v>
      </c>
      <c r="V9" s="195">
        <v>0.54166666666666663</v>
      </c>
      <c r="W9" s="195">
        <v>0.58333333333333337</v>
      </c>
      <c r="X9" s="368">
        <v>0.72916666666666663</v>
      </c>
      <c r="Y9" s="73">
        <v>0.3333333333333332</v>
      </c>
      <c r="Z9" s="371">
        <v>0.5</v>
      </c>
      <c r="AA9" s="334">
        <v>0.625</v>
      </c>
      <c r="AB9" s="334">
        <v>0.66666666666666663</v>
      </c>
      <c r="AC9" s="372">
        <v>0.875</v>
      </c>
      <c r="AD9" s="370">
        <f t="shared" si="4"/>
        <v>0.33333333333333337</v>
      </c>
      <c r="AE9" s="364">
        <v>0.875</v>
      </c>
      <c r="AF9" s="126"/>
      <c r="AG9" s="129"/>
      <c r="AH9" s="76">
        <v>1</v>
      </c>
      <c r="AI9" s="73">
        <f t="shared" si="3"/>
        <v>0.125</v>
      </c>
      <c r="AJ9" s="364">
        <v>1</v>
      </c>
      <c r="AK9" s="126">
        <v>8.3333333333333329E-2</v>
      </c>
      <c r="AL9" s="129">
        <v>0.16666666666666666</v>
      </c>
      <c r="AM9" s="76">
        <v>0.29166666666666669</v>
      </c>
      <c r="AN9" s="73">
        <f t="shared" si="0"/>
        <v>0.20833333333333343</v>
      </c>
      <c r="AO9" s="28">
        <f t="shared" si="6"/>
        <v>1.875</v>
      </c>
      <c r="AP9" s="29"/>
      <c r="AQ9" s="30"/>
      <c r="AR9" s="48"/>
    </row>
    <row r="10" spans="1:69" s="31" customFormat="1" ht="15" customHeight="1" x14ac:dyDescent="0.25">
      <c r="A10" s="193"/>
      <c r="B10" s="373" t="s">
        <v>172</v>
      </c>
      <c r="C10" s="193"/>
      <c r="D10" s="357" t="s">
        <v>353</v>
      </c>
      <c r="E10" s="194" t="s">
        <v>85</v>
      </c>
      <c r="F10" s="364">
        <v>0.875</v>
      </c>
      <c r="G10" s="126"/>
      <c r="H10" s="129"/>
      <c r="I10" s="76">
        <v>1</v>
      </c>
      <c r="J10" s="73">
        <f t="shared" si="7"/>
        <v>0.125</v>
      </c>
      <c r="K10" s="364">
        <v>1</v>
      </c>
      <c r="L10" s="126">
        <v>4.1666666666666664E-2</v>
      </c>
      <c r="M10" s="129">
        <v>0.125</v>
      </c>
      <c r="N10" s="76">
        <v>0.29166666666666669</v>
      </c>
      <c r="O10" s="73">
        <f t="shared" si="8"/>
        <v>0.2083333333333334</v>
      </c>
      <c r="P10" s="365" t="s">
        <v>15</v>
      </c>
      <c r="Q10" s="126" t="s">
        <v>15</v>
      </c>
      <c r="R10" s="126" t="s">
        <v>15</v>
      </c>
      <c r="S10" s="366" t="s">
        <v>15</v>
      </c>
      <c r="T10" s="73" t="str">
        <f t="shared" si="2"/>
        <v/>
      </c>
      <c r="U10" s="367">
        <v>0.29166666666666669</v>
      </c>
      <c r="V10" s="195">
        <v>0.5</v>
      </c>
      <c r="W10" s="195">
        <v>0.54166666666666663</v>
      </c>
      <c r="X10" s="368">
        <v>0.66666666666666663</v>
      </c>
      <c r="Y10" s="73">
        <f t="shared" ref="Y10" si="10">IFERROR(MOD(X10-U10,1)-(W10-V10),"")</f>
        <v>0.33333333333333331</v>
      </c>
      <c r="Z10" s="367">
        <v>0.35416666666666669</v>
      </c>
      <c r="AA10" s="195">
        <v>0.54166666666666663</v>
      </c>
      <c r="AB10" s="195">
        <v>0.58333333333333337</v>
      </c>
      <c r="AC10" s="368">
        <v>0.72916666666666663</v>
      </c>
      <c r="AD10" s="73">
        <f t="shared" si="4"/>
        <v>0.3333333333333332</v>
      </c>
      <c r="AE10" s="371">
        <v>0.5</v>
      </c>
      <c r="AF10" s="334">
        <v>0.625</v>
      </c>
      <c r="AG10" s="334">
        <v>0.66666666666666663</v>
      </c>
      <c r="AH10" s="372">
        <v>0.875</v>
      </c>
      <c r="AI10" s="370">
        <f t="shared" si="3"/>
        <v>0.33333333333333337</v>
      </c>
      <c r="AJ10" s="364">
        <v>0.875</v>
      </c>
      <c r="AK10" s="126"/>
      <c r="AL10" s="129"/>
      <c r="AM10" s="76">
        <v>1</v>
      </c>
      <c r="AN10" s="73">
        <f t="shared" si="0"/>
        <v>0.125</v>
      </c>
      <c r="AO10" s="28">
        <f t="shared" si="6"/>
        <v>1.4583333333333335</v>
      </c>
      <c r="AP10" s="29"/>
      <c r="AQ10" s="30"/>
      <c r="AR10" s="48"/>
    </row>
    <row r="11" spans="1:69" s="31" customFormat="1" ht="13.5" customHeight="1" x14ac:dyDescent="0.2">
      <c r="A11" s="90"/>
      <c r="B11" s="90"/>
      <c r="C11" s="90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116"/>
      <c r="AP11" s="1"/>
      <c r="AQ11" s="70"/>
    </row>
    <row r="12" spans="1:69" ht="13.5" customHeight="1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116"/>
    </row>
    <row r="13" spans="1:69" ht="13.5" customHeight="1" x14ac:dyDescent="0.2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Q13" s="70"/>
    </row>
    <row r="14" spans="1:69" x14ac:dyDescent="0.2">
      <c r="A14" s="116"/>
      <c r="B14" s="330" t="s">
        <v>512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</row>
    <row r="15" spans="1:69" ht="13.5" customHeight="1" x14ac:dyDescent="0.2">
      <c r="E15" s="117">
        <v>0.29166666666666669</v>
      </c>
      <c r="F15" s="33">
        <f t="shared" ref="F15:F20" si="11">COUNTIF(F$4:F$13,$E15)</f>
        <v>1</v>
      </c>
      <c r="K15" s="33">
        <f t="shared" ref="K15:K21" si="12">COUNTIF(K$4:K$13,$E15)</f>
        <v>1</v>
      </c>
      <c r="P15" s="33">
        <f t="shared" ref="P15:P21" si="13">COUNTIF(P$4:P$13,$E15)</f>
        <v>1</v>
      </c>
      <c r="U15" s="33">
        <f t="shared" ref="U15:U21" si="14">COUNTIF(U$4:U$13,$E15)</f>
        <v>1</v>
      </c>
      <c r="Z15" s="33">
        <f t="shared" ref="Z15:Z21" si="15">COUNTIF(Z$4:Z$13,$E15)</f>
        <v>1</v>
      </c>
      <c r="AE15" s="33">
        <f t="shared" ref="AE15:AE21" si="16">COUNTIF(AE$4:AE$13,$E15)</f>
        <v>1</v>
      </c>
      <c r="AJ15" s="33">
        <f t="shared" ref="AJ15:AJ21" si="17">COUNTIF(AJ$4:AJ$13,$E15)</f>
        <v>1</v>
      </c>
    </row>
    <row r="16" spans="1:69" ht="13.5" customHeight="1" x14ac:dyDescent="0.2">
      <c r="E16" s="117">
        <v>0.35416666666666669</v>
      </c>
      <c r="F16" s="33">
        <f t="shared" si="11"/>
        <v>1</v>
      </c>
      <c r="K16" s="33">
        <f t="shared" si="12"/>
        <v>1</v>
      </c>
      <c r="P16" s="33">
        <f t="shared" si="13"/>
        <v>1</v>
      </c>
      <c r="U16" s="33">
        <f t="shared" si="14"/>
        <v>1</v>
      </c>
      <c r="Z16" s="33">
        <f t="shared" si="15"/>
        <v>1</v>
      </c>
      <c r="AE16" s="33">
        <f t="shared" si="16"/>
        <v>1</v>
      </c>
      <c r="AJ16" s="33">
        <f t="shared" si="17"/>
        <v>1</v>
      </c>
    </row>
    <row r="17" spans="1:37" ht="13.5" customHeight="1" x14ac:dyDescent="0.2">
      <c r="E17" s="117">
        <v>0.375</v>
      </c>
      <c r="F17" s="33">
        <f t="shared" si="11"/>
        <v>0</v>
      </c>
      <c r="K17" s="33">
        <f t="shared" si="12"/>
        <v>0</v>
      </c>
      <c r="P17" s="33">
        <f t="shared" si="13"/>
        <v>0</v>
      </c>
      <c r="U17" s="33">
        <f t="shared" si="14"/>
        <v>0</v>
      </c>
      <c r="Z17" s="33">
        <f t="shared" si="15"/>
        <v>0</v>
      </c>
      <c r="AE17" s="33">
        <f t="shared" si="16"/>
        <v>0</v>
      </c>
      <c r="AJ17" s="33">
        <f t="shared" si="17"/>
        <v>0</v>
      </c>
    </row>
    <row r="18" spans="1:37" ht="13.5" customHeight="1" x14ac:dyDescent="0.2">
      <c r="E18" s="117">
        <v>0.41666666666666669</v>
      </c>
      <c r="F18" s="33">
        <f t="shared" si="11"/>
        <v>0</v>
      </c>
      <c r="K18" s="33">
        <f t="shared" si="12"/>
        <v>0</v>
      </c>
      <c r="P18" s="33">
        <f t="shared" si="13"/>
        <v>0</v>
      </c>
      <c r="U18" s="33">
        <f t="shared" si="14"/>
        <v>0</v>
      </c>
      <c r="Z18" s="33">
        <f t="shared" si="15"/>
        <v>0</v>
      </c>
      <c r="AE18" s="33">
        <f t="shared" si="16"/>
        <v>0</v>
      </c>
      <c r="AJ18" s="33">
        <f t="shared" si="17"/>
        <v>0</v>
      </c>
    </row>
    <row r="19" spans="1:37" ht="13.5" customHeight="1" x14ac:dyDescent="0.2">
      <c r="E19" s="117">
        <v>0.5</v>
      </c>
      <c r="F19" s="33">
        <f t="shared" si="11"/>
        <v>2</v>
      </c>
      <c r="K19" s="33">
        <f t="shared" si="12"/>
        <v>2</v>
      </c>
      <c r="P19" s="33">
        <f t="shared" si="13"/>
        <v>1</v>
      </c>
      <c r="U19" s="33">
        <f t="shared" si="14"/>
        <v>1</v>
      </c>
      <c r="Z19" s="33">
        <f t="shared" si="15"/>
        <v>1</v>
      </c>
      <c r="AE19" s="33">
        <f t="shared" si="16"/>
        <v>1</v>
      </c>
      <c r="AJ19" s="33">
        <f t="shared" si="17"/>
        <v>1</v>
      </c>
    </row>
    <row r="20" spans="1:37" ht="13.5" customHeight="1" x14ac:dyDescent="0.2">
      <c r="E20" s="117">
        <v>0.79166666666666663</v>
      </c>
      <c r="F20" s="33">
        <f t="shared" si="11"/>
        <v>0</v>
      </c>
      <c r="K20" s="33">
        <f t="shared" si="12"/>
        <v>0</v>
      </c>
      <c r="P20" s="33">
        <f t="shared" si="13"/>
        <v>0</v>
      </c>
      <c r="U20" s="33">
        <f t="shared" si="14"/>
        <v>0</v>
      </c>
      <c r="Z20" s="33">
        <f t="shared" si="15"/>
        <v>0</v>
      </c>
      <c r="AE20" s="33">
        <f t="shared" si="16"/>
        <v>0</v>
      </c>
      <c r="AJ20" s="33">
        <f t="shared" si="17"/>
        <v>0</v>
      </c>
    </row>
    <row r="21" spans="1:37" ht="13.5" customHeight="1" x14ac:dyDescent="0.2">
      <c r="E21" s="117">
        <v>0.875</v>
      </c>
      <c r="F21" s="33">
        <f>COUNTIF(F$4:F$13,$E21)</f>
        <v>1</v>
      </c>
      <c r="G21" s="33">
        <f>COUNTIF(H$4:H$13,$E21)</f>
        <v>0</v>
      </c>
      <c r="K21" s="33">
        <f t="shared" si="12"/>
        <v>1</v>
      </c>
      <c r="L21" s="33">
        <f>COUNTIF(M$4:M$13,$E21)</f>
        <v>0</v>
      </c>
      <c r="P21" s="33">
        <f t="shared" si="13"/>
        <v>1</v>
      </c>
      <c r="Q21" s="33">
        <f>COUNTIF(R$4:R$13,$E21)</f>
        <v>0</v>
      </c>
      <c r="U21" s="33">
        <f t="shared" si="14"/>
        <v>1</v>
      </c>
      <c r="V21" s="33">
        <f>COUNTIF(W$4:W$13,$E21)</f>
        <v>0</v>
      </c>
      <c r="Z21" s="33">
        <f t="shared" si="15"/>
        <v>1</v>
      </c>
      <c r="AA21" s="33">
        <f>COUNTIF(AB$4:AB$13,$E21)</f>
        <v>0</v>
      </c>
      <c r="AE21" s="33">
        <f t="shared" si="16"/>
        <v>1</v>
      </c>
      <c r="AF21" s="33">
        <f>COUNTIF(AG$4:AG$13,$E21)</f>
        <v>0</v>
      </c>
      <c r="AJ21" s="33">
        <f t="shared" si="17"/>
        <v>1</v>
      </c>
      <c r="AK21" s="33">
        <f>COUNTIF(AL$4:AL$13,$E21)</f>
        <v>0</v>
      </c>
    </row>
    <row r="22" spans="1:37" ht="13.5" customHeight="1" x14ac:dyDescent="0.2">
      <c r="A22" s="71"/>
      <c r="B22" s="118" t="s">
        <v>71</v>
      </c>
    </row>
    <row r="23" spans="1:37" ht="13.5" customHeight="1" x14ac:dyDescent="0.2">
      <c r="B23" s="119"/>
      <c r="E23" s="119" t="s">
        <v>28</v>
      </c>
      <c r="F23" s="33">
        <f>F15+F17+F16</f>
        <v>2</v>
      </c>
      <c r="K23" s="33">
        <f>K15+K17+K16</f>
        <v>2</v>
      </c>
      <c r="P23" s="33">
        <f>P15+P17+P16</f>
        <v>2</v>
      </c>
      <c r="U23" s="33">
        <f>U15+U17+U16</f>
        <v>2</v>
      </c>
      <c r="Z23" s="33">
        <f>Z15+Z17+Z16</f>
        <v>2</v>
      </c>
      <c r="AE23" s="33">
        <f>AE15+AE17+AE16</f>
        <v>2</v>
      </c>
      <c r="AJ23" s="33">
        <f>AJ15+AJ17+AJ16</f>
        <v>2</v>
      </c>
    </row>
    <row r="24" spans="1:37" ht="13.5" customHeight="1" x14ac:dyDescent="0.2">
      <c r="B24" s="119"/>
      <c r="E24" s="119" t="s">
        <v>31</v>
      </c>
      <c r="F24" s="33">
        <f>F18+F19</f>
        <v>2</v>
      </c>
      <c r="K24" s="33">
        <f>K18+K19</f>
        <v>2</v>
      </c>
      <c r="P24" s="33">
        <f>P18+P19</f>
        <v>1</v>
      </c>
      <c r="U24" s="33">
        <f>U18+U19</f>
        <v>1</v>
      </c>
      <c r="Z24" s="33">
        <f>Z18+Z19</f>
        <v>1</v>
      </c>
      <c r="AE24" s="33">
        <f>AE18+AE19</f>
        <v>1</v>
      </c>
      <c r="AJ24" s="33">
        <f>AJ18+AJ19</f>
        <v>1</v>
      </c>
    </row>
    <row r="25" spans="1:37" ht="13.5" customHeight="1" x14ac:dyDescent="0.2">
      <c r="B25" s="119"/>
      <c r="E25" s="119" t="s">
        <v>35</v>
      </c>
      <c r="F25" s="33">
        <f>F20+F21+G21</f>
        <v>1</v>
      </c>
      <c r="K25" s="33">
        <f>K20+K21+L21</f>
        <v>1</v>
      </c>
      <c r="P25" s="33">
        <f>P20+P21+Q21</f>
        <v>1</v>
      </c>
      <c r="U25" s="33">
        <f>U20+U21+V21</f>
        <v>1</v>
      </c>
      <c r="Z25" s="33">
        <f>Z20+Z21+AA21</f>
        <v>1</v>
      </c>
      <c r="AE25" s="33">
        <f>AE20+AE21+AF21</f>
        <v>1</v>
      </c>
      <c r="AJ25" s="33">
        <f>AJ20+AJ21+AK21</f>
        <v>1</v>
      </c>
    </row>
    <row r="30" spans="1:37" ht="13.5" customHeight="1" x14ac:dyDescent="0.2"/>
    <row r="31" spans="1:37" ht="13.5" customHeight="1" x14ac:dyDescent="0.2"/>
    <row r="32" spans="1:37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157" spans="4:12" x14ac:dyDescent="0.2">
      <c r="D157" s="1"/>
      <c r="E157" s="147" t="s">
        <v>348</v>
      </c>
      <c r="F157" s="171">
        <f>SUMIF($D4:$D149,$D$158,J4:J149)</f>
        <v>1.6666666666666667</v>
      </c>
      <c r="G157" s="171">
        <f>SUMIF($D4:$D149,$D$158,O4:O149)</f>
        <v>1.6666666666666667</v>
      </c>
      <c r="H157" s="171">
        <f>SUMIF($D4:$D149,$D$158,T4:T149)</f>
        <v>1.3333333333333333</v>
      </c>
      <c r="I157" s="171">
        <f>SUMIF($D4:$D149,$D$158,Y4:Y149)</f>
        <v>1.3333333333333333</v>
      </c>
      <c r="J157" s="171">
        <f>SUMIF($D4:$D149,$D$158,AD4:AD149)</f>
        <v>1.3333333333333333</v>
      </c>
      <c r="K157" s="171">
        <f>SUMIF($D4:$D149,$D$158,AI4:AI149)</f>
        <v>1.3333333333333333</v>
      </c>
      <c r="L157" s="171">
        <f>SUMIF($D4:$D149,$D$158,AN4:AN149)</f>
        <v>1.3333333333333335</v>
      </c>
    </row>
    <row r="158" spans="4:12" x14ac:dyDescent="0.2">
      <c r="D158" s="190" t="s">
        <v>353</v>
      </c>
      <c r="E158" s="147" t="s">
        <v>15</v>
      </c>
      <c r="F158" s="35">
        <f>COUNTIFS(F4:F149,$E$158,$D4:$D149,$D$158)</f>
        <v>0</v>
      </c>
      <c r="G158" s="35">
        <f>COUNTIFS(K4:K149,$E$158,$D4:$D149,$D$158)</f>
        <v>0</v>
      </c>
      <c r="H158" s="35">
        <f>COUNTIFS(P4:P149,$E$158,$D4:$D149,$D$158)</f>
        <v>1</v>
      </c>
      <c r="I158" s="35">
        <f>COUNTIFS(U4:U149,$E$158,$D4:$D149,$D$158)</f>
        <v>1</v>
      </c>
      <c r="J158" s="35">
        <f>COUNTIFS(Z4:Z149,$E$158,$D4:$D149,$D$158)</f>
        <v>1</v>
      </c>
      <c r="K158" s="35">
        <f>COUNTIFS(AE4:AE149,$E$158,$D4:$D149,$D$158)</f>
        <v>1</v>
      </c>
      <c r="L158" s="35">
        <f>COUNTIFS(AJ4:AJ149,$E$158,$D4:$D149,$D$158)</f>
        <v>1</v>
      </c>
    </row>
    <row r="159" spans="4:12" x14ac:dyDescent="0.2">
      <c r="D159" s="1"/>
      <c r="E159" s="147" t="s">
        <v>349</v>
      </c>
      <c r="F159" s="35">
        <f>COUNTIF(D4:D149,$D$158)</f>
        <v>7</v>
      </c>
      <c r="G159" s="35">
        <f t="shared" ref="G159:L159" si="18">F159</f>
        <v>7</v>
      </c>
      <c r="H159" s="35">
        <f t="shared" si="18"/>
        <v>7</v>
      </c>
      <c r="I159" s="35">
        <f t="shared" si="18"/>
        <v>7</v>
      </c>
      <c r="J159" s="35">
        <f t="shared" si="18"/>
        <v>7</v>
      </c>
      <c r="K159" s="35">
        <f t="shared" si="18"/>
        <v>7</v>
      </c>
      <c r="L159" s="35">
        <f t="shared" si="18"/>
        <v>7</v>
      </c>
    </row>
    <row r="160" spans="4:12" x14ac:dyDescent="0.2">
      <c r="D160" s="1"/>
      <c r="E160" s="147" t="s">
        <v>159</v>
      </c>
      <c r="F160" s="35">
        <f t="shared" ref="F160:F166" si="19">COUNTIFS(F$4:F$149,$E160,$D$4:$D$149,$D$158)</f>
        <v>0</v>
      </c>
      <c r="G160" s="35">
        <f t="shared" ref="G160:G166" si="20">COUNTIFS(K$4:K$149,$E160,$D$4:$D$149,$D$158)</f>
        <v>0</v>
      </c>
      <c r="H160" s="35">
        <f t="shared" ref="H160:H166" si="21">COUNTIFS(P$4:P$149,$E160,$D$4:$D$149,$D$158)</f>
        <v>0</v>
      </c>
      <c r="I160" s="35">
        <f>COUNTIFS(U4:U149,$E$160,$D4:$D149,$D$158)</f>
        <v>0</v>
      </c>
      <c r="J160" s="35">
        <f t="shared" ref="J160:J166" si="22">COUNTIFS(Z$4:Z$149,$E160,$D$4:$D$149,$D$158)</f>
        <v>0</v>
      </c>
      <c r="K160" s="35">
        <f t="shared" ref="K160:K166" si="23">COUNTIFS(AE$4:AE$149,$E160,$D$4:$D$149,$D$158)</f>
        <v>0</v>
      </c>
      <c r="L160" s="35">
        <f t="shared" ref="L160:L166" si="24">COUNTIFS(AJ$4:AJ$149,$E160,$D$4:$D$149,$D$158)</f>
        <v>0</v>
      </c>
    </row>
    <row r="161" spans="4:14" x14ac:dyDescent="0.2">
      <c r="D161" s="1"/>
      <c r="E161" s="147" t="s">
        <v>156</v>
      </c>
      <c r="F161" s="35">
        <f t="shared" si="19"/>
        <v>0</v>
      </c>
      <c r="G161" s="35">
        <f t="shared" si="20"/>
        <v>0</v>
      </c>
      <c r="H161" s="35">
        <f t="shared" si="21"/>
        <v>0</v>
      </c>
      <c r="I161" s="35">
        <f>COUNTIFS(U$4:U$149,$E$161,$D5:$D150,$D$158)</f>
        <v>0</v>
      </c>
      <c r="J161" s="35">
        <f t="shared" si="22"/>
        <v>0</v>
      </c>
      <c r="K161" s="35">
        <f t="shared" si="23"/>
        <v>0</v>
      </c>
      <c r="L161" s="35">
        <f t="shared" si="24"/>
        <v>0</v>
      </c>
    </row>
    <row r="162" spans="4:14" x14ac:dyDescent="0.2">
      <c r="D162" s="1"/>
      <c r="E162" s="147" t="s">
        <v>85</v>
      </c>
      <c r="F162" s="35">
        <f t="shared" si="19"/>
        <v>0</v>
      </c>
      <c r="G162" s="35">
        <f t="shared" si="20"/>
        <v>0</v>
      </c>
      <c r="H162" s="35">
        <f t="shared" si="21"/>
        <v>0</v>
      </c>
      <c r="I162" s="35">
        <f>COUNTIFS(U$4:U$149,$E$162,$D6:$D151,$D$158)</f>
        <v>0</v>
      </c>
      <c r="J162" s="35">
        <f t="shared" si="22"/>
        <v>0</v>
      </c>
      <c r="K162" s="35">
        <f t="shared" si="23"/>
        <v>0</v>
      </c>
      <c r="L162" s="35">
        <f t="shared" si="24"/>
        <v>0</v>
      </c>
    </row>
    <row r="163" spans="4:14" x14ac:dyDescent="0.2">
      <c r="D163" s="1"/>
      <c r="E163" s="147" t="s">
        <v>343</v>
      </c>
      <c r="F163" s="35">
        <f t="shared" si="19"/>
        <v>0</v>
      </c>
      <c r="G163" s="35">
        <f t="shared" si="20"/>
        <v>0</v>
      </c>
      <c r="H163" s="35">
        <f t="shared" si="21"/>
        <v>0</v>
      </c>
      <c r="I163" s="35">
        <f>COUNTIFS(U$4:U$149,$E$163,$D$4:$D$149,$D$158)</f>
        <v>0</v>
      </c>
      <c r="J163" s="35">
        <f t="shared" si="22"/>
        <v>0</v>
      </c>
      <c r="K163" s="35">
        <f t="shared" si="23"/>
        <v>0</v>
      </c>
      <c r="L163" s="35">
        <f t="shared" si="24"/>
        <v>0</v>
      </c>
    </row>
    <row r="164" spans="4:14" x14ac:dyDescent="0.2">
      <c r="D164" s="1"/>
      <c r="E164" s="147" t="s">
        <v>344</v>
      </c>
      <c r="F164" s="35">
        <f t="shared" si="19"/>
        <v>0</v>
      </c>
      <c r="G164" s="35">
        <f t="shared" si="20"/>
        <v>0</v>
      </c>
      <c r="H164" s="35">
        <f t="shared" si="21"/>
        <v>0</v>
      </c>
      <c r="I164" s="35">
        <f>COUNTIFS(U$4:U$149,$E164,$D$4:$D$149,$D$158)</f>
        <v>0</v>
      </c>
      <c r="J164" s="35">
        <f t="shared" si="22"/>
        <v>0</v>
      </c>
      <c r="K164" s="35">
        <f t="shared" si="23"/>
        <v>0</v>
      </c>
      <c r="L164" s="35">
        <f t="shared" si="24"/>
        <v>0</v>
      </c>
    </row>
    <row r="165" spans="4:14" x14ac:dyDescent="0.2">
      <c r="D165" s="1"/>
      <c r="E165" s="147" t="s">
        <v>325</v>
      </c>
      <c r="F165" s="35">
        <f t="shared" si="19"/>
        <v>0</v>
      </c>
      <c r="G165" s="35">
        <f t="shared" si="20"/>
        <v>0</v>
      </c>
      <c r="H165" s="35">
        <f t="shared" si="21"/>
        <v>0</v>
      </c>
      <c r="I165" s="35">
        <f>COUNTIFS(U$4:U$149,$E165,$D$4:$D$149,$D$158)</f>
        <v>0</v>
      </c>
      <c r="J165" s="35">
        <f t="shared" si="22"/>
        <v>0</v>
      </c>
      <c r="K165" s="35">
        <f t="shared" si="23"/>
        <v>0</v>
      </c>
      <c r="L165" s="35">
        <f t="shared" si="24"/>
        <v>0</v>
      </c>
    </row>
    <row r="166" spans="4:14" x14ac:dyDescent="0.2">
      <c r="D166" s="1"/>
      <c r="E166" s="147" t="s">
        <v>165</v>
      </c>
      <c r="F166" s="35">
        <f t="shared" si="19"/>
        <v>1</v>
      </c>
      <c r="G166" s="35">
        <f t="shared" si="20"/>
        <v>1</v>
      </c>
      <c r="H166" s="35">
        <f t="shared" si="21"/>
        <v>1</v>
      </c>
      <c r="I166" s="35">
        <f>COUNTIFS(U$4:U$149,$E166,$D$4:$D$149,$D$158)</f>
        <v>1</v>
      </c>
      <c r="J166" s="35">
        <f t="shared" si="22"/>
        <v>1</v>
      </c>
      <c r="K166" s="35">
        <f t="shared" si="23"/>
        <v>1</v>
      </c>
      <c r="L166" s="35">
        <f t="shared" si="24"/>
        <v>1</v>
      </c>
    </row>
    <row r="167" spans="4:14" x14ac:dyDescent="0.2">
      <c r="D167" s="1"/>
      <c r="E167" s="1"/>
      <c r="F167" s="1"/>
      <c r="G167" s="1"/>
      <c r="H167" s="1"/>
      <c r="I167" s="1"/>
      <c r="J167" s="1"/>
      <c r="K167" s="1"/>
      <c r="L167" s="1"/>
    </row>
    <row r="168" spans="4:14" x14ac:dyDescent="0.2">
      <c r="D168" s="1"/>
      <c r="E168" s="110" t="s">
        <v>350</v>
      </c>
      <c r="F168" s="35">
        <f>F162+F165+F161</f>
        <v>0</v>
      </c>
      <c r="G168" s="35">
        <f t="shared" ref="G168:L168" si="25">G162+G165+G161</f>
        <v>0</v>
      </c>
      <c r="H168" s="35">
        <f t="shared" si="25"/>
        <v>0</v>
      </c>
      <c r="I168" s="35">
        <f t="shared" si="25"/>
        <v>0</v>
      </c>
      <c r="J168" s="35">
        <f t="shared" si="25"/>
        <v>0</v>
      </c>
      <c r="K168" s="35">
        <f t="shared" si="25"/>
        <v>0</v>
      </c>
      <c r="L168" s="35">
        <f t="shared" si="25"/>
        <v>0</v>
      </c>
    </row>
    <row r="169" spans="4:14" x14ac:dyDescent="0.2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</sheetData>
  <autoFilter ref="F3:AN10" xr:uid="{00000000-0009-0000-0000-000005000000}"/>
  <mergeCells count="7">
    <mergeCell ref="AJ1:AN1"/>
    <mergeCell ref="F1:J1"/>
    <mergeCell ref="K1:O1"/>
    <mergeCell ref="P1:T1"/>
    <mergeCell ref="U1:Y1"/>
    <mergeCell ref="Z1:AD1"/>
    <mergeCell ref="AE1:AI1"/>
  </mergeCells>
  <phoneticPr fontId="17" type="noConversion"/>
  <conditionalFormatting sqref="F5:F10">
    <cfRule type="containsText" dxfId="336" priority="25" operator="containsText" text="Alerte">
      <formula>NOT(ISERROR(SEARCH("Alerte",F5)))</formula>
    </cfRule>
  </conditionalFormatting>
  <conditionalFormatting sqref="F23">
    <cfRule type="colorScale" priority="316">
      <colorScale>
        <cfvo type="min"/>
        <cfvo type="max"/>
        <color rgb="FFFFEF9C"/>
        <color rgb="FF63BE7B"/>
      </colorScale>
    </cfRule>
  </conditionalFormatting>
  <conditionalFormatting sqref="F24:F25">
    <cfRule type="colorScale" priority="302">
      <colorScale>
        <cfvo type="min"/>
        <cfvo type="max"/>
        <color rgb="FFFFEF9C"/>
        <color rgb="FF63BE7B"/>
      </colorScale>
    </cfRule>
  </conditionalFormatting>
  <conditionalFormatting sqref="F4:I4 K4:N4 P4:S4 U4:X4 Z4:AC4 AE4:AH4 AJ4:AM4">
    <cfRule type="containsText" dxfId="335" priority="279" operator="containsText" text="Alerte">
      <formula>NOT(ISERROR(SEARCH("Alerte",F4)))</formula>
    </cfRule>
  </conditionalFormatting>
  <conditionalFormatting sqref="J4:J10">
    <cfRule type="cellIs" dxfId="334" priority="26" operator="lessThan">
      <formula>0.333333333333333</formula>
    </cfRule>
    <cfRule type="cellIs" dxfId="333" priority="27" operator="greaterThan">
      <formula>0.333333333333333</formula>
    </cfRule>
  </conditionalFormatting>
  <conditionalFormatting sqref="K5:K10">
    <cfRule type="containsText" dxfId="332" priority="13" operator="containsText" text="Alerte">
      <formula>NOT(ISERROR(SEARCH("Alerte",K5)))</formula>
    </cfRule>
  </conditionalFormatting>
  <conditionalFormatting sqref="K23">
    <cfRule type="colorScale" priority="310">
      <colorScale>
        <cfvo type="min"/>
        <cfvo type="max"/>
        <color rgb="FFFFEF9C"/>
        <color rgb="FF63BE7B"/>
      </colorScale>
    </cfRule>
  </conditionalFormatting>
  <conditionalFormatting sqref="K24">
    <cfRule type="colorScale" priority="304">
      <colorScale>
        <cfvo type="min"/>
        <cfvo type="max"/>
        <color rgb="FFFFEF9C"/>
        <color rgb="FF63BE7B"/>
      </colorScale>
    </cfRule>
  </conditionalFormatting>
  <conditionalFormatting sqref="K25">
    <cfRule type="colorScale" priority="150">
      <colorScale>
        <cfvo type="min"/>
        <cfvo type="max"/>
        <color rgb="FFFFEF9C"/>
        <color rgb="FF63BE7B"/>
      </colorScale>
    </cfRule>
  </conditionalFormatting>
  <conditionalFormatting sqref="O4:O10">
    <cfRule type="cellIs" dxfId="331" priority="14" operator="lessThan">
      <formula>0.333333333333333</formula>
    </cfRule>
    <cfRule type="cellIs" dxfId="330" priority="15" operator="greaterThan">
      <formula>0.333333333333333</formula>
    </cfRule>
  </conditionalFormatting>
  <conditionalFormatting sqref="P5:P10">
    <cfRule type="containsText" dxfId="329" priority="1" operator="containsText" text="Alerte">
      <formula>NOT(ISERROR(SEARCH("Alerte",P5)))</formula>
    </cfRule>
  </conditionalFormatting>
  <conditionalFormatting sqref="P23">
    <cfRule type="colorScale" priority="309">
      <colorScale>
        <cfvo type="min"/>
        <cfvo type="max"/>
        <color rgb="FFFFEF9C"/>
        <color rgb="FF63BE7B"/>
      </colorScale>
    </cfRule>
  </conditionalFormatting>
  <conditionalFormatting sqref="P24">
    <cfRule type="colorScale" priority="303">
      <colorScale>
        <cfvo type="min"/>
        <cfvo type="max"/>
        <color rgb="FFFFEF9C"/>
        <color rgb="FF63BE7B"/>
      </colorScale>
    </cfRule>
  </conditionalFormatting>
  <conditionalFormatting sqref="P25">
    <cfRule type="colorScale" priority="149">
      <colorScale>
        <cfvo type="min"/>
        <cfvo type="max"/>
        <color rgb="FFFFEF9C"/>
        <color rgb="FF63BE7B"/>
      </colorScale>
    </cfRule>
  </conditionalFormatting>
  <conditionalFormatting sqref="T4:T10">
    <cfRule type="cellIs" dxfId="328" priority="2" operator="lessThan">
      <formula>0.333333333333333</formula>
    </cfRule>
    <cfRule type="cellIs" dxfId="327" priority="3" operator="greaterThan">
      <formula>0.333333333333333</formula>
    </cfRule>
  </conditionalFormatting>
  <conditionalFormatting sqref="U5:U7">
    <cfRule type="containsText" dxfId="326" priority="87" operator="containsText" text="Alerte">
      <formula>NOT(ISERROR(SEARCH("Alerte",U5)))</formula>
    </cfRule>
  </conditionalFormatting>
  <conditionalFormatting sqref="U9:U10">
    <cfRule type="containsText" dxfId="325" priority="71" operator="containsText" text="Alerte">
      <formula>NOT(ISERROR(SEARCH("Alerte",U9)))</formula>
    </cfRule>
  </conditionalFormatting>
  <conditionalFormatting sqref="U23">
    <cfRule type="colorScale" priority="308">
      <colorScale>
        <cfvo type="min"/>
        <cfvo type="max"/>
        <color rgb="FFFFEF9C"/>
        <color rgb="FF63BE7B"/>
      </colorScale>
    </cfRule>
  </conditionalFormatting>
  <conditionalFormatting sqref="U24">
    <cfRule type="colorScale" priority="314">
      <colorScale>
        <cfvo type="min"/>
        <cfvo type="max"/>
        <color rgb="FFFFEF9C"/>
        <color rgb="FF63BE7B"/>
      </colorScale>
    </cfRule>
  </conditionalFormatting>
  <conditionalFormatting sqref="U25">
    <cfRule type="colorScale" priority="148">
      <colorScale>
        <cfvo type="min"/>
        <cfvo type="max"/>
        <color rgb="FFFFEF9C"/>
        <color rgb="FF63BE7B"/>
      </colorScale>
    </cfRule>
  </conditionalFormatting>
  <conditionalFormatting sqref="U8:X8">
    <cfRule type="containsText" dxfId="324" priority="184" operator="containsText" text="Alerte">
      <formula>NOT(ISERROR(SEARCH("Alerte",U8)))</formula>
    </cfRule>
  </conditionalFormatting>
  <conditionalFormatting sqref="Y4:Y10">
    <cfRule type="cellIs" dxfId="323" priority="72" operator="lessThan">
      <formula>0.333333333333333</formula>
    </cfRule>
    <cfRule type="cellIs" dxfId="322" priority="73" operator="greaterThan">
      <formula>0.333333333333333</formula>
    </cfRule>
  </conditionalFormatting>
  <conditionalFormatting sqref="Z5:Z10">
    <cfRule type="containsText" dxfId="321" priority="63" operator="containsText" text="Alerte">
      <formula>NOT(ISERROR(SEARCH("Alerte",Z5)))</formula>
    </cfRule>
  </conditionalFormatting>
  <conditionalFormatting sqref="Z23">
    <cfRule type="colorScale" priority="307">
      <colorScale>
        <cfvo type="min"/>
        <cfvo type="max"/>
        <color rgb="FFFFEF9C"/>
        <color rgb="FF63BE7B"/>
      </colorScale>
    </cfRule>
  </conditionalFormatting>
  <conditionalFormatting sqref="Z24">
    <cfRule type="colorScale" priority="313">
      <colorScale>
        <cfvo type="min"/>
        <cfvo type="max"/>
        <color rgb="FFFFEF9C"/>
        <color rgb="FF63BE7B"/>
      </colorScale>
    </cfRule>
  </conditionalFormatting>
  <conditionalFormatting sqref="Z25">
    <cfRule type="colorScale" priority="147">
      <colorScale>
        <cfvo type="min"/>
        <cfvo type="max"/>
        <color rgb="FFFFEF9C"/>
        <color rgb="FF63BE7B"/>
      </colorScale>
    </cfRule>
  </conditionalFormatting>
  <conditionalFormatting sqref="Z8:AC9">
    <cfRule type="containsText" dxfId="320" priority="199" operator="containsText" text="Alerte">
      <formula>NOT(ISERROR(SEARCH("Alerte",Z8)))</formula>
    </cfRule>
  </conditionalFormatting>
  <conditionalFormatting sqref="AD4:AD10">
    <cfRule type="cellIs" dxfId="319" priority="69" operator="lessThan">
      <formula>0.333333333333333</formula>
    </cfRule>
    <cfRule type="cellIs" dxfId="318" priority="70" operator="greaterThan">
      <formula>0.333333333333333</formula>
    </cfRule>
  </conditionalFormatting>
  <conditionalFormatting sqref="AE5:AE10">
    <cfRule type="containsText" dxfId="317" priority="59" operator="containsText" text="Alerte">
      <formula>NOT(ISERROR(SEARCH("Alerte",AE5)))</formula>
    </cfRule>
  </conditionalFormatting>
  <conditionalFormatting sqref="AE23">
    <cfRule type="colorScale" priority="306">
      <colorScale>
        <cfvo type="min"/>
        <cfvo type="max"/>
        <color rgb="FFFFEF9C"/>
        <color rgb="FF63BE7B"/>
      </colorScale>
    </cfRule>
  </conditionalFormatting>
  <conditionalFormatting sqref="AE24">
    <cfRule type="colorScale" priority="312">
      <colorScale>
        <cfvo type="min"/>
        <cfvo type="max"/>
        <color rgb="FFFFEF9C"/>
        <color rgb="FF63BE7B"/>
      </colorScale>
    </cfRule>
  </conditionalFormatting>
  <conditionalFormatting sqref="AE25">
    <cfRule type="colorScale" priority="146">
      <colorScale>
        <cfvo type="min"/>
        <cfvo type="max"/>
        <color rgb="FFFFEF9C"/>
        <color rgb="FF63BE7B"/>
      </colorScale>
    </cfRule>
  </conditionalFormatting>
  <conditionalFormatting sqref="AE9:AH10">
    <cfRule type="containsText" dxfId="316" priority="198" operator="containsText" text="Alerte">
      <formula>NOT(ISERROR(SEARCH("Alerte",AE9)))</formula>
    </cfRule>
  </conditionalFormatting>
  <conditionalFormatting sqref="AI4:AI10">
    <cfRule type="cellIs" dxfId="315" priority="106" operator="lessThan">
      <formula>0.333333333333333</formula>
    </cfRule>
    <cfRule type="cellIs" dxfId="314" priority="107" operator="greaterThan">
      <formula>0.333333333333333</formula>
    </cfRule>
  </conditionalFormatting>
  <conditionalFormatting sqref="AJ5:AJ10">
    <cfRule type="containsText" dxfId="313" priority="49" operator="containsText" text="Alerte">
      <formula>NOT(ISERROR(SEARCH("Alerte",AJ5)))</formula>
    </cfRule>
  </conditionalFormatting>
  <conditionalFormatting sqref="AJ23">
    <cfRule type="colorScale" priority="305">
      <colorScale>
        <cfvo type="min"/>
        <cfvo type="max"/>
        <color rgb="FFFFEF9C"/>
        <color rgb="FF63BE7B"/>
      </colorScale>
    </cfRule>
  </conditionalFormatting>
  <conditionalFormatting sqref="AJ24">
    <cfRule type="colorScale" priority="311">
      <colorScale>
        <cfvo type="min"/>
        <cfvo type="max"/>
        <color rgb="FFFFEF9C"/>
        <color rgb="FF63BE7B"/>
      </colorScale>
    </cfRule>
  </conditionalFormatting>
  <conditionalFormatting sqref="AJ25">
    <cfRule type="colorScale" priority="145">
      <colorScale>
        <cfvo type="min"/>
        <cfvo type="max"/>
        <color rgb="FFFFEF9C"/>
        <color rgb="FF63BE7B"/>
      </colorScale>
    </cfRule>
  </conditionalFormatting>
  <conditionalFormatting sqref="AN4:AN10">
    <cfRule type="cellIs" dxfId="312" priority="50" operator="lessThan">
      <formula>0.333333333333333</formula>
    </cfRule>
    <cfRule type="cellIs" dxfId="311" priority="51" operator="greaterThan">
      <formula>0.333333333333333</formula>
    </cfRule>
  </conditionalFormatting>
  <conditionalFormatting sqref="AO4:AO10">
    <cfRule type="cellIs" dxfId="310" priority="296" operator="lessThan">
      <formula>1.66666666666667</formula>
    </cfRule>
    <cfRule type="cellIs" dxfId="309" priority="297" operator="greaterThan">
      <formula>1.66666666666667</formula>
    </cfRule>
  </conditionalFormatting>
  <conditionalFormatting sqref="AQ4:AQ10">
    <cfRule type="containsText" dxfId="308" priority="315" operator="containsText" text="Alerte">
      <formula>NOT(ISERROR(SEARCH("Alerte",AQ4)))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8">
    <tabColor rgb="FF00B0F0"/>
  </sheetPr>
  <dimension ref="A1:BT170"/>
  <sheetViews>
    <sheetView zoomScale="80" zoomScaleNormal="80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AE9" sqref="AE9"/>
    </sheetView>
  </sheetViews>
  <sheetFormatPr baseColWidth="10" defaultRowHeight="14.25" customHeight="1" x14ac:dyDescent="0.25"/>
  <cols>
    <col min="1" max="1" width="7.7109375" hidden="1" customWidth="1"/>
    <col min="2" max="2" width="33" bestFit="1" customWidth="1"/>
    <col min="3" max="3" width="5.5703125" hidden="1" customWidth="1"/>
    <col min="4" max="4" width="7.42578125" bestFit="1" customWidth="1"/>
    <col min="5" max="5" width="11.42578125" bestFit="1" customWidth="1"/>
    <col min="6" max="6" width="9.5703125" customWidth="1"/>
    <col min="7" max="7" width="6.42578125" bestFit="1" customWidth="1"/>
    <col min="8" max="8" width="8.7109375" bestFit="1" customWidth="1"/>
    <col min="9" max="9" width="8.42578125" customWidth="1"/>
    <col min="10" max="10" width="11.5703125" bestFit="1" customWidth="1"/>
    <col min="11" max="11" width="9.7109375" customWidth="1"/>
    <col min="12" max="12" width="6.42578125" bestFit="1" customWidth="1"/>
    <col min="13" max="13" width="8.7109375" bestFit="1" customWidth="1"/>
    <col min="14" max="14" width="10.140625" bestFit="1" customWidth="1"/>
    <col min="15" max="15" width="11.5703125" bestFit="1" customWidth="1"/>
    <col min="16" max="16" width="9.42578125" customWidth="1"/>
    <col min="17" max="17" width="6.42578125" bestFit="1" customWidth="1"/>
    <col min="18" max="18" width="8.7109375" bestFit="1" customWidth="1"/>
    <col min="19" max="19" width="10.140625" bestFit="1" customWidth="1"/>
    <col min="20" max="20" width="11.5703125" bestFit="1" customWidth="1"/>
    <col min="21" max="21" width="9.42578125" customWidth="1"/>
    <col min="22" max="22" width="6.42578125" bestFit="1" customWidth="1"/>
    <col min="23" max="23" width="8.7109375" bestFit="1" customWidth="1"/>
    <col min="24" max="24" width="10.140625" bestFit="1" customWidth="1"/>
    <col min="25" max="25" width="11.5703125" bestFit="1" customWidth="1"/>
    <col min="26" max="26" width="9.7109375" customWidth="1"/>
    <col min="27" max="27" width="6.42578125" bestFit="1" customWidth="1"/>
    <col min="28" max="28" width="8.7109375" bestFit="1" customWidth="1"/>
    <col min="29" max="29" width="10.140625" bestFit="1" customWidth="1"/>
    <col min="30" max="30" width="11.5703125" bestFit="1" customWidth="1"/>
    <col min="31" max="31" width="9.42578125" customWidth="1"/>
    <col min="32" max="32" width="6.42578125" bestFit="1" customWidth="1"/>
    <col min="33" max="33" width="8.7109375" bestFit="1" customWidth="1"/>
    <col min="34" max="34" width="10.140625" bestFit="1" customWidth="1"/>
    <col min="35" max="35" width="11.5703125" bestFit="1" customWidth="1"/>
    <col min="36" max="36" width="9.5703125" customWidth="1"/>
    <col min="37" max="37" width="6.42578125" bestFit="1" customWidth="1"/>
    <col min="38" max="38" width="8.7109375" bestFit="1" customWidth="1"/>
    <col min="39" max="39" width="10.140625" bestFit="1" customWidth="1"/>
    <col min="40" max="40" width="11.5703125" bestFit="1" customWidth="1"/>
    <col min="41" max="41" width="11.5703125" customWidth="1"/>
  </cols>
  <sheetData>
    <row r="1" spans="1:72" s="4" customFormat="1" ht="17.25" customHeight="1" thickBot="1" x14ac:dyDescent="0.25">
      <c r="B1" s="51" t="str">
        <f>"S"&amp;_xlfn.ISOWEEKNUM(F1)</f>
        <v>S18</v>
      </c>
      <c r="C1" s="1"/>
      <c r="D1" s="1"/>
      <c r="E1" s="1"/>
      <c r="F1" s="529">
        <f>'[2]S&amp;E'!H3</f>
        <v>46139</v>
      </c>
      <c r="G1" s="530"/>
      <c r="H1" s="530"/>
      <c r="I1" s="530"/>
      <c r="J1" s="531"/>
      <c r="K1" s="532">
        <f>F1+1</f>
        <v>46140</v>
      </c>
      <c r="L1" s="533"/>
      <c r="M1" s="533"/>
      <c r="N1" s="533"/>
      <c r="O1" s="534"/>
      <c r="P1" s="532">
        <f>K1+1</f>
        <v>46141</v>
      </c>
      <c r="Q1" s="533"/>
      <c r="R1" s="533"/>
      <c r="S1" s="533"/>
      <c r="T1" s="534"/>
      <c r="U1" s="532">
        <f>P1+1</f>
        <v>46142</v>
      </c>
      <c r="V1" s="533"/>
      <c r="W1" s="533"/>
      <c r="X1" s="533"/>
      <c r="Y1" s="534"/>
      <c r="Z1" s="532">
        <f>U1+1</f>
        <v>46143</v>
      </c>
      <c r="AA1" s="533"/>
      <c r="AB1" s="533"/>
      <c r="AC1" s="533"/>
      <c r="AD1" s="534"/>
      <c r="AE1" s="526">
        <f>Z1+1</f>
        <v>46144</v>
      </c>
      <c r="AF1" s="527"/>
      <c r="AG1" s="527"/>
      <c r="AH1" s="527"/>
      <c r="AI1" s="528"/>
      <c r="AJ1" s="526">
        <f>AE1+1</f>
        <v>46145</v>
      </c>
      <c r="AK1" s="527"/>
      <c r="AL1" s="527"/>
      <c r="AM1" s="527"/>
      <c r="AN1" s="528"/>
      <c r="AO1" s="2">
        <v>1.6666666666666665</v>
      </c>
      <c r="AP1" s="3">
        <f>AO2/AO1</f>
        <v>12.875</v>
      </c>
      <c r="BT1" s="4" t="s">
        <v>0</v>
      </c>
    </row>
    <row r="2" spans="1:72" s="1" customFormat="1" ht="14.25" customHeight="1" thickTop="1" thickBot="1" x14ac:dyDescent="0.25">
      <c r="F2" s="5" t="s">
        <v>1</v>
      </c>
      <c r="G2" s="6">
        <f>J2/"8:00:00"</f>
        <v>9.8750000000000018</v>
      </c>
      <c r="H2" s="7">
        <f>J2/$AO$2</f>
        <v>0.15339805825242719</v>
      </c>
      <c r="I2" s="8" t="s">
        <v>0</v>
      </c>
      <c r="J2" s="9">
        <f>SUM(J4:J44)</f>
        <v>3.291666666666667</v>
      </c>
      <c r="K2" s="5" t="s">
        <v>1</v>
      </c>
      <c r="L2" s="6">
        <f>O2/"8:00:00"</f>
        <v>9.875</v>
      </c>
      <c r="M2" s="7">
        <f>O2/$AO$2</f>
        <v>0.15339805825242719</v>
      </c>
      <c r="N2" s="8" t="s">
        <v>2</v>
      </c>
      <c r="O2" s="9">
        <f>SUM(O4:O44)</f>
        <v>3.2916666666666665</v>
      </c>
      <c r="P2" s="5" t="s">
        <v>1</v>
      </c>
      <c r="Q2" s="6">
        <f>T2/"8:00:00"</f>
        <v>8</v>
      </c>
      <c r="R2" s="7">
        <f>T2/$AO$2</f>
        <v>0.12427184466019417</v>
      </c>
      <c r="S2" s="8" t="s">
        <v>2</v>
      </c>
      <c r="T2" s="9">
        <f>SUM(T4:T44)</f>
        <v>2.6666666666666665</v>
      </c>
      <c r="U2" s="5" t="s">
        <v>1</v>
      </c>
      <c r="V2" s="6">
        <f>Y2/"8:00:00"</f>
        <v>10.000000000000002</v>
      </c>
      <c r="W2" s="7">
        <f>Y2/$AO$2</f>
        <v>0.15533980582524273</v>
      </c>
      <c r="X2" s="8" t="s">
        <v>2</v>
      </c>
      <c r="Y2" s="9">
        <f>SUM(Y4:Y44)</f>
        <v>3.3333333333333335</v>
      </c>
      <c r="Z2" s="5" t="s">
        <v>1</v>
      </c>
      <c r="AA2" s="6">
        <f>AD2/"8:00:00"</f>
        <v>9.8749999999999982</v>
      </c>
      <c r="AB2" s="7">
        <f>AD2/$AO$2</f>
        <v>0.15339805825242717</v>
      </c>
      <c r="AC2" s="8" t="s">
        <v>2</v>
      </c>
      <c r="AD2" s="9">
        <f>SUM(AD4:AD44)</f>
        <v>3.2916666666666661</v>
      </c>
      <c r="AE2" s="5" t="s">
        <v>1</v>
      </c>
      <c r="AF2" s="6">
        <f>AI2/"8:00:00"</f>
        <v>8.875</v>
      </c>
      <c r="AG2" s="7">
        <f>AI2/$AO$2</f>
        <v>0.13786407766990291</v>
      </c>
      <c r="AH2" s="8" t="s">
        <v>2</v>
      </c>
      <c r="AI2" s="9">
        <f>SUM(AI4:AI44)</f>
        <v>2.958333333333333</v>
      </c>
      <c r="AJ2" s="5" t="s">
        <v>1</v>
      </c>
      <c r="AK2" s="6">
        <f>AN2/"8:00:00"</f>
        <v>7.875</v>
      </c>
      <c r="AL2" s="7">
        <f>AN2/$AO$2</f>
        <v>0.12233009708737864</v>
      </c>
      <c r="AM2" s="8" t="s">
        <v>2</v>
      </c>
      <c r="AN2" s="9">
        <f>SUM(AN4:AN44)</f>
        <v>2.625</v>
      </c>
      <c r="AO2" s="9">
        <f>SUM(AO4:AO44)</f>
        <v>21.458333333333332</v>
      </c>
      <c r="AP2" s="9" t="s">
        <v>3</v>
      </c>
      <c r="AQ2" s="10" t="s">
        <v>4</v>
      </c>
      <c r="AT2" s="11">
        <v>0.33333333333333331</v>
      </c>
      <c r="AW2" s="12">
        <v>1.6666666666666667</v>
      </c>
    </row>
    <row r="3" spans="1:72" s="26" customFormat="1" ht="14.25" customHeight="1" thickBot="1" x14ac:dyDescent="0.3">
      <c r="A3" s="13" t="s">
        <v>247</v>
      </c>
      <c r="B3" s="14" t="s">
        <v>6</v>
      </c>
      <c r="C3" s="15" t="s">
        <v>5</v>
      </c>
      <c r="D3" s="16" t="s">
        <v>8</v>
      </c>
      <c r="E3" s="16" t="s">
        <v>9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  <c r="AP3" s="24" t="s">
        <v>3</v>
      </c>
      <c r="AQ3" s="25"/>
      <c r="AR3" s="53" t="s">
        <v>14</v>
      </c>
      <c r="AS3" s="54"/>
      <c r="AT3" s="55"/>
    </row>
    <row r="4" spans="1:72" s="31" customFormat="1" ht="14.25" customHeight="1" x14ac:dyDescent="0.2">
      <c r="A4" s="59" t="s">
        <v>292</v>
      </c>
      <c r="B4" s="421" t="s">
        <v>36</v>
      </c>
      <c r="C4" s="59">
        <v>1</v>
      </c>
      <c r="D4" s="312" t="s">
        <v>30</v>
      </c>
      <c r="E4" s="320"/>
      <c r="F4" s="165">
        <v>0.29166666666666669</v>
      </c>
      <c r="G4" s="180">
        <v>0.5</v>
      </c>
      <c r="H4" s="180">
        <v>0.54166666666666663</v>
      </c>
      <c r="I4" s="166">
        <v>0.66666666666666663</v>
      </c>
      <c r="J4" s="73">
        <f t="shared" ref="J4:J9" si="0">IFERROR(MOD(I4-F4,1)-(H4-G4),"")</f>
        <v>0.33333333333333331</v>
      </c>
      <c r="K4" s="165">
        <v>0.29166666666666669</v>
      </c>
      <c r="L4" s="180">
        <v>0.5</v>
      </c>
      <c r="M4" s="180">
        <v>0.54166666666666663</v>
      </c>
      <c r="N4" s="166">
        <v>0.66666666666666663</v>
      </c>
      <c r="O4" s="73">
        <f t="shared" ref="O4" si="1">IFERROR(MOD(N4-K4,1)-(M4-L4),"")</f>
        <v>0.33333333333333331</v>
      </c>
      <c r="P4" s="165">
        <v>0.5</v>
      </c>
      <c r="Q4" s="180">
        <v>0.625</v>
      </c>
      <c r="R4" s="180">
        <v>0.66666666666666663</v>
      </c>
      <c r="S4" s="166">
        <v>0.875</v>
      </c>
      <c r="T4" s="73">
        <f t="shared" ref="T4:T10" si="2">IFERROR(MOD(S4-P4,1)-(R4-Q4),"")</f>
        <v>0.33333333333333337</v>
      </c>
      <c r="U4" s="165">
        <v>0.5</v>
      </c>
      <c r="V4" s="180">
        <v>0.625</v>
      </c>
      <c r="W4" s="180">
        <v>0.66666666666666663</v>
      </c>
      <c r="X4" s="166">
        <v>0.875</v>
      </c>
      <c r="Y4" s="73">
        <f t="shared" ref="Y4:Y17" si="3">IFERROR(MOD(X4-U4,1)-(W4-V4),"")</f>
        <v>0.33333333333333337</v>
      </c>
      <c r="Z4" s="165">
        <v>0.5</v>
      </c>
      <c r="AA4" s="180">
        <v>0.625</v>
      </c>
      <c r="AB4" s="180">
        <v>0.66666666666666663</v>
      </c>
      <c r="AC4" s="166">
        <v>0.875</v>
      </c>
      <c r="AD4" s="73">
        <f t="shared" ref="AD4" si="4">IFERROR(MOD(AC4-Z4,1)-(AB4-AA4),"")</f>
        <v>0.33333333333333337</v>
      </c>
      <c r="AE4" s="75" t="s">
        <v>15</v>
      </c>
      <c r="AF4" s="180" t="s">
        <v>15</v>
      </c>
      <c r="AG4" s="180" t="s">
        <v>15</v>
      </c>
      <c r="AH4" s="75" t="s">
        <v>15</v>
      </c>
      <c r="AI4" s="73" t="str">
        <f t="shared" ref="AI4:AI17" si="5">IFERROR(MOD(AH4-AE4,1)-(AG4-AF4),"")</f>
        <v/>
      </c>
      <c r="AJ4" s="75" t="s">
        <v>15</v>
      </c>
      <c r="AK4" s="180" t="s">
        <v>15</v>
      </c>
      <c r="AL4" s="180" t="s">
        <v>15</v>
      </c>
      <c r="AM4" s="75" t="s">
        <v>15</v>
      </c>
      <c r="AN4" s="73" t="str">
        <f t="shared" ref="AN4" si="6">IFERROR(MOD(AM4-AJ4,1)-(AL4-AK4),"")</f>
        <v/>
      </c>
      <c r="AO4" s="28">
        <f t="shared" ref="AO4:AO15" si="7">SUM(J4,O4,T4,Y4,AD4,AI4,AN4)</f>
        <v>1.666666666666667</v>
      </c>
      <c r="AP4" s="29"/>
      <c r="AQ4" s="30" t="str">
        <f>IF(AO4&gt;$AO$1, "Alerte Dépassement!!!","")</f>
        <v/>
      </c>
    </row>
    <row r="5" spans="1:72" s="31" customFormat="1" ht="14.25" customHeight="1" x14ac:dyDescent="0.2">
      <c r="A5" s="59" t="s">
        <v>263</v>
      </c>
      <c r="B5" s="369" t="s">
        <v>37</v>
      </c>
      <c r="C5" s="59">
        <v>25</v>
      </c>
      <c r="D5" s="312" t="s">
        <v>30</v>
      </c>
      <c r="E5" s="320"/>
      <c r="F5" s="165">
        <v>0.5</v>
      </c>
      <c r="G5" s="180">
        <v>0.625</v>
      </c>
      <c r="H5" s="180">
        <v>0.66666666666666663</v>
      </c>
      <c r="I5" s="166">
        <v>0.875</v>
      </c>
      <c r="J5" s="73">
        <f t="shared" si="0"/>
        <v>0.33333333333333337</v>
      </c>
      <c r="K5" s="75" t="s">
        <v>15</v>
      </c>
      <c r="L5" s="180" t="s">
        <v>15</v>
      </c>
      <c r="M5" s="180" t="s">
        <v>15</v>
      </c>
      <c r="N5" s="75" t="s">
        <v>15</v>
      </c>
      <c r="O5" s="73" t="str">
        <f t="shared" ref="O5:O9" si="8">IFERROR(MOD(N5-K5,1)-(M5-L5),"")</f>
        <v/>
      </c>
      <c r="P5" s="75" t="s">
        <v>15</v>
      </c>
      <c r="Q5" s="180" t="s">
        <v>15</v>
      </c>
      <c r="R5" s="180" t="s">
        <v>15</v>
      </c>
      <c r="S5" s="75" t="s">
        <v>15</v>
      </c>
      <c r="T5" s="73" t="str">
        <f t="shared" si="2"/>
        <v/>
      </c>
      <c r="U5" s="138">
        <v>0.29166666666666669</v>
      </c>
      <c r="V5" s="181">
        <v>0.54166666666666663</v>
      </c>
      <c r="W5" s="181">
        <v>0.58333333333333337</v>
      </c>
      <c r="X5" s="139">
        <v>0.66666666666666663</v>
      </c>
      <c r="Y5" s="73">
        <f t="shared" si="3"/>
        <v>0.3333333333333332</v>
      </c>
      <c r="Z5" s="138">
        <v>0.29166666666666669</v>
      </c>
      <c r="AA5" s="181">
        <v>0.54166666666666663</v>
      </c>
      <c r="AB5" s="181">
        <v>0.58333333333333337</v>
      </c>
      <c r="AC5" s="139">
        <v>0.66666666666666663</v>
      </c>
      <c r="AD5" s="73">
        <f t="shared" ref="AD5:AD17" si="9">IFERROR(MOD(AC5-Z5,1)-(AB5-AA5),"")</f>
        <v>0.3333333333333332</v>
      </c>
      <c r="AE5" s="165">
        <v>0.5</v>
      </c>
      <c r="AF5" s="180">
        <v>0.625</v>
      </c>
      <c r="AG5" s="180">
        <v>0.66666666666666663</v>
      </c>
      <c r="AH5" s="166">
        <v>0.875</v>
      </c>
      <c r="AI5" s="73">
        <f t="shared" si="5"/>
        <v>0.33333333333333337</v>
      </c>
      <c r="AJ5" s="165">
        <v>0.5</v>
      </c>
      <c r="AK5" s="180">
        <v>0.625</v>
      </c>
      <c r="AL5" s="180">
        <v>0.66666666666666663</v>
      </c>
      <c r="AM5" s="166">
        <v>0.875</v>
      </c>
      <c r="AN5" s="73">
        <f t="shared" ref="AN5:AN17" si="10">IFERROR(MOD(AM5-AJ5,1)-(AL5-AK5),"")</f>
        <v>0.33333333333333337</v>
      </c>
      <c r="AO5" s="28">
        <f t="shared" si="7"/>
        <v>1.6666666666666665</v>
      </c>
      <c r="AP5" s="29"/>
      <c r="AQ5" s="30" t="str">
        <f>IF(AO5&gt;$AO$1, "Alerte Dépassement!!!","")</f>
        <v/>
      </c>
      <c r="AR5" s="32"/>
    </row>
    <row r="6" spans="1:72" s="31" customFormat="1" ht="14.25" customHeight="1" x14ac:dyDescent="0.2">
      <c r="A6" s="59" t="s">
        <v>282</v>
      </c>
      <c r="B6" s="421" t="s">
        <v>38</v>
      </c>
      <c r="C6" s="59">
        <v>1</v>
      </c>
      <c r="D6" s="312" t="s">
        <v>30</v>
      </c>
      <c r="E6" s="320"/>
      <c r="F6" s="165">
        <v>0.29166666666666669</v>
      </c>
      <c r="G6" s="180">
        <v>0.5</v>
      </c>
      <c r="H6" s="180">
        <v>0.54166666666666663</v>
      </c>
      <c r="I6" s="166">
        <v>0.66666666666666663</v>
      </c>
      <c r="J6" s="73">
        <f t="shared" si="0"/>
        <v>0.33333333333333331</v>
      </c>
      <c r="K6" s="165">
        <v>0.5</v>
      </c>
      <c r="L6" s="180">
        <v>0.625</v>
      </c>
      <c r="M6" s="180">
        <v>0.66666666666666663</v>
      </c>
      <c r="N6" s="166">
        <v>0.875</v>
      </c>
      <c r="O6" s="73">
        <f t="shared" si="8"/>
        <v>0.33333333333333337</v>
      </c>
      <c r="P6" s="165">
        <v>0.5</v>
      </c>
      <c r="Q6" s="180">
        <v>0.625</v>
      </c>
      <c r="R6" s="180">
        <v>0.66666666666666663</v>
      </c>
      <c r="S6" s="166">
        <v>0.875</v>
      </c>
      <c r="T6" s="73">
        <f t="shared" si="2"/>
        <v>0.33333333333333337</v>
      </c>
      <c r="U6" s="138">
        <v>0.29166666666666669</v>
      </c>
      <c r="V6" s="181">
        <v>0.54166666666666663</v>
      </c>
      <c r="W6" s="181">
        <v>0.58333333333333337</v>
      </c>
      <c r="X6" s="139">
        <v>0.66666666666666663</v>
      </c>
      <c r="Y6" s="73">
        <f t="shared" si="3"/>
        <v>0.3333333333333332</v>
      </c>
      <c r="Z6" s="75" t="s">
        <v>15</v>
      </c>
      <c r="AA6" s="180" t="s">
        <v>15</v>
      </c>
      <c r="AB6" s="180" t="s">
        <v>15</v>
      </c>
      <c r="AC6" s="75" t="s">
        <v>15</v>
      </c>
      <c r="AD6" s="73" t="str">
        <f t="shared" si="9"/>
        <v/>
      </c>
      <c r="AE6" s="75" t="s">
        <v>15</v>
      </c>
      <c r="AF6" s="180" t="s">
        <v>15</v>
      </c>
      <c r="AG6" s="180" t="s">
        <v>15</v>
      </c>
      <c r="AH6" s="75" t="s">
        <v>15</v>
      </c>
      <c r="AI6" s="73" t="str">
        <f t="shared" si="5"/>
        <v/>
      </c>
      <c r="AJ6" s="165">
        <v>0.29166666666666669</v>
      </c>
      <c r="AK6" s="180">
        <v>0.5</v>
      </c>
      <c r="AL6" s="180">
        <v>0.54166666666666663</v>
      </c>
      <c r="AM6" s="166">
        <v>0.66666666666666663</v>
      </c>
      <c r="AN6" s="73">
        <f t="shared" si="10"/>
        <v>0.33333333333333331</v>
      </c>
      <c r="AO6" s="28">
        <f t="shared" si="7"/>
        <v>1.6666666666666665</v>
      </c>
      <c r="AP6" s="29"/>
      <c r="AQ6" s="30" t="str">
        <f>IF(AO6&gt;$AO$1, "Alerte Dépassement!!!","")</f>
        <v/>
      </c>
      <c r="AR6" s="32"/>
    </row>
    <row r="7" spans="1:72" s="31" customFormat="1" ht="14.25" customHeight="1" x14ac:dyDescent="0.2">
      <c r="A7" s="59" t="s">
        <v>263</v>
      </c>
      <c r="B7" s="369" t="s">
        <v>39</v>
      </c>
      <c r="C7" s="59">
        <v>1</v>
      </c>
      <c r="D7" s="312" t="s">
        <v>30</v>
      </c>
      <c r="E7" s="320"/>
      <c r="F7" s="75" t="s">
        <v>15</v>
      </c>
      <c r="G7" s="180" t="s">
        <v>15</v>
      </c>
      <c r="H7" s="180" t="s">
        <v>15</v>
      </c>
      <c r="I7" s="75" t="s">
        <v>15</v>
      </c>
      <c r="J7" s="73" t="str">
        <f t="shared" si="0"/>
        <v/>
      </c>
      <c r="K7" s="165">
        <v>0.25</v>
      </c>
      <c r="L7" s="180">
        <v>0.5</v>
      </c>
      <c r="M7" s="180">
        <v>0.54166666666666663</v>
      </c>
      <c r="N7" s="166">
        <v>0.625</v>
      </c>
      <c r="O7" s="73">
        <f t="shared" si="8"/>
        <v>0.33333333333333337</v>
      </c>
      <c r="P7" s="165">
        <v>0.25</v>
      </c>
      <c r="Q7" s="180">
        <v>0.5</v>
      </c>
      <c r="R7" s="180">
        <v>0.54166666666666663</v>
      </c>
      <c r="S7" s="166">
        <v>0.625</v>
      </c>
      <c r="T7" s="73">
        <f t="shared" si="2"/>
        <v>0.33333333333333337</v>
      </c>
      <c r="U7" s="165">
        <v>0.25</v>
      </c>
      <c r="V7" s="180">
        <v>0.5</v>
      </c>
      <c r="W7" s="180">
        <v>0.54166666666666663</v>
      </c>
      <c r="X7" s="166">
        <v>0.625</v>
      </c>
      <c r="Y7" s="73">
        <f t="shared" si="3"/>
        <v>0.33333333333333337</v>
      </c>
      <c r="Z7" s="165">
        <v>0.25</v>
      </c>
      <c r="AA7" s="180">
        <v>0.5</v>
      </c>
      <c r="AB7" s="180">
        <v>0.54166666666666663</v>
      </c>
      <c r="AC7" s="166">
        <v>0.625</v>
      </c>
      <c r="AD7" s="73">
        <f t="shared" si="9"/>
        <v>0.33333333333333337</v>
      </c>
      <c r="AE7" s="165">
        <v>0.5</v>
      </c>
      <c r="AF7" s="180">
        <v>0.625</v>
      </c>
      <c r="AG7" s="180">
        <v>0.66666666666666663</v>
      </c>
      <c r="AH7" s="166">
        <v>0.875</v>
      </c>
      <c r="AI7" s="73">
        <f t="shared" si="5"/>
        <v>0.33333333333333337</v>
      </c>
      <c r="AJ7" s="75" t="s">
        <v>15</v>
      </c>
      <c r="AK7" s="180" t="s">
        <v>15</v>
      </c>
      <c r="AL7" s="180" t="s">
        <v>15</v>
      </c>
      <c r="AM7" s="75" t="s">
        <v>15</v>
      </c>
      <c r="AN7" s="73" t="str">
        <f t="shared" si="10"/>
        <v/>
      </c>
      <c r="AO7" s="28">
        <f t="shared" si="7"/>
        <v>1.666666666666667</v>
      </c>
      <c r="AQ7" s="30" t="str">
        <f>IF(AO7&gt;$AO$1, "Alerte Dépassement!!!","")</f>
        <v/>
      </c>
      <c r="AR7" s="34"/>
    </row>
    <row r="8" spans="1:72" s="31" customFormat="1" ht="14.25" customHeight="1" x14ac:dyDescent="0.2">
      <c r="A8" s="105" t="s">
        <v>287</v>
      </c>
      <c r="B8" s="369" t="s">
        <v>58</v>
      </c>
      <c r="C8" s="105">
        <v>1</v>
      </c>
      <c r="D8" s="312" t="s">
        <v>30</v>
      </c>
      <c r="E8" s="320"/>
      <c r="F8" s="165">
        <v>0.29166666666666669</v>
      </c>
      <c r="G8" s="180">
        <v>0.5</v>
      </c>
      <c r="H8" s="180">
        <v>0.54166666666666663</v>
      </c>
      <c r="I8" s="166">
        <v>0.66666666666666663</v>
      </c>
      <c r="J8" s="73">
        <f t="shared" ref="J8" si="11">IFERROR(MOD(I8-F8,1)-(H8-G8),"")</f>
        <v>0.33333333333333331</v>
      </c>
      <c r="K8" s="75" t="s">
        <v>15</v>
      </c>
      <c r="L8" s="180" t="s">
        <v>15</v>
      </c>
      <c r="M8" s="180" t="s">
        <v>15</v>
      </c>
      <c r="N8" s="75" t="s">
        <v>15</v>
      </c>
      <c r="O8" s="73" t="str">
        <f t="shared" si="8"/>
        <v/>
      </c>
      <c r="P8" s="165">
        <v>0.5</v>
      </c>
      <c r="Q8" s="180">
        <v>0.625</v>
      </c>
      <c r="R8" s="180">
        <v>0.66666666666666663</v>
      </c>
      <c r="S8" s="166">
        <v>0.875</v>
      </c>
      <c r="T8" s="73">
        <f t="shared" si="2"/>
        <v>0.33333333333333337</v>
      </c>
      <c r="U8" s="165">
        <v>0.5</v>
      </c>
      <c r="V8" s="180">
        <v>0.625</v>
      </c>
      <c r="W8" s="180">
        <v>0.66666666666666663</v>
      </c>
      <c r="X8" s="166">
        <v>0.875</v>
      </c>
      <c r="Y8" s="73">
        <f t="shared" si="3"/>
        <v>0.33333333333333337</v>
      </c>
      <c r="Z8" s="165">
        <v>0.5</v>
      </c>
      <c r="AA8" s="180">
        <v>0.625</v>
      </c>
      <c r="AB8" s="180">
        <v>0.66666666666666663</v>
      </c>
      <c r="AC8" s="166">
        <v>0.875</v>
      </c>
      <c r="AD8" s="73">
        <f t="shared" si="9"/>
        <v>0.33333333333333337</v>
      </c>
      <c r="AE8" s="165">
        <v>0.29166666666666669</v>
      </c>
      <c r="AF8" s="180">
        <v>0.54166666666666663</v>
      </c>
      <c r="AG8" s="180">
        <v>0.58333333333333337</v>
      </c>
      <c r="AH8" s="166">
        <v>0.66666666666666663</v>
      </c>
      <c r="AI8" s="73">
        <f t="shared" si="5"/>
        <v>0.3333333333333332</v>
      </c>
      <c r="AJ8" s="75" t="s">
        <v>15</v>
      </c>
      <c r="AK8" s="179" t="s">
        <v>15</v>
      </c>
      <c r="AL8" s="179" t="s">
        <v>15</v>
      </c>
      <c r="AM8" s="75" t="s">
        <v>15</v>
      </c>
      <c r="AN8" s="73" t="str">
        <f t="shared" si="10"/>
        <v/>
      </c>
      <c r="AO8" s="28">
        <f t="shared" si="7"/>
        <v>1.6666666666666667</v>
      </c>
      <c r="AP8" s="29"/>
      <c r="AQ8" s="30" t="str">
        <f>IF(AO8&gt;$AO$1, "Alerte Dépassement!!!","")</f>
        <v/>
      </c>
    </row>
    <row r="9" spans="1:72" s="31" customFormat="1" ht="14.25" customHeight="1" x14ac:dyDescent="0.2">
      <c r="A9" s="105" t="s">
        <v>272</v>
      </c>
      <c r="B9" s="369" t="s">
        <v>41</v>
      </c>
      <c r="C9" s="105">
        <v>1</v>
      </c>
      <c r="D9" s="312" t="s">
        <v>30</v>
      </c>
      <c r="E9" s="320"/>
      <c r="F9" s="75" t="s">
        <v>15</v>
      </c>
      <c r="G9" s="180" t="s">
        <v>15</v>
      </c>
      <c r="H9" s="180" t="s">
        <v>15</v>
      </c>
      <c r="I9" s="75" t="s">
        <v>15</v>
      </c>
      <c r="J9" s="73" t="str">
        <f t="shared" si="0"/>
        <v/>
      </c>
      <c r="K9" s="138">
        <v>0.29166666666666669</v>
      </c>
      <c r="L9" s="181">
        <v>0.54166666666666663</v>
      </c>
      <c r="M9" s="181">
        <v>0.58333333333333337</v>
      </c>
      <c r="N9" s="139">
        <v>0.66666666666666663</v>
      </c>
      <c r="O9" s="73">
        <f t="shared" si="8"/>
        <v>0.3333333333333332</v>
      </c>
      <c r="P9" s="138">
        <v>0.29166666666666669</v>
      </c>
      <c r="Q9" s="181">
        <v>0.54166666666666663</v>
      </c>
      <c r="R9" s="181">
        <v>0.58333333333333337</v>
      </c>
      <c r="S9" s="139">
        <v>0.66666666666666663</v>
      </c>
      <c r="T9" s="73">
        <f t="shared" si="2"/>
        <v>0.3333333333333332</v>
      </c>
      <c r="U9" s="138">
        <v>0.29166666666666669</v>
      </c>
      <c r="V9" s="181">
        <v>0.54166666666666663</v>
      </c>
      <c r="W9" s="181">
        <v>0.58333333333333337</v>
      </c>
      <c r="X9" s="139">
        <v>0.66666666666666663</v>
      </c>
      <c r="Y9" s="73">
        <f t="shared" si="3"/>
        <v>0.3333333333333332</v>
      </c>
      <c r="Z9" s="138">
        <v>0.29166666666666669</v>
      </c>
      <c r="AA9" s="181">
        <v>0.54166666666666663</v>
      </c>
      <c r="AB9" s="181">
        <v>0.58333333333333337</v>
      </c>
      <c r="AC9" s="139">
        <v>0.66666666666666663</v>
      </c>
      <c r="AD9" s="73">
        <f t="shared" si="9"/>
        <v>0.3333333333333332</v>
      </c>
      <c r="AE9" s="165">
        <v>0.5</v>
      </c>
      <c r="AF9" s="180">
        <v>0.625</v>
      </c>
      <c r="AG9" s="180">
        <v>0.66666666666666663</v>
      </c>
      <c r="AH9" s="166">
        <v>0.875</v>
      </c>
      <c r="AI9" s="73">
        <f t="shared" si="5"/>
        <v>0.33333333333333337</v>
      </c>
      <c r="AJ9" s="75" t="s">
        <v>15</v>
      </c>
      <c r="AK9" s="180" t="s">
        <v>15</v>
      </c>
      <c r="AL9" s="180" t="s">
        <v>15</v>
      </c>
      <c r="AM9" s="75" t="s">
        <v>15</v>
      </c>
      <c r="AN9" s="73" t="str">
        <f t="shared" si="10"/>
        <v/>
      </c>
      <c r="AO9" s="28">
        <f t="shared" si="7"/>
        <v>1.6666666666666661</v>
      </c>
      <c r="AP9" s="29"/>
      <c r="AQ9" s="30"/>
    </row>
    <row r="10" spans="1:72" s="31" customFormat="1" ht="14.25" customHeight="1" x14ac:dyDescent="0.2">
      <c r="A10" s="105" t="s">
        <v>290</v>
      </c>
      <c r="B10" s="421" t="s">
        <v>42</v>
      </c>
      <c r="C10" s="289">
        <v>1</v>
      </c>
      <c r="D10" s="374" t="s">
        <v>30</v>
      </c>
      <c r="E10" s="375"/>
      <c r="F10" s="93">
        <v>0</v>
      </c>
      <c r="G10" s="318">
        <v>0.29166666666666669</v>
      </c>
      <c r="H10" s="318">
        <v>0.875</v>
      </c>
      <c r="I10" s="94">
        <v>1</v>
      </c>
      <c r="J10" s="73">
        <v>0.33333333333333331</v>
      </c>
      <c r="K10" s="93">
        <v>0</v>
      </c>
      <c r="L10" s="318">
        <v>0.29166666666666669</v>
      </c>
      <c r="M10" s="318">
        <v>0.875</v>
      </c>
      <c r="N10" s="94">
        <v>1</v>
      </c>
      <c r="O10" s="73">
        <v>0.33333333333333331</v>
      </c>
      <c r="P10" s="93">
        <v>0</v>
      </c>
      <c r="Q10" s="318">
        <v>8.3333333333333329E-2</v>
      </c>
      <c r="R10" s="318">
        <v>0.16666666666666666</v>
      </c>
      <c r="S10" s="94">
        <v>0.29166666666666669</v>
      </c>
      <c r="T10" s="73">
        <f t="shared" si="2"/>
        <v>0.20833333333333337</v>
      </c>
      <c r="U10" s="93">
        <v>0.875</v>
      </c>
      <c r="V10" s="318"/>
      <c r="W10" s="318"/>
      <c r="X10" s="94">
        <v>1</v>
      </c>
      <c r="Y10" s="73">
        <f t="shared" si="3"/>
        <v>0.125</v>
      </c>
      <c r="Z10" s="93">
        <v>0</v>
      </c>
      <c r="AA10" s="318">
        <v>0.29166666666666669</v>
      </c>
      <c r="AB10" s="318">
        <v>0.875</v>
      </c>
      <c r="AC10" s="94">
        <v>1</v>
      </c>
      <c r="AD10" s="73">
        <v>0.33333333333333331</v>
      </c>
      <c r="AE10" s="93">
        <v>0</v>
      </c>
      <c r="AF10" s="318">
        <v>8.3333333333333329E-2</v>
      </c>
      <c r="AG10" s="318">
        <v>0.16666666666666666</v>
      </c>
      <c r="AH10" s="94">
        <v>0.29166666666666669</v>
      </c>
      <c r="AI10" s="73">
        <f t="shared" si="5"/>
        <v>0.20833333333333337</v>
      </c>
      <c r="AJ10" s="93">
        <v>0.875</v>
      </c>
      <c r="AK10" s="318"/>
      <c r="AL10" s="318"/>
      <c r="AM10" s="94">
        <v>1</v>
      </c>
      <c r="AN10" s="73">
        <f t="shared" si="10"/>
        <v>0.125</v>
      </c>
      <c r="AO10" s="28">
        <f t="shared" si="7"/>
        <v>1.6666666666666665</v>
      </c>
      <c r="AP10" s="29"/>
      <c r="AQ10" s="30"/>
    </row>
    <row r="11" spans="1:72" s="31" customFormat="1" ht="14.25" customHeight="1" x14ac:dyDescent="0.2">
      <c r="A11" s="105" t="s">
        <v>276</v>
      </c>
      <c r="B11" s="369" t="s">
        <v>43</v>
      </c>
      <c r="C11" s="105">
        <v>1</v>
      </c>
      <c r="D11" s="312" t="s">
        <v>30</v>
      </c>
      <c r="E11" s="320"/>
      <c r="F11" s="165">
        <v>0.5</v>
      </c>
      <c r="G11" s="180">
        <v>0.625</v>
      </c>
      <c r="H11" s="180">
        <v>0.66666666666666663</v>
      </c>
      <c r="I11" s="166">
        <v>0.875</v>
      </c>
      <c r="J11" s="73">
        <f t="shared" ref="J11:J17" si="12">IFERROR(MOD(I11-F11,1)-(H11-G11),"")</f>
        <v>0.33333333333333337</v>
      </c>
      <c r="K11" s="165">
        <v>0.5</v>
      </c>
      <c r="L11" s="180">
        <v>0.625</v>
      </c>
      <c r="M11" s="180">
        <v>0.66666666666666663</v>
      </c>
      <c r="N11" s="166">
        <v>0.875</v>
      </c>
      <c r="O11" s="73">
        <f t="shared" ref="O11:O17" si="13">IFERROR(MOD(N11-K11,1)-(M11-L11),"")</f>
        <v>0.33333333333333337</v>
      </c>
      <c r="P11" s="75" t="s">
        <v>15</v>
      </c>
      <c r="Q11" s="180" t="s">
        <v>15</v>
      </c>
      <c r="R11" s="180" t="s">
        <v>15</v>
      </c>
      <c r="S11" s="75" t="s">
        <v>15</v>
      </c>
      <c r="T11" s="73" t="str">
        <f t="shared" ref="T11:T17" si="14">IFERROR(MOD(S11-P11,1)-(R11-Q11),"")</f>
        <v/>
      </c>
      <c r="U11" s="75" t="s">
        <v>15</v>
      </c>
      <c r="V11" s="180" t="s">
        <v>15</v>
      </c>
      <c r="W11" s="180" t="s">
        <v>15</v>
      </c>
      <c r="X11" s="75" t="s">
        <v>15</v>
      </c>
      <c r="Y11" s="73" t="str">
        <f t="shared" si="3"/>
        <v/>
      </c>
      <c r="Z11" s="138">
        <v>0.29166666666666669</v>
      </c>
      <c r="AA11" s="334">
        <v>0.54166666666666663</v>
      </c>
      <c r="AB11" s="334">
        <v>0.58333333333333337</v>
      </c>
      <c r="AC11" s="139">
        <v>0.66666666666666663</v>
      </c>
      <c r="AD11" s="73">
        <f t="shared" si="9"/>
        <v>0.3333333333333332</v>
      </c>
      <c r="AE11" s="138">
        <v>0.29166666666666669</v>
      </c>
      <c r="AF11" s="334">
        <v>0.54166666666666663</v>
      </c>
      <c r="AG11" s="334">
        <v>0.58333333333333337</v>
      </c>
      <c r="AH11" s="139">
        <v>0.66666666666666663</v>
      </c>
      <c r="AI11" s="73">
        <f t="shared" si="5"/>
        <v>0.3333333333333332</v>
      </c>
      <c r="AJ11" s="165">
        <v>0.5</v>
      </c>
      <c r="AK11" s="180">
        <v>0.625</v>
      </c>
      <c r="AL11" s="180">
        <v>0.66666666666666663</v>
      </c>
      <c r="AM11" s="166">
        <v>0.875</v>
      </c>
      <c r="AN11" s="73">
        <f t="shared" si="10"/>
        <v>0.33333333333333337</v>
      </c>
      <c r="AO11" s="28">
        <f t="shared" si="7"/>
        <v>1.6666666666666665</v>
      </c>
      <c r="AP11" s="29"/>
      <c r="AQ11" s="30"/>
    </row>
    <row r="12" spans="1:72" s="31" customFormat="1" ht="15" customHeight="1" x14ac:dyDescent="0.25">
      <c r="A12" s="130" t="s">
        <v>282</v>
      </c>
      <c r="B12" s="369" t="s">
        <v>110</v>
      </c>
      <c r="C12" s="105">
        <v>25</v>
      </c>
      <c r="D12" s="312" t="s">
        <v>85</v>
      </c>
      <c r="E12" s="320"/>
      <c r="F12" s="165">
        <v>0.5</v>
      </c>
      <c r="G12" s="180">
        <v>0.625</v>
      </c>
      <c r="H12" s="180">
        <v>0.66666666666666663</v>
      </c>
      <c r="I12" s="166">
        <v>0.875</v>
      </c>
      <c r="J12" s="73">
        <f t="shared" ref="J12" si="15">IFERROR(MOD(I12-F12,1)-(H12-G12),"")</f>
        <v>0.33333333333333337</v>
      </c>
      <c r="K12" s="75" t="s">
        <v>15</v>
      </c>
      <c r="L12" s="179" t="s">
        <v>15</v>
      </c>
      <c r="M12" s="179" t="s">
        <v>15</v>
      </c>
      <c r="N12" s="75" t="s">
        <v>15</v>
      </c>
      <c r="O12" s="73" t="str">
        <f t="shared" si="13"/>
        <v/>
      </c>
      <c r="P12" s="75" t="s">
        <v>15</v>
      </c>
      <c r="Q12" s="179" t="s">
        <v>15</v>
      </c>
      <c r="R12" s="179" t="s">
        <v>15</v>
      </c>
      <c r="S12" s="75" t="s">
        <v>15</v>
      </c>
      <c r="T12" s="73" t="str">
        <f t="shared" si="14"/>
        <v/>
      </c>
      <c r="U12" s="138">
        <v>0.29166666666666669</v>
      </c>
      <c r="V12" s="334">
        <v>0.54166666666666663</v>
      </c>
      <c r="W12" s="334">
        <v>0.58333333333333337</v>
      </c>
      <c r="X12" s="139">
        <v>0.66666666666666663</v>
      </c>
      <c r="Y12" s="73">
        <f t="shared" si="3"/>
        <v>0.3333333333333332</v>
      </c>
      <c r="Z12" s="138">
        <v>0.29166666666666669</v>
      </c>
      <c r="AA12" s="334">
        <v>0.54166666666666663</v>
      </c>
      <c r="AB12" s="334">
        <v>0.58333333333333337</v>
      </c>
      <c r="AC12" s="139">
        <v>0.66666666666666663</v>
      </c>
      <c r="AD12" s="73">
        <f t="shared" si="9"/>
        <v>0.3333333333333332</v>
      </c>
      <c r="AE12" s="165">
        <v>0.5</v>
      </c>
      <c r="AF12" s="180">
        <v>0.625</v>
      </c>
      <c r="AG12" s="180">
        <v>0.66666666666666663</v>
      </c>
      <c r="AH12" s="166">
        <v>0.875</v>
      </c>
      <c r="AI12" s="73">
        <f t="shared" si="5"/>
        <v>0.33333333333333337</v>
      </c>
      <c r="AJ12" s="165">
        <v>0.5</v>
      </c>
      <c r="AK12" s="180">
        <v>0.625</v>
      </c>
      <c r="AL12" s="180">
        <v>0.66666666666666663</v>
      </c>
      <c r="AM12" s="166">
        <v>0.875</v>
      </c>
      <c r="AN12" s="73">
        <f t="shared" ref="AN12" si="16">IFERROR(MOD(AM12-AJ12,1)-(AL12-AK12),"")</f>
        <v>0.33333333333333337</v>
      </c>
      <c r="AO12" s="28">
        <f>SUM(J12,O12,T12,Y12,AD12,AI12,AN12)</f>
        <v>1.6666666666666665</v>
      </c>
      <c r="AP12" s="29"/>
      <c r="AQ12" s="30"/>
      <c r="AR12" s="48"/>
    </row>
    <row r="13" spans="1:72" s="31" customFormat="1" ht="15" customHeight="1" x14ac:dyDescent="0.25">
      <c r="A13" s="130" t="s">
        <v>269</v>
      </c>
      <c r="B13" s="369" t="s">
        <v>168</v>
      </c>
      <c r="C13" s="105">
        <v>25</v>
      </c>
      <c r="D13" s="312" t="s">
        <v>85</v>
      </c>
      <c r="E13" s="320"/>
      <c r="F13" s="436" t="s">
        <v>165</v>
      </c>
      <c r="G13" s="324" t="s">
        <v>165</v>
      </c>
      <c r="H13" s="324" t="s">
        <v>165</v>
      </c>
      <c r="I13" s="436" t="s">
        <v>165</v>
      </c>
      <c r="J13" s="437" t="str">
        <f t="shared" si="12"/>
        <v/>
      </c>
      <c r="K13" s="436" t="s">
        <v>165</v>
      </c>
      <c r="L13" s="324" t="s">
        <v>165</v>
      </c>
      <c r="M13" s="324" t="s">
        <v>165</v>
      </c>
      <c r="N13" s="436" t="s">
        <v>165</v>
      </c>
      <c r="O13" s="437" t="str">
        <f t="shared" si="13"/>
        <v/>
      </c>
      <c r="P13" s="436" t="s">
        <v>165</v>
      </c>
      <c r="Q13" s="324" t="s">
        <v>165</v>
      </c>
      <c r="R13" s="324" t="s">
        <v>165</v>
      </c>
      <c r="S13" s="436" t="s">
        <v>165</v>
      </c>
      <c r="T13" s="437" t="str">
        <f t="shared" si="14"/>
        <v/>
      </c>
      <c r="U13" s="436" t="s">
        <v>165</v>
      </c>
      <c r="V13" s="324" t="s">
        <v>165</v>
      </c>
      <c r="W13" s="324" t="s">
        <v>165</v>
      </c>
      <c r="X13" s="436" t="s">
        <v>165</v>
      </c>
      <c r="Y13" s="437" t="str">
        <f t="shared" si="3"/>
        <v/>
      </c>
      <c r="Z13" s="436" t="s">
        <v>165</v>
      </c>
      <c r="AA13" s="324" t="s">
        <v>165</v>
      </c>
      <c r="AB13" s="324" t="s">
        <v>165</v>
      </c>
      <c r="AC13" s="436" t="s">
        <v>165</v>
      </c>
      <c r="AD13" s="437" t="str">
        <f t="shared" si="9"/>
        <v/>
      </c>
      <c r="AE13" s="436" t="s">
        <v>165</v>
      </c>
      <c r="AF13" s="324" t="s">
        <v>165</v>
      </c>
      <c r="AG13" s="324" t="s">
        <v>165</v>
      </c>
      <c r="AH13" s="436" t="s">
        <v>165</v>
      </c>
      <c r="AI13" s="437" t="str">
        <f t="shared" si="5"/>
        <v/>
      </c>
      <c r="AJ13" s="436" t="s">
        <v>165</v>
      </c>
      <c r="AK13" s="324" t="s">
        <v>165</v>
      </c>
      <c r="AL13" s="324" t="s">
        <v>165</v>
      </c>
      <c r="AM13" s="436" t="s">
        <v>165</v>
      </c>
      <c r="AN13" s="437" t="str">
        <f t="shared" si="10"/>
        <v/>
      </c>
      <c r="AO13" s="28">
        <f t="shared" si="7"/>
        <v>0</v>
      </c>
      <c r="AP13" s="29"/>
      <c r="AQ13" s="30"/>
      <c r="AR13" s="48"/>
    </row>
    <row r="14" spans="1:72" s="31" customFormat="1" ht="15" customHeight="1" x14ac:dyDescent="0.25">
      <c r="A14" s="130" t="s">
        <v>264</v>
      </c>
      <c r="B14" s="369" t="s">
        <v>169</v>
      </c>
      <c r="C14" s="289">
        <v>1</v>
      </c>
      <c r="D14" s="374" t="s">
        <v>30</v>
      </c>
      <c r="E14" s="375"/>
      <c r="F14" s="165">
        <v>0.5</v>
      </c>
      <c r="G14" s="180">
        <v>0.625</v>
      </c>
      <c r="H14" s="180">
        <v>0.66666666666666663</v>
      </c>
      <c r="I14" s="166">
        <v>0.875</v>
      </c>
      <c r="J14" s="73">
        <f t="shared" si="12"/>
        <v>0.33333333333333337</v>
      </c>
      <c r="K14" s="165">
        <v>0.5</v>
      </c>
      <c r="L14" s="180">
        <v>0.625</v>
      </c>
      <c r="M14" s="180">
        <v>0.66666666666666663</v>
      </c>
      <c r="N14" s="166">
        <v>0.875</v>
      </c>
      <c r="O14" s="73">
        <f t="shared" si="13"/>
        <v>0.33333333333333337</v>
      </c>
      <c r="P14" s="93">
        <v>0.875</v>
      </c>
      <c r="Q14" s="318"/>
      <c r="R14" s="318"/>
      <c r="S14" s="94">
        <v>1</v>
      </c>
      <c r="T14" s="73">
        <f t="shared" si="14"/>
        <v>0.125</v>
      </c>
      <c r="U14" s="93">
        <v>0</v>
      </c>
      <c r="V14" s="318">
        <v>0.125</v>
      </c>
      <c r="W14" s="318">
        <v>0.20833333333333334</v>
      </c>
      <c r="X14" s="94">
        <v>0.29166666666666669</v>
      </c>
      <c r="Y14" s="73">
        <f t="shared" si="3"/>
        <v>0.20833333333333334</v>
      </c>
      <c r="Z14" s="75" t="s">
        <v>15</v>
      </c>
      <c r="AA14" s="180" t="s">
        <v>15</v>
      </c>
      <c r="AB14" s="180" t="s">
        <v>15</v>
      </c>
      <c r="AC14" s="75" t="s">
        <v>15</v>
      </c>
      <c r="AD14" s="73" t="str">
        <f t="shared" si="9"/>
        <v/>
      </c>
      <c r="AE14" s="138">
        <v>0.29166666666666669</v>
      </c>
      <c r="AF14" s="181">
        <v>0.54166666666666663</v>
      </c>
      <c r="AG14" s="181">
        <v>0.58333333333333337</v>
      </c>
      <c r="AH14" s="139">
        <v>0.66666666666666663</v>
      </c>
      <c r="AI14" s="73">
        <f t="shared" si="5"/>
        <v>0.3333333333333332</v>
      </c>
      <c r="AJ14" s="138">
        <v>0.29166666666666669</v>
      </c>
      <c r="AK14" s="181">
        <v>0.54166666666666663</v>
      </c>
      <c r="AL14" s="181">
        <v>0.58333333333333337</v>
      </c>
      <c r="AM14" s="139">
        <v>0.66666666666666663</v>
      </c>
      <c r="AN14" s="73">
        <f t="shared" si="10"/>
        <v>0.3333333333333332</v>
      </c>
      <c r="AO14" s="28">
        <f t="shared" si="7"/>
        <v>1.6666666666666665</v>
      </c>
      <c r="AP14" s="29"/>
      <c r="AQ14" s="30"/>
      <c r="AR14" s="48"/>
    </row>
    <row r="15" spans="1:72" s="31" customFormat="1" ht="15" customHeight="1" x14ac:dyDescent="0.25">
      <c r="A15" s="130" t="s">
        <v>260</v>
      </c>
      <c r="B15" s="369" t="s">
        <v>170</v>
      </c>
      <c r="C15" s="105">
        <v>1</v>
      </c>
      <c r="D15" s="312" t="s">
        <v>30</v>
      </c>
      <c r="E15" s="320"/>
      <c r="F15" s="75" t="s">
        <v>15</v>
      </c>
      <c r="G15" s="179" t="s">
        <v>15</v>
      </c>
      <c r="H15" s="179" t="s">
        <v>15</v>
      </c>
      <c r="I15" s="75" t="s">
        <v>15</v>
      </c>
      <c r="J15" s="73" t="str">
        <f t="shared" si="12"/>
        <v/>
      </c>
      <c r="K15" s="138">
        <v>0.29166666666666669</v>
      </c>
      <c r="L15" s="181">
        <v>0.54166666666666663</v>
      </c>
      <c r="M15" s="181">
        <v>0.58333333333333337</v>
      </c>
      <c r="N15" s="139">
        <v>0.66666666666666663</v>
      </c>
      <c r="O15" s="73">
        <f t="shared" si="13"/>
        <v>0.3333333333333332</v>
      </c>
      <c r="P15" s="138">
        <v>0.29166666666666669</v>
      </c>
      <c r="Q15" s="181">
        <v>0.54166666666666663</v>
      </c>
      <c r="R15" s="181">
        <v>0.58333333333333337</v>
      </c>
      <c r="S15" s="139">
        <v>0.66666666666666663</v>
      </c>
      <c r="T15" s="73">
        <f t="shared" si="14"/>
        <v>0.3333333333333332</v>
      </c>
      <c r="U15" s="165">
        <v>0.5</v>
      </c>
      <c r="V15" s="180">
        <v>0.625</v>
      </c>
      <c r="W15" s="180">
        <v>0.66666666666666663</v>
      </c>
      <c r="X15" s="166">
        <v>0.875</v>
      </c>
      <c r="Y15" s="73">
        <f t="shared" si="3"/>
        <v>0.33333333333333337</v>
      </c>
      <c r="Z15" s="165">
        <v>0.5</v>
      </c>
      <c r="AA15" s="180">
        <v>0.625</v>
      </c>
      <c r="AB15" s="180">
        <v>0.66666666666666663</v>
      </c>
      <c r="AC15" s="166">
        <v>0.875</v>
      </c>
      <c r="AD15" s="73">
        <f t="shared" si="9"/>
        <v>0.33333333333333337</v>
      </c>
      <c r="AE15" s="93">
        <v>0.875</v>
      </c>
      <c r="AF15" s="318"/>
      <c r="AG15" s="318"/>
      <c r="AH15" s="94">
        <v>1</v>
      </c>
      <c r="AI15" s="73">
        <f t="shared" si="5"/>
        <v>0.125</v>
      </c>
      <c r="AJ15" s="93">
        <v>0</v>
      </c>
      <c r="AK15" s="318">
        <v>0.125</v>
      </c>
      <c r="AL15" s="318">
        <v>0.20833333333333334</v>
      </c>
      <c r="AM15" s="94">
        <v>0.29166666666666669</v>
      </c>
      <c r="AN15" s="73">
        <f t="shared" si="10"/>
        <v>0.20833333333333334</v>
      </c>
      <c r="AO15" s="28">
        <f t="shared" si="7"/>
        <v>1.6666666666666663</v>
      </c>
      <c r="AP15" s="180"/>
      <c r="AQ15" s="166"/>
      <c r="AR15" s="48"/>
    </row>
    <row r="16" spans="1:72" s="31" customFormat="1" ht="15.75" customHeight="1" x14ac:dyDescent="0.25">
      <c r="A16" s="173" t="s">
        <v>282</v>
      </c>
      <c r="B16" s="421" t="s">
        <v>111</v>
      </c>
      <c r="C16" s="105">
        <v>1</v>
      </c>
      <c r="D16" s="312" t="s">
        <v>85</v>
      </c>
      <c r="E16" s="320" t="s">
        <v>396</v>
      </c>
      <c r="F16" s="138">
        <v>0.29166666666666669</v>
      </c>
      <c r="G16" s="334">
        <v>0.5</v>
      </c>
      <c r="H16" s="334">
        <v>0.54166666666666663</v>
      </c>
      <c r="I16" s="139">
        <v>0.625</v>
      </c>
      <c r="J16" s="73">
        <f t="shared" si="12"/>
        <v>0.29166666666666669</v>
      </c>
      <c r="K16" s="138">
        <v>0.29166666666666669</v>
      </c>
      <c r="L16" s="334">
        <v>0.5</v>
      </c>
      <c r="M16" s="334">
        <v>0.54166666666666663</v>
      </c>
      <c r="N16" s="139">
        <v>0.625</v>
      </c>
      <c r="O16" s="73">
        <f t="shared" si="13"/>
        <v>0.29166666666666669</v>
      </c>
      <c r="P16" s="75" t="s">
        <v>15</v>
      </c>
      <c r="Q16" s="180" t="s">
        <v>15</v>
      </c>
      <c r="R16" s="180" t="s">
        <v>15</v>
      </c>
      <c r="S16" s="75" t="s">
        <v>15</v>
      </c>
      <c r="T16" s="73" t="str">
        <f t="shared" si="14"/>
        <v/>
      </c>
      <c r="U16" s="75" t="s">
        <v>15</v>
      </c>
      <c r="V16" s="180" t="s">
        <v>15</v>
      </c>
      <c r="W16" s="180" t="s">
        <v>15</v>
      </c>
      <c r="X16" s="75" t="s">
        <v>15</v>
      </c>
      <c r="Y16" s="73" t="str">
        <f t="shared" si="3"/>
        <v/>
      </c>
      <c r="Z16" s="138">
        <v>0.29166666666666669</v>
      </c>
      <c r="AA16" s="334">
        <v>0.5</v>
      </c>
      <c r="AB16" s="334">
        <v>0.54166666666666663</v>
      </c>
      <c r="AC16" s="139">
        <v>0.625</v>
      </c>
      <c r="AD16" s="73">
        <f t="shared" si="9"/>
        <v>0.29166666666666669</v>
      </c>
      <c r="AE16" s="138">
        <v>0.29166666666666669</v>
      </c>
      <c r="AF16" s="334">
        <v>0.5</v>
      </c>
      <c r="AG16" s="334">
        <v>0.54166666666666663</v>
      </c>
      <c r="AH16" s="139">
        <v>0.625</v>
      </c>
      <c r="AI16" s="73">
        <f t="shared" si="5"/>
        <v>0.29166666666666669</v>
      </c>
      <c r="AJ16" s="138">
        <v>0.29166666666666669</v>
      </c>
      <c r="AK16" s="334">
        <v>0.5</v>
      </c>
      <c r="AL16" s="334">
        <v>0.54166666666666663</v>
      </c>
      <c r="AM16" s="139">
        <v>0.625</v>
      </c>
      <c r="AN16" s="73">
        <f t="shared" si="10"/>
        <v>0.29166666666666669</v>
      </c>
      <c r="AO16" s="28">
        <f>SUM(J16,O16,T16,Y16,AD16,AI16,AN16)</f>
        <v>1.4583333333333335</v>
      </c>
      <c r="AP16" s="58"/>
      <c r="AQ16" s="30"/>
      <c r="AR16" s="33"/>
    </row>
    <row r="17" spans="1:53" ht="14.25" customHeight="1" x14ac:dyDescent="0.25">
      <c r="A17" s="102"/>
      <c r="B17" s="369" t="s">
        <v>301</v>
      </c>
      <c r="C17" s="59">
        <v>1517</v>
      </c>
      <c r="D17" s="185" t="s">
        <v>300</v>
      </c>
      <c r="E17" s="320"/>
      <c r="F17" s="100">
        <v>0.33333333333333331</v>
      </c>
      <c r="G17" s="179">
        <v>0.54166666666666663</v>
      </c>
      <c r="H17" s="179">
        <v>0.58333333333333337</v>
      </c>
      <c r="I17" s="100">
        <v>0.70833333333333337</v>
      </c>
      <c r="J17" s="73">
        <f t="shared" si="12"/>
        <v>0.33333333333333331</v>
      </c>
      <c r="K17" s="100">
        <v>0.33333333333333331</v>
      </c>
      <c r="L17" s="179">
        <v>0.54166666666666663</v>
      </c>
      <c r="M17" s="179">
        <v>0.58333333333333337</v>
      </c>
      <c r="N17" s="100">
        <v>0.70833333333333337</v>
      </c>
      <c r="O17" s="73">
        <f t="shared" si="13"/>
        <v>0.33333333333333331</v>
      </c>
      <c r="P17" s="100">
        <v>0.33333333333333331</v>
      </c>
      <c r="Q17" s="179">
        <v>0.54166666666666663</v>
      </c>
      <c r="R17" s="179">
        <v>0.58333333333333337</v>
      </c>
      <c r="S17" s="100">
        <v>0.70833333333333337</v>
      </c>
      <c r="T17" s="73">
        <f t="shared" si="14"/>
        <v>0.33333333333333331</v>
      </c>
      <c r="U17" s="100">
        <v>0.33333333333333331</v>
      </c>
      <c r="V17" s="179">
        <v>0.54166666666666663</v>
      </c>
      <c r="W17" s="179">
        <v>0.58333333333333337</v>
      </c>
      <c r="X17" s="100">
        <v>0.70833333333333337</v>
      </c>
      <c r="Y17" s="73">
        <f t="shared" si="3"/>
        <v>0.33333333333333331</v>
      </c>
      <c r="Z17" s="75" t="s">
        <v>15</v>
      </c>
      <c r="AA17" s="180" t="s">
        <v>15</v>
      </c>
      <c r="AB17" s="180" t="s">
        <v>15</v>
      </c>
      <c r="AC17" s="75" t="s">
        <v>15</v>
      </c>
      <c r="AD17" s="73" t="str">
        <f t="shared" si="9"/>
        <v/>
      </c>
      <c r="AE17" s="75" t="s">
        <v>15</v>
      </c>
      <c r="AF17" s="180" t="s">
        <v>15</v>
      </c>
      <c r="AG17" s="180" t="s">
        <v>15</v>
      </c>
      <c r="AH17" s="75" t="s">
        <v>15</v>
      </c>
      <c r="AI17" s="73" t="str">
        <f t="shared" si="5"/>
        <v/>
      </c>
      <c r="AJ17" s="100">
        <v>0.33333333333333331</v>
      </c>
      <c r="AK17" s="179">
        <v>0.54166666666666663</v>
      </c>
      <c r="AL17" s="179">
        <v>0.58333333333333337</v>
      </c>
      <c r="AM17" s="100">
        <v>0.70833333333333337</v>
      </c>
      <c r="AN17" s="73">
        <f t="shared" si="10"/>
        <v>0.33333333333333331</v>
      </c>
      <c r="AO17" s="28">
        <f>SUM(J17,O17,T17,Y17,AD17,AI17,AN17)</f>
        <v>1.6666666666666665</v>
      </c>
      <c r="AT17" s="31"/>
      <c r="AU17" s="31"/>
      <c r="AV17" s="31"/>
      <c r="AW17" s="31"/>
      <c r="AX17" s="31"/>
      <c r="AY17" s="31"/>
      <c r="AZ17" s="31"/>
      <c r="BA17" s="31"/>
    </row>
    <row r="18" spans="1:53" ht="14.25" customHeight="1" x14ac:dyDescent="0.25">
      <c r="F18" s="30"/>
      <c r="G18" s="30"/>
      <c r="H18" s="30"/>
      <c r="I18" s="30"/>
      <c r="J18" s="30"/>
      <c r="AT18" s="31"/>
      <c r="AU18" s="31"/>
      <c r="AV18" s="31"/>
      <c r="AW18" s="31"/>
      <c r="AX18" s="31"/>
      <c r="AY18" s="31"/>
      <c r="AZ18" s="31"/>
      <c r="BA18" s="31"/>
    </row>
    <row r="19" spans="1:53" ht="14.25" customHeight="1" x14ac:dyDescent="0.25">
      <c r="A19" s="71"/>
      <c r="B19" s="72"/>
    </row>
    <row r="21" spans="1:53" ht="14.25" customHeight="1" x14ac:dyDescent="0.25">
      <c r="B21" s="313" t="s">
        <v>30</v>
      </c>
    </row>
    <row r="24" spans="1:53" ht="14.25" customHeight="1" x14ac:dyDescent="0.25">
      <c r="F24" s="30"/>
      <c r="G24" s="30"/>
      <c r="H24" s="30"/>
      <c r="I24" s="30"/>
      <c r="J24" s="30"/>
      <c r="K24" s="1"/>
      <c r="AT24" s="31"/>
      <c r="AU24" s="31"/>
      <c r="AV24" s="31"/>
      <c r="AW24" s="31"/>
      <c r="AX24" s="31"/>
      <c r="AY24" s="31"/>
      <c r="AZ24" s="31"/>
      <c r="BA24" s="31"/>
    </row>
    <row r="25" spans="1:53" ht="14.25" customHeight="1" x14ac:dyDescent="0.25">
      <c r="F25" s="30"/>
      <c r="G25" s="30"/>
      <c r="H25" s="30"/>
      <c r="I25" s="30"/>
      <c r="J25" s="30"/>
      <c r="K25" s="30"/>
      <c r="AG25" s="192"/>
      <c r="AT25" s="31"/>
      <c r="AU25" s="31"/>
      <c r="AV25" s="31"/>
      <c r="AW25" s="31"/>
      <c r="AX25" s="31"/>
      <c r="AY25" s="31"/>
      <c r="AZ25" s="31"/>
      <c r="BA25" s="31"/>
    </row>
    <row r="26" spans="1:53" ht="14.25" customHeight="1" x14ac:dyDescent="0.25">
      <c r="F26" s="30"/>
      <c r="G26" s="30"/>
      <c r="H26" s="30"/>
      <c r="I26" s="30"/>
      <c r="J26" s="30"/>
      <c r="K26" s="30"/>
      <c r="AT26" s="31"/>
      <c r="AU26" s="31"/>
      <c r="AV26" s="31"/>
      <c r="AW26" s="31"/>
      <c r="AX26" s="31"/>
      <c r="AY26" s="31"/>
      <c r="AZ26" s="31"/>
      <c r="BA26" s="31"/>
    </row>
    <row r="27" spans="1:53" ht="14.25" customHeight="1" x14ac:dyDescent="0.25">
      <c r="F27" s="30"/>
      <c r="G27" s="30"/>
      <c r="H27" s="30"/>
      <c r="I27" s="30"/>
      <c r="J27" s="30"/>
      <c r="K27" s="30"/>
      <c r="AT27" s="31"/>
      <c r="AU27" s="31"/>
      <c r="AV27" s="31"/>
      <c r="AW27" s="31"/>
      <c r="AX27" s="31"/>
      <c r="AY27" s="31"/>
      <c r="AZ27" s="31"/>
      <c r="BA27" s="31"/>
    </row>
    <row r="28" spans="1:53" ht="14.25" customHeight="1" x14ac:dyDescent="0.25">
      <c r="F28" s="30"/>
      <c r="G28" s="30"/>
      <c r="H28" s="30"/>
      <c r="I28" s="30"/>
      <c r="J28" s="30"/>
      <c r="K28" s="30"/>
      <c r="AT28" s="31"/>
      <c r="AU28" s="31"/>
      <c r="AV28" s="31"/>
      <c r="AW28" s="31"/>
      <c r="AX28" s="31"/>
      <c r="AY28" s="31"/>
      <c r="AZ28" s="31"/>
      <c r="BA28" s="31"/>
    </row>
    <row r="29" spans="1:53" ht="14.25" customHeight="1" x14ac:dyDescent="0.25">
      <c r="E29" s="62">
        <v>0.25</v>
      </c>
      <c r="F29">
        <f t="shared" ref="F29:F35" si="17">COUNTIF(F$4:F$25,$E29)</f>
        <v>0</v>
      </c>
      <c r="K29">
        <f t="shared" ref="K29:K35" si="18">COUNTIF(K$4:K$25,$E29)</f>
        <v>1</v>
      </c>
      <c r="P29">
        <f t="shared" ref="P29:P35" si="19">COUNTIF(P$4:P$25,$E29)</f>
        <v>1</v>
      </c>
      <c r="U29">
        <f t="shared" ref="U29:U35" si="20">COUNTIF(U$4:U$25,$E29)</f>
        <v>1</v>
      </c>
      <c r="Z29">
        <f t="shared" ref="Z29:Z35" si="21">COUNTIF(Z$4:Z$25,$E29)</f>
        <v>1</v>
      </c>
      <c r="AE29">
        <f t="shared" ref="AE29:AE35" si="22">COUNTIF(AE$4:AE$25,$E29)</f>
        <v>0</v>
      </c>
      <c r="AJ29">
        <f t="shared" ref="AJ29:AJ35" si="23">COUNTIF(AJ$4:AJ$25,$E29)</f>
        <v>0</v>
      </c>
      <c r="AT29" s="31"/>
      <c r="AU29" s="31"/>
      <c r="AV29" s="31"/>
      <c r="AW29" s="31"/>
      <c r="AX29" s="31"/>
      <c r="AY29" s="31"/>
      <c r="AZ29" s="31"/>
      <c r="BA29" s="31"/>
    </row>
    <row r="30" spans="1:53" ht="14.25" customHeight="1" x14ac:dyDescent="0.25">
      <c r="E30" s="62">
        <v>0.29166666666666669</v>
      </c>
      <c r="F30">
        <f>COUNTIF(F$4:F$25,$E30)</f>
        <v>4</v>
      </c>
      <c r="K30">
        <f t="shared" si="18"/>
        <v>4</v>
      </c>
      <c r="P30">
        <f t="shared" si="19"/>
        <v>2</v>
      </c>
      <c r="U30">
        <f t="shared" si="20"/>
        <v>4</v>
      </c>
      <c r="Z30">
        <f t="shared" si="21"/>
        <v>5</v>
      </c>
      <c r="AE30">
        <f t="shared" si="22"/>
        <v>4</v>
      </c>
      <c r="AJ30">
        <f t="shared" si="23"/>
        <v>3</v>
      </c>
      <c r="AT30" s="31"/>
      <c r="AU30" s="31"/>
      <c r="AV30" s="31"/>
      <c r="AW30" s="31"/>
      <c r="AX30" s="31"/>
      <c r="AY30" s="31"/>
      <c r="AZ30" s="31"/>
      <c r="BA30" s="31"/>
    </row>
    <row r="31" spans="1:53" ht="14.25" customHeight="1" x14ac:dyDescent="0.25">
      <c r="E31" s="62">
        <v>0.33333333333333331</v>
      </c>
      <c r="F31">
        <f t="shared" si="17"/>
        <v>1</v>
      </c>
      <c r="K31">
        <f t="shared" si="18"/>
        <v>1</v>
      </c>
      <c r="P31">
        <f t="shared" si="19"/>
        <v>1</v>
      </c>
      <c r="U31">
        <f t="shared" si="20"/>
        <v>1</v>
      </c>
      <c r="Z31">
        <f t="shared" si="21"/>
        <v>0</v>
      </c>
      <c r="AE31">
        <f t="shared" si="22"/>
        <v>0</v>
      </c>
      <c r="AJ31">
        <f t="shared" si="23"/>
        <v>1</v>
      </c>
      <c r="AT31" s="31"/>
      <c r="AU31" s="31"/>
      <c r="AV31" s="31"/>
      <c r="AW31" s="31"/>
      <c r="AX31" s="31"/>
      <c r="AY31" s="31"/>
      <c r="AZ31" s="31"/>
      <c r="BA31" s="31"/>
    </row>
    <row r="32" spans="1:53" ht="14.25" customHeight="1" x14ac:dyDescent="0.25">
      <c r="E32" s="62">
        <v>0.41666666666666669</v>
      </c>
      <c r="F32">
        <f t="shared" si="17"/>
        <v>0</v>
      </c>
      <c r="K32">
        <f t="shared" si="18"/>
        <v>0</v>
      </c>
      <c r="P32">
        <f t="shared" si="19"/>
        <v>0</v>
      </c>
      <c r="U32">
        <f t="shared" si="20"/>
        <v>0</v>
      </c>
      <c r="Z32">
        <f t="shared" si="21"/>
        <v>0</v>
      </c>
      <c r="AE32">
        <f t="shared" si="22"/>
        <v>0</v>
      </c>
      <c r="AJ32">
        <f t="shared" si="23"/>
        <v>0</v>
      </c>
      <c r="AT32" s="31"/>
      <c r="AU32" s="31"/>
      <c r="AV32" s="31"/>
      <c r="AW32" s="31"/>
      <c r="AX32" s="31"/>
      <c r="AY32" s="31"/>
      <c r="AZ32" s="31"/>
      <c r="BA32" s="31"/>
    </row>
    <row r="33" spans="2:53" ht="14.25" customHeight="1" x14ac:dyDescent="0.25">
      <c r="E33" s="62">
        <v>0.5</v>
      </c>
      <c r="F33">
        <f t="shared" si="17"/>
        <v>4</v>
      </c>
      <c r="K33">
        <f t="shared" si="18"/>
        <v>3</v>
      </c>
      <c r="P33">
        <f t="shared" si="19"/>
        <v>3</v>
      </c>
      <c r="U33">
        <f t="shared" si="20"/>
        <v>3</v>
      </c>
      <c r="Z33">
        <f t="shared" si="21"/>
        <v>3</v>
      </c>
      <c r="AE33">
        <f t="shared" si="22"/>
        <v>4</v>
      </c>
      <c r="AJ33">
        <f t="shared" si="23"/>
        <v>3</v>
      </c>
      <c r="AT33" s="31"/>
      <c r="AU33" s="31"/>
      <c r="AV33" s="31"/>
      <c r="AW33" s="31"/>
      <c r="AX33" s="31"/>
      <c r="AY33" s="31"/>
      <c r="AZ33" s="31"/>
      <c r="BA33" s="31"/>
    </row>
    <row r="34" spans="2:53" ht="14.25" customHeight="1" x14ac:dyDescent="0.25">
      <c r="E34" s="62">
        <v>0.54166666666666663</v>
      </c>
      <c r="F34">
        <f t="shared" si="17"/>
        <v>0</v>
      </c>
      <c r="K34">
        <f t="shared" si="18"/>
        <v>0</v>
      </c>
      <c r="P34">
        <f t="shared" si="19"/>
        <v>0</v>
      </c>
      <c r="U34">
        <f t="shared" si="20"/>
        <v>0</v>
      </c>
      <c r="Z34">
        <f t="shared" si="21"/>
        <v>0</v>
      </c>
      <c r="AE34">
        <f t="shared" si="22"/>
        <v>0</v>
      </c>
      <c r="AJ34">
        <f t="shared" si="23"/>
        <v>0</v>
      </c>
    </row>
    <row r="35" spans="2:53" ht="14.25" customHeight="1" x14ac:dyDescent="0.25">
      <c r="E35" s="62">
        <v>0.875</v>
      </c>
      <c r="F35">
        <f t="shared" si="17"/>
        <v>0</v>
      </c>
      <c r="G35">
        <f>COUNTIF(H$4:H$25,$E35)</f>
        <v>1</v>
      </c>
      <c r="K35">
        <f t="shared" si="18"/>
        <v>0</v>
      </c>
      <c r="L35">
        <f>COUNTIF(M$4:M$25,$E35)</f>
        <v>1</v>
      </c>
      <c r="P35">
        <f t="shared" si="19"/>
        <v>1</v>
      </c>
      <c r="Q35">
        <f>COUNTIF(R$4:R$25,$E35)</f>
        <v>0</v>
      </c>
      <c r="U35">
        <f t="shared" si="20"/>
        <v>1</v>
      </c>
      <c r="V35">
        <f>COUNTIF(W$4:W$25,$E35)</f>
        <v>0</v>
      </c>
      <c r="Z35">
        <f t="shared" si="21"/>
        <v>0</v>
      </c>
      <c r="AA35">
        <f>COUNTIF(AB$4:AB$25,$E35)</f>
        <v>1</v>
      </c>
      <c r="AE35">
        <f t="shared" si="22"/>
        <v>1</v>
      </c>
      <c r="AF35">
        <f>COUNTIF(AG$4:AG$25,$E35)</f>
        <v>0</v>
      </c>
      <c r="AJ35">
        <f t="shared" si="23"/>
        <v>1</v>
      </c>
      <c r="AK35">
        <f>COUNTIF(AL$4:AL$25,$E35)</f>
        <v>0</v>
      </c>
    </row>
    <row r="36" spans="2:53" ht="14.25" customHeight="1" x14ac:dyDescent="0.25">
      <c r="B36" s="120">
        <f>AVERAGE(F36:AJ36)</f>
        <v>3.1428571428571428</v>
      </c>
      <c r="E36" s="60" t="s">
        <v>15</v>
      </c>
      <c r="F36" s="61">
        <f>COUNTIF(F4:F27,$E36)</f>
        <v>3</v>
      </c>
      <c r="K36" s="61">
        <f>COUNTIF(K4:K27,$E36)</f>
        <v>3</v>
      </c>
      <c r="P36" s="61">
        <f>COUNTIF(P4:P27,$E36)</f>
        <v>4</v>
      </c>
      <c r="U36" s="61">
        <f>COUNTIF(U4:U27,$E36)</f>
        <v>2</v>
      </c>
      <c r="Z36" s="61">
        <f>COUNTIF(Z4:Z27,$E36)</f>
        <v>3</v>
      </c>
      <c r="AE36" s="61">
        <f>COUNTIF(AE4:AE27,$E36)</f>
        <v>3</v>
      </c>
      <c r="AJ36" s="61">
        <f>COUNTIF(AJ4:AJ27,$E36)</f>
        <v>4</v>
      </c>
    </row>
    <row r="37" spans="2:53" ht="14.25" customHeight="1" x14ac:dyDescent="0.25">
      <c r="B37" s="120">
        <f>AVERAGE(F37:AJ37)</f>
        <v>5</v>
      </c>
      <c r="F37" s="63">
        <f>F30+F29+F31</f>
        <v>5</v>
      </c>
      <c r="K37" s="63">
        <f>K30+K29+K31</f>
        <v>6</v>
      </c>
      <c r="P37" s="63">
        <f>P30+P29+P31</f>
        <v>4</v>
      </c>
      <c r="U37" s="63">
        <f>U30+U29+U31</f>
        <v>6</v>
      </c>
      <c r="Z37" s="63">
        <f>Z30+Z29+Z31</f>
        <v>6</v>
      </c>
      <c r="AE37" s="63">
        <f>AE30+AE29+AE31</f>
        <v>4</v>
      </c>
      <c r="AJ37" s="63">
        <f>AJ30+AJ29+AJ31</f>
        <v>4</v>
      </c>
    </row>
    <row r="38" spans="2:53" ht="14.25" customHeight="1" x14ac:dyDescent="0.25">
      <c r="B38" s="120">
        <f>AVERAGE(F38:AJ38)</f>
        <v>3.2857142857142856</v>
      </c>
      <c r="F38" s="64">
        <f>F33+F34+F32</f>
        <v>4</v>
      </c>
      <c r="K38" s="64">
        <f>K33+K34+K32</f>
        <v>3</v>
      </c>
      <c r="P38" s="64">
        <f>P33+P34+P32</f>
        <v>3</v>
      </c>
      <c r="U38" s="64">
        <f>U33+U34+U32</f>
        <v>3</v>
      </c>
      <c r="Z38" s="64">
        <f>Z33+Z34+Z32</f>
        <v>3</v>
      </c>
      <c r="AE38" s="64">
        <f>AE33+AE34+AE32</f>
        <v>4</v>
      </c>
      <c r="AJ38" s="64">
        <f>AJ33+AJ34+AJ32</f>
        <v>3</v>
      </c>
    </row>
    <row r="39" spans="2:53" ht="14.25" customHeight="1" x14ac:dyDescent="0.25">
      <c r="B39" s="120">
        <f>AVERAGE(F39:AJ39)</f>
        <v>1</v>
      </c>
      <c r="F39" s="65">
        <f>F35+G35</f>
        <v>1</v>
      </c>
      <c r="K39" s="65">
        <f>K35+L35</f>
        <v>1</v>
      </c>
      <c r="P39" s="65">
        <f>P35+Q35</f>
        <v>1</v>
      </c>
      <c r="U39" s="65">
        <f>U35+V35</f>
        <v>1</v>
      </c>
      <c r="Z39" s="65">
        <f>Z35+AA35</f>
        <v>1</v>
      </c>
      <c r="AE39" s="65">
        <f>AE35+AF35</f>
        <v>1</v>
      </c>
      <c r="AJ39" s="65">
        <f>AJ35+AK35</f>
        <v>1</v>
      </c>
    </row>
    <row r="41" spans="2:53" ht="14.25" customHeight="1" x14ac:dyDescent="0.25">
      <c r="E41" s="62"/>
    </row>
    <row r="42" spans="2:53" ht="14.25" customHeight="1" x14ac:dyDescent="0.25">
      <c r="E42" s="62"/>
    </row>
    <row r="43" spans="2:53" ht="14.25" customHeight="1" x14ac:dyDescent="0.25">
      <c r="E43" s="62"/>
    </row>
    <row r="159" spans="4:12" ht="14.25" customHeight="1" x14ac:dyDescent="0.25">
      <c r="D159" s="1"/>
      <c r="E159" s="147" t="s">
        <v>348</v>
      </c>
      <c r="F159" s="171">
        <f>SUMIF($D4:$D151,$D$160,J4:J151)</f>
        <v>2.3333333333333335</v>
      </c>
      <c r="G159" s="171">
        <f>SUMIF($D4:$D151,$D$160,O4:O151)</f>
        <v>2.6666666666666665</v>
      </c>
      <c r="H159" s="171">
        <f>SUMIF($D4:$D151,$D$160,T4:T151)</f>
        <v>2.333333333333333</v>
      </c>
      <c r="I159" s="171">
        <f>SUMIF($D4:$D151,$D$160,Y4:Y151)</f>
        <v>2.666666666666667</v>
      </c>
      <c r="J159" s="171">
        <f>SUMIF($D4:$D151,$D$160,AD4:AD151)</f>
        <v>2.6666666666666665</v>
      </c>
      <c r="K159" s="171">
        <f>SUMIF($D4:$D151,$D$160,AI4:AI151)</f>
        <v>2.3333333333333335</v>
      </c>
      <c r="L159" s="171">
        <f>SUMIF($D4:$D151,$D$160,AN4:AN151)</f>
        <v>1.6666666666666665</v>
      </c>
    </row>
    <row r="160" spans="4:12" ht="14.25" customHeight="1" x14ac:dyDescent="0.25">
      <c r="D160" s="190" t="s">
        <v>30</v>
      </c>
      <c r="E160" s="147" t="s">
        <v>15</v>
      </c>
      <c r="F160" s="35">
        <f>COUNTIFS(F4:F151,$E$160,$D4:$D151,$D$160)</f>
        <v>3</v>
      </c>
      <c r="G160" s="35">
        <f>COUNTIFS(K4:K151,$E$160,$D4:$D151,$D$160)</f>
        <v>2</v>
      </c>
      <c r="H160" s="35">
        <f>COUNTIFS(P4:P151,$E$160,$D4:$D151,$D$160)</f>
        <v>2</v>
      </c>
      <c r="I160" s="35">
        <f>COUNTIFS(U4:U151,$E$160,$D4:$D151,$D$160)</f>
        <v>1</v>
      </c>
      <c r="J160" s="35">
        <f>COUNTIFS(Z4:Z151,$E$160,$D4:$D151,$D$160)</f>
        <v>2</v>
      </c>
      <c r="K160" s="35">
        <f>COUNTIFS(AE4:AE151,$E$160,$D4:$D151,$D$160)</f>
        <v>2</v>
      </c>
      <c r="L160" s="35">
        <f>COUNTIFS(AJ4:AJ151,$E$160,$D4:$D151,$D$160)</f>
        <v>4</v>
      </c>
    </row>
    <row r="161" spans="4:12" ht="14.25" customHeight="1" x14ac:dyDescent="0.25">
      <c r="D161" s="1"/>
      <c r="E161" s="147" t="s">
        <v>349</v>
      </c>
      <c r="F161" s="35">
        <f>COUNTIF(D4:D151,$D$160)</f>
        <v>10</v>
      </c>
      <c r="G161" s="35">
        <f t="shared" ref="G161:L161" si="24">F161</f>
        <v>10</v>
      </c>
      <c r="H161" s="35">
        <f t="shared" si="24"/>
        <v>10</v>
      </c>
      <c r="I161" s="35">
        <f t="shared" si="24"/>
        <v>10</v>
      </c>
      <c r="J161" s="35">
        <f t="shared" si="24"/>
        <v>10</v>
      </c>
      <c r="K161" s="35">
        <f t="shared" si="24"/>
        <v>10</v>
      </c>
      <c r="L161" s="35">
        <f t="shared" si="24"/>
        <v>10</v>
      </c>
    </row>
    <row r="162" spans="4:12" ht="14.25" customHeight="1" x14ac:dyDescent="0.25">
      <c r="D162" s="1"/>
      <c r="E162" s="147" t="s">
        <v>159</v>
      </c>
      <c r="F162" s="35">
        <f t="shared" ref="F162:F168" si="25">COUNTIFS(F$4:F$151,$E162,$D$4:$D$151,$D$160)</f>
        <v>0</v>
      </c>
      <c r="G162" s="35">
        <f t="shared" ref="G162:G168" si="26">COUNTIFS(K$4:K$151,$E162,$D$4:$D$151,$D$160)</f>
        <v>0</v>
      </c>
      <c r="H162" s="35">
        <f t="shared" ref="H162:H168" si="27">COUNTIFS(P$4:P$151,$E162,$D$4:$D$151,$D$160)</f>
        <v>0</v>
      </c>
      <c r="I162" s="35">
        <f>COUNTIFS(U4:U151,$E$162,$D4:$D151,$D$160)</f>
        <v>0</v>
      </c>
      <c r="J162" s="35">
        <f t="shared" ref="J162:J168" si="28">COUNTIFS(Z$4:Z$151,$E162,$D$4:$D$151,$D$160)</f>
        <v>0</v>
      </c>
      <c r="K162" s="35">
        <f t="shared" ref="K162:K168" si="29">COUNTIFS(AE$4:AE$151,$E162,$D$4:$D$151,$D$160)</f>
        <v>0</v>
      </c>
      <c r="L162" s="35">
        <f t="shared" ref="L162:L168" si="30">COUNTIFS(AJ$4:AJ$151,$E162,$D$4:$D$151,$D$160)</f>
        <v>0</v>
      </c>
    </row>
    <row r="163" spans="4:12" ht="14.25" customHeight="1" x14ac:dyDescent="0.25">
      <c r="D163" s="1"/>
      <c r="E163" s="147" t="s">
        <v>156</v>
      </c>
      <c r="F163" s="35">
        <f t="shared" si="25"/>
        <v>0</v>
      </c>
      <c r="G163" s="35">
        <f t="shared" si="26"/>
        <v>0</v>
      </c>
      <c r="H163" s="35">
        <f t="shared" si="27"/>
        <v>0</v>
      </c>
      <c r="I163" s="35">
        <f>COUNTIFS(U$4:U$151,$E$163,$D5:$D152,$D$160)</f>
        <v>0</v>
      </c>
      <c r="J163" s="35">
        <f t="shared" si="28"/>
        <v>0</v>
      </c>
      <c r="K163" s="35">
        <f t="shared" si="29"/>
        <v>0</v>
      </c>
      <c r="L163" s="35">
        <f t="shared" si="30"/>
        <v>0</v>
      </c>
    </row>
    <row r="164" spans="4:12" ht="14.25" customHeight="1" x14ac:dyDescent="0.25">
      <c r="D164" s="1"/>
      <c r="E164" s="147" t="s">
        <v>85</v>
      </c>
      <c r="F164" s="35">
        <f t="shared" si="25"/>
        <v>0</v>
      </c>
      <c r="G164" s="35">
        <f t="shared" si="26"/>
        <v>0</v>
      </c>
      <c r="H164" s="35">
        <f t="shared" si="27"/>
        <v>0</v>
      </c>
      <c r="I164" s="35">
        <f>COUNTIFS(U$4:U$151,$E$164,$D6:$D153,$D$160)</f>
        <v>0</v>
      </c>
      <c r="J164" s="35">
        <f t="shared" si="28"/>
        <v>0</v>
      </c>
      <c r="K164" s="35">
        <f t="shared" si="29"/>
        <v>0</v>
      </c>
      <c r="L164" s="35">
        <f t="shared" si="30"/>
        <v>0</v>
      </c>
    </row>
    <row r="165" spans="4:12" ht="14.25" customHeight="1" x14ac:dyDescent="0.25">
      <c r="D165" s="1"/>
      <c r="E165" s="147" t="s">
        <v>343</v>
      </c>
      <c r="F165" s="35">
        <f t="shared" si="25"/>
        <v>0</v>
      </c>
      <c r="G165" s="35">
        <f t="shared" si="26"/>
        <v>0</v>
      </c>
      <c r="H165" s="35">
        <f t="shared" si="27"/>
        <v>0</v>
      </c>
      <c r="I165" s="35">
        <f>COUNTIFS(U$4:U$151,$E$165,$D$4:$D$151,$D$160)</f>
        <v>0</v>
      </c>
      <c r="J165" s="35">
        <f t="shared" si="28"/>
        <v>0</v>
      </c>
      <c r="K165" s="35">
        <f t="shared" si="29"/>
        <v>0</v>
      </c>
      <c r="L165" s="35">
        <f t="shared" si="30"/>
        <v>0</v>
      </c>
    </row>
    <row r="166" spans="4:12" ht="14.25" customHeight="1" x14ac:dyDescent="0.25">
      <c r="D166" s="1"/>
      <c r="E166" s="147" t="s">
        <v>344</v>
      </c>
      <c r="F166" s="35">
        <f t="shared" si="25"/>
        <v>0</v>
      </c>
      <c r="G166" s="35">
        <f t="shared" si="26"/>
        <v>0</v>
      </c>
      <c r="H166" s="35">
        <f t="shared" si="27"/>
        <v>0</v>
      </c>
      <c r="I166" s="35">
        <f>COUNTIFS(U$4:U$151,$E166,$D$4:$D$151,$D$160)</f>
        <v>0</v>
      </c>
      <c r="J166" s="35">
        <f t="shared" si="28"/>
        <v>0</v>
      </c>
      <c r="K166" s="35">
        <f t="shared" si="29"/>
        <v>0</v>
      </c>
      <c r="L166" s="35">
        <f t="shared" si="30"/>
        <v>0</v>
      </c>
    </row>
    <row r="167" spans="4:12" ht="14.25" customHeight="1" x14ac:dyDescent="0.25">
      <c r="D167" s="1"/>
      <c r="E167" s="147" t="s">
        <v>325</v>
      </c>
      <c r="F167" s="35">
        <f t="shared" si="25"/>
        <v>0</v>
      </c>
      <c r="G167" s="35">
        <f t="shared" si="26"/>
        <v>0</v>
      </c>
      <c r="H167" s="35">
        <f t="shared" si="27"/>
        <v>0</v>
      </c>
      <c r="I167" s="35">
        <f>COUNTIFS(U$4:U$151,$E167,$D$4:$D$151,$D$160)</f>
        <v>0</v>
      </c>
      <c r="J167" s="35">
        <f t="shared" si="28"/>
        <v>0</v>
      </c>
      <c r="K167" s="35">
        <f t="shared" si="29"/>
        <v>0</v>
      </c>
      <c r="L167" s="35">
        <f t="shared" si="30"/>
        <v>0</v>
      </c>
    </row>
    <row r="168" spans="4:12" ht="14.25" customHeight="1" x14ac:dyDescent="0.25">
      <c r="D168" s="1"/>
      <c r="E168" s="147" t="s">
        <v>165</v>
      </c>
      <c r="F168" s="35">
        <f t="shared" si="25"/>
        <v>0</v>
      </c>
      <c r="G168" s="35">
        <f t="shared" si="26"/>
        <v>0</v>
      </c>
      <c r="H168" s="35">
        <f t="shared" si="27"/>
        <v>0</v>
      </c>
      <c r="I168" s="35">
        <f>COUNTIFS(U$4:U$151,$E168,$D$4:$D$151,$D$160)</f>
        <v>0</v>
      </c>
      <c r="J168" s="35">
        <f t="shared" si="28"/>
        <v>0</v>
      </c>
      <c r="K168" s="35">
        <f t="shared" si="29"/>
        <v>0</v>
      </c>
      <c r="L168" s="35">
        <f t="shared" si="30"/>
        <v>0</v>
      </c>
    </row>
    <row r="169" spans="4:12" ht="14.25" customHeight="1" x14ac:dyDescent="0.25">
      <c r="D169" s="1"/>
      <c r="E169" s="1"/>
      <c r="F169" s="1"/>
      <c r="G169" s="1"/>
      <c r="H169" s="1"/>
      <c r="I169" s="1"/>
      <c r="J169" s="1"/>
      <c r="K169" s="1"/>
      <c r="L169" s="1"/>
    </row>
    <row r="170" spans="4:12" ht="14.25" customHeight="1" x14ac:dyDescent="0.25">
      <c r="D170" s="1"/>
      <c r="E170" s="110" t="s">
        <v>350</v>
      </c>
      <c r="F170" s="35">
        <f>F164+F167+F163</f>
        <v>0</v>
      </c>
      <c r="G170" s="35">
        <f t="shared" ref="G170:L170" si="31">G164+G167+G163</f>
        <v>0</v>
      </c>
      <c r="H170" s="35">
        <f t="shared" si="31"/>
        <v>0</v>
      </c>
      <c r="I170" s="35">
        <f t="shared" si="31"/>
        <v>0</v>
      </c>
      <c r="J170" s="35">
        <f t="shared" si="31"/>
        <v>0</v>
      </c>
      <c r="K170" s="35">
        <f t="shared" si="31"/>
        <v>0</v>
      </c>
      <c r="L170" s="35">
        <f t="shared" si="31"/>
        <v>0</v>
      </c>
    </row>
  </sheetData>
  <autoFilter ref="A2:BT17" xr:uid="{00000000-0009-0000-0000-000006000000}"/>
  <mergeCells count="7">
    <mergeCell ref="AJ1:AN1"/>
    <mergeCell ref="F1:J1"/>
    <mergeCell ref="K1:O1"/>
    <mergeCell ref="P1:T1"/>
    <mergeCell ref="U1:Y1"/>
    <mergeCell ref="Z1:AD1"/>
    <mergeCell ref="AE1:AI1"/>
  </mergeCells>
  <conditionalFormatting sqref="F11:F12">
    <cfRule type="containsText" dxfId="307" priority="311" operator="containsText" text="Alerte">
      <formula>NOT(ISERROR(SEARCH("Alerte",F11)))</formula>
    </cfRule>
  </conditionalFormatting>
  <conditionalFormatting sqref="F15">
    <cfRule type="containsText" dxfId="306" priority="199" operator="containsText" text="Alerte">
      <formula>NOT(ISERROR(SEARCH("Alerte",F15)))</formula>
    </cfRule>
  </conditionalFormatting>
  <conditionalFormatting sqref="F4:I17">
    <cfRule type="containsText" dxfId="305" priority="21" operator="containsText" text="Alerte">
      <formula>NOT(ISERROR(SEARCH("Alerte",F4)))</formula>
    </cfRule>
  </conditionalFormatting>
  <conditionalFormatting sqref="F18:J18 F24:K28">
    <cfRule type="containsText" dxfId="304" priority="448" operator="containsText" text="Alerte">
      <formula>NOT(ISERROR(SEARCH("Alerte",F18)))</formula>
    </cfRule>
  </conditionalFormatting>
  <conditionalFormatting sqref="I11:I12">
    <cfRule type="containsText" dxfId="303" priority="310" operator="containsText" text="Alerte">
      <formula>NOT(ISERROR(SEARCH("Alerte",I11)))</formula>
    </cfRule>
  </conditionalFormatting>
  <conditionalFormatting sqref="J4:J17">
    <cfRule type="cellIs" dxfId="302" priority="96" operator="lessThan">
      <formula>0.333333333333333</formula>
    </cfRule>
    <cfRule type="cellIs" dxfId="301" priority="97" operator="greaterThan">
      <formula>0.333333333333333</formula>
    </cfRule>
  </conditionalFormatting>
  <conditionalFormatting sqref="K11">
    <cfRule type="containsText" dxfId="300" priority="356" operator="containsText" text="Alerte">
      <formula>NOT(ISERROR(SEARCH("Alerte",K11)))</formula>
    </cfRule>
  </conditionalFormatting>
  <conditionalFormatting sqref="K15:M15">
    <cfRule type="containsText" dxfId="299" priority="183" operator="containsText" text="Alerte">
      <formula>NOT(ISERROR(SEARCH("Alerte",K15)))</formula>
    </cfRule>
  </conditionalFormatting>
  <conditionalFormatting sqref="K4:N17">
    <cfRule type="containsText" dxfId="298" priority="4" operator="containsText" text="Alerte">
      <formula>NOT(ISERROR(SEARCH("Alerte",K4)))</formula>
    </cfRule>
  </conditionalFormatting>
  <conditionalFormatting sqref="L10:N10">
    <cfRule type="containsText" dxfId="297" priority="313" operator="containsText" text="Alerte">
      <formula>NOT(ISERROR(SEARCH("Alerte",L10)))</formula>
    </cfRule>
  </conditionalFormatting>
  <conditionalFormatting sqref="N11">
    <cfRule type="containsText" dxfId="296" priority="355" operator="containsText" text="Alerte">
      <formula>NOT(ISERROR(SEARCH("Alerte",N11)))</formula>
    </cfRule>
  </conditionalFormatting>
  <conditionalFormatting sqref="O4:O17">
    <cfRule type="cellIs" dxfId="295" priority="2" operator="lessThan">
      <formula>0.333333333333333</formula>
    </cfRule>
    <cfRule type="cellIs" dxfId="294" priority="3" operator="greaterThan">
      <formula>0.333333333333333</formula>
    </cfRule>
  </conditionalFormatting>
  <conditionalFormatting sqref="P9:R9 U9:W9 Z9:AB9">
    <cfRule type="containsText" dxfId="293" priority="344" operator="containsText" text="Alerte">
      <formula>NOT(ISERROR(SEARCH("Alerte",P9)))</formula>
    </cfRule>
  </conditionalFormatting>
  <conditionalFormatting sqref="P15:R15">
    <cfRule type="containsText" dxfId="292" priority="164" operator="containsText" text="Alerte">
      <formula>NOT(ISERROR(SEARCH("Alerte",P15)))</formula>
    </cfRule>
  </conditionalFormatting>
  <conditionalFormatting sqref="P4:S17">
    <cfRule type="containsText" dxfId="291" priority="71" operator="containsText" text="Alerte">
      <formula>NOT(ISERROR(SEARCH("Alerte",P4)))</formula>
    </cfRule>
  </conditionalFormatting>
  <conditionalFormatting sqref="Q10:S10">
    <cfRule type="containsText" dxfId="290" priority="360" operator="containsText" text="Alerte">
      <formula>NOT(ISERROR(SEARCH("Alerte",Q10)))</formula>
    </cfRule>
  </conditionalFormatting>
  <conditionalFormatting sqref="S4">
    <cfRule type="containsText" dxfId="289" priority="317" operator="containsText" text="Alerte">
      <formula>NOT(ISERROR(SEARCH("Alerte",S4)))</formula>
    </cfRule>
  </conditionalFormatting>
  <conditionalFormatting sqref="S8">
    <cfRule type="containsText" dxfId="288" priority="304" operator="containsText" text="Alerte">
      <formula>NOT(ISERROR(SEARCH("Alerte",S8)))</formula>
    </cfRule>
  </conditionalFormatting>
  <conditionalFormatting sqref="S12">
    <cfRule type="containsText" dxfId="287" priority="361" operator="containsText" text="Alerte">
      <formula>NOT(ISERROR(SEARCH("Alerte",S12)))</formula>
    </cfRule>
  </conditionalFormatting>
  <conditionalFormatting sqref="T4:T17">
    <cfRule type="cellIs" dxfId="286" priority="69" operator="lessThan">
      <formula>0.333333333333333</formula>
    </cfRule>
    <cfRule type="cellIs" dxfId="285" priority="70" operator="greaterThan">
      <formula>0.333333333333333</formula>
    </cfRule>
  </conditionalFormatting>
  <conditionalFormatting sqref="U5:W6">
    <cfRule type="containsText" dxfId="284" priority="312" operator="containsText" text="Alerte">
      <formula>NOT(ISERROR(SEARCH("Alerte",U5)))</formula>
    </cfRule>
  </conditionalFormatting>
  <conditionalFormatting sqref="U15:W15">
    <cfRule type="containsText" dxfId="283" priority="171" operator="containsText" text="Alerte">
      <formula>NOT(ISERROR(SEARCH("Alerte",U15)))</formula>
    </cfRule>
  </conditionalFormatting>
  <conditionalFormatting sqref="U4:X17">
    <cfRule type="containsText" dxfId="282" priority="25" operator="containsText" text="Alerte">
      <formula>NOT(ISERROR(SEARCH("Alerte",U4)))</formula>
    </cfRule>
  </conditionalFormatting>
  <conditionalFormatting sqref="X4">
    <cfRule type="containsText" dxfId="281" priority="364" operator="containsText" text="Alerte">
      <formula>NOT(ISERROR(SEARCH("Alerte",X4)))</formula>
    </cfRule>
  </conditionalFormatting>
  <conditionalFormatting sqref="X8">
    <cfRule type="containsText" dxfId="280" priority="316" operator="containsText" text="Alerte">
      <formula>NOT(ISERROR(SEARCH("Alerte",X8)))</formula>
    </cfRule>
  </conditionalFormatting>
  <conditionalFormatting sqref="X14:X15">
    <cfRule type="containsText" dxfId="279" priority="163" operator="containsText" text="Alerte">
      <formula>NOT(ISERROR(SEARCH("Alerte",X14)))</formula>
    </cfRule>
  </conditionalFormatting>
  <conditionalFormatting sqref="Y4:Y17">
    <cfRule type="cellIs" dxfId="278" priority="23" operator="lessThan">
      <formula>0.333333333333333</formula>
    </cfRule>
    <cfRule type="cellIs" dxfId="277" priority="24" operator="greaterThan">
      <formula>0.333333333333333</formula>
    </cfRule>
  </conditionalFormatting>
  <conditionalFormatting sqref="Z4:AC17">
    <cfRule type="containsText" dxfId="276" priority="10" operator="containsText" text="Alerte">
      <formula>NOT(ISERROR(SEARCH("Alerte",Z4)))</formula>
    </cfRule>
  </conditionalFormatting>
  <conditionalFormatting sqref="AC4">
    <cfRule type="containsText" dxfId="275" priority="14" operator="containsText" text="Alerte">
      <formula>NOT(ISERROR(SEARCH("Alerte",AC4)))</formula>
    </cfRule>
  </conditionalFormatting>
  <conditionalFormatting sqref="AC15">
    <cfRule type="containsText" dxfId="274" priority="215" operator="containsText" text="Alerte">
      <formula>NOT(ISERROR(SEARCH("Alerte",AC15)))</formula>
    </cfRule>
  </conditionalFormatting>
  <conditionalFormatting sqref="AD4:AD17">
    <cfRule type="cellIs" dxfId="273" priority="8" operator="lessThan">
      <formula>0.333333333333333</formula>
    </cfRule>
    <cfRule type="cellIs" dxfId="272" priority="9" operator="greaterThan">
      <formula>0.333333333333333</formula>
    </cfRule>
  </conditionalFormatting>
  <conditionalFormatting sqref="AE14:AG14">
    <cfRule type="containsText" dxfId="271" priority="146" operator="containsText" text="Alerte">
      <formula>NOT(ISERROR(SEARCH("Alerte",AE14)))</formula>
    </cfRule>
  </conditionalFormatting>
  <conditionalFormatting sqref="AE4:AH17">
    <cfRule type="containsText" dxfId="270" priority="1" operator="containsText" text="Alerte">
      <formula>NOT(ISERROR(SEARCH("Alerte",AE4)))</formula>
    </cfRule>
  </conditionalFormatting>
  <conditionalFormatting sqref="AH5">
    <cfRule type="containsText" dxfId="269" priority="303" operator="containsText" text="Alerte">
      <formula>NOT(ISERROR(SEARCH("Alerte",AH5)))</formula>
    </cfRule>
  </conditionalFormatting>
  <conditionalFormatting sqref="AH8:AH9">
    <cfRule type="containsText" dxfId="268" priority="357" operator="containsText" text="Alerte">
      <formula>NOT(ISERROR(SEARCH("Alerte",AH8)))</formula>
    </cfRule>
  </conditionalFormatting>
  <conditionalFormatting sqref="AH14:AH15">
    <cfRule type="containsText" dxfId="267" priority="156" operator="containsText" text="Alerte">
      <formula>NOT(ISERROR(SEARCH("Alerte",AH14)))</formula>
    </cfRule>
  </conditionalFormatting>
  <conditionalFormatting sqref="AI4:AI17">
    <cfRule type="cellIs" dxfId="266" priority="81" operator="lessThan">
      <formula>0.333333333333333</formula>
    </cfRule>
    <cfRule type="cellIs" dxfId="265" priority="82" operator="greaterThan">
      <formula>0.333333333333333</formula>
    </cfRule>
  </conditionalFormatting>
  <conditionalFormatting sqref="AJ4:AM17">
    <cfRule type="containsText" dxfId="264" priority="17" operator="containsText" text="Alerte">
      <formula>NOT(ISERROR(SEARCH("Alerte",AJ4)))</formula>
    </cfRule>
  </conditionalFormatting>
  <conditionalFormatting sqref="AN4:AN17">
    <cfRule type="cellIs" dxfId="263" priority="15" operator="lessThan">
      <formula>0.333333333333333</formula>
    </cfRule>
    <cfRule type="cellIs" dxfId="262" priority="16" operator="greaterThan">
      <formula>0.333333333333333</formula>
    </cfRule>
  </conditionalFormatting>
  <conditionalFormatting sqref="AO4:AO17">
    <cfRule type="cellIs" dxfId="261" priority="445" operator="lessThan">
      <formula>1.66666666666667</formula>
    </cfRule>
    <cfRule type="cellIs" dxfId="260" priority="446" operator="greaterThan">
      <formula>1.66666666666667</formula>
    </cfRule>
  </conditionalFormatting>
  <conditionalFormatting sqref="AP15:AQ15">
    <cfRule type="containsText" dxfId="259" priority="442" operator="containsText" text="Alerte">
      <formula>NOT(ISERROR(SEARCH("Alerte",AP15)))</formula>
    </cfRule>
  </conditionalFormatting>
  <conditionalFormatting sqref="AQ4:AQ14 AQ16">
    <cfRule type="containsText" dxfId="258" priority="444" operator="containsText" text="Alerte">
      <formula>NOT(ISERROR(SEARCH("Alerte",AQ4)))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167"/>
  <sheetViews>
    <sheetView topLeftCell="B1" zoomScale="80" zoomScaleNormal="80" workbookViewId="0">
      <selection activeCell="H30" sqref="H30"/>
    </sheetView>
  </sheetViews>
  <sheetFormatPr baseColWidth="10" defaultRowHeight="14.25" customHeight="1" x14ac:dyDescent="0.25"/>
  <cols>
    <col min="1" max="1" width="7.7109375" hidden="1" customWidth="1"/>
    <col min="2" max="2" width="33" bestFit="1" customWidth="1"/>
    <col min="3" max="3" width="5.5703125" hidden="1" customWidth="1"/>
    <col min="4" max="4" width="7.42578125" bestFit="1" customWidth="1"/>
    <col min="5" max="5" width="13.85546875" customWidth="1"/>
    <col min="6" max="6" width="9.5703125" customWidth="1"/>
    <col min="7" max="7" width="8.140625" customWidth="1"/>
    <col min="8" max="8" width="10.85546875" customWidth="1"/>
    <col min="9" max="9" width="6" bestFit="1" customWidth="1"/>
    <col min="10" max="10" width="11.5703125" bestFit="1" customWidth="1"/>
    <col min="11" max="11" width="9.7109375" customWidth="1"/>
    <col min="12" max="12" width="9.140625" customWidth="1"/>
    <col min="13" max="13" width="10.85546875" customWidth="1"/>
    <col min="14" max="14" width="10.140625" bestFit="1" customWidth="1"/>
    <col min="15" max="15" width="11.5703125" bestFit="1" customWidth="1"/>
    <col min="16" max="16" width="9.42578125" customWidth="1"/>
    <col min="17" max="17" width="9.140625" customWidth="1"/>
    <col min="18" max="18" width="10.85546875" customWidth="1"/>
    <col min="19" max="19" width="10.140625" bestFit="1" customWidth="1"/>
    <col min="20" max="20" width="11.5703125" bestFit="1" customWidth="1"/>
    <col min="21" max="22" width="10.140625" customWidth="1"/>
    <col min="23" max="23" width="11.85546875" customWidth="1"/>
    <col min="24" max="24" width="10.140625" bestFit="1" customWidth="1"/>
    <col min="25" max="25" width="11.5703125" bestFit="1" customWidth="1"/>
    <col min="26" max="27" width="10.140625" customWidth="1"/>
    <col min="28" max="28" width="11.85546875" customWidth="1"/>
    <col min="29" max="29" width="10.140625" bestFit="1" customWidth="1"/>
    <col min="30" max="30" width="11.5703125" bestFit="1" customWidth="1"/>
    <col min="31" max="32" width="10.140625" customWidth="1"/>
    <col min="33" max="33" width="11.85546875" customWidth="1"/>
    <col min="34" max="34" width="10.140625" bestFit="1" customWidth="1"/>
    <col min="35" max="35" width="11.5703125" bestFit="1" customWidth="1"/>
    <col min="36" max="37" width="10.140625" customWidth="1"/>
    <col min="38" max="38" width="11.85546875" customWidth="1"/>
    <col min="39" max="39" width="10.140625" bestFit="1" customWidth="1"/>
    <col min="40" max="40" width="11.5703125" bestFit="1" customWidth="1"/>
    <col min="41" max="41" width="11.5703125" customWidth="1"/>
    <col min="42" max="42" width="24.140625" customWidth="1"/>
  </cols>
  <sheetData>
    <row r="1" spans="1:72" s="4" customFormat="1" ht="17.25" customHeight="1" thickBot="1" x14ac:dyDescent="0.25">
      <c r="B1" s="51" t="str">
        <f>"S"&amp;_xlfn.ISOWEEKNUM(F1)</f>
        <v>S18</v>
      </c>
      <c r="C1" s="1"/>
      <c r="D1" s="1"/>
      <c r="E1" s="1"/>
      <c r="F1" s="529">
        <f>'[2]S&amp;E'!H3</f>
        <v>46139</v>
      </c>
      <c r="G1" s="530"/>
      <c r="H1" s="530"/>
      <c r="I1" s="530"/>
      <c r="J1" s="531"/>
      <c r="K1" s="532">
        <f>F1+1</f>
        <v>46140</v>
      </c>
      <c r="L1" s="533"/>
      <c r="M1" s="533"/>
      <c r="N1" s="533"/>
      <c r="O1" s="534"/>
      <c r="P1" s="532">
        <f>K1+1</f>
        <v>46141</v>
      </c>
      <c r="Q1" s="533"/>
      <c r="R1" s="533"/>
      <c r="S1" s="533"/>
      <c r="T1" s="534"/>
      <c r="U1" s="532">
        <f>P1+1</f>
        <v>46142</v>
      </c>
      <c r="V1" s="533"/>
      <c r="W1" s="533"/>
      <c r="X1" s="533"/>
      <c r="Y1" s="534"/>
      <c r="Z1" s="532">
        <f>U1+1</f>
        <v>46143</v>
      </c>
      <c r="AA1" s="533"/>
      <c r="AB1" s="533"/>
      <c r="AC1" s="533"/>
      <c r="AD1" s="534"/>
      <c r="AE1" s="526">
        <f>Z1+1</f>
        <v>46144</v>
      </c>
      <c r="AF1" s="527"/>
      <c r="AG1" s="527"/>
      <c r="AH1" s="527"/>
      <c r="AI1" s="528"/>
      <c r="AJ1" s="526">
        <f>AE1+1</f>
        <v>46145</v>
      </c>
      <c r="AK1" s="527"/>
      <c r="AL1" s="527"/>
      <c r="AM1" s="527"/>
      <c r="AN1" s="528"/>
      <c r="AO1" s="2">
        <v>1.6666666666666665</v>
      </c>
      <c r="AP1" s="3">
        <f>AO2/AO1</f>
        <v>11</v>
      </c>
      <c r="BT1" s="4" t="s">
        <v>0</v>
      </c>
    </row>
    <row r="2" spans="1:72" s="1" customFormat="1" ht="14.25" customHeight="1" thickTop="1" thickBot="1" x14ac:dyDescent="0.25">
      <c r="F2" s="5" t="s">
        <v>1</v>
      </c>
      <c r="G2" s="6">
        <f>J2/"8:00:00"</f>
        <v>11</v>
      </c>
      <c r="H2" s="7">
        <f>J2/$AO$2</f>
        <v>0.2</v>
      </c>
      <c r="I2" s="8" t="s">
        <v>0</v>
      </c>
      <c r="J2" s="9">
        <f>SUM(J4:J41)</f>
        <v>3.6666666666666665</v>
      </c>
      <c r="K2" s="5" t="s">
        <v>1</v>
      </c>
      <c r="L2" s="6">
        <f>O2/"8:00:00"</f>
        <v>6.9999999999999991</v>
      </c>
      <c r="M2" s="7">
        <f>O2/$AO$2</f>
        <v>0.12727272727272726</v>
      </c>
      <c r="N2" s="8" t="s">
        <v>2</v>
      </c>
      <c r="O2" s="9">
        <f>SUM(O4:O41)</f>
        <v>2.333333333333333</v>
      </c>
      <c r="P2" s="5" t="s">
        <v>1</v>
      </c>
      <c r="Q2" s="6">
        <f>T2/"8:00:00"</f>
        <v>6</v>
      </c>
      <c r="R2" s="7">
        <f>T2/$AO$2</f>
        <v>0.10909090909090909</v>
      </c>
      <c r="S2" s="8" t="s">
        <v>2</v>
      </c>
      <c r="T2" s="9">
        <f>SUM(T4:T41)</f>
        <v>1.9999999999999998</v>
      </c>
      <c r="U2" s="5" t="s">
        <v>1</v>
      </c>
      <c r="V2" s="6">
        <f>Y2/"8:00:00"</f>
        <v>8</v>
      </c>
      <c r="W2" s="7">
        <f>Y2/$AO$2</f>
        <v>0.14545454545454545</v>
      </c>
      <c r="X2" s="8" t="s">
        <v>2</v>
      </c>
      <c r="Y2" s="9">
        <f>SUM(Y4:Y41)</f>
        <v>2.6666666666666665</v>
      </c>
      <c r="Z2" s="5" t="s">
        <v>1</v>
      </c>
      <c r="AA2" s="6">
        <f>AD2/"8:00:00"</f>
        <v>8</v>
      </c>
      <c r="AB2" s="7">
        <f>AD2/$AO$2</f>
        <v>0.14545454545454545</v>
      </c>
      <c r="AC2" s="8" t="s">
        <v>2</v>
      </c>
      <c r="AD2" s="9">
        <f>SUM(AD4:AD41)</f>
        <v>2.6666666666666665</v>
      </c>
      <c r="AE2" s="5" t="s">
        <v>1</v>
      </c>
      <c r="AF2" s="6">
        <f>AI2/"8:00:00"</f>
        <v>6.9999999999999991</v>
      </c>
      <c r="AG2" s="7">
        <f>AI2/$AO$2</f>
        <v>0.12727272727272726</v>
      </c>
      <c r="AH2" s="8" t="s">
        <v>2</v>
      </c>
      <c r="AI2" s="9">
        <f>SUM(AI4:AI41)</f>
        <v>2.333333333333333</v>
      </c>
      <c r="AJ2" s="5" t="s">
        <v>1</v>
      </c>
      <c r="AK2" s="6">
        <f>AN2/"8:00:00"</f>
        <v>7.9999999999999982</v>
      </c>
      <c r="AL2" s="7">
        <f>AN2/$AO$2</f>
        <v>0.14545454545454542</v>
      </c>
      <c r="AM2" s="8" t="s">
        <v>2</v>
      </c>
      <c r="AN2" s="9">
        <f>SUM(AN4:AN41)</f>
        <v>2.6666666666666661</v>
      </c>
      <c r="AO2" s="9">
        <f>SUM(AO4:AO41)</f>
        <v>18.333333333333332</v>
      </c>
      <c r="AP2" s="9" t="s">
        <v>3</v>
      </c>
      <c r="AQ2" s="10" t="s">
        <v>4</v>
      </c>
      <c r="AT2" s="11">
        <v>0.33333333333333331</v>
      </c>
      <c r="AW2" s="12">
        <v>1.6666666666666667</v>
      </c>
    </row>
    <row r="3" spans="1:72" s="26" customFormat="1" ht="14.25" customHeight="1" thickBot="1" x14ac:dyDescent="0.3">
      <c r="A3" s="13" t="s">
        <v>247</v>
      </c>
      <c r="B3" s="14" t="s">
        <v>6</v>
      </c>
      <c r="C3" s="15" t="s">
        <v>5</v>
      </c>
      <c r="D3" s="16" t="s">
        <v>8</v>
      </c>
      <c r="E3" s="16" t="s">
        <v>9</v>
      </c>
      <c r="F3" s="17" t="s">
        <v>10</v>
      </c>
      <c r="G3" s="18" t="s">
        <v>11</v>
      </c>
      <c r="H3" s="19" t="s">
        <v>548</v>
      </c>
      <c r="I3" s="20" t="s">
        <v>12</v>
      </c>
      <c r="J3" s="21" t="s">
        <v>13</v>
      </c>
      <c r="K3" s="17" t="s">
        <v>611</v>
      </c>
      <c r="L3" s="18" t="s">
        <v>612</v>
      </c>
      <c r="M3" s="19" t="s">
        <v>613</v>
      </c>
      <c r="N3" s="20" t="s">
        <v>614</v>
      </c>
      <c r="O3" s="22" t="s">
        <v>615</v>
      </c>
      <c r="P3" s="17" t="s">
        <v>616</v>
      </c>
      <c r="Q3" s="18" t="s">
        <v>617</v>
      </c>
      <c r="R3" s="19" t="s">
        <v>618</v>
      </c>
      <c r="S3" s="20" t="s">
        <v>619</v>
      </c>
      <c r="T3" s="22" t="s">
        <v>620</v>
      </c>
      <c r="U3" s="17" t="s">
        <v>621</v>
      </c>
      <c r="V3" s="18" t="s">
        <v>622</v>
      </c>
      <c r="W3" s="19" t="s">
        <v>623</v>
      </c>
      <c r="X3" s="20" t="s">
        <v>624</v>
      </c>
      <c r="Y3" s="22" t="s">
        <v>625</v>
      </c>
      <c r="Z3" s="17" t="s">
        <v>626</v>
      </c>
      <c r="AA3" s="18" t="s">
        <v>627</v>
      </c>
      <c r="AB3" s="19" t="s">
        <v>628</v>
      </c>
      <c r="AC3" s="20" t="s">
        <v>629</v>
      </c>
      <c r="AD3" s="22" t="s">
        <v>630</v>
      </c>
      <c r="AE3" s="17" t="s">
        <v>631</v>
      </c>
      <c r="AF3" s="18" t="s">
        <v>632</v>
      </c>
      <c r="AG3" s="19" t="s">
        <v>633</v>
      </c>
      <c r="AH3" s="20" t="s">
        <v>634</v>
      </c>
      <c r="AI3" s="22" t="s">
        <v>635</v>
      </c>
      <c r="AJ3" s="17" t="s">
        <v>636</v>
      </c>
      <c r="AK3" s="18" t="s">
        <v>637</v>
      </c>
      <c r="AL3" s="19" t="s">
        <v>638</v>
      </c>
      <c r="AM3" s="20" t="s">
        <v>639</v>
      </c>
      <c r="AN3" s="22" t="s">
        <v>640</v>
      </c>
      <c r="AO3" s="23" t="s">
        <v>641</v>
      </c>
      <c r="AP3" s="24" t="s">
        <v>3</v>
      </c>
      <c r="AQ3" s="25"/>
      <c r="AR3" s="53" t="s">
        <v>14</v>
      </c>
      <c r="AS3" s="54"/>
      <c r="AT3" s="55"/>
    </row>
    <row r="4" spans="1:72" s="31" customFormat="1" ht="14.25" customHeight="1" x14ac:dyDescent="0.2">
      <c r="A4" s="59" t="s">
        <v>292</v>
      </c>
      <c r="B4" s="369" t="s">
        <v>575</v>
      </c>
      <c r="C4" s="59">
        <v>1</v>
      </c>
      <c r="D4" s="377" t="s">
        <v>576</v>
      </c>
      <c r="E4" s="378" t="s">
        <v>79</v>
      </c>
      <c r="F4" s="420">
        <v>0.29166666666666669</v>
      </c>
      <c r="G4" s="334">
        <v>0.54166666666666663</v>
      </c>
      <c r="H4" s="334">
        <v>0.58333333333333337</v>
      </c>
      <c r="I4" s="139">
        <v>0.66666666666666663</v>
      </c>
      <c r="J4" s="73">
        <f t="shared" ref="J4:J14" si="0">IFERROR(MOD(I4-F4,1)-(H4-G4),"")</f>
        <v>0.3333333333333332</v>
      </c>
      <c r="K4" s="420">
        <v>0.29166666666666669</v>
      </c>
      <c r="L4" s="334">
        <v>0.54166666666666663</v>
      </c>
      <c r="M4" s="334">
        <v>0.58333333333333337</v>
      </c>
      <c r="N4" s="139">
        <v>0.66666666666666663</v>
      </c>
      <c r="O4" s="73">
        <f t="shared" ref="O4:O14" si="1">IFERROR(MOD(N4-K4,1)-(M4-L4),"")</f>
        <v>0.3333333333333332</v>
      </c>
      <c r="P4" s="420">
        <v>0.29166666666666669</v>
      </c>
      <c r="Q4" s="334">
        <v>0.54166666666666663</v>
      </c>
      <c r="R4" s="334">
        <v>0.58333333333333337</v>
      </c>
      <c r="S4" s="139">
        <v>0.66666666666666663</v>
      </c>
      <c r="T4" s="73">
        <f t="shared" ref="T4:T14" si="2">IFERROR(MOD(S4-P4,1)-(R4-Q4),"")</f>
        <v>0.3333333333333332</v>
      </c>
      <c r="U4" s="420">
        <v>0.29166666666666669</v>
      </c>
      <c r="V4" s="334">
        <v>0.54166666666666663</v>
      </c>
      <c r="W4" s="334">
        <v>0.58333333333333337</v>
      </c>
      <c r="X4" s="139">
        <v>0.66666666666666663</v>
      </c>
      <c r="Y4" s="73">
        <f t="shared" ref="Y4:Y14" si="3">IFERROR(MOD(X4-U4,1)-(W4-V4),"")</f>
        <v>0.3333333333333332</v>
      </c>
      <c r="Z4" s="418">
        <v>0.5</v>
      </c>
      <c r="AA4" s="180">
        <v>0.625</v>
      </c>
      <c r="AB4" s="180">
        <v>0.66666666666666663</v>
      </c>
      <c r="AC4" s="166">
        <v>0.875</v>
      </c>
      <c r="AD4" s="73">
        <f t="shared" ref="AD4:AD14" si="4">IFERROR(MOD(AC4-Z4,1)-(AB4-AA4),"")</f>
        <v>0.33333333333333337</v>
      </c>
      <c r="AE4" s="75" t="s">
        <v>15</v>
      </c>
      <c r="AF4" s="180" t="s">
        <v>15</v>
      </c>
      <c r="AG4" s="180" t="s">
        <v>15</v>
      </c>
      <c r="AH4" s="75" t="s">
        <v>15</v>
      </c>
      <c r="AI4" s="73" t="str">
        <f t="shared" ref="AI4:AI14" si="5">IFERROR(MOD(AH4-AE4,1)-(AG4-AF4),"")</f>
        <v/>
      </c>
      <c r="AJ4" s="75" t="s">
        <v>15</v>
      </c>
      <c r="AK4" s="180" t="s">
        <v>15</v>
      </c>
      <c r="AL4" s="180" t="s">
        <v>15</v>
      </c>
      <c r="AM4" s="75" t="s">
        <v>15</v>
      </c>
      <c r="AN4" s="73" t="str">
        <f t="shared" ref="AN4:AN14" si="6">IFERROR(MOD(AM4-AJ4,1)-(AL4-AK4),"")</f>
        <v/>
      </c>
      <c r="AO4" s="28">
        <f t="shared" ref="AO4:AO14" si="7">SUM(J4,O4,T4,Y4,AD4,AI4,AN4)</f>
        <v>1.6666666666666661</v>
      </c>
      <c r="AP4" s="29"/>
      <c r="AQ4" s="30" t="str">
        <f>IF(AO4&gt;$AO$1, "Alerte Dépassement!!!","")</f>
        <v/>
      </c>
    </row>
    <row r="5" spans="1:72" s="31" customFormat="1" ht="14.25" customHeight="1" x14ac:dyDescent="0.2">
      <c r="A5" s="59" t="s">
        <v>263</v>
      </c>
      <c r="B5" s="369" t="s">
        <v>577</v>
      </c>
      <c r="C5" s="59">
        <v>25</v>
      </c>
      <c r="D5" s="377" t="s">
        <v>576</v>
      </c>
      <c r="E5" s="378" t="s">
        <v>79</v>
      </c>
      <c r="F5" s="420">
        <v>0.29166666666666669</v>
      </c>
      <c r="G5" s="334">
        <v>0.54166666666666663</v>
      </c>
      <c r="H5" s="334">
        <v>0.58333333333333337</v>
      </c>
      <c r="I5" s="139">
        <v>0.66666666666666663</v>
      </c>
      <c r="J5" s="73">
        <f t="shared" si="0"/>
        <v>0.3333333333333332</v>
      </c>
      <c r="K5" s="420">
        <v>0.29166666666666669</v>
      </c>
      <c r="L5" s="334">
        <v>0.54166666666666663</v>
      </c>
      <c r="M5" s="334">
        <v>0.58333333333333337</v>
      </c>
      <c r="N5" s="139">
        <v>0.66666666666666663</v>
      </c>
      <c r="O5" s="73">
        <f t="shared" si="1"/>
        <v>0.3333333333333332</v>
      </c>
      <c r="P5" s="420">
        <v>0.29166666666666669</v>
      </c>
      <c r="Q5" s="334">
        <v>0.54166666666666663</v>
      </c>
      <c r="R5" s="334">
        <v>0.58333333333333337</v>
      </c>
      <c r="S5" s="139">
        <v>0.66666666666666663</v>
      </c>
      <c r="T5" s="73">
        <f t="shared" si="2"/>
        <v>0.3333333333333332</v>
      </c>
      <c r="U5" s="420">
        <v>0.29166666666666669</v>
      </c>
      <c r="V5" s="334">
        <v>0.54166666666666663</v>
      </c>
      <c r="W5" s="334">
        <v>0.58333333333333337</v>
      </c>
      <c r="X5" s="139">
        <v>0.66666666666666663</v>
      </c>
      <c r="Y5" s="73">
        <f t="shared" si="3"/>
        <v>0.3333333333333332</v>
      </c>
      <c r="Z5" s="418">
        <v>0.5</v>
      </c>
      <c r="AA5" s="180">
        <v>0.625</v>
      </c>
      <c r="AB5" s="180">
        <v>0.66666666666666663</v>
      </c>
      <c r="AC5" s="166">
        <v>0.875</v>
      </c>
      <c r="AD5" s="73">
        <f t="shared" si="4"/>
        <v>0.33333333333333337</v>
      </c>
      <c r="AE5" s="75" t="s">
        <v>15</v>
      </c>
      <c r="AF5" s="180" t="s">
        <v>15</v>
      </c>
      <c r="AG5" s="180" t="s">
        <v>15</v>
      </c>
      <c r="AH5" s="75" t="s">
        <v>15</v>
      </c>
      <c r="AI5" s="73" t="str">
        <f t="shared" si="5"/>
        <v/>
      </c>
      <c r="AJ5" s="75" t="s">
        <v>15</v>
      </c>
      <c r="AK5" s="180" t="s">
        <v>15</v>
      </c>
      <c r="AL5" s="180" t="s">
        <v>15</v>
      </c>
      <c r="AM5" s="75" t="s">
        <v>15</v>
      </c>
      <c r="AN5" s="73" t="str">
        <f t="shared" si="6"/>
        <v/>
      </c>
      <c r="AO5" s="28">
        <f t="shared" si="7"/>
        <v>1.6666666666666661</v>
      </c>
      <c r="AP5" s="29"/>
      <c r="AQ5" s="30" t="str">
        <f>IF(AO5&gt;$AO$1, "Alerte Dépassement!!!","")</f>
        <v/>
      </c>
      <c r="AR5" s="32"/>
    </row>
    <row r="6" spans="1:72" s="31" customFormat="1" ht="14.25" customHeight="1" x14ac:dyDescent="0.2">
      <c r="A6" s="59" t="s">
        <v>282</v>
      </c>
      <c r="B6" s="419" t="s">
        <v>578</v>
      </c>
      <c r="C6" s="59">
        <v>1</v>
      </c>
      <c r="D6" s="377" t="s">
        <v>576</v>
      </c>
      <c r="E6" s="379" t="s">
        <v>79</v>
      </c>
      <c r="F6" s="418">
        <v>0.33333333333333331</v>
      </c>
      <c r="G6" s="180">
        <v>0.5</v>
      </c>
      <c r="H6" s="180">
        <v>0.54166666666666663</v>
      </c>
      <c r="I6" s="166">
        <v>0.70833333333333337</v>
      </c>
      <c r="J6" s="73">
        <f t="shared" si="0"/>
        <v>0.33333333333333343</v>
      </c>
      <c r="K6" s="418">
        <v>0.5</v>
      </c>
      <c r="L6" s="180">
        <v>0.625</v>
      </c>
      <c r="M6" s="180">
        <v>0.66666666666666663</v>
      </c>
      <c r="N6" s="166">
        <v>0.875</v>
      </c>
      <c r="O6" s="73">
        <f t="shared" si="1"/>
        <v>0.33333333333333337</v>
      </c>
      <c r="P6" s="75" t="s">
        <v>15</v>
      </c>
      <c r="Q6" s="180" t="s">
        <v>15</v>
      </c>
      <c r="R6" s="180" t="s">
        <v>15</v>
      </c>
      <c r="S6" s="75" t="s">
        <v>15</v>
      </c>
      <c r="T6" s="73" t="str">
        <f t="shared" si="2"/>
        <v/>
      </c>
      <c r="U6" s="418">
        <v>0.33333333333333331</v>
      </c>
      <c r="V6" s="180">
        <v>0.5</v>
      </c>
      <c r="W6" s="180">
        <v>0.54166666666666663</v>
      </c>
      <c r="X6" s="166">
        <v>0.70833333333333337</v>
      </c>
      <c r="Y6" s="73">
        <f t="shared" si="3"/>
        <v>0.33333333333333343</v>
      </c>
      <c r="Z6" s="418">
        <v>0.5</v>
      </c>
      <c r="AA6" s="180">
        <v>0.625</v>
      </c>
      <c r="AB6" s="180">
        <v>0.66666666666666663</v>
      </c>
      <c r="AC6" s="166">
        <v>0.875</v>
      </c>
      <c r="AD6" s="73">
        <f t="shared" si="4"/>
        <v>0.33333333333333337</v>
      </c>
      <c r="AE6" s="75" t="s">
        <v>15</v>
      </c>
      <c r="AF6" s="180" t="s">
        <v>15</v>
      </c>
      <c r="AG6" s="180" t="s">
        <v>15</v>
      </c>
      <c r="AH6" s="75" t="s">
        <v>15</v>
      </c>
      <c r="AI6" s="73" t="str">
        <f t="shared" si="5"/>
        <v/>
      </c>
      <c r="AJ6" s="420">
        <v>0.29166666666666669</v>
      </c>
      <c r="AK6" s="334">
        <v>0.54166666666666663</v>
      </c>
      <c r="AL6" s="334">
        <v>0.58333333333333337</v>
      </c>
      <c r="AM6" s="139">
        <v>0.66666666666666663</v>
      </c>
      <c r="AN6" s="73">
        <f t="shared" si="6"/>
        <v>0.3333333333333332</v>
      </c>
      <c r="AO6" s="28">
        <f t="shared" si="7"/>
        <v>1.6666666666666667</v>
      </c>
      <c r="AP6" s="29"/>
      <c r="AQ6" s="30" t="str">
        <f>IF(AO6&gt;$AO$1, "Alerte Dépassement!!!","")</f>
        <v/>
      </c>
      <c r="AR6" s="32"/>
    </row>
    <row r="7" spans="1:72" s="31" customFormat="1" ht="14.25" customHeight="1" x14ac:dyDescent="0.2">
      <c r="A7" s="59" t="s">
        <v>263</v>
      </c>
      <c r="B7" s="369" t="s">
        <v>579</v>
      </c>
      <c r="C7" s="59">
        <v>1</v>
      </c>
      <c r="D7" s="377" t="s">
        <v>576</v>
      </c>
      <c r="E7" s="378"/>
      <c r="F7" s="418">
        <v>0.33333333333333331</v>
      </c>
      <c r="G7" s="180">
        <v>0.5</v>
      </c>
      <c r="H7" s="180">
        <v>0.54166666666666663</v>
      </c>
      <c r="I7" s="166">
        <v>0.70833333333333337</v>
      </c>
      <c r="J7" s="73">
        <f t="shared" si="0"/>
        <v>0.33333333333333343</v>
      </c>
      <c r="K7" s="418">
        <v>0.33333333333333331</v>
      </c>
      <c r="L7" s="180">
        <v>0.5</v>
      </c>
      <c r="M7" s="180">
        <v>0.54166666666666663</v>
      </c>
      <c r="N7" s="166">
        <v>0.70833333333333337</v>
      </c>
      <c r="O7" s="73">
        <f t="shared" si="1"/>
        <v>0.33333333333333343</v>
      </c>
      <c r="P7" s="418">
        <v>0.5</v>
      </c>
      <c r="Q7" s="180">
        <v>0.625</v>
      </c>
      <c r="R7" s="180">
        <v>0.66666666666666663</v>
      </c>
      <c r="S7" s="166">
        <v>0.875</v>
      </c>
      <c r="T7" s="73">
        <f t="shared" si="2"/>
        <v>0.33333333333333337</v>
      </c>
      <c r="U7" s="418">
        <v>0.5</v>
      </c>
      <c r="V7" s="180">
        <v>0.625</v>
      </c>
      <c r="W7" s="180">
        <v>0.66666666666666663</v>
      </c>
      <c r="X7" s="166">
        <v>0.875</v>
      </c>
      <c r="Y7" s="73">
        <f t="shared" si="3"/>
        <v>0.33333333333333337</v>
      </c>
      <c r="Z7" s="75" t="s">
        <v>15</v>
      </c>
      <c r="AA7" s="180" t="s">
        <v>15</v>
      </c>
      <c r="AB7" s="180" t="s">
        <v>15</v>
      </c>
      <c r="AC7" s="75" t="s">
        <v>15</v>
      </c>
      <c r="AD7" s="73" t="str">
        <f t="shared" si="4"/>
        <v/>
      </c>
      <c r="AE7" s="75" t="s">
        <v>15</v>
      </c>
      <c r="AF7" s="180" t="s">
        <v>15</v>
      </c>
      <c r="AG7" s="180" t="s">
        <v>15</v>
      </c>
      <c r="AH7" s="75" t="s">
        <v>15</v>
      </c>
      <c r="AI7" s="73" t="str">
        <f t="shared" si="5"/>
        <v/>
      </c>
      <c r="AJ7" s="420">
        <v>0.29166666666666669</v>
      </c>
      <c r="AK7" s="181">
        <v>0.54166666666666663</v>
      </c>
      <c r="AL7" s="181">
        <v>0.58333333333333337</v>
      </c>
      <c r="AM7" s="139">
        <v>0.66666666666666663</v>
      </c>
      <c r="AN7" s="73">
        <f t="shared" si="6"/>
        <v>0.3333333333333332</v>
      </c>
      <c r="AO7" s="28">
        <f t="shared" si="7"/>
        <v>1.6666666666666667</v>
      </c>
      <c r="AQ7" s="30" t="str">
        <f>IF(AO7&gt;$AO$1, "Alerte Dépassement!!!","")</f>
        <v/>
      </c>
      <c r="AR7" s="34"/>
    </row>
    <row r="8" spans="1:72" s="31" customFormat="1" ht="14.25" customHeight="1" x14ac:dyDescent="0.2">
      <c r="A8" s="105" t="s">
        <v>287</v>
      </c>
      <c r="B8" s="369" t="s">
        <v>580</v>
      </c>
      <c r="C8" s="105">
        <v>1</v>
      </c>
      <c r="D8" s="377" t="s">
        <v>576</v>
      </c>
      <c r="E8" s="379"/>
      <c r="F8" s="418">
        <v>0.5</v>
      </c>
      <c r="G8" s="180">
        <v>0.625</v>
      </c>
      <c r="H8" s="180">
        <v>0.66666666666666663</v>
      </c>
      <c r="I8" s="166">
        <v>0.875</v>
      </c>
      <c r="J8" s="73">
        <f t="shared" si="0"/>
        <v>0.33333333333333337</v>
      </c>
      <c r="K8" s="75" t="s">
        <v>15</v>
      </c>
      <c r="L8" s="180" t="s">
        <v>15</v>
      </c>
      <c r="M8" s="180" t="s">
        <v>15</v>
      </c>
      <c r="N8" s="75" t="s">
        <v>15</v>
      </c>
      <c r="O8" s="73" t="str">
        <f t="shared" si="1"/>
        <v/>
      </c>
      <c r="P8" s="75" t="s">
        <v>15</v>
      </c>
      <c r="Q8" s="180" t="s">
        <v>15</v>
      </c>
      <c r="R8" s="180" t="s">
        <v>15</v>
      </c>
      <c r="S8" s="75" t="s">
        <v>15</v>
      </c>
      <c r="T8" s="73" t="str">
        <f t="shared" si="2"/>
        <v/>
      </c>
      <c r="U8" s="418">
        <v>0.33333333333333331</v>
      </c>
      <c r="V8" s="180">
        <v>0.5</v>
      </c>
      <c r="W8" s="180">
        <v>0.54166666666666663</v>
      </c>
      <c r="X8" s="166">
        <v>0.70833333333333337</v>
      </c>
      <c r="Y8" s="73">
        <f t="shared" si="3"/>
        <v>0.33333333333333343</v>
      </c>
      <c r="Z8" s="418">
        <v>0.33333333333333331</v>
      </c>
      <c r="AA8" s="180">
        <v>0.5</v>
      </c>
      <c r="AB8" s="180">
        <v>0.54166666666666663</v>
      </c>
      <c r="AC8" s="166">
        <v>0.70833333333333337</v>
      </c>
      <c r="AD8" s="73">
        <f t="shared" si="4"/>
        <v>0.33333333333333343</v>
      </c>
      <c r="AE8" s="420">
        <v>0.29166666666666669</v>
      </c>
      <c r="AF8" s="181">
        <v>0.54166666666666663</v>
      </c>
      <c r="AG8" s="181">
        <v>0.58333333333333337</v>
      </c>
      <c r="AH8" s="139">
        <v>0.66666666666666663</v>
      </c>
      <c r="AI8" s="73">
        <f t="shared" si="5"/>
        <v>0.3333333333333332</v>
      </c>
      <c r="AJ8" s="418">
        <v>0.5</v>
      </c>
      <c r="AK8" s="180">
        <v>0.625</v>
      </c>
      <c r="AL8" s="180">
        <v>0.66666666666666663</v>
      </c>
      <c r="AM8" s="166">
        <v>0.875</v>
      </c>
      <c r="AN8" s="73">
        <f t="shared" si="6"/>
        <v>0.33333333333333337</v>
      </c>
      <c r="AO8" s="28">
        <f t="shared" si="7"/>
        <v>1.666666666666667</v>
      </c>
      <c r="AP8" s="29"/>
      <c r="AQ8" s="30" t="str">
        <f>IF(AO8&gt;$AO$1, "Alerte Dépassement!!!","")</f>
        <v/>
      </c>
    </row>
    <row r="9" spans="1:72" s="31" customFormat="1" ht="14.25" customHeight="1" x14ac:dyDescent="0.2">
      <c r="A9" s="105" t="s">
        <v>272</v>
      </c>
      <c r="B9" s="421" t="s">
        <v>581</v>
      </c>
      <c r="C9" s="105">
        <v>1</v>
      </c>
      <c r="D9" s="377" t="s">
        <v>576</v>
      </c>
      <c r="E9" s="378" t="s">
        <v>79</v>
      </c>
      <c r="F9" s="418">
        <v>0.5</v>
      </c>
      <c r="G9" s="180">
        <v>0.625</v>
      </c>
      <c r="H9" s="180">
        <v>0.66666666666666663</v>
      </c>
      <c r="I9" s="166">
        <v>0.875</v>
      </c>
      <c r="J9" s="73">
        <f t="shared" si="0"/>
        <v>0.33333333333333337</v>
      </c>
      <c r="K9" s="418">
        <v>0.5</v>
      </c>
      <c r="L9" s="180">
        <v>0.625</v>
      </c>
      <c r="M9" s="180">
        <v>0.66666666666666663</v>
      </c>
      <c r="N9" s="166">
        <v>0.875</v>
      </c>
      <c r="O9" s="73">
        <f t="shared" si="1"/>
        <v>0.33333333333333337</v>
      </c>
      <c r="P9" s="75" t="s">
        <v>15</v>
      </c>
      <c r="Q9" s="180" t="s">
        <v>15</v>
      </c>
      <c r="R9" s="180" t="s">
        <v>15</v>
      </c>
      <c r="S9" s="75" t="s">
        <v>15</v>
      </c>
      <c r="T9" s="73" t="str">
        <f t="shared" si="2"/>
        <v/>
      </c>
      <c r="U9" s="75" t="s">
        <v>15</v>
      </c>
      <c r="V9" s="180" t="s">
        <v>15</v>
      </c>
      <c r="W9" s="180" t="s">
        <v>15</v>
      </c>
      <c r="X9" s="75" t="s">
        <v>15</v>
      </c>
      <c r="Y9" s="73" t="str">
        <f t="shared" si="3"/>
        <v/>
      </c>
      <c r="Z9" s="420">
        <v>0.29166666666666669</v>
      </c>
      <c r="AA9" s="181">
        <v>0.54166666666666663</v>
      </c>
      <c r="AB9" s="181">
        <v>0.58333333333333337</v>
      </c>
      <c r="AC9" s="139">
        <v>0.66666666666666663</v>
      </c>
      <c r="AD9" s="73">
        <f t="shared" si="4"/>
        <v>0.3333333333333332</v>
      </c>
      <c r="AE9" s="420">
        <v>0.29166666666666669</v>
      </c>
      <c r="AF9" s="181">
        <v>0.54166666666666663</v>
      </c>
      <c r="AG9" s="181">
        <v>0.58333333333333337</v>
      </c>
      <c r="AH9" s="139">
        <v>0.66666666666666663</v>
      </c>
      <c r="AI9" s="73">
        <f t="shared" si="5"/>
        <v>0.3333333333333332</v>
      </c>
      <c r="AJ9" s="418">
        <v>0.5</v>
      </c>
      <c r="AK9" s="180">
        <v>0.625</v>
      </c>
      <c r="AL9" s="180">
        <v>0.66666666666666663</v>
      </c>
      <c r="AM9" s="166">
        <v>0.875</v>
      </c>
      <c r="AN9" s="73">
        <f t="shared" si="6"/>
        <v>0.33333333333333337</v>
      </c>
      <c r="AO9" s="28">
        <f t="shared" si="7"/>
        <v>1.6666666666666665</v>
      </c>
      <c r="AP9" s="29"/>
      <c r="AQ9" s="30"/>
    </row>
    <row r="10" spans="1:72" s="31" customFormat="1" ht="14.25" customHeight="1" x14ac:dyDescent="0.2">
      <c r="A10" s="105" t="s">
        <v>290</v>
      </c>
      <c r="B10" s="422" t="s">
        <v>582</v>
      </c>
      <c r="C10" s="289">
        <v>1</v>
      </c>
      <c r="D10" s="377" t="s">
        <v>576</v>
      </c>
      <c r="E10" s="379"/>
      <c r="F10" s="420">
        <v>0.29166666666666669</v>
      </c>
      <c r="G10" s="334">
        <v>0.54166666666666663</v>
      </c>
      <c r="H10" s="334">
        <v>0.58333333333333337</v>
      </c>
      <c r="I10" s="139">
        <v>0.66666666666666663</v>
      </c>
      <c r="J10" s="73">
        <f t="shared" si="0"/>
        <v>0.3333333333333332</v>
      </c>
      <c r="K10" s="75" t="s">
        <v>15</v>
      </c>
      <c r="L10" s="180" t="s">
        <v>15</v>
      </c>
      <c r="M10" s="180" t="s">
        <v>15</v>
      </c>
      <c r="N10" s="75" t="s">
        <v>15</v>
      </c>
      <c r="O10" s="73" t="str">
        <f t="shared" si="1"/>
        <v/>
      </c>
      <c r="P10" s="75" t="s">
        <v>15</v>
      </c>
      <c r="Q10" s="180" t="s">
        <v>15</v>
      </c>
      <c r="R10" s="180" t="s">
        <v>15</v>
      </c>
      <c r="S10" s="75" t="s">
        <v>15</v>
      </c>
      <c r="T10" s="73" t="str">
        <f t="shared" si="2"/>
        <v/>
      </c>
      <c r="U10" s="420">
        <v>0.29166666666666669</v>
      </c>
      <c r="V10" s="334">
        <v>0.54166666666666663</v>
      </c>
      <c r="W10" s="334">
        <v>0.58333333333333337</v>
      </c>
      <c r="X10" s="139">
        <v>0.66666666666666663</v>
      </c>
      <c r="Y10" s="73">
        <f t="shared" si="3"/>
        <v>0.3333333333333332</v>
      </c>
      <c r="Z10" s="420">
        <v>0.29166666666666669</v>
      </c>
      <c r="AA10" s="334">
        <v>0.54166666666666663</v>
      </c>
      <c r="AB10" s="334">
        <v>0.58333333333333337</v>
      </c>
      <c r="AC10" s="139">
        <v>0.66666666666666663</v>
      </c>
      <c r="AD10" s="73">
        <f t="shared" si="4"/>
        <v>0.3333333333333332</v>
      </c>
      <c r="AE10" s="418">
        <v>0.5</v>
      </c>
      <c r="AF10" s="180">
        <v>0.625</v>
      </c>
      <c r="AG10" s="180">
        <v>0.66666666666666663</v>
      </c>
      <c r="AH10" s="166">
        <v>0.875</v>
      </c>
      <c r="AI10" s="73">
        <f t="shared" si="5"/>
        <v>0.33333333333333337</v>
      </c>
      <c r="AJ10" s="418">
        <v>0.5</v>
      </c>
      <c r="AK10" s="180">
        <v>0.625</v>
      </c>
      <c r="AL10" s="180">
        <v>0.66666666666666663</v>
      </c>
      <c r="AM10" s="166">
        <v>0.875</v>
      </c>
      <c r="AN10" s="73">
        <f t="shared" si="6"/>
        <v>0.33333333333333337</v>
      </c>
      <c r="AO10" s="28">
        <f t="shared" si="7"/>
        <v>1.6666666666666665</v>
      </c>
      <c r="AP10" s="29"/>
      <c r="AQ10" s="30"/>
    </row>
    <row r="11" spans="1:72" s="31" customFormat="1" ht="14.25" customHeight="1" x14ac:dyDescent="0.2">
      <c r="A11" s="105" t="s">
        <v>276</v>
      </c>
      <c r="B11" s="369" t="s">
        <v>583</v>
      </c>
      <c r="C11" s="105">
        <v>1</v>
      </c>
      <c r="D11" s="377" t="s">
        <v>576</v>
      </c>
      <c r="E11" s="379"/>
      <c r="F11" s="418">
        <v>0.33333333333333331</v>
      </c>
      <c r="G11" s="180">
        <v>0.5</v>
      </c>
      <c r="H11" s="180">
        <v>0.54166666666666663</v>
      </c>
      <c r="I11" s="166">
        <v>0.70833333333333337</v>
      </c>
      <c r="J11" s="73">
        <f t="shared" si="0"/>
        <v>0.33333333333333343</v>
      </c>
      <c r="K11" s="75" t="s">
        <v>15</v>
      </c>
      <c r="L11" s="180" t="s">
        <v>15</v>
      </c>
      <c r="M11" s="180" t="s">
        <v>15</v>
      </c>
      <c r="N11" s="75" t="s">
        <v>15</v>
      </c>
      <c r="O11" s="73" t="str">
        <f t="shared" si="1"/>
        <v/>
      </c>
      <c r="P11" s="418">
        <v>0.33333333333333331</v>
      </c>
      <c r="Q11" s="180">
        <v>0.5</v>
      </c>
      <c r="R11" s="180">
        <v>0.54166666666666663</v>
      </c>
      <c r="S11" s="166">
        <v>0.70833333333333337</v>
      </c>
      <c r="T11" s="73">
        <f t="shared" si="2"/>
        <v>0.33333333333333343</v>
      </c>
      <c r="U11" s="418">
        <v>0.5</v>
      </c>
      <c r="V11" s="180">
        <v>0.625</v>
      </c>
      <c r="W11" s="180">
        <v>0.66666666666666663</v>
      </c>
      <c r="X11" s="166">
        <v>0.875</v>
      </c>
      <c r="Y11" s="73">
        <f t="shared" si="3"/>
        <v>0.33333333333333337</v>
      </c>
      <c r="Z11" s="75" t="s">
        <v>15</v>
      </c>
      <c r="AA11" s="180" t="s">
        <v>15</v>
      </c>
      <c r="AB11" s="180" t="s">
        <v>15</v>
      </c>
      <c r="AC11" s="75" t="s">
        <v>15</v>
      </c>
      <c r="AD11" s="73" t="str">
        <f t="shared" si="4"/>
        <v/>
      </c>
      <c r="AE11" s="420">
        <v>0.29166666666666669</v>
      </c>
      <c r="AF11" s="334">
        <v>0.54166666666666663</v>
      </c>
      <c r="AG11" s="334">
        <v>0.58333333333333337</v>
      </c>
      <c r="AH11" s="139">
        <v>0.66666666666666663</v>
      </c>
      <c r="AI11" s="73">
        <f t="shared" si="5"/>
        <v>0.3333333333333332</v>
      </c>
      <c r="AJ11" s="420">
        <v>0.29166666666666669</v>
      </c>
      <c r="AK11" s="334">
        <v>0.54166666666666663</v>
      </c>
      <c r="AL11" s="334">
        <v>0.58333333333333337</v>
      </c>
      <c r="AM11" s="139">
        <v>0.66666666666666663</v>
      </c>
      <c r="AN11" s="73">
        <f t="shared" si="6"/>
        <v>0.3333333333333332</v>
      </c>
      <c r="AO11" s="28">
        <f t="shared" si="7"/>
        <v>1.6666666666666667</v>
      </c>
      <c r="AP11" s="29"/>
      <c r="AQ11" s="30"/>
    </row>
    <row r="12" spans="1:72" s="31" customFormat="1" ht="15" customHeight="1" x14ac:dyDescent="0.25">
      <c r="A12" s="130" t="s">
        <v>282</v>
      </c>
      <c r="B12" s="423" t="s">
        <v>584</v>
      </c>
      <c r="C12" s="105">
        <v>25</v>
      </c>
      <c r="D12" s="377" t="s">
        <v>576</v>
      </c>
      <c r="E12" s="379"/>
      <c r="F12" s="420">
        <v>0.29166666666666669</v>
      </c>
      <c r="G12" s="334">
        <v>0.54166666666666663</v>
      </c>
      <c r="H12" s="334">
        <v>0.58333333333333337</v>
      </c>
      <c r="I12" s="139">
        <v>0.66666666666666663</v>
      </c>
      <c r="J12" s="73">
        <f t="shared" si="0"/>
        <v>0.3333333333333332</v>
      </c>
      <c r="K12" s="420">
        <v>0.29166666666666669</v>
      </c>
      <c r="L12" s="334">
        <v>0.54166666666666663</v>
      </c>
      <c r="M12" s="334">
        <v>0.58333333333333337</v>
      </c>
      <c r="N12" s="139">
        <v>0.66666666666666663</v>
      </c>
      <c r="O12" s="73">
        <f t="shared" si="1"/>
        <v>0.3333333333333332</v>
      </c>
      <c r="P12" s="418">
        <v>0.5</v>
      </c>
      <c r="Q12" s="180">
        <v>0.625</v>
      </c>
      <c r="R12" s="180">
        <v>0.66666666666666663</v>
      </c>
      <c r="S12" s="166">
        <v>0.875</v>
      </c>
      <c r="T12" s="73">
        <f t="shared" si="2"/>
        <v>0.33333333333333337</v>
      </c>
      <c r="U12" s="75" t="s">
        <v>15</v>
      </c>
      <c r="V12" s="180" t="s">
        <v>15</v>
      </c>
      <c r="W12" s="180" t="s">
        <v>15</v>
      </c>
      <c r="X12" s="75" t="s">
        <v>15</v>
      </c>
      <c r="Y12" s="73" t="str">
        <f t="shared" si="3"/>
        <v/>
      </c>
      <c r="Z12" s="420">
        <v>0.29166666666666669</v>
      </c>
      <c r="AA12" s="334">
        <v>0.54166666666666663</v>
      </c>
      <c r="AB12" s="334">
        <v>0.58333333333333337</v>
      </c>
      <c r="AC12" s="139">
        <v>0.66666666666666663</v>
      </c>
      <c r="AD12" s="73">
        <f t="shared" si="4"/>
        <v>0.3333333333333332</v>
      </c>
      <c r="AE12" s="418">
        <v>0.5</v>
      </c>
      <c r="AF12" s="180">
        <v>0.625</v>
      </c>
      <c r="AG12" s="180">
        <v>0.66666666666666663</v>
      </c>
      <c r="AH12" s="166">
        <v>0.875</v>
      </c>
      <c r="AI12" s="73">
        <f t="shared" si="5"/>
        <v>0.33333333333333337</v>
      </c>
      <c r="AJ12" s="75" t="s">
        <v>15</v>
      </c>
      <c r="AK12" s="180" t="s">
        <v>15</v>
      </c>
      <c r="AL12" s="180" t="s">
        <v>15</v>
      </c>
      <c r="AM12" s="75" t="s">
        <v>15</v>
      </c>
      <c r="AN12" s="73" t="str">
        <f t="shared" si="6"/>
        <v/>
      </c>
      <c r="AO12" s="28">
        <f>SUM(J12,O12,T12,Y12,AD12,AI12,AN12)</f>
        <v>1.6666666666666665</v>
      </c>
      <c r="AP12" s="29"/>
      <c r="AQ12" s="30"/>
      <c r="AR12" s="48"/>
    </row>
    <row r="13" spans="1:72" s="31" customFormat="1" ht="15" customHeight="1" x14ac:dyDescent="0.25">
      <c r="A13" s="130" t="s">
        <v>269</v>
      </c>
      <c r="B13" s="475" t="s">
        <v>585</v>
      </c>
      <c r="C13" s="105">
        <v>25</v>
      </c>
      <c r="D13" s="377" t="s">
        <v>576</v>
      </c>
      <c r="E13" s="378" t="s">
        <v>653</v>
      </c>
      <c r="F13" s="418">
        <v>0.5</v>
      </c>
      <c r="G13" s="180">
        <v>0.625</v>
      </c>
      <c r="H13" s="180">
        <v>0.66666666666666663</v>
      </c>
      <c r="I13" s="166">
        <v>0.875</v>
      </c>
      <c r="J13" s="73">
        <f t="shared" si="0"/>
        <v>0.33333333333333337</v>
      </c>
      <c r="K13" s="75" t="s">
        <v>15</v>
      </c>
      <c r="L13" s="180" t="s">
        <v>15</v>
      </c>
      <c r="M13" s="180" t="s">
        <v>15</v>
      </c>
      <c r="N13" s="75" t="s">
        <v>15</v>
      </c>
      <c r="O13" s="73" t="str">
        <f t="shared" si="1"/>
        <v/>
      </c>
      <c r="P13" s="75" t="s">
        <v>15</v>
      </c>
      <c r="Q13" s="180" t="s">
        <v>15</v>
      </c>
      <c r="R13" s="180" t="s">
        <v>15</v>
      </c>
      <c r="S13" s="75" t="s">
        <v>15</v>
      </c>
      <c r="T13" s="73" t="str">
        <f t="shared" si="2"/>
        <v/>
      </c>
      <c r="U13" s="100">
        <v>0.33333333333333331</v>
      </c>
      <c r="V13" s="179">
        <v>0.54166666666666663</v>
      </c>
      <c r="W13" s="179">
        <v>0.58333333333333337</v>
      </c>
      <c r="X13" s="100">
        <v>0.70833333333333337</v>
      </c>
      <c r="Y13" s="73">
        <f t="shared" si="3"/>
        <v>0.33333333333333331</v>
      </c>
      <c r="Z13" s="100">
        <v>0.33333333333333331</v>
      </c>
      <c r="AA13" s="179">
        <v>0.54166666666666663</v>
      </c>
      <c r="AB13" s="179">
        <v>0.58333333333333337</v>
      </c>
      <c r="AC13" s="100">
        <v>0.70833333333333337</v>
      </c>
      <c r="AD13" s="73">
        <f t="shared" si="4"/>
        <v>0.33333333333333331</v>
      </c>
      <c r="AE13" s="418">
        <v>0.5</v>
      </c>
      <c r="AF13" s="180">
        <v>0.625</v>
      </c>
      <c r="AG13" s="180">
        <v>0.66666666666666663</v>
      </c>
      <c r="AH13" s="166">
        <v>0.875</v>
      </c>
      <c r="AI13" s="73">
        <f t="shared" si="5"/>
        <v>0.33333333333333337</v>
      </c>
      <c r="AJ13" s="418">
        <v>0.5</v>
      </c>
      <c r="AK13" s="180">
        <v>0.625</v>
      </c>
      <c r="AL13" s="180">
        <v>0.66666666666666663</v>
      </c>
      <c r="AM13" s="166">
        <v>0.875</v>
      </c>
      <c r="AN13" s="73">
        <f t="shared" si="6"/>
        <v>0.33333333333333337</v>
      </c>
      <c r="AO13" s="28">
        <f t="shared" si="7"/>
        <v>1.666666666666667</v>
      </c>
      <c r="AP13" s="29"/>
      <c r="AQ13" s="30"/>
      <c r="AR13" s="48"/>
    </row>
    <row r="14" spans="1:72" s="31" customFormat="1" ht="15" customHeight="1" x14ac:dyDescent="0.25">
      <c r="A14" s="130" t="s">
        <v>264</v>
      </c>
      <c r="B14" s="475" t="s">
        <v>586</v>
      </c>
      <c r="C14" s="289">
        <v>1</v>
      </c>
      <c r="D14" s="377" t="s">
        <v>576</v>
      </c>
      <c r="E14" s="378" t="s">
        <v>653</v>
      </c>
      <c r="F14" s="418">
        <v>0.29166666666666669</v>
      </c>
      <c r="G14" s="180">
        <v>0.5</v>
      </c>
      <c r="H14" s="180">
        <v>0.54166666666666663</v>
      </c>
      <c r="I14" s="166">
        <v>0.66666666666666663</v>
      </c>
      <c r="J14" s="73">
        <f t="shared" si="0"/>
        <v>0.33333333333333331</v>
      </c>
      <c r="K14" s="100">
        <v>0.33333333333333331</v>
      </c>
      <c r="L14" s="179">
        <v>0.54166666666666663</v>
      </c>
      <c r="M14" s="179">
        <v>0.58333333333333337</v>
      </c>
      <c r="N14" s="100">
        <v>0.70833333333333337</v>
      </c>
      <c r="O14" s="73">
        <f t="shared" si="1"/>
        <v>0.33333333333333331</v>
      </c>
      <c r="P14" s="100">
        <v>0.33333333333333331</v>
      </c>
      <c r="Q14" s="179">
        <v>0.54166666666666663</v>
      </c>
      <c r="R14" s="179">
        <v>0.58333333333333337</v>
      </c>
      <c r="S14" s="100">
        <v>0.70833333333333337</v>
      </c>
      <c r="T14" s="73">
        <f t="shared" si="2"/>
        <v>0.33333333333333331</v>
      </c>
      <c r="U14" s="75" t="s">
        <v>15</v>
      </c>
      <c r="V14" s="180" t="s">
        <v>15</v>
      </c>
      <c r="W14" s="180" t="s">
        <v>15</v>
      </c>
      <c r="X14" s="75" t="s">
        <v>15</v>
      </c>
      <c r="Y14" s="73" t="str">
        <f t="shared" si="3"/>
        <v/>
      </c>
      <c r="Z14" s="75" t="s">
        <v>15</v>
      </c>
      <c r="AA14" s="180" t="s">
        <v>15</v>
      </c>
      <c r="AB14" s="180" t="s">
        <v>15</v>
      </c>
      <c r="AC14" s="75" t="s">
        <v>15</v>
      </c>
      <c r="AD14" s="73" t="str">
        <f t="shared" si="4"/>
        <v/>
      </c>
      <c r="AE14" s="420">
        <v>0.29166666666666669</v>
      </c>
      <c r="AF14" s="181">
        <v>0.54166666666666663</v>
      </c>
      <c r="AG14" s="181">
        <v>0.58333333333333337</v>
      </c>
      <c r="AH14" s="139">
        <v>0.66666666666666663</v>
      </c>
      <c r="AI14" s="73">
        <f t="shared" si="5"/>
        <v>0.3333333333333332</v>
      </c>
      <c r="AJ14" s="420">
        <v>0.29166666666666669</v>
      </c>
      <c r="AK14" s="181">
        <v>0.54166666666666663</v>
      </c>
      <c r="AL14" s="181">
        <v>0.58333333333333337</v>
      </c>
      <c r="AM14" s="139">
        <v>0.66666666666666663</v>
      </c>
      <c r="AN14" s="73">
        <f t="shared" si="6"/>
        <v>0.3333333333333332</v>
      </c>
      <c r="AO14" s="28">
        <f t="shared" si="7"/>
        <v>1.6666666666666665</v>
      </c>
      <c r="AP14" s="29"/>
      <c r="AQ14" s="30"/>
      <c r="AR14" s="48"/>
    </row>
    <row r="15" spans="1:72" ht="14.25" customHeight="1" x14ac:dyDescent="0.25">
      <c r="F15" s="30"/>
      <c r="G15" s="30"/>
      <c r="H15" s="30"/>
      <c r="I15" s="30"/>
      <c r="J15" s="30"/>
      <c r="AT15" s="31"/>
      <c r="AU15" s="31"/>
      <c r="AV15" s="31"/>
      <c r="AW15" s="31"/>
      <c r="AX15" s="31"/>
      <c r="AY15" s="31"/>
      <c r="AZ15" s="31"/>
      <c r="BA15" s="31"/>
    </row>
    <row r="16" spans="1:72" ht="14.25" customHeight="1" x14ac:dyDescent="0.25">
      <c r="A16" s="71"/>
      <c r="B16" s="72"/>
      <c r="E16" s="9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T16" s="31"/>
      <c r="AU16" s="31"/>
      <c r="AV16" s="31"/>
      <c r="AW16" s="31"/>
      <c r="AX16" s="31"/>
      <c r="AY16" s="31"/>
      <c r="AZ16" s="31"/>
      <c r="BA16" s="31"/>
    </row>
    <row r="17" spans="2:53" ht="14.25" customHeight="1" x14ac:dyDescent="0.25">
      <c r="E17" s="165"/>
      <c r="F17" s="1"/>
      <c r="G17" s="30"/>
      <c r="H17" s="30"/>
      <c r="I17" s="30"/>
      <c r="J17" s="30"/>
      <c r="K17" s="1"/>
      <c r="P17" s="1"/>
      <c r="U17" s="1"/>
      <c r="Z17" s="1"/>
      <c r="AE17" s="1"/>
      <c r="AJ17" s="1"/>
      <c r="AT17" s="31"/>
      <c r="AU17" s="31"/>
      <c r="AV17" s="31"/>
      <c r="AW17" s="31"/>
      <c r="AX17" s="31"/>
      <c r="AY17" s="31"/>
      <c r="AZ17" s="31"/>
      <c r="BA17" s="31"/>
    </row>
    <row r="18" spans="2:53" ht="14.25" customHeight="1" x14ac:dyDescent="0.25">
      <c r="B18" s="313" t="s">
        <v>30</v>
      </c>
      <c r="E18" s="138"/>
      <c r="F18" s="1"/>
      <c r="G18" s="30"/>
      <c r="H18" s="30"/>
      <c r="I18" s="30"/>
      <c r="J18" s="30"/>
      <c r="K18" s="1"/>
      <c r="P18" s="1"/>
      <c r="U18" s="1"/>
      <c r="Z18" s="1"/>
      <c r="AE18" s="1"/>
      <c r="AI18" s="75"/>
      <c r="AJ18" s="1"/>
      <c r="AT18" s="31"/>
      <c r="AU18" s="31"/>
      <c r="AV18" s="31"/>
      <c r="AW18" s="31"/>
      <c r="AX18" s="31"/>
      <c r="AY18" s="31"/>
      <c r="AZ18" s="31"/>
      <c r="BA18" s="31"/>
    </row>
    <row r="19" spans="2:53" ht="14.25" customHeight="1" x14ac:dyDescent="0.25">
      <c r="E19" s="165"/>
      <c r="F19" s="1"/>
      <c r="G19" s="30"/>
      <c r="H19" s="30"/>
      <c r="I19" s="30"/>
      <c r="J19" s="30"/>
      <c r="K19" s="1"/>
      <c r="P19" s="1"/>
      <c r="U19" s="1"/>
      <c r="Z19" s="1"/>
      <c r="AE19" s="1"/>
      <c r="AJ19" s="1"/>
      <c r="AT19" s="31"/>
      <c r="AU19" s="31"/>
      <c r="AV19" s="31"/>
      <c r="AW19" s="31"/>
      <c r="AX19" s="31"/>
      <c r="AY19" s="31"/>
      <c r="AZ19" s="31"/>
      <c r="BA19" s="31"/>
    </row>
    <row r="20" spans="2:53" ht="14.25" customHeight="1" x14ac:dyDescent="0.25">
      <c r="E20" s="333"/>
      <c r="F20" s="1"/>
      <c r="G20" s="30"/>
      <c r="H20" s="30"/>
      <c r="I20" s="30"/>
      <c r="J20" s="30"/>
      <c r="K20" s="1"/>
      <c r="P20" s="1"/>
      <c r="U20" s="1"/>
      <c r="Z20" s="1"/>
      <c r="AE20" s="1"/>
      <c r="AJ20" s="1"/>
      <c r="AT20" s="31"/>
      <c r="AU20" s="31"/>
      <c r="AV20" s="31"/>
      <c r="AW20" s="31"/>
      <c r="AX20" s="31"/>
      <c r="AY20" s="31"/>
      <c r="AZ20" s="31"/>
      <c r="BA20" s="31"/>
    </row>
    <row r="21" spans="2:53" ht="14.25" customHeight="1" x14ac:dyDescent="0.25">
      <c r="F21" s="30"/>
      <c r="G21" s="30"/>
      <c r="H21" s="30"/>
      <c r="I21" s="30"/>
      <c r="J21" s="30"/>
      <c r="K21" s="1"/>
      <c r="AT21" s="31"/>
      <c r="AU21" s="31"/>
      <c r="AV21" s="31"/>
      <c r="AW21" s="31"/>
      <c r="AX21" s="31"/>
      <c r="AY21" s="31"/>
      <c r="AZ21" s="31"/>
      <c r="BA21" s="31"/>
    </row>
    <row r="22" spans="2:53" ht="14.25" customHeight="1" x14ac:dyDescent="0.25">
      <c r="F22" s="30"/>
      <c r="G22" s="30"/>
      <c r="H22" s="30"/>
      <c r="I22" s="30"/>
      <c r="J22" s="30"/>
      <c r="K22" s="30"/>
      <c r="AG22" s="192"/>
      <c r="AT22" s="31"/>
      <c r="AU22" s="31"/>
      <c r="AV22" s="31"/>
      <c r="AW22" s="31"/>
      <c r="AX22" s="31"/>
      <c r="AY22" s="31"/>
      <c r="AZ22" s="31"/>
      <c r="BA22" s="31"/>
    </row>
    <row r="23" spans="2:53" ht="14.25" customHeight="1" x14ac:dyDescent="0.25">
      <c r="F23" s="30"/>
      <c r="G23" s="30"/>
      <c r="H23" s="30"/>
      <c r="I23" s="30"/>
      <c r="J23" s="30"/>
      <c r="K23" s="30"/>
      <c r="AT23" s="31"/>
      <c r="AU23" s="31"/>
      <c r="AV23" s="31"/>
      <c r="AW23" s="31"/>
      <c r="AX23" s="31"/>
      <c r="AY23" s="31"/>
      <c r="AZ23" s="31"/>
      <c r="BA23" s="31"/>
    </row>
    <row r="24" spans="2:53" ht="14.25" customHeight="1" x14ac:dyDescent="0.25">
      <c r="F24" s="30"/>
      <c r="G24" s="30"/>
      <c r="H24" s="30"/>
      <c r="I24" s="30"/>
      <c r="J24" s="30"/>
      <c r="K24" s="30"/>
      <c r="AT24" s="31"/>
      <c r="AU24" s="31"/>
      <c r="AV24" s="31"/>
      <c r="AW24" s="31"/>
      <c r="AX24" s="31"/>
      <c r="AY24" s="31"/>
      <c r="AZ24" s="31"/>
      <c r="BA24" s="31"/>
    </row>
    <row r="25" spans="2:53" ht="14.25" customHeight="1" x14ac:dyDescent="0.25">
      <c r="F25" s="30"/>
      <c r="G25" s="30"/>
      <c r="H25" s="30"/>
      <c r="I25" s="30"/>
      <c r="J25" s="30"/>
      <c r="K25" s="30"/>
      <c r="AT25" s="31"/>
      <c r="AU25" s="31"/>
      <c r="AV25" s="31"/>
      <c r="AW25" s="31"/>
      <c r="AX25" s="31"/>
      <c r="AY25" s="31"/>
      <c r="AZ25" s="31"/>
      <c r="BA25" s="31"/>
    </row>
    <row r="26" spans="2:53" ht="14.25" customHeight="1" x14ac:dyDescent="0.25">
      <c r="E26" s="62">
        <v>0.25</v>
      </c>
      <c r="F26">
        <f t="shared" ref="F26:F32" si="8">COUNTIF(F$4:F$22,$E26)</f>
        <v>0</v>
      </c>
      <c r="K26">
        <f t="shared" ref="K26:K32" si="9">COUNTIF(K$4:K$22,$E26)</f>
        <v>0</v>
      </c>
      <c r="P26">
        <f t="shared" ref="P26:P32" si="10">COUNTIF(P$4:P$22,$E26)</f>
        <v>0</v>
      </c>
      <c r="U26">
        <f t="shared" ref="U26:U32" si="11">COUNTIF(U$4:U$22,$E26)</f>
        <v>0</v>
      </c>
      <c r="Z26">
        <f t="shared" ref="Z26:Z32" si="12">COUNTIF(Z$4:Z$22,$E26)</f>
        <v>0</v>
      </c>
      <c r="AE26">
        <f t="shared" ref="AE26:AE32" si="13">COUNTIF(AE$4:AE$22,$E26)</f>
        <v>0</v>
      </c>
      <c r="AJ26">
        <f t="shared" ref="AJ26:AJ32" si="14">COUNTIF(AJ$4:AJ$22,$E26)</f>
        <v>0</v>
      </c>
      <c r="AT26" s="31"/>
      <c r="AU26" s="31"/>
      <c r="AV26" s="31"/>
      <c r="AW26" s="31"/>
      <c r="AX26" s="31"/>
      <c r="AY26" s="31"/>
      <c r="AZ26" s="31"/>
      <c r="BA26" s="31"/>
    </row>
    <row r="27" spans="2:53" ht="14.25" customHeight="1" x14ac:dyDescent="0.25">
      <c r="E27" s="62">
        <v>0.29166666666666669</v>
      </c>
      <c r="F27">
        <f t="shared" si="8"/>
        <v>5</v>
      </c>
      <c r="K27">
        <f t="shared" si="9"/>
        <v>3</v>
      </c>
      <c r="P27">
        <f t="shared" si="10"/>
        <v>2</v>
      </c>
      <c r="U27">
        <f t="shared" si="11"/>
        <v>3</v>
      </c>
      <c r="Z27">
        <f t="shared" si="12"/>
        <v>3</v>
      </c>
      <c r="AE27">
        <f t="shared" si="13"/>
        <v>4</v>
      </c>
      <c r="AJ27">
        <f t="shared" si="14"/>
        <v>4</v>
      </c>
      <c r="AT27" s="31"/>
      <c r="AU27" s="31"/>
      <c r="AV27" s="31"/>
      <c r="AW27" s="31"/>
      <c r="AX27" s="31"/>
      <c r="AY27" s="31"/>
      <c r="AZ27" s="31"/>
      <c r="BA27" s="31"/>
    </row>
    <row r="28" spans="2:53" ht="14.25" customHeight="1" x14ac:dyDescent="0.25">
      <c r="E28" s="62">
        <v>0.33333333333333331</v>
      </c>
      <c r="F28">
        <f t="shared" si="8"/>
        <v>3</v>
      </c>
      <c r="K28">
        <f t="shared" si="9"/>
        <v>2</v>
      </c>
      <c r="P28">
        <f t="shared" si="10"/>
        <v>2</v>
      </c>
      <c r="U28">
        <f t="shared" si="11"/>
        <v>3</v>
      </c>
      <c r="Z28">
        <f t="shared" si="12"/>
        <v>2</v>
      </c>
      <c r="AE28">
        <f t="shared" si="13"/>
        <v>0</v>
      </c>
      <c r="AJ28">
        <f t="shared" si="14"/>
        <v>0</v>
      </c>
      <c r="AT28" s="31"/>
      <c r="AU28" s="31"/>
      <c r="AV28" s="31"/>
      <c r="AW28" s="31"/>
      <c r="AX28" s="31"/>
      <c r="AY28" s="31"/>
      <c r="AZ28" s="31"/>
      <c r="BA28" s="31"/>
    </row>
    <row r="29" spans="2:53" ht="14.25" customHeight="1" x14ac:dyDescent="0.25">
      <c r="E29" s="62">
        <v>0.41666666666666669</v>
      </c>
      <c r="F29">
        <f t="shared" si="8"/>
        <v>0</v>
      </c>
      <c r="K29">
        <f t="shared" si="9"/>
        <v>0</v>
      </c>
      <c r="P29">
        <f t="shared" si="10"/>
        <v>0</v>
      </c>
      <c r="U29">
        <f t="shared" si="11"/>
        <v>0</v>
      </c>
      <c r="Z29">
        <f t="shared" si="12"/>
        <v>0</v>
      </c>
      <c r="AE29">
        <f t="shared" si="13"/>
        <v>0</v>
      </c>
      <c r="AJ29">
        <f t="shared" si="14"/>
        <v>0</v>
      </c>
      <c r="AT29" s="31"/>
      <c r="AU29" s="31"/>
      <c r="AV29" s="31"/>
      <c r="AW29" s="31"/>
      <c r="AX29" s="31"/>
      <c r="AY29" s="31"/>
      <c r="AZ29" s="31"/>
      <c r="BA29" s="31"/>
    </row>
    <row r="30" spans="2:53" ht="14.25" customHeight="1" x14ac:dyDescent="0.25">
      <c r="E30" s="62">
        <v>0.5</v>
      </c>
      <c r="F30">
        <f t="shared" si="8"/>
        <v>3</v>
      </c>
      <c r="K30">
        <f t="shared" si="9"/>
        <v>2</v>
      </c>
      <c r="P30">
        <f t="shared" si="10"/>
        <v>2</v>
      </c>
      <c r="U30">
        <f t="shared" si="11"/>
        <v>2</v>
      </c>
      <c r="Z30">
        <f t="shared" si="12"/>
        <v>3</v>
      </c>
      <c r="AE30">
        <f t="shared" si="13"/>
        <v>3</v>
      </c>
      <c r="AJ30">
        <f t="shared" si="14"/>
        <v>4</v>
      </c>
      <c r="AT30" s="31"/>
      <c r="AU30" s="31"/>
      <c r="AV30" s="31"/>
      <c r="AW30" s="31"/>
      <c r="AX30" s="31"/>
      <c r="AY30" s="31"/>
      <c r="AZ30" s="31"/>
      <c r="BA30" s="31"/>
    </row>
    <row r="31" spans="2:53" ht="14.25" customHeight="1" x14ac:dyDescent="0.25">
      <c r="E31" s="62">
        <v>0.54166666666666663</v>
      </c>
      <c r="F31">
        <f t="shared" si="8"/>
        <v>0</v>
      </c>
      <c r="K31">
        <f t="shared" si="9"/>
        <v>0</v>
      </c>
      <c r="P31">
        <f t="shared" si="10"/>
        <v>0</v>
      </c>
      <c r="U31">
        <f t="shared" si="11"/>
        <v>0</v>
      </c>
      <c r="Z31">
        <f t="shared" si="12"/>
        <v>0</v>
      </c>
      <c r="AE31">
        <f t="shared" si="13"/>
        <v>0</v>
      </c>
      <c r="AJ31">
        <f t="shared" si="14"/>
        <v>0</v>
      </c>
    </row>
    <row r="32" spans="2:53" ht="14.25" customHeight="1" x14ac:dyDescent="0.25">
      <c r="E32" s="62">
        <v>0.875</v>
      </c>
      <c r="F32">
        <f t="shared" si="8"/>
        <v>0</v>
      </c>
      <c r="K32">
        <f t="shared" si="9"/>
        <v>0</v>
      </c>
      <c r="P32">
        <f t="shared" si="10"/>
        <v>0</v>
      </c>
      <c r="U32">
        <f t="shared" si="11"/>
        <v>0</v>
      </c>
      <c r="Z32">
        <f t="shared" si="12"/>
        <v>0</v>
      </c>
      <c r="AE32">
        <f t="shared" si="13"/>
        <v>0</v>
      </c>
      <c r="AJ32">
        <f t="shared" si="14"/>
        <v>0</v>
      </c>
    </row>
    <row r="33" spans="2:36" ht="14.25" customHeight="1" x14ac:dyDescent="0.25">
      <c r="B33" s="120">
        <f>AVERAGE(F33:AJ33)</f>
        <v>3.1428571428571428</v>
      </c>
      <c r="E33" s="60" t="s">
        <v>15</v>
      </c>
      <c r="F33" s="61">
        <f>COUNTIF(F4:F24,$E33)</f>
        <v>0</v>
      </c>
      <c r="K33" s="61">
        <f>COUNTIF(K4:K24,$E33)</f>
        <v>4</v>
      </c>
      <c r="P33" s="61">
        <f>COUNTIF(P4:P24,$E33)</f>
        <v>5</v>
      </c>
      <c r="U33" s="61">
        <f>COUNTIF(U4:U24,$E33)</f>
        <v>3</v>
      </c>
      <c r="Z33" s="61">
        <f>COUNTIF(Z4:Z24,$E33)</f>
        <v>3</v>
      </c>
      <c r="AE33" s="61">
        <f>COUNTIF(AE4:AE24,$E33)</f>
        <v>4</v>
      </c>
      <c r="AJ33" s="61">
        <f>COUNTIF(AJ4:AJ24,$E33)</f>
        <v>3</v>
      </c>
    </row>
    <row r="34" spans="2:36" ht="14.25" customHeight="1" x14ac:dyDescent="0.25">
      <c r="B34" s="120">
        <f>AVERAGE(F34:AJ34)</f>
        <v>5.1428571428571432</v>
      </c>
      <c r="F34" s="63">
        <f>F27+F26+F28</f>
        <v>8</v>
      </c>
      <c r="K34" s="63">
        <f>K27+K26+K28</f>
        <v>5</v>
      </c>
      <c r="P34" s="63">
        <f>P27+P26+P28</f>
        <v>4</v>
      </c>
      <c r="U34" s="63">
        <f>U27+U26+U28</f>
        <v>6</v>
      </c>
      <c r="Z34" s="63">
        <f>Z27+Z26+Z28</f>
        <v>5</v>
      </c>
      <c r="AE34" s="63">
        <f>AE27+AE26+AE28</f>
        <v>4</v>
      </c>
      <c r="AJ34" s="63">
        <f>AJ27+AJ26+AJ28</f>
        <v>4</v>
      </c>
    </row>
    <row r="35" spans="2:36" ht="14.25" customHeight="1" x14ac:dyDescent="0.25">
      <c r="B35" s="120">
        <f>AVERAGE(F35:AJ35)</f>
        <v>2.7142857142857144</v>
      </c>
      <c r="F35" s="64">
        <f>F30+F31+F29</f>
        <v>3</v>
      </c>
      <c r="K35" s="64">
        <f>K30+K31+K29</f>
        <v>2</v>
      </c>
      <c r="P35" s="64">
        <f>P30+P31+P29</f>
        <v>2</v>
      </c>
      <c r="U35" s="64">
        <f>U30+U31+U29</f>
        <v>2</v>
      </c>
      <c r="Z35" s="64">
        <f>Z30+Z31+Z29</f>
        <v>3</v>
      </c>
      <c r="AE35" s="64">
        <f>AE30+AE31+AE29</f>
        <v>3</v>
      </c>
      <c r="AJ35" s="64">
        <f>AJ30+AJ31+AJ29</f>
        <v>4</v>
      </c>
    </row>
    <row r="36" spans="2:36" ht="14.25" customHeight="1" x14ac:dyDescent="0.25">
      <c r="B36" s="120">
        <f>AVERAGE(F36:AJ36)</f>
        <v>0</v>
      </c>
      <c r="F36" s="65">
        <f>F32</f>
        <v>0</v>
      </c>
      <c r="K36" s="65">
        <f>K32</f>
        <v>0</v>
      </c>
      <c r="P36" s="65">
        <f>P32</f>
        <v>0</v>
      </c>
      <c r="U36" s="65">
        <f>U32</f>
        <v>0</v>
      </c>
      <c r="Z36" s="65">
        <f>Z32</f>
        <v>0</v>
      </c>
      <c r="AE36" s="65">
        <f>AE32</f>
        <v>0</v>
      </c>
      <c r="AJ36" s="65">
        <f>AJ32</f>
        <v>0</v>
      </c>
    </row>
    <row r="38" spans="2:36" ht="14.25" customHeight="1" x14ac:dyDescent="0.25">
      <c r="E38" s="62"/>
    </row>
    <row r="39" spans="2:36" ht="14.25" customHeight="1" x14ac:dyDescent="0.25">
      <c r="E39" s="62"/>
    </row>
    <row r="40" spans="2:36" ht="14.25" customHeight="1" x14ac:dyDescent="0.25">
      <c r="E40" s="62"/>
    </row>
    <row r="156" spans="4:12" ht="14.25" customHeight="1" x14ac:dyDescent="0.25">
      <c r="D156" s="1"/>
      <c r="E156" s="147" t="s">
        <v>348</v>
      </c>
      <c r="F156" s="171">
        <f>SUMIF($D4:$D148,$D$157,J4:J148)</f>
        <v>0</v>
      </c>
      <c r="G156" s="171">
        <f>SUMIF($D4:$D148,$D$157,O4:O148)</f>
        <v>0</v>
      </c>
      <c r="H156" s="171">
        <f>SUMIF($D4:$D148,$D$157,T4:T148)</f>
        <v>0</v>
      </c>
      <c r="I156" s="171">
        <f>SUMIF($D4:$D148,$D$157,Y4:Y148)</f>
        <v>0</v>
      </c>
      <c r="J156" s="171">
        <f>SUMIF($D4:$D148,$D$157,AD4:AD148)</f>
        <v>0</v>
      </c>
      <c r="K156" s="171">
        <f>SUMIF($D4:$D148,$D$157,AI4:AI148)</f>
        <v>0</v>
      </c>
      <c r="L156" s="171">
        <f>SUMIF($D4:$D148,$D$157,AN4:AN148)</f>
        <v>0</v>
      </c>
    </row>
    <row r="157" spans="4:12" ht="14.25" customHeight="1" x14ac:dyDescent="0.25">
      <c r="D157" s="190" t="s">
        <v>30</v>
      </c>
      <c r="E157" s="147" t="s">
        <v>15</v>
      </c>
      <c r="F157" s="35">
        <f>COUNTIFS(F4:F148,$E$157,$D4:$D148,$D$157)</f>
        <v>0</v>
      </c>
      <c r="G157" s="35">
        <f>COUNTIFS(K4:K148,$E$157,$D4:$D148,$D$157)</f>
        <v>0</v>
      </c>
      <c r="H157" s="35">
        <f>COUNTIFS(P4:P148,$E$157,$D4:$D148,$D$157)</f>
        <v>0</v>
      </c>
      <c r="I157" s="35">
        <f>COUNTIFS(U4:U148,$E$157,$D4:$D148,$D$157)</f>
        <v>0</v>
      </c>
      <c r="J157" s="35">
        <f>COUNTIFS(Z4:Z148,$E$157,$D4:$D148,$D$157)</f>
        <v>0</v>
      </c>
      <c r="K157" s="35">
        <f>COUNTIFS(AE4:AE148,$E$157,$D4:$D148,$D$157)</f>
        <v>0</v>
      </c>
      <c r="L157" s="35">
        <f>COUNTIFS(AJ4:AJ148,$E$157,$D4:$D148,$D$157)</f>
        <v>0</v>
      </c>
    </row>
    <row r="158" spans="4:12" ht="14.25" customHeight="1" x14ac:dyDescent="0.25">
      <c r="D158" s="1"/>
      <c r="E158" s="147" t="s">
        <v>349</v>
      </c>
      <c r="F158" s="35">
        <f>COUNTIF(D4:D148,$D$157)</f>
        <v>0</v>
      </c>
      <c r="G158" s="35">
        <f t="shared" ref="G158:L158" si="15">F158</f>
        <v>0</v>
      </c>
      <c r="H158" s="35">
        <f t="shared" si="15"/>
        <v>0</v>
      </c>
      <c r="I158" s="35">
        <f t="shared" si="15"/>
        <v>0</v>
      </c>
      <c r="J158" s="35">
        <f t="shared" si="15"/>
        <v>0</v>
      </c>
      <c r="K158" s="35">
        <f t="shared" si="15"/>
        <v>0</v>
      </c>
      <c r="L158" s="35">
        <f t="shared" si="15"/>
        <v>0</v>
      </c>
    </row>
    <row r="159" spans="4:12" ht="14.25" customHeight="1" x14ac:dyDescent="0.25">
      <c r="D159" s="1"/>
      <c r="E159" s="147" t="s">
        <v>159</v>
      </c>
      <c r="F159" s="35">
        <f t="shared" ref="F159:F165" si="16">COUNTIFS(F$4:F$148,$E159,$D$4:$D$148,$D$157)</f>
        <v>0</v>
      </c>
      <c r="G159" s="35">
        <f t="shared" ref="G159:G165" si="17">COUNTIFS(K$4:K$148,$E159,$D$4:$D$148,$D$157)</f>
        <v>0</v>
      </c>
      <c r="H159" s="35">
        <f t="shared" ref="H159:H165" si="18">COUNTIFS(P$4:P$148,$E159,$D$4:$D$148,$D$157)</f>
        <v>0</v>
      </c>
      <c r="I159" s="35">
        <f>COUNTIFS(U4:U148,$E$159,$D4:$D148,$D$157)</f>
        <v>0</v>
      </c>
      <c r="J159" s="35">
        <f t="shared" ref="J159:J165" si="19">COUNTIFS(Z$4:Z$148,$E159,$D$4:$D$148,$D$157)</f>
        <v>0</v>
      </c>
      <c r="K159" s="35">
        <f t="shared" ref="K159:K165" si="20">COUNTIFS(AE$4:AE$148,$E159,$D$4:$D$148,$D$157)</f>
        <v>0</v>
      </c>
      <c r="L159" s="35">
        <f t="shared" ref="L159:L165" si="21">COUNTIFS(AJ$4:AJ$148,$E159,$D$4:$D$148,$D$157)</f>
        <v>0</v>
      </c>
    </row>
    <row r="160" spans="4:12" ht="14.25" customHeight="1" x14ac:dyDescent="0.25">
      <c r="D160" s="1"/>
      <c r="E160" s="147" t="s">
        <v>156</v>
      </c>
      <c r="F160" s="35">
        <f t="shared" si="16"/>
        <v>0</v>
      </c>
      <c r="G160" s="35">
        <f t="shared" si="17"/>
        <v>0</v>
      </c>
      <c r="H160" s="35">
        <f t="shared" si="18"/>
        <v>0</v>
      </c>
      <c r="I160" s="35">
        <f>COUNTIFS(U$4:U$148,$E$160,$D5:$D149,$D$157)</f>
        <v>0</v>
      </c>
      <c r="J160" s="35">
        <f t="shared" si="19"/>
        <v>0</v>
      </c>
      <c r="K160" s="35">
        <f t="shared" si="20"/>
        <v>0</v>
      </c>
      <c r="L160" s="35">
        <f t="shared" si="21"/>
        <v>0</v>
      </c>
    </row>
    <row r="161" spans="4:12" ht="14.25" customHeight="1" x14ac:dyDescent="0.25">
      <c r="D161" s="1"/>
      <c r="E161" s="147" t="s">
        <v>85</v>
      </c>
      <c r="F161" s="35">
        <f t="shared" si="16"/>
        <v>0</v>
      </c>
      <c r="G161" s="35">
        <f t="shared" si="17"/>
        <v>0</v>
      </c>
      <c r="H161" s="35">
        <f t="shared" si="18"/>
        <v>0</v>
      </c>
      <c r="I161" s="35">
        <f>COUNTIFS(U$4:U$148,$E$161,$D6:$D150,$D$157)</f>
        <v>0</v>
      </c>
      <c r="J161" s="35">
        <f t="shared" si="19"/>
        <v>0</v>
      </c>
      <c r="K161" s="35">
        <f t="shared" si="20"/>
        <v>0</v>
      </c>
      <c r="L161" s="35">
        <f t="shared" si="21"/>
        <v>0</v>
      </c>
    </row>
    <row r="162" spans="4:12" ht="14.25" customHeight="1" x14ac:dyDescent="0.25">
      <c r="D162" s="1"/>
      <c r="E162" s="147" t="s">
        <v>343</v>
      </c>
      <c r="F162" s="35">
        <f t="shared" si="16"/>
        <v>0</v>
      </c>
      <c r="G162" s="35">
        <f t="shared" si="17"/>
        <v>0</v>
      </c>
      <c r="H162" s="35">
        <f t="shared" si="18"/>
        <v>0</v>
      </c>
      <c r="I162" s="35">
        <f>COUNTIFS(U$4:U$148,$E$162,$D$4:$D$148,$D$157)</f>
        <v>0</v>
      </c>
      <c r="J162" s="35">
        <f t="shared" si="19"/>
        <v>0</v>
      </c>
      <c r="K162" s="35">
        <f t="shared" si="20"/>
        <v>0</v>
      </c>
      <c r="L162" s="35">
        <f t="shared" si="21"/>
        <v>0</v>
      </c>
    </row>
    <row r="163" spans="4:12" ht="14.25" customHeight="1" x14ac:dyDescent="0.25">
      <c r="D163" s="1"/>
      <c r="E163" s="147" t="s">
        <v>344</v>
      </c>
      <c r="F163" s="35">
        <f t="shared" si="16"/>
        <v>0</v>
      </c>
      <c r="G163" s="35">
        <f t="shared" si="17"/>
        <v>0</v>
      </c>
      <c r="H163" s="35">
        <f t="shared" si="18"/>
        <v>0</v>
      </c>
      <c r="I163" s="35">
        <f>COUNTIFS(U$4:U$148,$E163,$D$4:$D$148,$D$157)</f>
        <v>0</v>
      </c>
      <c r="J163" s="35">
        <f t="shared" si="19"/>
        <v>0</v>
      </c>
      <c r="K163" s="35">
        <f t="shared" si="20"/>
        <v>0</v>
      </c>
      <c r="L163" s="35">
        <f t="shared" si="21"/>
        <v>0</v>
      </c>
    </row>
    <row r="164" spans="4:12" ht="14.25" customHeight="1" x14ac:dyDescent="0.25">
      <c r="D164" s="1"/>
      <c r="E164" s="147" t="s">
        <v>325</v>
      </c>
      <c r="F164" s="35">
        <f t="shared" si="16"/>
        <v>0</v>
      </c>
      <c r="G164" s="35">
        <f t="shared" si="17"/>
        <v>0</v>
      </c>
      <c r="H164" s="35">
        <f t="shared" si="18"/>
        <v>0</v>
      </c>
      <c r="I164" s="35">
        <f>COUNTIFS(U$4:U$148,$E164,$D$4:$D$148,$D$157)</f>
        <v>0</v>
      </c>
      <c r="J164" s="35">
        <f t="shared" si="19"/>
        <v>0</v>
      </c>
      <c r="K164" s="35">
        <f t="shared" si="20"/>
        <v>0</v>
      </c>
      <c r="L164" s="35">
        <f t="shared" si="21"/>
        <v>0</v>
      </c>
    </row>
    <row r="165" spans="4:12" ht="14.25" customHeight="1" x14ac:dyDescent="0.25">
      <c r="D165" s="1"/>
      <c r="E165" s="147" t="s">
        <v>165</v>
      </c>
      <c r="F165" s="35">
        <f t="shared" si="16"/>
        <v>0</v>
      </c>
      <c r="G165" s="35">
        <f t="shared" si="17"/>
        <v>0</v>
      </c>
      <c r="H165" s="35">
        <f t="shared" si="18"/>
        <v>0</v>
      </c>
      <c r="I165" s="35">
        <f>COUNTIFS(U$4:U$148,$E165,$D$4:$D$148,$D$157)</f>
        <v>0</v>
      </c>
      <c r="J165" s="35">
        <f t="shared" si="19"/>
        <v>0</v>
      </c>
      <c r="K165" s="35">
        <f t="shared" si="20"/>
        <v>0</v>
      </c>
      <c r="L165" s="35">
        <f t="shared" si="21"/>
        <v>0</v>
      </c>
    </row>
    <row r="166" spans="4:12" ht="14.25" customHeight="1" x14ac:dyDescent="0.25">
      <c r="D166" s="1"/>
      <c r="E166" s="1"/>
      <c r="F166" s="1"/>
      <c r="G166" s="1"/>
      <c r="H166" s="1"/>
      <c r="I166" s="1"/>
      <c r="J166" s="1"/>
      <c r="K166" s="1"/>
      <c r="L166" s="1"/>
    </row>
    <row r="167" spans="4:12" ht="14.25" customHeight="1" x14ac:dyDescent="0.25">
      <c r="D167" s="1"/>
      <c r="E167" s="110" t="s">
        <v>350</v>
      </c>
      <c r="F167" s="35">
        <f>F161+F164+F160</f>
        <v>0</v>
      </c>
      <c r="G167" s="35">
        <f t="shared" ref="G167:L167" si="22">G161+G164+G160</f>
        <v>0</v>
      </c>
      <c r="H167" s="35">
        <f t="shared" si="22"/>
        <v>0</v>
      </c>
      <c r="I167" s="35">
        <f t="shared" si="22"/>
        <v>0</v>
      </c>
      <c r="J167" s="35">
        <f t="shared" si="22"/>
        <v>0</v>
      </c>
      <c r="K167" s="35">
        <f t="shared" si="22"/>
        <v>0</v>
      </c>
      <c r="L167" s="35">
        <f t="shared" si="22"/>
        <v>0</v>
      </c>
    </row>
  </sheetData>
  <mergeCells count="7">
    <mergeCell ref="AJ1:AN1"/>
    <mergeCell ref="F1:J1"/>
    <mergeCell ref="K1:O1"/>
    <mergeCell ref="P1:T1"/>
    <mergeCell ref="U1:Y1"/>
    <mergeCell ref="Z1:AD1"/>
    <mergeCell ref="AE1:AI1"/>
  </mergeCells>
  <conditionalFormatting sqref="E16:E20">
    <cfRule type="containsText" dxfId="257" priority="97" operator="containsText" text="Alerte">
      <formula>NOT(ISERROR(SEARCH("Alerte",E16)))</formula>
    </cfRule>
  </conditionalFormatting>
  <conditionalFormatting sqref="F4:I14">
    <cfRule type="containsText" dxfId="256" priority="25" operator="containsText" text="Alerte">
      <formula>NOT(ISERROR(SEARCH("Alerte",F4)))</formula>
    </cfRule>
  </conditionalFormatting>
  <conditionalFormatting sqref="F15:J15 F16:AN16 P17:P20 U17:U20 Z17:Z20 AE17:AE20 AJ17:AJ20 F17:K25">
    <cfRule type="containsText" dxfId="255" priority="102" operator="containsText" text="Alerte">
      <formula>NOT(ISERROR(SEARCH("Alerte",F15)))</formula>
    </cfRule>
  </conditionalFormatting>
  <conditionalFormatting sqref="J4:J14">
    <cfRule type="cellIs" dxfId="254" priority="26" operator="lessThan">
      <formula>0.333333333333333</formula>
    </cfRule>
    <cfRule type="cellIs" dxfId="253" priority="27" operator="greaterThan">
      <formula>0.333333333333333</formula>
    </cfRule>
  </conditionalFormatting>
  <conditionalFormatting sqref="K4:N14">
    <cfRule type="containsText" dxfId="252" priority="4" operator="containsText" text="Alerte">
      <formula>NOT(ISERROR(SEARCH("Alerte",K4)))</formula>
    </cfRule>
  </conditionalFormatting>
  <conditionalFormatting sqref="O4:O14">
    <cfRule type="cellIs" dxfId="251" priority="5" operator="lessThan">
      <formula>0.333333333333333</formula>
    </cfRule>
    <cfRule type="cellIs" dxfId="250" priority="6" operator="greaterThan">
      <formula>0.333333333333333</formula>
    </cfRule>
  </conditionalFormatting>
  <conditionalFormatting sqref="P4:S14">
    <cfRule type="containsText" dxfId="249" priority="1" operator="containsText" text="Alerte">
      <formula>NOT(ISERROR(SEARCH("Alerte",P4)))</formula>
    </cfRule>
  </conditionalFormatting>
  <conditionalFormatting sqref="S7">
    <cfRule type="containsText" dxfId="248" priority="18" operator="containsText" text="Alerte">
      <formula>NOT(ISERROR(SEARCH("Alerte",S7)))</formula>
    </cfRule>
  </conditionalFormatting>
  <conditionalFormatting sqref="T4:T14">
    <cfRule type="cellIs" dxfId="247" priority="2" operator="lessThan">
      <formula>0.333333333333333</formula>
    </cfRule>
    <cfRule type="cellIs" dxfId="246" priority="3" operator="greaterThan">
      <formula>0.333333333333333</formula>
    </cfRule>
  </conditionalFormatting>
  <conditionalFormatting sqref="U4:X14">
    <cfRule type="containsText" dxfId="245" priority="10" operator="containsText" text="Alerte">
      <formula>NOT(ISERROR(SEARCH("Alerte",U4)))</formula>
    </cfRule>
  </conditionalFormatting>
  <conditionalFormatting sqref="X7">
    <cfRule type="containsText" dxfId="244" priority="24" operator="containsText" text="Alerte">
      <formula>NOT(ISERROR(SEARCH("Alerte",X7)))</formula>
    </cfRule>
  </conditionalFormatting>
  <conditionalFormatting sqref="X11">
    <cfRule type="containsText" dxfId="243" priority="30" operator="containsText" text="Alerte">
      <formula>NOT(ISERROR(SEARCH("Alerte",X11)))</formula>
    </cfRule>
  </conditionalFormatting>
  <conditionalFormatting sqref="Y4:Y14">
    <cfRule type="cellIs" dxfId="242" priority="11" operator="lessThan">
      <formula>0.333333333333333</formula>
    </cfRule>
    <cfRule type="cellIs" dxfId="241" priority="12" operator="greaterThan">
      <formula>0.333333333333333</formula>
    </cfRule>
  </conditionalFormatting>
  <conditionalFormatting sqref="Z9:AB9">
    <cfRule type="containsText" dxfId="240" priority="32" operator="containsText" text="Alerte">
      <formula>NOT(ISERROR(SEARCH("Alerte",Z9)))</formula>
    </cfRule>
  </conditionalFormatting>
  <conditionalFormatting sqref="Z4:AC14">
    <cfRule type="containsText" dxfId="239" priority="7" operator="containsText" text="Alerte">
      <formula>NOT(ISERROR(SEARCH("Alerte",Z4)))</formula>
    </cfRule>
  </conditionalFormatting>
  <conditionalFormatting sqref="AC4:AC6 AC9">
    <cfRule type="containsText" dxfId="238" priority="31" operator="containsText" text="Alerte">
      <formula>NOT(ISERROR(SEARCH("Alerte",AC4)))</formula>
    </cfRule>
  </conditionalFormatting>
  <conditionalFormatting sqref="AD4:AD14">
    <cfRule type="cellIs" dxfId="237" priority="8" operator="lessThan">
      <formula>0.333333333333333</formula>
    </cfRule>
    <cfRule type="cellIs" dxfId="236" priority="9" operator="greaterThan">
      <formula>0.333333333333333</formula>
    </cfRule>
  </conditionalFormatting>
  <conditionalFormatting sqref="AE8:AG9">
    <cfRule type="containsText" dxfId="235" priority="17" operator="containsText" text="Alerte">
      <formula>NOT(ISERROR(SEARCH("Alerte",AE8)))</formula>
    </cfRule>
  </conditionalFormatting>
  <conditionalFormatting sqref="AE14:AG14 AJ14:AL14">
    <cfRule type="containsText" dxfId="234" priority="29" operator="containsText" text="Alerte">
      <formula>NOT(ISERROR(SEARCH("Alerte",AE14)))</formula>
    </cfRule>
  </conditionalFormatting>
  <conditionalFormatting sqref="AE4:AH14">
    <cfRule type="containsText" dxfId="233" priority="13" operator="containsText" text="Alerte">
      <formula>NOT(ISERROR(SEARCH("Alerte",AE4)))</formula>
    </cfRule>
  </conditionalFormatting>
  <conditionalFormatting sqref="AH8:AH10">
    <cfRule type="containsText" dxfId="232" priority="16" operator="containsText" text="Alerte">
      <formula>NOT(ISERROR(SEARCH("Alerte",AH8)))</formula>
    </cfRule>
  </conditionalFormatting>
  <conditionalFormatting sqref="AH12:AH13 AM13">
    <cfRule type="containsText" dxfId="231" priority="28" operator="containsText" text="Alerte">
      <formula>NOT(ISERROR(SEARCH("Alerte",AH12)))</formula>
    </cfRule>
  </conditionalFormatting>
  <conditionalFormatting sqref="AI4:AI14">
    <cfRule type="cellIs" dxfId="230" priority="14" operator="lessThan">
      <formula>0.333333333333333</formula>
    </cfRule>
    <cfRule type="cellIs" dxfId="229" priority="15" operator="greaterThan">
      <formula>0.333333333333333</formula>
    </cfRule>
  </conditionalFormatting>
  <conditionalFormatting sqref="AI18">
    <cfRule type="containsText" dxfId="228" priority="101" operator="containsText" text="Alerte">
      <formula>NOT(ISERROR(SEARCH("Alerte",AI18)))</formula>
    </cfRule>
  </conditionalFormatting>
  <conditionalFormatting sqref="AJ7:AL7">
    <cfRule type="containsText" dxfId="227" priority="23" operator="containsText" text="Alerte">
      <formula>NOT(ISERROR(SEARCH("Alerte",AJ7)))</formula>
    </cfRule>
  </conditionalFormatting>
  <conditionalFormatting sqref="AJ4:AM14">
    <cfRule type="containsText" dxfId="226" priority="19" operator="containsText" text="Alerte">
      <formula>NOT(ISERROR(SEARCH("Alerte",AJ4)))</formula>
    </cfRule>
  </conditionalFormatting>
  <conditionalFormatting sqref="AM7:AM10">
    <cfRule type="containsText" dxfId="225" priority="22" operator="containsText" text="Alerte">
      <formula>NOT(ISERROR(SEARCH("Alerte",AM7)))</formula>
    </cfRule>
  </conditionalFormatting>
  <conditionalFormatting sqref="AN4:AN14">
    <cfRule type="cellIs" dxfId="224" priority="20" operator="lessThan">
      <formula>0.333333333333333</formula>
    </cfRule>
    <cfRule type="cellIs" dxfId="223" priority="21" operator="greaterThan">
      <formula>0.333333333333333</formula>
    </cfRule>
  </conditionalFormatting>
  <conditionalFormatting sqref="AO4:AO14">
    <cfRule type="cellIs" dxfId="222" priority="99" operator="lessThan">
      <formula>1.66666666666667</formula>
    </cfRule>
    <cfRule type="cellIs" dxfId="221" priority="100" operator="greaterThan">
      <formula>1.66666666666667</formula>
    </cfRule>
  </conditionalFormatting>
  <conditionalFormatting sqref="AQ4:AQ14">
    <cfRule type="containsText" dxfId="220" priority="98" operator="containsText" text="Alerte">
      <formula>NOT(ISERROR(SEARCH("Alerte",AQ4)))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4">
    <tabColor rgb="FF0070C0"/>
  </sheetPr>
  <dimension ref="A1:AO140"/>
  <sheetViews>
    <sheetView topLeftCell="B1" zoomScale="80" zoomScaleNormal="80" workbookViewId="0">
      <pane xSplit="2" topLeftCell="D1" activePane="topRight" state="frozen"/>
      <selection activeCell="B1" sqref="B1"/>
      <selection pane="topRight" activeCell="B1" sqref="B1"/>
    </sheetView>
  </sheetViews>
  <sheetFormatPr baseColWidth="10" defaultRowHeight="15" x14ac:dyDescent="0.25"/>
  <cols>
    <col min="1" max="1" width="9.85546875" hidden="1" customWidth="1"/>
    <col min="2" max="2" width="26.5703125" bestFit="1" customWidth="1"/>
    <col min="3" max="3" width="7.140625" hidden="1" customWidth="1"/>
    <col min="4" max="4" width="9.5703125" bestFit="1" customWidth="1"/>
    <col min="5" max="5" width="8.42578125" bestFit="1" customWidth="1"/>
    <col min="6" max="7" width="7.7109375" customWidth="1"/>
    <col min="8" max="8" width="9.85546875" bestFit="1" customWidth="1"/>
    <col min="9" max="9" width="7.7109375" customWidth="1"/>
    <col min="10" max="10" width="9.85546875" bestFit="1" customWidth="1"/>
    <col min="11" max="12" width="7.7109375" customWidth="1"/>
    <col min="13" max="13" width="9.85546875" bestFit="1" customWidth="1"/>
    <col min="14" max="14" width="7.7109375" customWidth="1"/>
    <col min="15" max="15" width="9.85546875" bestFit="1" customWidth="1"/>
    <col min="16" max="17" width="7.7109375" customWidth="1"/>
    <col min="18" max="18" width="9.85546875" bestFit="1" customWidth="1"/>
    <col min="19" max="19" width="7.7109375" customWidth="1"/>
    <col min="20" max="20" width="9.85546875" bestFit="1" customWidth="1"/>
    <col min="21" max="22" width="7.7109375" customWidth="1"/>
    <col min="23" max="23" width="9.85546875" bestFit="1" customWidth="1"/>
    <col min="24" max="24" width="7.7109375" customWidth="1"/>
    <col min="25" max="25" width="9.85546875" bestFit="1" customWidth="1"/>
    <col min="26" max="27" width="7.7109375" customWidth="1"/>
    <col min="28" max="28" width="9.85546875" bestFit="1" customWidth="1"/>
    <col min="29" max="29" width="7.7109375" customWidth="1"/>
    <col min="30" max="30" width="9.85546875" bestFit="1" customWidth="1"/>
    <col min="31" max="32" width="7.7109375" customWidth="1"/>
    <col min="33" max="33" width="9.85546875" bestFit="1" customWidth="1"/>
    <col min="34" max="34" width="7.7109375" customWidth="1"/>
    <col min="35" max="35" width="9.85546875" bestFit="1" customWidth="1"/>
    <col min="36" max="37" width="7.7109375" customWidth="1"/>
    <col min="38" max="38" width="9.85546875" bestFit="1" customWidth="1"/>
  </cols>
  <sheetData>
    <row r="1" spans="1:41" ht="15.75" thickBot="1" x14ac:dyDescent="0.3">
      <c r="A1" s="51" t="s">
        <v>143</v>
      </c>
      <c r="B1" s="51"/>
      <c r="C1" s="99"/>
      <c r="D1" s="4"/>
      <c r="E1" s="1"/>
      <c r="F1" s="520">
        <f>'S&amp;E'!H3</f>
        <v>46153</v>
      </c>
      <c r="G1" s="521"/>
      <c r="H1" s="521"/>
      <c r="I1" s="521"/>
      <c r="J1" s="522"/>
      <c r="K1" s="520">
        <f>F1+1</f>
        <v>46154</v>
      </c>
      <c r="L1" s="521"/>
      <c r="M1" s="521"/>
      <c r="N1" s="521"/>
      <c r="O1" s="522"/>
      <c r="P1" s="520">
        <f>K1+1</f>
        <v>46155</v>
      </c>
      <c r="Q1" s="521"/>
      <c r="R1" s="521"/>
      <c r="S1" s="521"/>
      <c r="T1" s="522"/>
      <c r="U1" s="520">
        <f>P1+1</f>
        <v>46156</v>
      </c>
      <c r="V1" s="521"/>
      <c r="W1" s="521"/>
      <c r="X1" s="521"/>
      <c r="Y1" s="522"/>
      <c r="Z1" s="520">
        <f>U1+1</f>
        <v>46157</v>
      </c>
      <c r="AA1" s="521"/>
      <c r="AB1" s="521"/>
      <c r="AC1" s="521"/>
      <c r="AD1" s="522"/>
      <c r="AE1" s="520">
        <f>Z1+1</f>
        <v>46158</v>
      </c>
      <c r="AF1" s="521"/>
      <c r="AG1" s="521"/>
      <c r="AH1" s="521"/>
      <c r="AI1" s="522"/>
      <c r="AJ1" s="520">
        <f>AE1+1</f>
        <v>46159</v>
      </c>
      <c r="AK1" s="521"/>
      <c r="AL1" s="521"/>
      <c r="AM1" s="521"/>
      <c r="AN1" s="522"/>
      <c r="AO1" s="2">
        <v>1.6666666666666665</v>
      </c>
    </row>
    <row r="2" spans="1:41" ht="16.5" thickTop="1" thickBot="1" x14ac:dyDescent="0.3">
      <c r="A2" s="1"/>
      <c r="B2" s="1"/>
      <c r="C2" s="1"/>
      <c r="D2" s="1"/>
      <c r="E2" s="1"/>
      <c r="F2" s="68" t="s">
        <v>1</v>
      </c>
      <c r="G2" s="6"/>
      <c r="H2" s="7"/>
      <c r="I2" s="69"/>
      <c r="J2" s="9">
        <f>SUM(J4:J25)</f>
        <v>4.333333333333333</v>
      </c>
      <c r="K2" s="68" t="s">
        <v>1</v>
      </c>
      <c r="L2" s="6"/>
      <c r="M2" s="7"/>
      <c r="N2" s="69"/>
      <c r="O2" s="9">
        <f>SUM(O4:O25)</f>
        <v>3.125</v>
      </c>
      <c r="P2" s="68" t="s">
        <v>1</v>
      </c>
      <c r="Q2" s="6"/>
      <c r="R2" s="7"/>
      <c r="S2" s="69"/>
      <c r="T2" s="9">
        <f>SUM(T4:T25)</f>
        <v>2.791666666666667</v>
      </c>
      <c r="U2" s="68" t="s">
        <v>1</v>
      </c>
      <c r="V2" s="6"/>
      <c r="W2" s="7"/>
      <c r="X2" s="69"/>
      <c r="Y2" s="9">
        <f>SUM(Y4:Y25)</f>
        <v>3.125</v>
      </c>
      <c r="Z2" s="68" t="s">
        <v>1</v>
      </c>
      <c r="AA2" s="6"/>
      <c r="AB2" s="7"/>
      <c r="AC2" s="69"/>
      <c r="AD2" s="9">
        <f>SUM(AD4:AD25)</f>
        <v>3.125</v>
      </c>
      <c r="AE2" s="68" t="s">
        <v>1</v>
      </c>
      <c r="AF2" s="6"/>
      <c r="AG2" s="7"/>
      <c r="AH2" s="69"/>
      <c r="AI2" s="9">
        <f>SUM(AI4:AI25)</f>
        <v>3.791666666666667</v>
      </c>
      <c r="AJ2" s="68" t="s">
        <v>1</v>
      </c>
      <c r="AK2" s="6"/>
      <c r="AL2" s="7"/>
      <c r="AM2" s="69"/>
      <c r="AN2" s="9">
        <f>SUM(AN4:AN25)</f>
        <v>0</v>
      </c>
      <c r="AO2" s="9">
        <f>SUM(AO4:AO25)</f>
        <v>20.291666666666668</v>
      </c>
    </row>
    <row r="3" spans="1:41" ht="15.75" thickBot="1" x14ac:dyDescent="0.3">
      <c r="A3" s="14" t="s">
        <v>247</v>
      </c>
      <c r="B3" s="15" t="s">
        <v>141</v>
      </c>
      <c r="C3" s="15" t="s">
        <v>80</v>
      </c>
      <c r="D3" s="26"/>
      <c r="E3" s="16" t="s">
        <v>9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</row>
    <row r="4" spans="1:41" x14ac:dyDescent="0.25">
      <c r="A4" s="201"/>
      <c r="B4" s="352" t="s">
        <v>553</v>
      </c>
      <c r="D4" s="342" t="s">
        <v>85</v>
      </c>
      <c r="E4" s="343" t="s">
        <v>554</v>
      </c>
      <c r="F4" s="138">
        <v>0.375</v>
      </c>
      <c r="G4" s="180">
        <v>0.5</v>
      </c>
      <c r="H4" s="181">
        <v>0.54166666666666663</v>
      </c>
      <c r="I4" s="139">
        <v>0.75</v>
      </c>
      <c r="J4" s="73">
        <f t="shared" ref="J4:J18" si="0">IFERROR(MOD(I4-F4,1)-(H4-G4),"")</f>
        <v>0.33333333333333337</v>
      </c>
      <c r="K4" s="138">
        <v>0.375</v>
      </c>
      <c r="L4" s="180">
        <v>0.5</v>
      </c>
      <c r="M4" s="181">
        <v>0.54166666666666663</v>
      </c>
      <c r="N4" s="139">
        <v>0.75</v>
      </c>
      <c r="O4" s="73">
        <f t="shared" ref="O4:O18" si="1">IFERROR(MOD(N4-K4,1)-(M4-L4),"")</f>
        <v>0.33333333333333337</v>
      </c>
      <c r="P4" s="74" t="s">
        <v>15</v>
      </c>
      <c r="Q4" s="129" t="s">
        <v>15</v>
      </c>
      <c r="R4" s="127" t="s">
        <v>15</v>
      </c>
      <c r="S4" s="75" t="s">
        <v>15</v>
      </c>
      <c r="T4" s="73" t="str">
        <f t="shared" ref="T4:T18" si="2">IFERROR(MOD(S4-P4,1)-(R4-Q4),"")</f>
        <v/>
      </c>
      <c r="U4" s="182">
        <v>0.375</v>
      </c>
      <c r="V4" s="181">
        <v>0.5</v>
      </c>
      <c r="W4" s="181">
        <v>0.54166666666666663</v>
      </c>
      <c r="X4" s="96">
        <v>0.75</v>
      </c>
      <c r="Y4" s="73">
        <f t="shared" ref="Y4:Y18" si="3">IFERROR(MOD(X4-U4,1)-(W4-V4),"")</f>
        <v>0.33333333333333337</v>
      </c>
      <c r="Z4" s="182">
        <v>0.375</v>
      </c>
      <c r="AA4" s="181">
        <v>0.54166666666666663</v>
      </c>
      <c r="AB4" s="181">
        <v>0.58333333333333337</v>
      </c>
      <c r="AC4" s="96">
        <v>0.75</v>
      </c>
      <c r="AD4" s="73">
        <f t="shared" ref="AD4:AD18" si="4">IFERROR(MOD(AC4-Z4,1)-(AB4-AA4),"")</f>
        <v>0.33333333333333326</v>
      </c>
      <c r="AE4" s="138">
        <v>0.375</v>
      </c>
      <c r="AF4" s="180">
        <v>0.5</v>
      </c>
      <c r="AG4" s="181">
        <v>0.54166666666666663</v>
      </c>
      <c r="AH4" s="139">
        <v>0.75</v>
      </c>
      <c r="AI4" s="73">
        <f t="shared" ref="AI4:AI18" si="5">IFERROR(MOD(AH4-AE4,1)-(AG4-AF4),"")</f>
        <v>0.33333333333333337</v>
      </c>
      <c r="AJ4" s="74" t="s">
        <v>15</v>
      </c>
      <c r="AK4" s="129" t="s">
        <v>15</v>
      </c>
      <c r="AL4" s="127" t="s">
        <v>15</v>
      </c>
      <c r="AM4" s="75" t="s">
        <v>15</v>
      </c>
      <c r="AN4" s="73" t="str">
        <f t="shared" ref="AN4:AN16" si="6">IFERROR(MOD(AM4-AJ4,1)-(AL4-AK4),"")</f>
        <v/>
      </c>
      <c r="AO4" s="28">
        <f t="shared" ref="AO4:AO26" si="7">SUM(J4,O4,T4,Y4,AD4,AI4,AN4)</f>
        <v>1.6666666666666665</v>
      </c>
    </row>
    <row r="5" spans="1:41" x14ac:dyDescent="0.25">
      <c r="A5" s="201"/>
      <c r="B5" s="353" t="s">
        <v>560</v>
      </c>
      <c r="D5" s="342" t="s">
        <v>85</v>
      </c>
      <c r="E5" s="344" t="s">
        <v>559</v>
      </c>
      <c r="F5" s="138">
        <v>0.375</v>
      </c>
      <c r="G5" s="180">
        <v>0.5</v>
      </c>
      <c r="H5" s="181">
        <v>0.54166666666666663</v>
      </c>
      <c r="I5" s="139">
        <v>0.75</v>
      </c>
      <c r="J5" s="73">
        <f t="shared" si="0"/>
        <v>0.33333333333333337</v>
      </c>
      <c r="K5" s="74" t="s">
        <v>15</v>
      </c>
      <c r="L5" s="129" t="s">
        <v>15</v>
      </c>
      <c r="M5" s="127" t="s">
        <v>15</v>
      </c>
      <c r="N5" s="75" t="s">
        <v>15</v>
      </c>
      <c r="O5" s="73" t="str">
        <f t="shared" si="1"/>
        <v/>
      </c>
      <c r="P5" s="138">
        <v>0.375</v>
      </c>
      <c r="Q5" s="180">
        <v>0.58333333333333337</v>
      </c>
      <c r="R5" s="181">
        <v>0.625</v>
      </c>
      <c r="S5" s="139">
        <v>0.75</v>
      </c>
      <c r="T5" s="73">
        <f t="shared" si="2"/>
        <v>0.33333333333333337</v>
      </c>
      <c r="U5" s="182">
        <v>0.375</v>
      </c>
      <c r="V5" s="181">
        <v>0.5</v>
      </c>
      <c r="W5" s="181">
        <v>0.54166666666666663</v>
      </c>
      <c r="X5" s="96">
        <v>0.75</v>
      </c>
      <c r="Y5" s="73">
        <f t="shared" si="3"/>
        <v>0.33333333333333337</v>
      </c>
      <c r="Z5" s="182">
        <v>0.375</v>
      </c>
      <c r="AA5" s="181">
        <v>0.45833333333333331</v>
      </c>
      <c r="AB5" s="181">
        <v>0.5</v>
      </c>
      <c r="AC5" s="96">
        <v>0.75</v>
      </c>
      <c r="AD5" s="73">
        <f t="shared" si="4"/>
        <v>0.33333333333333331</v>
      </c>
      <c r="AE5" s="138">
        <v>0.375</v>
      </c>
      <c r="AF5" s="180">
        <v>0.5</v>
      </c>
      <c r="AG5" s="181">
        <v>0.54166666666666663</v>
      </c>
      <c r="AH5" s="139">
        <v>0.75</v>
      </c>
      <c r="AI5" s="73">
        <f t="shared" si="5"/>
        <v>0.33333333333333337</v>
      </c>
      <c r="AJ5" s="74" t="s">
        <v>15</v>
      </c>
      <c r="AK5" s="129" t="s">
        <v>15</v>
      </c>
      <c r="AL5" s="127" t="s">
        <v>15</v>
      </c>
      <c r="AM5" s="75" t="s">
        <v>15</v>
      </c>
      <c r="AN5" s="73" t="str">
        <f t="shared" si="6"/>
        <v/>
      </c>
      <c r="AO5" s="28">
        <f t="shared" si="7"/>
        <v>1.6666666666666665</v>
      </c>
    </row>
    <row r="6" spans="1:41" x14ac:dyDescent="0.25">
      <c r="A6" s="201"/>
      <c r="B6" s="348" t="s">
        <v>336</v>
      </c>
      <c r="D6" s="342" t="s">
        <v>85</v>
      </c>
      <c r="E6" s="345" t="s">
        <v>549</v>
      </c>
      <c r="F6" s="182">
        <v>0.375</v>
      </c>
      <c r="G6" s="181">
        <v>0.5</v>
      </c>
      <c r="H6" s="181">
        <v>0.54166666666666663</v>
      </c>
      <c r="I6" s="96">
        <v>0.75</v>
      </c>
      <c r="J6" s="73">
        <f t="shared" si="0"/>
        <v>0.33333333333333337</v>
      </c>
      <c r="K6" s="138">
        <v>0.375</v>
      </c>
      <c r="L6" s="180">
        <v>0.45833333333333331</v>
      </c>
      <c r="M6" s="181">
        <v>0.5</v>
      </c>
      <c r="N6" s="139">
        <v>0.75</v>
      </c>
      <c r="O6" s="73">
        <f t="shared" si="1"/>
        <v>0.33333333333333331</v>
      </c>
      <c r="P6" s="138">
        <v>0.375</v>
      </c>
      <c r="Q6" s="180">
        <v>0.58333333333333337</v>
      </c>
      <c r="R6" s="181">
        <v>0.625</v>
      </c>
      <c r="S6" s="139">
        <v>0.75</v>
      </c>
      <c r="T6" s="73">
        <f t="shared" si="2"/>
        <v>0.33333333333333337</v>
      </c>
      <c r="U6" s="182">
        <v>0.375</v>
      </c>
      <c r="V6" s="181">
        <v>0.54166666666666663</v>
      </c>
      <c r="W6" s="181">
        <v>0.58333333333333337</v>
      </c>
      <c r="X6" s="96">
        <v>0.75</v>
      </c>
      <c r="Y6" s="73">
        <f t="shared" si="3"/>
        <v>0.33333333333333326</v>
      </c>
      <c r="Z6" s="182">
        <v>0.375</v>
      </c>
      <c r="AA6" s="181">
        <v>0.45833333333333331</v>
      </c>
      <c r="AB6" s="181">
        <v>0.5</v>
      </c>
      <c r="AC6" s="96">
        <v>0.75</v>
      </c>
      <c r="AD6" s="73">
        <f t="shared" si="4"/>
        <v>0.33333333333333331</v>
      </c>
      <c r="AE6" s="182">
        <v>0.375</v>
      </c>
      <c r="AF6" s="181">
        <v>0.5</v>
      </c>
      <c r="AG6" s="181">
        <v>0.54166666666666663</v>
      </c>
      <c r="AH6" s="96">
        <v>0.75</v>
      </c>
      <c r="AI6" s="73">
        <f t="shared" si="5"/>
        <v>0.33333333333333337</v>
      </c>
      <c r="AJ6" s="74" t="s">
        <v>15</v>
      </c>
      <c r="AK6" s="129" t="s">
        <v>15</v>
      </c>
      <c r="AL6" s="127" t="s">
        <v>15</v>
      </c>
      <c r="AM6" s="75" t="s">
        <v>15</v>
      </c>
      <c r="AN6" s="73" t="str">
        <f t="shared" si="6"/>
        <v/>
      </c>
      <c r="AO6" s="28">
        <f t="shared" si="7"/>
        <v>2</v>
      </c>
    </row>
    <row r="7" spans="1:41" x14ac:dyDescent="0.25">
      <c r="A7" s="201"/>
      <c r="B7" s="349" t="s">
        <v>340</v>
      </c>
      <c r="D7" s="342" t="s">
        <v>401</v>
      </c>
      <c r="E7" s="345" t="s">
        <v>549</v>
      </c>
      <c r="F7" s="182">
        <v>0.375</v>
      </c>
      <c r="G7" s="181">
        <v>0.45833333333333331</v>
      </c>
      <c r="H7" s="181">
        <v>0.5</v>
      </c>
      <c r="I7" s="96">
        <v>0.75</v>
      </c>
      <c r="J7" s="73">
        <f t="shared" si="0"/>
        <v>0.33333333333333331</v>
      </c>
      <c r="K7" s="138">
        <v>0.375</v>
      </c>
      <c r="L7" s="180">
        <v>0.58333333333333337</v>
      </c>
      <c r="M7" s="181">
        <v>0.625</v>
      </c>
      <c r="N7" s="139">
        <v>0.75</v>
      </c>
      <c r="O7" s="73">
        <f t="shared" si="1"/>
        <v>0.33333333333333337</v>
      </c>
      <c r="P7" s="138">
        <v>0.375</v>
      </c>
      <c r="Q7" s="180">
        <v>0.45833333333333331</v>
      </c>
      <c r="R7" s="181">
        <v>0.5</v>
      </c>
      <c r="S7" s="139">
        <v>0.75</v>
      </c>
      <c r="T7" s="73">
        <f t="shared" si="2"/>
        <v>0.33333333333333331</v>
      </c>
      <c r="U7" s="182">
        <v>0.375</v>
      </c>
      <c r="V7" s="181">
        <v>0.45833333333333331</v>
      </c>
      <c r="W7" s="181">
        <v>0.5</v>
      </c>
      <c r="X7" s="96">
        <v>0.75</v>
      </c>
      <c r="Y7" s="73">
        <f t="shared" si="3"/>
        <v>0.33333333333333331</v>
      </c>
      <c r="Z7" s="74" t="s">
        <v>15</v>
      </c>
      <c r="AA7" s="129" t="s">
        <v>15</v>
      </c>
      <c r="AB7" s="127" t="s">
        <v>15</v>
      </c>
      <c r="AC7" s="75" t="s">
        <v>15</v>
      </c>
      <c r="AD7" s="73" t="str">
        <f t="shared" si="4"/>
        <v/>
      </c>
      <c r="AE7" s="182">
        <v>0.375</v>
      </c>
      <c r="AF7" s="181">
        <v>0.5</v>
      </c>
      <c r="AG7" s="181">
        <v>0.54166666666666663</v>
      </c>
      <c r="AH7" s="96">
        <v>0.75</v>
      </c>
      <c r="AI7" s="73">
        <f t="shared" si="5"/>
        <v>0.33333333333333337</v>
      </c>
      <c r="AJ7" s="74" t="s">
        <v>15</v>
      </c>
      <c r="AK7" s="129" t="s">
        <v>15</v>
      </c>
      <c r="AL7" s="127" t="s">
        <v>15</v>
      </c>
      <c r="AM7" s="75" t="s">
        <v>15</v>
      </c>
      <c r="AN7" s="73" t="str">
        <f t="shared" si="6"/>
        <v/>
      </c>
      <c r="AO7" s="28">
        <f t="shared" si="7"/>
        <v>1.6666666666666665</v>
      </c>
    </row>
    <row r="8" spans="1:41" x14ac:dyDescent="0.25">
      <c r="A8" s="201"/>
      <c r="B8" s="349" t="s">
        <v>342</v>
      </c>
      <c r="D8" s="342" t="s">
        <v>85</v>
      </c>
      <c r="E8" s="345" t="s">
        <v>549</v>
      </c>
      <c r="F8" s="182">
        <v>0.375</v>
      </c>
      <c r="G8" s="181">
        <v>0.45833333333333331</v>
      </c>
      <c r="H8" s="181">
        <v>0.5</v>
      </c>
      <c r="I8" s="96">
        <v>0.75</v>
      </c>
      <c r="J8" s="73">
        <f t="shared" si="0"/>
        <v>0.33333333333333331</v>
      </c>
      <c r="K8" s="138">
        <v>0.375</v>
      </c>
      <c r="L8" s="180">
        <v>0.58333333333333337</v>
      </c>
      <c r="M8" s="181">
        <v>0.625</v>
      </c>
      <c r="N8" s="139">
        <v>0.75</v>
      </c>
      <c r="O8" s="73">
        <f t="shared" si="1"/>
        <v>0.33333333333333337</v>
      </c>
      <c r="P8" s="74" t="s">
        <v>15</v>
      </c>
      <c r="Q8" s="129" t="s">
        <v>15</v>
      </c>
      <c r="R8" s="127" t="s">
        <v>15</v>
      </c>
      <c r="S8" s="75" t="s">
        <v>15</v>
      </c>
      <c r="T8" s="73" t="str">
        <f t="shared" si="2"/>
        <v/>
      </c>
      <c r="U8" s="182">
        <v>0.375</v>
      </c>
      <c r="V8" s="181">
        <v>0.45833333333333331</v>
      </c>
      <c r="W8" s="181">
        <v>0.5</v>
      </c>
      <c r="X8" s="96">
        <v>0.75</v>
      </c>
      <c r="Y8" s="73">
        <f t="shared" si="3"/>
        <v>0.33333333333333331</v>
      </c>
      <c r="Z8" s="182">
        <v>0.375</v>
      </c>
      <c r="AA8" s="181">
        <v>0.58333333333333337</v>
      </c>
      <c r="AB8" s="181">
        <v>0.625</v>
      </c>
      <c r="AC8" s="96">
        <v>0.75</v>
      </c>
      <c r="AD8" s="73">
        <f t="shared" si="4"/>
        <v>0.33333333333333337</v>
      </c>
      <c r="AE8" s="74" t="s">
        <v>15</v>
      </c>
      <c r="AF8" s="129" t="s">
        <v>15</v>
      </c>
      <c r="AG8" s="127" t="s">
        <v>15</v>
      </c>
      <c r="AH8" s="75" t="s">
        <v>15</v>
      </c>
      <c r="AI8" s="73" t="str">
        <f t="shared" si="5"/>
        <v/>
      </c>
      <c r="AJ8" s="74" t="s">
        <v>15</v>
      </c>
      <c r="AK8" s="129" t="s">
        <v>15</v>
      </c>
      <c r="AL8" s="127" t="s">
        <v>15</v>
      </c>
      <c r="AM8" s="75" t="s">
        <v>15</v>
      </c>
      <c r="AN8" s="73" t="str">
        <f t="shared" si="6"/>
        <v/>
      </c>
      <c r="AO8" s="28">
        <f t="shared" si="7"/>
        <v>1.3333333333333335</v>
      </c>
    </row>
    <row r="9" spans="1:41" x14ac:dyDescent="0.25">
      <c r="A9" s="197"/>
      <c r="B9" s="354" t="s">
        <v>206</v>
      </c>
      <c r="D9" s="342" t="s">
        <v>85</v>
      </c>
      <c r="E9" s="345" t="s">
        <v>549</v>
      </c>
      <c r="F9" s="182" t="s">
        <v>159</v>
      </c>
      <c r="G9" s="182" t="s">
        <v>159</v>
      </c>
      <c r="H9" s="182" t="s">
        <v>159</v>
      </c>
      <c r="I9" s="182" t="s">
        <v>159</v>
      </c>
      <c r="J9" s="73" t="str">
        <f t="shared" si="0"/>
        <v/>
      </c>
      <c r="K9" s="182" t="s">
        <v>159</v>
      </c>
      <c r="L9" s="182" t="s">
        <v>159</v>
      </c>
      <c r="M9" s="182" t="s">
        <v>159</v>
      </c>
      <c r="N9" s="182" t="s">
        <v>159</v>
      </c>
      <c r="O9" s="73" t="str">
        <f t="shared" si="1"/>
        <v/>
      </c>
      <c r="P9" s="182" t="s">
        <v>159</v>
      </c>
      <c r="Q9" s="182" t="s">
        <v>159</v>
      </c>
      <c r="R9" s="182" t="s">
        <v>159</v>
      </c>
      <c r="S9" s="182" t="s">
        <v>159</v>
      </c>
      <c r="T9" s="73" t="str">
        <f t="shared" si="2"/>
        <v/>
      </c>
      <c r="U9" s="182" t="s">
        <v>159</v>
      </c>
      <c r="V9" s="182" t="s">
        <v>159</v>
      </c>
      <c r="W9" s="182" t="s">
        <v>159</v>
      </c>
      <c r="X9" s="182" t="s">
        <v>159</v>
      </c>
      <c r="Y9" s="73" t="str">
        <f t="shared" si="3"/>
        <v/>
      </c>
      <c r="Z9" s="182" t="s">
        <v>159</v>
      </c>
      <c r="AA9" s="182" t="s">
        <v>159</v>
      </c>
      <c r="AB9" s="182" t="s">
        <v>159</v>
      </c>
      <c r="AC9" s="182" t="s">
        <v>159</v>
      </c>
      <c r="AD9" s="73" t="str">
        <f t="shared" si="4"/>
        <v/>
      </c>
      <c r="AE9" s="182" t="s">
        <v>159</v>
      </c>
      <c r="AF9" s="182" t="s">
        <v>159</v>
      </c>
      <c r="AG9" s="182" t="s">
        <v>159</v>
      </c>
      <c r="AH9" s="182" t="s">
        <v>159</v>
      </c>
      <c r="AI9" s="73" t="str">
        <f t="shared" si="5"/>
        <v/>
      </c>
      <c r="AJ9" s="182" t="s">
        <v>159</v>
      </c>
      <c r="AK9" s="182" t="s">
        <v>159</v>
      </c>
      <c r="AL9" s="182" t="s">
        <v>159</v>
      </c>
      <c r="AM9" s="182" t="s">
        <v>159</v>
      </c>
      <c r="AN9" s="73" t="str">
        <f t="shared" si="6"/>
        <v/>
      </c>
      <c r="AO9" s="28">
        <f t="shared" si="7"/>
        <v>0</v>
      </c>
    </row>
    <row r="10" spans="1:41" x14ac:dyDescent="0.25">
      <c r="A10" s="201"/>
      <c r="B10" s="349" t="s">
        <v>550</v>
      </c>
      <c r="D10" s="342" t="s">
        <v>85</v>
      </c>
      <c r="E10" s="345" t="s">
        <v>549</v>
      </c>
      <c r="F10" s="138">
        <v>0.375</v>
      </c>
      <c r="G10" s="180">
        <v>0.58333333333333337</v>
      </c>
      <c r="H10" s="181">
        <v>0.625</v>
      </c>
      <c r="I10" s="139">
        <v>0.75</v>
      </c>
      <c r="J10" s="73">
        <f t="shared" si="0"/>
        <v>0.33333333333333337</v>
      </c>
      <c r="K10" s="138">
        <v>0.375</v>
      </c>
      <c r="L10" s="180">
        <v>0.45833333333333331</v>
      </c>
      <c r="M10" s="181">
        <v>0.5</v>
      </c>
      <c r="N10" s="139">
        <v>0.75</v>
      </c>
      <c r="O10" s="73">
        <f t="shared" si="1"/>
        <v>0.33333333333333331</v>
      </c>
      <c r="P10" s="74" t="s">
        <v>15</v>
      </c>
      <c r="Q10" s="129" t="s">
        <v>15</v>
      </c>
      <c r="R10" s="127" t="s">
        <v>15</v>
      </c>
      <c r="S10" s="75" t="s">
        <v>15</v>
      </c>
      <c r="T10" s="73" t="str">
        <f t="shared" si="2"/>
        <v/>
      </c>
      <c r="U10" s="182">
        <v>0.375</v>
      </c>
      <c r="V10" s="181">
        <v>0.45833333333333331</v>
      </c>
      <c r="W10" s="181">
        <v>0.5</v>
      </c>
      <c r="X10" s="96">
        <v>0.75</v>
      </c>
      <c r="Y10" s="73">
        <f t="shared" si="3"/>
        <v>0.33333333333333331</v>
      </c>
      <c r="Z10" s="182">
        <v>0.375</v>
      </c>
      <c r="AA10" s="181">
        <v>0.45833333333333331</v>
      </c>
      <c r="AB10" s="181">
        <v>0.5</v>
      </c>
      <c r="AC10" s="96">
        <v>0.75</v>
      </c>
      <c r="AD10" s="73">
        <f t="shared" si="4"/>
        <v>0.33333333333333331</v>
      </c>
      <c r="AE10" s="138">
        <v>0.375</v>
      </c>
      <c r="AF10" s="180">
        <v>0.54166666666666663</v>
      </c>
      <c r="AG10" s="181">
        <v>0.58333333333333337</v>
      </c>
      <c r="AH10" s="139">
        <v>0.75</v>
      </c>
      <c r="AI10" s="73">
        <f t="shared" si="5"/>
        <v>0.33333333333333326</v>
      </c>
      <c r="AJ10" s="74" t="s">
        <v>15</v>
      </c>
      <c r="AK10" s="129" t="s">
        <v>15</v>
      </c>
      <c r="AL10" s="127" t="s">
        <v>15</v>
      </c>
      <c r="AM10" s="75" t="s">
        <v>15</v>
      </c>
      <c r="AN10" s="73" t="str">
        <f t="shared" si="6"/>
        <v/>
      </c>
      <c r="AO10" s="28">
        <f t="shared" si="7"/>
        <v>1.6666666666666665</v>
      </c>
    </row>
    <row r="11" spans="1:41" x14ac:dyDescent="0.25">
      <c r="A11" s="201"/>
      <c r="B11" s="349" t="s">
        <v>551</v>
      </c>
      <c r="D11" s="342" t="s">
        <v>85</v>
      </c>
      <c r="E11" s="345" t="s">
        <v>549</v>
      </c>
      <c r="F11" s="138">
        <v>0.375</v>
      </c>
      <c r="G11" s="180">
        <v>0.54166666666666663</v>
      </c>
      <c r="H11" s="181">
        <v>0.58333333333333337</v>
      </c>
      <c r="I11" s="139">
        <v>0.75</v>
      </c>
      <c r="J11" s="73">
        <f t="shared" si="0"/>
        <v>0.33333333333333326</v>
      </c>
      <c r="K11" s="138">
        <v>0.375</v>
      </c>
      <c r="L11" s="180">
        <v>0.58333333333333337</v>
      </c>
      <c r="M11" s="181">
        <v>0.625</v>
      </c>
      <c r="N11" s="139">
        <v>0.75</v>
      </c>
      <c r="O11" s="73">
        <f t="shared" si="1"/>
        <v>0.33333333333333337</v>
      </c>
      <c r="P11" s="138">
        <v>0.375</v>
      </c>
      <c r="Q11" s="180">
        <v>0.54166666666666663</v>
      </c>
      <c r="R11" s="181">
        <v>0.58333333333333337</v>
      </c>
      <c r="S11" s="139">
        <v>0.75</v>
      </c>
      <c r="T11" s="73">
        <f t="shared" si="2"/>
        <v>0.33333333333333326</v>
      </c>
      <c r="U11" s="74" t="s">
        <v>15</v>
      </c>
      <c r="V11" s="129" t="s">
        <v>15</v>
      </c>
      <c r="W11" s="127" t="s">
        <v>15</v>
      </c>
      <c r="X11" s="75" t="s">
        <v>15</v>
      </c>
      <c r="Y11" s="73" t="str">
        <f t="shared" si="3"/>
        <v/>
      </c>
      <c r="Z11" s="182">
        <v>0.375</v>
      </c>
      <c r="AA11" s="181">
        <v>0.45833333333333331</v>
      </c>
      <c r="AB11" s="181">
        <v>0.5</v>
      </c>
      <c r="AC11" s="96">
        <v>0.75</v>
      </c>
      <c r="AD11" s="73">
        <f t="shared" si="4"/>
        <v>0.33333333333333331</v>
      </c>
      <c r="AE11" s="138">
        <v>0.375</v>
      </c>
      <c r="AF11" s="180">
        <v>0.58333333333333337</v>
      </c>
      <c r="AG11" s="181">
        <v>0.625</v>
      </c>
      <c r="AH11" s="139">
        <v>0.75</v>
      </c>
      <c r="AI11" s="73">
        <f t="shared" si="5"/>
        <v>0.33333333333333337</v>
      </c>
      <c r="AJ11" s="74" t="s">
        <v>15</v>
      </c>
      <c r="AK11" s="129" t="s">
        <v>15</v>
      </c>
      <c r="AL11" s="127" t="s">
        <v>15</v>
      </c>
      <c r="AM11" s="75" t="s">
        <v>15</v>
      </c>
      <c r="AN11" s="73" t="str">
        <f t="shared" si="6"/>
        <v/>
      </c>
      <c r="AO11" s="28">
        <f t="shared" si="7"/>
        <v>1.6666666666666665</v>
      </c>
    </row>
    <row r="12" spans="1:41" x14ac:dyDescent="0.25">
      <c r="A12" s="201"/>
      <c r="B12" s="350" t="s">
        <v>338</v>
      </c>
      <c r="D12" s="342" t="s">
        <v>85</v>
      </c>
      <c r="E12" s="346" t="s">
        <v>555</v>
      </c>
      <c r="F12" s="182">
        <v>0.375</v>
      </c>
      <c r="G12" s="181">
        <v>0.58333333333333337</v>
      </c>
      <c r="H12" s="181">
        <v>0.625</v>
      </c>
      <c r="I12" s="96">
        <v>0.75</v>
      </c>
      <c r="J12" s="73">
        <f t="shared" si="0"/>
        <v>0.33333333333333337</v>
      </c>
      <c r="K12" s="138">
        <v>0.375</v>
      </c>
      <c r="L12" s="180">
        <v>0.58333333333333337</v>
      </c>
      <c r="M12" s="181">
        <v>0.625</v>
      </c>
      <c r="N12" s="139">
        <v>0.75</v>
      </c>
      <c r="O12" s="73">
        <f t="shared" si="1"/>
        <v>0.33333333333333337</v>
      </c>
      <c r="P12" s="138">
        <v>0.375</v>
      </c>
      <c r="Q12" s="180">
        <v>0.54166666666666663</v>
      </c>
      <c r="R12" s="181">
        <v>0.58333333333333337</v>
      </c>
      <c r="S12" s="139">
        <v>0.75</v>
      </c>
      <c r="T12" s="73">
        <f t="shared" si="2"/>
        <v>0.33333333333333326</v>
      </c>
      <c r="U12" s="182">
        <v>0.375</v>
      </c>
      <c r="V12" s="181">
        <v>0.54166666666666663</v>
      </c>
      <c r="W12" s="181">
        <v>0.58333333333333337</v>
      </c>
      <c r="X12" s="96">
        <v>0.75</v>
      </c>
      <c r="Y12" s="73">
        <f t="shared" si="3"/>
        <v>0.33333333333333326</v>
      </c>
      <c r="Z12" s="74" t="s">
        <v>15</v>
      </c>
      <c r="AA12" s="129" t="s">
        <v>15</v>
      </c>
      <c r="AB12" s="127" t="s">
        <v>15</v>
      </c>
      <c r="AC12" s="75" t="s">
        <v>15</v>
      </c>
      <c r="AD12" s="73" t="str">
        <f t="shared" si="4"/>
        <v/>
      </c>
      <c r="AE12" s="138">
        <v>0.375</v>
      </c>
      <c r="AF12" s="180">
        <v>0.58333333333333337</v>
      </c>
      <c r="AG12" s="181">
        <v>0.625</v>
      </c>
      <c r="AH12" s="139">
        <v>0.75</v>
      </c>
      <c r="AI12" s="73">
        <f t="shared" si="5"/>
        <v>0.33333333333333337</v>
      </c>
      <c r="AJ12" s="74" t="s">
        <v>15</v>
      </c>
      <c r="AK12" s="129" t="s">
        <v>15</v>
      </c>
      <c r="AL12" s="127" t="s">
        <v>15</v>
      </c>
      <c r="AM12" s="75" t="s">
        <v>15</v>
      </c>
      <c r="AN12" s="73" t="str">
        <f t="shared" si="6"/>
        <v/>
      </c>
      <c r="AO12" s="28">
        <f t="shared" si="7"/>
        <v>1.6666666666666665</v>
      </c>
    </row>
    <row r="13" spans="1:41" x14ac:dyDescent="0.25">
      <c r="A13" s="201"/>
      <c r="B13" s="355" t="s">
        <v>545</v>
      </c>
      <c r="D13" s="342" t="s">
        <v>85</v>
      </c>
      <c r="E13" s="346" t="s">
        <v>555</v>
      </c>
      <c r="F13" s="182">
        <v>0.375</v>
      </c>
      <c r="G13" s="181">
        <v>0.58333333333333337</v>
      </c>
      <c r="H13" s="181">
        <v>0.625</v>
      </c>
      <c r="I13" s="96">
        <v>0.75</v>
      </c>
      <c r="J13" s="73">
        <f t="shared" si="0"/>
        <v>0.33333333333333337</v>
      </c>
      <c r="K13" s="138">
        <v>0.375</v>
      </c>
      <c r="L13" s="180">
        <v>0.58333333333333337</v>
      </c>
      <c r="M13" s="181">
        <v>0.625</v>
      </c>
      <c r="N13" s="139">
        <v>0.75</v>
      </c>
      <c r="O13" s="73">
        <f t="shared" si="1"/>
        <v>0.33333333333333337</v>
      </c>
      <c r="P13" s="138">
        <v>0.375</v>
      </c>
      <c r="Q13" s="180">
        <v>0.58333333333333337</v>
      </c>
      <c r="R13" s="181">
        <v>0.625</v>
      </c>
      <c r="S13" s="139">
        <v>0.75</v>
      </c>
      <c r="T13" s="73">
        <f t="shared" si="2"/>
        <v>0.33333333333333337</v>
      </c>
      <c r="U13" s="182">
        <v>0.375</v>
      </c>
      <c r="V13" s="181">
        <v>0.45833333333333331</v>
      </c>
      <c r="W13" s="181">
        <v>0.5</v>
      </c>
      <c r="X13" s="96">
        <v>0.75</v>
      </c>
      <c r="Y13" s="73">
        <f t="shared" si="3"/>
        <v>0.33333333333333331</v>
      </c>
      <c r="Z13" s="182">
        <v>0.375</v>
      </c>
      <c r="AA13" s="181">
        <v>0.54166666666666663</v>
      </c>
      <c r="AB13" s="181">
        <v>0.58333333333333337</v>
      </c>
      <c r="AC13" s="96">
        <v>0.75</v>
      </c>
      <c r="AD13" s="73">
        <f t="shared" si="4"/>
        <v>0.33333333333333326</v>
      </c>
      <c r="AE13" s="74" t="s">
        <v>15</v>
      </c>
      <c r="AF13" s="129" t="s">
        <v>15</v>
      </c>
      <c r="AG13" s="127" t="s">
        <v>15</v>
      </c>
      <c r="AH13" s="75" t="s">
        <v>15</v>
      </c>
      <c r="AI13" s="73" t="str">
        <f t="shared" si="5"/>
        <v/>
      </c>
      <c r="AJ13" s="74" t="s">
        <v>15</v>
      </c>
      <c r="AK13" s="129" t="s">
        <v>15</v>
      </c>
      <c r="AL13" s="127" t="s">
        <v>15</v>
      </c>
      <c r="AM13" s="75" t="s">
        <v>15</v>
      </c>
      <c r="AN13" s="73" t="str">
        <f t="shared" si="6"/>
        <v/>
      </c>
      <c r="AO13" s="28">
        <f t="shared" si="7"/>
        <v>1.6666666666666665</v>
      </c>
    </row>
    <row r="14" spans="1:41" x14ac:dyDescent="0.25">
      <c r="A14" s="201"/>
      <c r="B14" s="350" t="s">
        <v>556</v>
      </c>
      <c r="D14" s="342" t="s">
        <v>85</v>
      </c>
      <c r="E14" s="346" t="s">
        <v>555</v>
      </c>
      <c r="F14" s="138">
        <v>0.375</v>
      </c>
      <c r="G14" s="180">
        <v>0.54166666666666663</v>
      </c>
      <c r="H14" s="181">
        <v>0.58333333333333337</v>
      </c>
      <c r="I14" s="139">
        <v>0.75</v>
      </c>
      <c r="J14" s="73">
        <f t="shared" si="0"/>
        <v>0.33333333333333326</v>
      </c>
      <c r="K14" s="74" t="s">
        <v>15</v>
      </c>
      <c r="L14" s="129" t="s">
        <v>15</v>
      </c>
      <c r="M14" s="127" t="s">
        <v>15</v>
      </c>
      <c r="N14" s="75" t="s">
        <v>15</v>
      </c>
      <c r="O14" s="73" t="str">
        <f t="shared" si="1"/>
        <v/>
      </c>
      <c r="P14" s="138">
        <v>0.375</v>
      </c>
      <c r="Q14" s="180">
        <v>0.58333333333333337</v>
      </c>
      <c r="R14" s="181">
        <v>0.625</v>
      </c>
      <c r="S14" s="139">
        <v>0.75</v>
      </c>
      <c r="T14" s="73">
        <f t="shared" si="2"/>
        <v>0.33333333333333337</v>
      </c>
      <c r="U14" s="182">
        <v>0.375</v>
      </c>
      <c r="V14" s="181">
        <v>0.45833333333333331</v>
      </c>
      <c r="W14" s="181">
        <v>0.5</v>
      </c>
      <c r="X14" s="96">
        <v>0.75</v>
      </c>
      <c r="Y14" s="73">
        <f t="shared" si="3"/>
        <v>0.33333333333333331</v>
      </c>
      <c r="Z14" s="138">
        <v>0.375</v>
      </c>
      <c r="AA14" s="180">
        <v>0.5</v>
      </c>
      <c r="AB14" s="181">
        <v>0.54166666666666663</v>
      </c>
      <c r="AC14" s="139">
        <v>0.75</v>
      </c>
      <c r="AD14" s="73">
        <f t="shared" si="4"/>
        <v>0.33333333333333337</v>
      </c>
      <c r="AE14" s="138">
        <v>0.375</v>
      </c>
      <c r="AF14" s="180">
        <v>0.58333333333333337</v>
      </c>
      <c r="AG14" s="181">
        <v>0.625</v>
      </c>
      <c r="AH14" s="139">
        <v>0.75</v>
      </c>
      <c r="AI14" s="73">
        <f t="shared" si="5"/>
        <v>0.33333333333333337</v>
      </c>
      <c r="AJ14" s="74" t="s">
        <v>15</v>
      </c>
      <c r="AK14" s="129" t="s">
        <v>15</v>
      </c>
      <c r="AL14" s="127" t="s">
        <v>15</v>
      </c>
      <c r="AM14" s="75" t="s">
        <v>15</v>
      </c>
      <c r="AN14" s="73" t="str">
        <f t="shared" si="6"/>
        <v/>
      </c>
      <c r="AO14" s="28">
        <f t="shared" si="7"/>
        <v>1.666666666666667</v>
      </c>
    </row>
    <row r="15" spans="1:41" x14ac:dyDescent="0.25">
      <c r="A15" s="201"/>
      <c r="B15" s="351" t="s">
        <v>334</v>
      </c>
      <c r="D15" s="342" t="s">
        <v>401</v>
      </c>
      <c r="E15" s="347" t="s">
        <v>558</v>
      </c>
      <c r="F15" s="182">
        <v>0.375</v>
      </c>
      <c r="G15" s="181">
        <v>0.45833333333333331</v>
      </c>
      <c r="H15" s="181">
        <v>0.5</v>
      </c>
      <c r="I15" s="96">
        <v>0.75</v>
      </c>
      <c r="J15" s="73">
        <f t="shared" si="0"/>
        <v>0.33333333333333331</v>
      </c>
      <c r="K15" s="182">
        <v>0.375</v>
      </c>
      <c r="L15" s="181">
        <v>0.54166666666666663</v>
      </c>
      <c r="M15" s="181">
        <v>0.58333333333333337</v>
      </c>
      <c r="N15" s="96">
        <v>0.75</v>
      </c>
      <c r="O15" s="73">
        <f t="shared" si="1"/>
        <v>0.33333333333333326</v>
      </c>
      <c r="P15" s="220">
        <v>0.375</v>
      </c>
      <c r="Q15" s="179">
        <v>0.58333333333333337</v>
      </c>
      <c r="R15" s="180">
        <v>0.625</v>
      </c>
      <c r="S15" s="100">
        <v>0.75</v>
      </c>
      <c r="T15" s="73">
        <f t="shared" si="2"/>
        <v>0.33333333333333337</v>
      </c>
      <c r="U15" s="74" t="s">
        <v>15</v>
      </c>
      <c r="V15" s="129" t="s">
        <v>15</v>
      </c>
      <c r="W15" s="127" t="s">
        <v>15</v>
      </c>
      <c r="X15" s="75" t="s">
        <v>15</v>
      </c>
      <c r="Y15" s="73" t="str">
        <f t="shared" si="3"/>
        <v/>
      </c>
      <c r="Z15" s="138">
        <v>0.375</v>
      </c>
      <c r="AA15" s="180">
        <v>0.5</v>
      </c>
      <c r="AB15" s="181">
        <v>0.54166666666666663</v>
      </c>
      <c r="AC15" s="139">
        <v>0.75</v>
      </c>
      <c r="AD15" s="73">
        <f t="shared" si="4"/>
        <v>0.33333333333333337</v>
      </c>
      <c r="AE15" s="138">
        <v>0.375</v>
      </c>
      <c r="AF15" s="180">
        <v>0.58333333333333337</v>
      </c>
      <c r="AG15" s="181">
        <v>0.625</v>
      </c>
      <c r="AH15" s="139">
        <v>0.75</v>
      </c>
      <c r="AI15" s="73">
        <f t="shared" si="5"/>
        <v>0.33333333333333337</v>
      </c>
      <c r="AJ15" s="74" t="s">
        <v>15</v>
      </c>
      <c r="AK15" s="129" t="s">
        <v>15</v>
      </c>
      <c r="AL15" s="127" t="s">
        <v>15</v>
      </c>
      <c r="AM15" s="75" t="s">
        <v>15</v>
      </c>
      <c r="AN15" s="73" t="str">
        <f t="shared" si="6"/>
        <v/>
      </c>
      <c r="AO15" s="28">
        <f t="shared" si="7"/>
        <v>1.6666666666666665</v>
      </c>
    </row>
    <row r="16" spans="1:41" x14ac:dyDescent="0.25">
      <c r="A16" s="197"/>
      <c r="B16" s="329" t="s">
        <v>339</v>
      </c>
      <c r="D16" s="342" t="s">
        <v>401</v>
      </c>
      <c r="E16" s="228" t="s">
        <v>401</v>
      </c>
      <c r="F16" s="92" t="s">
        <v>15</v>
      </c>
      <c r="G16" s="159" t="s">
        <v>15</v>
      </c>
      <c r="H16" s="159" t="s">
        <v>15</v>
      </c>
      <c r="I16" s="92" t="s">
        <v>15</v>
      </c>
      <c r="J16" s="73" t="str">
        <f t="shared" si="0"/>
        <v/>
      </c>
      <c r="K16" s="182">
        <v>0.625</v>
      </c>
      <c r="L16" s="328"/>
      <c r="M16" s="328"/>
      <c r="N16" s="96">
        <v>0.75</v>
      </c>
      <c r="O16" s="73">
        <f t="shared" si="1"/>
        <v>0.125</v>
      </c>
      <c r="P16" s="182">
        <v>0.625</v>
      </c>
      <c r="Q16" s="328"/>
      <c r="R16" s="328"/>
      <c r="S16" s="96">
        <v>0.75</v>
      </c>
      <c r="T16" s="73">
        <f t="shared" si="2"/>
        <v>0.125</v>
      </c>
      <c r="U16" s="182">
        <v>0.625</v>
      </c>
      <c r="V16" s="328"/>
      <c r="W16" s="328"/>
      <c r="X16" s="96">
        <v>0.75</v>
      </c>
      <c r="Y16" s="73">
        <f t="shared" si="3"/>
        <v>0.125</v>
      </c>
      <c r="Z16" s="182">
        <v>0.625</v>
      </c>
      <c r="AA16" s="328"/>
      <c r="AB16" s="328"/>
      <c r="AC16" s="96">
        <v>0.75</v>
      </c>
      <c r="AD16" s="73">
        <f t="shared" si="4"/>
        <v>0.125</v>
      </c>
      <c r="AE16" s="182">
        <v>0.625</v>
      </c>
      <c r="AF16" s="328"/>
      <c r="AG16" s="328"/>
      <c r="AH16" s="96">
        <v>0.75</v>
      </c>
      <c r="AI16" s="73">
        <f t="shared" si="5"/>
        <v>0.125</v>
      </c>
      <c r="AJ16" s="74" t="s">
        <v>15</v>
      </c>
      <c r="AK16" s="129" t="s">
        <v>15</v>
      </c>
      <c r="AL16" s="127" t="s">
        <v>15</v>
      </c>
      <c r="AM16" s="75" t="s">
        <v>15</v>
      </c>
      <c r="AN16" s="73" t="str">
        <f t="shared" si="6"/>
        <v/>
      </c>
      <c r="AO16" s="28">
        <f t="shared" si="7"/>
        <v>0.625</v>
      </c>
    </row>
    <row r="17" spans="1:41" x14ac:dyDescent="0.25">
      <c r="A17" s="201"/>
      <c r="B17" s="350" t="s">
        <v>544</v>
      </c>
      <c r="C17" s="361" t="s">
        <v>565</v>
      </c>
      <c r="D17" s="342" t="s">
        <v>85</v>
      </c>
      <c r="E17" s="345" t="s">
        <v>549</v>
      </c>
      <c r="F17" s="138">
        <v>0.375</v>
      </c>
      <c r="G17" s="180">
        <v>0.54166666666666663</v>
      </c>
      <c r="H17" s="181">
        <v>0.58333333333333337</v>
      </c>
      <c r="I17" s="139">
        <v>0.75</v>
      </c>
      <c r="J17" s="73">
        <f t="shared" si="0"/>
        <v>0.33333333333333326</v>
      </c>
      <c r="K17" s="182"/>
      <c r="L17" s="181"/>
      <c r="M17" s="181"/>
      <c r="N17" s="96"/>
      <c r="O17" s="73">
        <f t="shared" si="1"/>
        <v>0</v>
      </c>
      <c r="P17" s="182"/>
      <c r="Q17" s="181"/>
      <c r="R17" s="181"/>
      <c r="S17" s="96"/>
      <c r="T17" s="73">
        <f t="shared" si="2"/>
        <v>0</v>
      </c>
      <c r="U17" s="220"/>
      <c r="V17" s="179"/>
      <c r="W17" s="180"/>
      <c r="X17" s="100"/>
      <c r="Y17" s="73">
        <f t="shared" si="3"/>
        <v>0</v>
      </c>
      <c r="Z17" s="74"/>
      <c r="AA17" s="129"/>
      <c r="AB17" s="127"/>
      <c r="AC17" s="75"/>
      <c r="AD17" s="73">
        <f t="shared" si="4"/>
        <v>0</v>
      </c>
      <c r="AE17" s="138">
        <v>0.375</v>
      </c>
      <c r="AF17" s="180">
        <v>0.54166666666666663</v>
      </c>
      <c r="AG17" s="181">
        <v>0.58333333333333337</v>
      </c>
      <c r="AH17" s="139">
        <v>0.75</v>
      </c>
      <c r="AI17" s="73">
        <f t="shared" si="5"/>
        <v>0.33333333333333326</v>
      </c>
      <c r="AJ17" s="74" t="s">
        <v>15</v>
      </c>
      <c r="AK17" s="129" t="s">
        <v>15</v>
      </c>
      <c r="AL17" s="127" t="s">
        <v>15</v>
      </c>
      <c r="AM17" s="75" t="s">
        <v>15</v>
      </c>
      <c r="AN17" s="73" t="str">
        <f t="shared" ref="AN17:AN18" si="8">IFERROR(MOD(AM17-AJ17,1)-(AL17-AK17),"")</f>
        <v/>
      </c>
      <c r="AO17" s="28">
        <f t="shared" si="7"/>
        <v>0.66666666666666652</v>
      </c>
    </row>
    <row r="18" spans="1:41" x14ac:dyDescent="0.25">
      <c r="A18" s="201"/>
      <c r="B18" s="350" t="s">
        <v>566</v>
      </c>
      <c r="C18" s="361" t="s">
        <v>565</v>
      </c>
      <c r="D18" s="342" t="s">
        <v>85</v>
      </c>
      <c r="E18" s="345" t="s">
        <v>549</v>
      </c>
      <c r="F18" s="138">
        <v>0.375</v>
      </c>
      <c r="G18" s="180">
        <v>0.54166666666666663</v>
      </c>
      <c r="H18" s="181">
        <v>0.58333333333333337</v>
      </c>
      <c r="I18" s="139">
        <v>0.75</v>
      </c>
      <c r="J18" s="73">
        <f t="shared" si="0"/>
        <v>0.33333333333333326</v>
      </c>
      <c r="K18" s="182"/>
      <c r="L18" s="181"/>
      <c r="M18" s="181"/>
      <c r="N18" s="96"/>
      <c r="O18" s="73">
        <f t="shared" si="1"/>
        <v>0</v>
      </c>
      <c r="P18" s="182"/>
      <c r="Q18" s="181"/>
      <c r="R18" s="181"/>
      <c r="S18" s="96"/>
      <c r="T18" s="73">
        <f t="shared" si="2"/>
        <v>0</v>
      </c>
      <c r="U18" s="220"/>
      <c r="V18" s="179"/>
      <c r="W18" s="180"/>
      <c r="X18" s="100"/>
      <c r="Y18" s="73">
        <f t="shared" si="3"/>
        <v>0</v>
      </c>
      <c r="Z18" s="74"/>
      <c r="AA18" s="129"/>
      <c r="AB18" s="127"/>
      <c r="AC18" s="75"/>
      <c r="AD18" s="73">
        <f t="shared" si="4"/>
        <v>0</v>
      </c>
      <c r="AE18" s="138">
        <v>0.375</v>
      </c>
      <c r="AF18" s="180">
        <v>0.54166666666666663</v>
      </c>
      <c r="AG18" s="181">
        <v>0.58333333333333337</v>
      </c>
      <c r="AH18" s="139">
        <v>0.75</v>
      </c>
      <c r="AI18" s="73">
        <f t="shared" si="5"/>
        <v>0.33333333333333326</v>
      </c>
      <c r="AJ18" s="74" t="s">
        <v>15</v>
      </c>
      <c r="AK18" s="129" t="s">
        <v>15</v>
      </c>
      <c r="AL18" s="127" t="s">
        <v>15</v>
      </c>
      <c r="AM18" s="75" t="s">
        <v>15</v>
      </c>
      <c r="AN18" s="73" t="str">
        <f t="shared" si="8"/>
        <v/>
      </c>
      <c r="AO18" s="28">
        <f t="shared" si="7"/>
        <v>0.66666666666666652</v>
      </c>
    </row>
    <row r="19" spans="1:41" x14ac:dyDescent="0.25">
      <c r="A19" s="201"/>
      <c r="F19" s="96"/>
      <c r="G19" s="181"/>
      <c r="H19" s="181"/>
      <c r="I19" s="96"/>
      <c r="J19" s="73">
        <f t="shared" ref="J19:J25" si="9">IFERROR(MOD(I19-F19,1)-(H19-G19),"")</f>
        <v>0</v>
      </c>
      <c r="K19" s="96"/>
      <c r="L19" s="181"/>
      <c r="M19" s="181"/>
      <c r="N19" s="96"/>
      <c r="O19" s="73">
        <f t="shared" ref="O19:O25" si="10">IFERROR(MOD(N19-K19,1)-(M19-L19),"")</f>
        <v>0</v>
      </c>
      <c r="P19" s="96"/>
      <c r="Q19" s="181"/>
      <c r="R19" s="181"/>
      <c r="S19" s="96"/>
      <c r="T19" s="73">
        <f t="shared" ref="T19:T25" si="11">IFERROR(MOD(S19-P19,1)-(R19-Q19),"")</f>
        <v>0</v>
      </c>
      <c r="U19" s="96"/>
      <c r="V19" s="181"/>
      <c r="W19" s="181"/>
      <c r="X19" s="96"/>
      <c r="Y19" s="73">
        <f t="shared" ref="Y19:Y25" si="12">IFERROR(MOD(X19-U19,1)-(W19-V19),"")</f>
        <v>0</v>
      </c>
      <c r="Z19" s="96"/>
      <c r="AA19" s="181"/>
      <c r="AB19" s="181"/>
      <c r="AC19" s="96"/>
      <c r="AD19" s="73">
        <f t="shared" ref="AD19:AD25" si="13">IFERROR(MOD(AC19-Z19,1)-(AB19-AA19),"")</f>
        <v>0</v>
      </c>
      <c r="AE19" s="96"/>
      <c r="AF19" s="181"/>
      <c r="AG19" s="181"/>
      <c r="AH19" s="96"/>
      <c r="AI19" s="73">
        <f t="shared" ref="AI19:AI25" si="14">IFERROR(MOD(AH19-AE19,1)-(AG19-AF19),"")</f>
        <v>0</v>
      </c>
      <c r="AJ19" s="96"/>
      <c r="AK19" s="181"/>
      <c r="AL19" s="181"/>
      <c r="AM19" s="96"/>
      <c r="AN19" s="73">
        <f t="shared" ref="AN19:AN25" si="15">IFERROR(MOD(AM19-AJ19,1)-(AL19-AK19),"")</f>
        <v>0</v>
      </c>
      <c r="AO19" s="28">
        <f t="shared" si="7"/>
        <v>0</v>
      </c>
    </row>
    <row r="20" spans="1:41" x14ac:dyDescent="0.25">
      <c r="A20" s="201"/>
      <c r="F20" s="96"/>
      <c r="G20" s="181"/>
      <c r="H20" s="181"/>
      <c r="I20" s="96"/>
      <c r="J20" s="73">
        <f t="shared" si="9"/>
        <v>0</v>
      </c>
      <c r="K20" s="96"/>
      <c r="L20" s="181"/>
      <c r="M20" s="181"/>
      <c r="N20" s="96"/>
      <c r="O20" s="73">
        <f t="shared" si="10"/>
        <v>0</v>
      </c>
      <c r="P20" s="96"/>
      <c r="Q20" s="181"/>
      <c r="R20" s="181"/>
      <c r="S20" s="96"/>
      <c r="T20" s="73">
        <f t="shared" si="11"/>
        <v>0</v>
      </c>
      <c r="U20" s="96"/>
      <c r="V20" s="181"/>
      <c r="W20" s="181"/>
      <c r="X20" s="96"/>
      <c r="Y20" s="73">
        <f t="shared" si="12"/>
        <v>0</v>
      </c>
      <c r="Z20" s="96"/>
      <c r="AA20" s="181"/>
      <c r="AB20" s="181"/>
      <c r="AC20" s="96"/>
      <c r="AD20" s="73">
        <f t="shared" si="13"/>
        <v>0</v>
      </c>
      <c r="AE20" s="96"/>
      <c r="AF20" s="181"/>
      <c r="AG20" s="181"/>
      <c r="AH20" s="96"/>
      <c r="AI20" s="73">
        <f t="shared" si="14"/>
        <v>0</v>
      </c>
      <c r="AJ20" s="96"/>
      <c r="AK20" s="181"/>
      <c r="AL20" s="181"/>
      <c r="AM20" s="96"/>
      <c r="AN20" s="73">
        <f t="shared" si="15"/>
        <v>0</v>
      </c>
      <c r="AO20" s="28">
        <f t="shared" si="7"/>
        <v>0</v>
      </c>
    </row>
    <row r="21" spans="1:41" x14ac:dyDescent="0.25">
      <c r="A21" s="201"/>
      <c r="F21" s="96"/>
      <c r="G21" s="181"/>
      <c r="H21" s="181"/>
      <c r="I21" s="96"/>
      <c r="J21" s="73">
        <f t="shared" si="9"/>
        <v>0</v>
      </c>
      <c r="K21" s="96"/>
      <c r="L21" s="181"/>
      <c r="M21" s="181"/>
      <c r="N21" s="96"/>
      <c r="O21" s="73">
        <f t="shared" si="10"/>
        <v>0</v>
      </c>
      <c r="P21" s="96"/>
      <c r="Q21" s="181"/>
      <c r="R21" s="181"/>
      <c r="S21" s="96"/>
      <c r="T21" s="73">
        <f t="shared" si="11"/>
        <v>0</v>
      </c>
      <c r="U21" s="96"/>
      <c r="V21" s="181"/>
      <c r="W21" s="181"/>
      <c r="X21" s="96"/>
      <c r="Y21" s="73">
        <f t="shared" si="12"/>
        <v>0</v>
      </c>
      <c r="Z21" s="96"/>
      <c r="AA21" s="181"/>
      <c r="AB21" s="181"/>
      <c r="AC21" s="96"/>
      <c r="AD21" s="73">
        <f t="shared" si="13"/>
        <v>0</v>
      </c>
      <c r="AE21" s="96"/>
      <c r="AF21" s="181"/>
      <c r="AG21" s="181"/>
      <c r="AH21" s="96"/>
      <c r="AI21" s="73">
        <f t="shared" si="14"/>
        <v>0</v>
      </c>
      <c r="AJ21" s="96"/>
      <c r="AK21" s="181"/>
      <c r="AL21" s="181"/>
      <c r="AM21" s="96"/>
      <c r="AN21" s="73">
        <f t="shared" si="15"/>
        <v>0</v>
      </c>
      <c r="AO21" s="28">
        <f t="shared" si="7"/>
        <v>0</v>
      </c>
    </row>
    <row r="22" spans="1:41" x14ac:dyDescent="0.25">
      <c r="A22" s="201"/>
      <c r="F22" s="96"/>
      <c r="G22" s="181"/>
      <c r="H22" s="181"/>
      <c r="I22" s="96"/>
      <c r="J22" s="73">
        <f t="shared" si="9"/>
        <v>0</v>
      </c>
      <c r="K22" s="96"/>
      <c r="L22" s="181"/>
      <c r="M22" s="181"/>
      <c r="N22" s="96"/>
      <c r="O22" s="73">
        <f t="shared" si="10"/>
        <v>0</v>
      </c>
      <c r="P22" s="96"/>
      <c r="Q22" s="181"/>
      <c r="R22" s="181"/>
      <c r="S22" s="96"/>
      <c r="T22" s="73">
        <f t="shared" si="11"/>
        <v>0</v>
      </c>
      <c r="U22" s="96"/>
      <c r="V22" s="181"/>
      <c r="W22" s="181"/>
      <c r="X22" s="96"/>
      <c r="Y22" s="73">
        <f t="shared" si="12"/>
        <v>0</v>
      </c>
      <c r="Z22" s="96"/>
      <c r="AA22" s="181"/>
      <c r="AB22" s="181"/>
      <c r="AC22" s="96"/>
      <c r="AD22" s="73">
        <f t="shared" si="13"/>
        <v>0</v>
      </c>
      <c r="AE22" s="96"/>
      <c r="AF22" s="181"/>
      <c r="AG22" s="181"/>
      <c r="AH22" s="96"/>
      <c r="AI22" s="73">
        <f t="shared" si="14"/>
        <v>0</v>
      </c>
      <c r="AJ22" s="96"/>
      <c r="AK22" s="181"/>
      <c r="AL22" s="181"/>
      <c r="AM22" s="96"/>
      <c r="AN22" s="73">
        <f t="shared" si="15"/>
        <v>0</v>
      </c>
      <c r="AO22" s="28">
        <f t="shared" si="7"/>
        <v>0</v>
      </c>
    </row>
    <row r="23" spans="1:41" x14ac:dyDescent="0.25">
      <c r="A23" s="201"/>
      <c r="F23" s="96"/>
      <c r="G23" s="181"/>
      <c r="H23" s="181"/>
      <c r="I23" s="96"/>
      <c r="J23" s="73">
        <f t="shared" si="9"/>
        <v>0</v>
      </c>
      <c r="K23" s="96"/>
      <c r="L23" s="181"/>
      <c r="M23" s="181"/>
      <c r="N23" s="96"/>
      <c r="O23" s="73">
        <f t="shared" si="10"/>
        <v>0</v>
      </c>
      <c r="P23" s="96"/>
      <c r="Q23" s="181"/>
      <c r="R23" s="181"/>
      <c r="S23" s="96"/>
      <c r="T23" s="73">
        <f t="shared" si="11"/>
        <v>0</v>
      </c>
      <c r="U23" s="96"/>
      <c r="V23" s="181"/>
      <c r="W23" s="181"/>
      <c r="X23" s="96"/>
      <c r="Y23" s="73">
        <f t="shared" si="12"/>
        <v>0</v>
      </c>
      <c r="Z23" s="96"/>
      <c r="AA23" s="181"/>
      <c r="AB23" s="181"/>
      <c r="AC23" s="96"/>
      <c r="AD23" s="73">
        <f t="shared" si="13"/>
        <v>0</v>
      </c>
      <c r="AE23" s="96"/>
      <c r="AF23" s="181"/>
      <c r="AG23" s="181"/>
      <c r="AH23" s="96"/>
      <c r="AI23" s="73">
        <f t="shared" si="14"/>
        <v>0</v>
      </c>
      <c r="AJ23" s="96"/>
      <c r="AK23" s="181"/>
      <c r="AL23" s="181"/>
      <c r="AM23" s="96"/>
      <c r="AN23" s="73">
        <f t="shared" si="15"/>
        <v>0</v>
      </c>
      <c r="AO23" s="28">
        <f t="shared" si="7"/>
        <v>0</v>
      </c>
    </row>
    <row r="24" spans="1:41" x14ac:dyDescent="0.25">
      <c r="A24" s="201"/>
      <c r="F24" s="96"/>
      <c r="G24" s="181"/>
      <c r="H24" s="181"/>
      <c r="I24" s="96"/>
      <c r="J24" s="73">
        <f t="shared" si="9"/>
        <v>0</v>
      </c>
      <c r="K24" s="96"/>
      <c r="L24" s="181"/>
      <c r="M24" s="181"/>
      <c r="N24" s="96"/>
      <c r="O24" s="73">
        <f t="shared" si="10"/>
        <v>0</v>
      </c>
      <c r="P24" s="96"/>
      <c r="Q24" s="181"/>
      <c r="R24" s="181"/>
      <c r="S24" s="96"/>
      <c r="T24" s="73">
        <f t="shared" si="11"/>
        <v>0</v>
      </c>
      <c r="U24" s="96"/>
      <c r="V24" s="181"/>
      <c r="W24" s="181"/>
      <c r="X24" s="96"/>
      <c r="Y24" s="73">
        <f t="shared" si="12"/>
        <v>0</v>
      </c>
      <c r="Z24" s="96"/>
      <c r="AA24" s="181"/>
      <c r="AB24" s="181"/>
      <c r="AC24" s="96"/>
      <c r="AD24" s="73">
        <f t="shared" si="13"/>
        <v>0</v>
      </c>
      <c r="AE24" s="96"/>
      <c r="AF24" s="181"/>
      <c r="AG24" s="181"/>
      <c r="AH24" s="96"/>
      <c r="AI24" s="73">
        <f t="shared" si="14"/>
        <v>0</v>
      </c>
      <c r="AJ24" s="96"/>
      <c r="AK24" s="181"/>
      <c r="AL24" s="181"/>
      <c r="AM24" s="96"/>
      <c r="AN24" s="73">
        <f t="shared" si="15"/>
        <v>0</v>
      </c>
      <c r="AO24" s="28">
        <f t="shared" si="7"/>
        <v>0</v>
      </c>
    </row>
    <row r="25" spans="1:41" x14ac:dyDescent="0.25">
      <c r="A25" s="197"/>
      <c r="F25" s="96"/>
      <c r="G25" s="181"/>
      <c r="H25" s="181"/>
      <c r="I25" s="96"/>
      <c r="J25" s="73">
        <f t="shared" si="9"/>
        <v>0</v>
      </c>
      <c r="K25" s="96"/>
      <c r="L25" s="181"/>
      <c r="M25" s="181"/>
      <c r="N25" s="96"/>
      <c r="O25" s="73">
        <f t="shared" si="10"/>
        <v>0</v>
      </c>
      <c r="P25" s="96"/>
      <c r="Q25" s="181"/>
      <c r="R25" s="181"/>
      <c r="S25" s="96"/>
      <c r="T25" s="73">
        <f t="shared" si="11"/>
        <v>0</v>
      </c>
      <c r="U25" s="96"/>
      <c r="V25" s="181"/>
      <c r="W25" s="181"/>
      <c r="X25" s="96"/>
      <c r="Y25" s="73">
        <f t="shared" si="12"/>
        <v>0</v>
      </c>
      <c r="Z25" s="96"/>
      <c r="AA25" s="181"/>
      <c r="AB25" s="181"/>
      <c r="AC25" s="96"/>
      <c r="AD25" s="73">
        <f t="shared" si="13"/>
        <v>0</v>
      </c>
      <c r="AE25" s="96"/>
      <c r="AF25" s="181"/>
      <c r="AG25" s="181"/>
      <c r="AH25" s="96"/>
      <c r="AI25" s="73">
        <f t="shared" si="14"/>
        <v>0</v>
      </c>
      <c r="AJ25" s="96"/>
      <c r="AK25" s="181"/>
      <c r="AL25" s="181"/>
      <c r="AM25" s="96"/>
      <c r="AN25" s="73">
        <f t="shared" si="15"/>
        <v>0</v>
      </c>
      <c r="AO25" s="28">
        <f t="shared" si="7"/>
        <v>0</v>
      </c>
    </row>
    <row r="26" spans="1:41" x14ac:dyDescent="0.25">
      <c r="AO26" s="28">
        <f t="shared" si="7"/>
        <v>0</v>
      </c>
    </row>
    <row r="28" spans="1:41" x14ac:dyDescent="0.25">
      <c r="F28" s="163"/>
    </row>
    <row r="35" spans="2:36" ht="14.25" customHeight="1" x14ac:dyDescent="0.25">
      <c r="B35" s="120">
        <f>AVERAGE(F35:AJ35)</f>
        <v>3.7142857142857144</v>
      </c>
      <c r="D35" s="221">
        <v>0.35416666666666669</v>
      </c>
      <c r="E35" s="60" t="s">
        <v>15</v>
      </c>
      <c r="F35" s="61">
        <f>COUNTIF(F4:F25,$E35)</f>
        <v>1</v>
      </c>
      <c r="K35" s="61">
        <f>COUNTIF(K4:K25,$E35)</f>
        <v>2</v>
      </c>
      <c r="P35" s="61">
        <f>COUNTIF(P4:P25,$E35)</f>
        <v>3</v>
      </c>
      <c r="U35" s="61">
        <f>COUNTIF(U4:U25,$E35)</f>
        <v>2</v>
      </c>
      <c r="Z35" s="61">
        <f>COUNTIF(Z4:Z25,$E35)</f>
        <v>2</v>
      </c>
      <c r="AE35" s="61">
        <f>COUNTIF(AE4:AE25,$E35)</f>
        <v>2</v>
      </c>
      <c r="AJ35" s="61">
        <f>COUNTIF(AJ4:AJ25,$E35)</f>
        <v>14</v>
      </c>
    </row>
    <row r="36" spans="2:36" ht="14.25" customHeight="1" x14ac:dyDescent="0.25">
      <c r="B36" s="120">
        <f>AVERAGE(F36:AJ36)</f>
        <v>8.4285714285714288</v>
      </c>
      <c r="D36" s="182">
        <v>0.375</v>
      </c>
      <c r="E36" t="s">
        <v>354</v>
      </c>
      <c r="F36" s="222">
        <f>COUNTIF(F4:F25,$D$36)</f>
        <v>13</v>
      </c>
      <c r="G36" s="219"/>
      <c r="H36" s="219"/>
      <c r="I36" s="219"/>
      <c r="J36" s="219"/>
      <c r="K36" s="222">
        <f>COUNTIF(K4:K25,$D$36)</f>
        <v>9</v>
      </c>
      <c r="L36" s="219"/>
      <c r="M36" s="219"/>
      <c r="N36" s="219"/>
      <c r="O36" s="219"/>
      <c r="P36" s="222">
        <f>COUNTIF(P4:P25,$D$36)</f>
        <v>8</v>
      </c>
      <c r="Q36" s="219"/>
      <c r="R36" s="219"/>
      <c r="S36" s="219"/>
      <c r="T36" s="219"/>
      <c r="U36" s="222">
        <f>COUNTIF(U4:U25,$D$36)</f>
        <v>9</v>
      </c>
      <c r="V36" s="219"/>
      <c r="W36" s="219"/>
      <c r="X36" s="219"/>
      <c r="Y36" s="219"/>
      <c r="Z36" s="222">
        <f>COUNTIF(Z4:Z25,$D$36)</f>
        <v>9</v>
      </c>
      <c r="AA36" s="219"/>
      <c r="AB36" s="219"/>
      <c r="AC36" s="219"/>
      <c r="AD36" s="219"/>
      <c r="AE36" s="222">
        <f>COUNTIF(AE4:AE25,$D$36)</f>
        <v>11</v>
      </c>
      <c r="AF36" s="219"/>
      <c r="AG36" s="219"/>
      <c r="AH36" s="219"/>
      <c r="AI36" s="219"/>
      <c r="AJ36" s="222">
        <f>COUNTIF(AJ4:AJ25,$D$36)</f>
        <v>0</v>
      </c>
    </row>
    <row r="37" spans="2:36" ht="14.25" hidden="1" customHeight="1" x14ac:dyDescent="0.25">
      <c r="B37" s="120">
        <f>AVERAGE(F37:AJ37)</f>
        <v>0</v>
      </c>
      <c r="F37" s="64">
        <f>F32+F33+F31</f>
        <v>0</v>
      </c>
      <c r="K37" s="64">
        <f>K32+K33+K31</f>
        <v>0</v>
      </c>
      <c r="P37" s="64">
        <f>P32+P33+P31</f>
        <v>0</v>
      </c>
      <c r="U37" s="64">
        <f>U32+U33+U31</f>
        <v>0</v>
      </c>
      <c r="Z37" s="64">
        <f>Z32+Z33+Z31</f>
        <v>0</v>
      </c>
      <c r="AE37" s="64">
        <f>AE32+AE33+AE31</f>
        <v>0</v>
      </c>
      <c r="AJ37" s="64">
        <f>AJ32+AJ33+AJ31</f>
        <v>0</v>
      </c>
    </row>
    <row r="38" spans="2:36" ht="14.25" hidden="1" customHeight="1" x14ac:dyDescent="0.25">
      <c r="B38" s="120">
        <f>AVERAGE(F38:AJ38)</f>
        <v>0</v>
      </c>
      <c r="F38" s="65">
        <f>F34</f>
        <v>0</v>
      </c>
      <c r="K38" s="65">
        <f>K34</f>
        <v>0</v>
      </c>
      <c r="P38" s="65">
        <f>P34</f>
        <v>0</v>
      </c>
      <c r="U38" s="65">
        <f>U34</f>
        <v>0</v>
      </c>
      <c r="Z38" s="65">
        <f>Z34</f>
        <v>0</v>
      </c>
      <c r="AE38" s="65">
        <f>AE34</f>
        <v>0</v>
      </c>
      <c r="AJ38" s="65">
        <f>AJ34</f>
        <v>0</v>
      </c>
    </row>
    <row r="39" spans="2:36" ht="14.25" customHeight="1" x14ac:dyDescent="0.25"/>
    <row r="40" spans="2:36" ht="14.25" customHeight="1" x14ac:dyDescent="0.25">
      <c r="B40" s="535" t="s">
        <v>395</v>
      </c>
      <c r="E40" s="62">
        <v>0.45833333333333331</v>
      </c>
      <c r="F40" s="60">
        <f>COUNTIF(G4:G25,$E$40)</f>
        <v>3</v>
      </c>
      <c r="K40" s="60">
        <f>COUNTIF(L4:L25,$E$40)</f>
        <v>2</v>
      </c>
      <c r="P40" s="60">
        <f>COUNTIF(Q4:Q25,$E$40)</f>
        <v>1</v>
      </c>
      <c r="U40" s="60">
        <f>COUNTIF(V4:V25,$E$40)</f>
        <v>5</v>
      </c>
      <c r="Z40" s="60">
        <f>COUNTIF(AA4:AA25,$E$40)</f>
        <v>4</v>
      </c>
      <c r="AE40" s="60">
        <f>COUNTIF(AF4:AF25,$E$40)</f>
        <v>0</v>
      </c>
      <c r="AJ40" s="60">
        <f>COUNTIF(AK4:AK25,$E$40)</f>
        <v>0</v>
      </c>
    </row>
    <row r="41" spans="2:36" ht="14.25" customHeight="1" x14ac:dyDescent="0.25">
      <c r="B41" s="535"/>
      <c r="E41" s="62">
        <v>0.5</v>
      </c>
      <c r="F41" s="60">
        <f>COUNTIF(G4:G25,$E$41)</f>
        <v>3</v>
      </c>
      <c r="K41" s="60">
        <f>COUNTIF(L4:L25,$E$41)</f>
        <v>1</v>
      </c>
      <c r="P41" s="60">
        <f>COUNTIF(Q4:Q25,$E$41)</f>
        <v>0</v>
      </c>
      <c r="U41" s="60">
        <f>COUNTIF(V4:V25,$E$41)</f>
        <v>2</v>
      </c>
      <c r="Z41" s="60">
        <f>COUNTIF(AA4:AA25,$E$41)</f>
        <v>2</v>
      </c>
      <c r="AE41" s="60">
        <f>COUNTIF(AF4:AF25,$E$41)</f>
        <v>4</v>
      </c>
      <c r="AJ41" s="60">
        <f>COUNTIF(AK4:AK25,$E$41)</f>
        <v>0</v>
      </c>
    </row>
    <row r="42" spans="2:36" x14ac:dyDescent="0.25">
      <c r="E42" s="62">
        <v>0.54166666666666663</v>
      </c>
      <c r="F42" s="60">
        <f>COUNTIF(G4:G25,$E$42)</f>
        <v>4</v>
      </c>
      <c r="K42" s="60">
        <f>COUNTIF(L4:L25,$E$42)</f>
        <v>1</v>
      </c>
      <c r="P42" s="60">
        <f>COUNTIF(Q4:Q25,$E$42)</f>
        <v>2</v>
      </c>
      <c r="U42" s="60">
        <f>COUNTIF(V4:V25,$E$42)</f>
        <v>2</v>
      </c>
      <c r="Z42" s="60">
        <f>COUNTIF(AA4:AA25,$E$42)</f>
        <v>2</v>
      </c>
      <c r="AE42" s="60">
        <f>COUNTIF(AF4:AF25,$E$42)</f>
        <v>3</v>
      </c>
      <c r="AJ42" s="60">
        <f>COUNTIF(AK4:AK25,$E$42)</f>
        <v>0</v>
      </c>
    </row>
    <row r="43" spans="2:36" x14ac:dyDescent="0.25">
      <c r="E43" s="62">
        <v>0.58333333333333337</v>
      </c>
      <c r="F43" s="60">
        <f>COUNTIF(G4:G25,$E$43)</f>
        <v>3</v>
      </c>
      <c r="K43" s="60">
        <f>COUNTIF(L4:L25,$E$43)</f>
        <v>5</v>
      </c>
      <c r="P43" s="60">
        <f>COUNTIF(Q4:Q25,$E$43)</f>
        <v>5</v>
      </c>
      <c r="U43" s="60">
        <f>COUNTIF(V4:V25,$E$43)</f>
        <v>0</v>
      </c>
      <c r="Z43" s="60">
        <f>COUNTIF(AA4:AA25,$E$43)</f>
        <v>1</v>
      </c>
      <c r="AE43" s="60">
        <f>COUNTIF(AF4:AF25,$E$43)</f>
        <v>4</v>
      </c>
      <c r="AJ43" s="60">
        <f>COUNTIF(AK4:AK25,$E$43)</f>
        <v>0</v>
      </c>
    </row>
    <row r="48" spans="2:36" x14ac:dyDescent="0.25">
      <c r="E48" s="182">
        <v>0.375</v>
      </c>
      <c r="F48" s="181">
        <v>0.54166666666666663</v>
      </c>
      <c r="G48" s="181">
        <v>0.58333333333333337</v>
      </c>
      <c r="H48" s="96">
        <v>0.75</v>
      </c>
    </row>
    <row r="49" spans="5:8" x14ac:dyDescent="0.25">
      <c r="E49" s="182">
        <v>0.375</v>
      </c>
      <c r="F49" s="181">
        <v>0.45833333333333331</v>
      </c>
      <c r="G49" s="181">
        <v>0.5</v>
      </c>
      <c r="H49" s="96">
        <v>0.75</v>
      </c>
    </row>
    <row r="50" spans="5:8" x14ac:dyDescent="0.25">
      <c r="E50" s="182">
        <v>0.375</v>
      </c>
      <c r="F50" s="181">
        <v>0.45833333333333331</v>
      </c>
      <c r="G50" s="181">
        <v>0.5</v>
      </c>
      <c r="H50" s="96">
        <v>0.75</v>
      </c>
    </row>
    <row r="51" spans="5:8" x14ac:dyDescent="0.25">
      <c r="E51" s="182">
        <v>0.375</v>
      </c>
      <c r="F51" s="181">
        <v>0.54166666666666663</v>
      </c>
      <c r="G51" s="181">
        <v>0.58333333333333337</v>
      </c>
      <c r="H51" s="96">
        <v>0.75</v>
      </c>
    </row>
    <row r="52" spans="5:8" x14ac:dyDescent="0.25">
      <c r="E52" s="182">
        <v>0.375</v>
      </c>
      <c r="F52" s="181">
        <v>0.58333333333333337</v>
      </c>
      <c r="G52" s="181">
        <v>0.625</v>
      </c>
      <c r="H52" s="96">
        <v>0.75</v>
      </c>
    </row>
    <row r="53" spans="5:8" x14ac:dyDescent="0.25">
      <c r="E53" s="182" t="s">
        <v>165</v>
      </c>
      <c r="F53" s="182" t="s">
        <v>165</v>
      </c>
      <c r="G53" s="182" t="s">
        <v>165</v>
      </c>
      <c r="H53" s="182" t="s">
        <v>165</v>
      </c>
    </row>
    <row r="54" spans="5:8" x14ac:dyDescent="0.25">
      <c r="E54" s="182">
        <v>0.375</v>
      </c>
      <c r="F54" s="181">
        <v>0.45833333333333331</v>
      </c>
      <c r="G54" s="181">
        <v>0.5</v>
      </c>
      <c r="H54" s="96">
        <v>0.75</v>
      </c>
    </row>
    <row r="55" spans="5:8" x14ac:dyDescent="0.25">
      <c r="E55" s="182">
        <v>0.375</v>
      </c>
      <c r="F55" s="181">
        <v>0.45833333333333331</v>
      </c>
      <c r="G55" s="181">
        <v>0.5</v>
      </c>
      <c r="H55" s="96">
        <v>0.75</v>
      </c>
    </row>
    <row r="56" spans="5:8" x14ac:dyDescent="0.25">
      <c r="E56" s="182">
        <v>0.375</v>
      </c>
      <c r="F56" s="181">
        <v>0.5</v>
      </c>
      <c r="G56" s="181">
        <v>0.54166666666666663</v>
      </c>
      <c r="H56" s="96">
        <v>0.75</v>
      </c>
    </row>
    <row r="57" spans="5:8" x14ac:dyDescent="0.25">
      <c r="E57" s="182">
        <v>0.375</v>
      </c>
      <c r="F57" s="181">
        <v>0.54166666666666663</v>
      </c>
      <c r="G57" s="181">
        <v>0.58333333333333337</v>
      </c>
      <c r="H57" s="96">
        <v>0.75</v>
      </c>
    </row>
    <row r="58" spans="5:8" x14ac:dyDescent="0.25">
      <c r="E58" s="138">
        <v>0.375</v>
      </c>
      <c r="F58" s="180">
        <v>0.5</v>
      </c>
      <c r="G58" s="181">
        <v>0.54166666666666663</v>
      </c>
      <c r="H58" s="139">
        <v>0.75</v>
      </c>
    </row>
    <row r="59" spans="5:8" x14ac:dyDescent="0.25">
      <c r="E59" s="138">
        <v>0.375</v>
      </c>
      <c r="F59" s="180">
        <v>0.5</v>
      </c>
      <c r="G59" s="181">
        <v>0.54166666666666663</v>
      </c>
      <c r="H59" s="139">
        <v>0.75</v>
      </c>
    </row>
    <row r="60" spans="5:8" x14ac:dyDescent="0.25">
      <c r="E60" s="220">
        <v>0.625</v>
      </c>
      <c r="F60" s="341"/>
      <c r="G60" s="327"/>
      <c r="H60" s="100">
        <v>0.75</v>
      </c>
    </row>
    <row r="61" spans="5:8" x14ac:dyDescent="0.25">
      <c r="E61" s="138">
        <v>0.375</v>
      </c>
      <c r="F61" s="180">
        <v>0.54166666666666663</v>
      </c>
      <c r="G61" s="181">
        <v>0.58333333333333337</v>
      </c>
      <c r="H61" s="139">
        <v>0.75</v>
      </c>
    </row>
    <row r="62" spans="5:8" x14ac:dyDescent="0.25">
      <c r="E62" s="138">
        <v>0.375</v>
      </c>
      <c r="F62" s="180">
        <v>0.54166666666666663</v>
      </c>
      <c r="G62" s="181">
        <v>0.58333333333333337</v>
      </c>
      <c r="H62" s="139">
        <v>0.75</v>
      </c>
    </row>
    <row r="129" spans="4:12" x14ac:dyDescent="0.25">
      <c r="D129" s="1"/>
      <c r="E129" s="147" t="s">
        <v>348</v>
      </c>
      <c r="F129" s="171">
        <f>SUMIF($D4:$D121,$D$130,J4:J121)</f>
        <v>3.6666666666666661</v>
      </c>
      <c r="G129" s="171">
        <f>SUMIF($D4:$D121,$D$130,O4:O121)</f>
        <v>2.3333333333333335</v>
      </c>
      <c r="H129" s="171">
        <f>SUMIF($D4:$D121,$D$130,T4:T121)</f>
        <v>2</v>
      </c>
      <c r="I129" s="171">
        <f>SUMIF($D4:$D121,$D$130,Y4:Y121)</f>
        <v>2.6666666666666665</v>
      </c>
      <c r="J129" s="171">
        <f>SUMIF($D4:$D121,$D$130,AD4:AD121)</f>
        <v>2.6666666666666665</v>
      </c>
      <c r="K129" s="171">
        <f>SUMIF($D4:$D121,$D$130,AI4:AI121)</f>
        <v>3</v>
      </c>
      <c r="L129" s="171">
        <f>SUMIF($D4:$D121,$D$130,AN4:AN121)</f>
        <v>0</v>
      </c>
    </row>
    <row r="130" spans="4:12" x14ac:dyDescent="0.25">
      <c r="D130" s="190" t="s">
        <v>85</v>
      </c>
      <c r="E130" s="147" t="s">
        <v>15</v>
      </c>
      <c r="F130" s="35">
        <f>COUNTIFS(F4:F121,$E$130,$D4:$D121,$D$130)</f>
        <v>0</v>
      </c>
      <c r="G130" s="35">
        <f>COUNTIFS(K4:K121,$E$130,$D4:$D121,$D$130)</f>
        <v>2</v>
      </c>
      <c r="H130" s="35">
        <f>COUNTIFS(P4:P121,$E$130,$D4:$D121,$D$130)</f>
        <v>3</v>
      </c>
      <c r="I130" s="35">
        <f>COUNTIFS(U4:U121,$E$130,$D4:$D121,$D$130)</f>
        <v>1</v>
      </c>
      <c r="J130" s="35">
        <f>COUNTIFS(Z4:Z121,$E$130,$D4:$D121,$D$130)</f>
        <v>1</v>
      </c>
      <c r="K130" s="35">
        <f>COUNTIFS(AE4:AE121,$E$130,$D4:$D121,$D$130)</f>
        <v>2</v>
      </c>
      <c r="L130" s="35">
        <f>COUNTIFS(AJ4:AJ121,$E$130,$D4:$D121,$D$130)</f>
        <v>11</v>
      </c>
    </row>
    <row r="131" spans="4:12" x14ac:dyDescent="0.25">
      <c r="D131" s="1"/>
      <c r="E131" s="147" t="s">
        <v>349</v>
      </c>
      <c r="F131" s="35">
        <f>COUNTIF(D4:D121,$D$130)</f>
        <v>12</v>
      </c>
      <c r="G131" s="35">
        <f t="shared" ref="G131:L131" si="16">F131</f>
        <v>12</v>
      </c>
      <c r="H131" s="35">
        <f t="shared" si="16"/>
        <v>12</v>
      </c>
      <c r="I131" s="35">
        <f t="shared" si="16"/>
        <v>12</v>
      </c>
      <c r="J131" s="35">
        <f t="shared" si="16"/>
        <v>12</v>
      </c>
      <c r="K131" s="35">
        <f t="shared" si="16"/>
        <v>12</v>
      </c>
      <c r="L131" s="35">
        <f t="shared" si="16"/>
        <v>12</v>
      </c>
    </row>
    <row r="132" spans="4:12" x14ac:dyDescent="0.25">
      <c r="D132" s="1"/>
      <c r="E132" s="147" t="s">
        <v>159</v>
      </c>
      <c r="F132" s="35">
        <f t="shared" ref="F132:F138" si="17">COUNTIFS(F$4:F$121,$E132,$D$4:$D$121,$D$130)</f>
        <v>1</v>
      </c>
      <c r="G132" s="35">
        <f t="shared" ref="G132:G138" si="18">COUNTIFS(K$4:K$121,$E132,$D$4:$D$121,$D$130)</f>
        <v>1</v>
      </c>
      <c r="H132" s="35">
        <f t="shared" ref="H132:H138" si="19">COUNTIFS(P$4:P$121,$E132,$D$4:$D$121,$D$130)</f>
        <v>1</v>
      </c>
      <c r="I132" s="35">
        <f>COUNTIFS(U4:U121,$E$132,$D4:$D121,$D$130)</f>
        <v>1</v>
      </c>
      <c r="J132" s="35">
        <f t="shared" ref="J132:J138" si="20">COUNTIFS(Z$4:Z$121,$E132,$D$4:$D$121,$D$130)</f>
        <v>1</v>
      </c>
      <c r="K132" s="35">
        <f t="shared" ref="K132:K138" si="21">COUNTIFS(AE$4:AE$121,$E132,$D$4:$D$121,$D$130)</f>
        <v>1</v>
      </c>
      <c r="L132" s="35">
        <f t="shared" ref="L132:L138" si="22">COUNTIFS(AJ$4:AJ$121,$E132,$D$4:$D$121,$D$130)</f>
        <v>1</v>
      </c>
    </row>
    <row r="133" spans="4:12" x14ac:dyDescent="0.25">
      <c r="D133" s="1"/>
      <c r="E133" s="147" t="s">
        <v>156</v>
      </c>
      <c r="F133" s="35">
        <f t="shared" si="17"/>
        <v>0</v>
      </c>
      <c r="G133" s="35">
        <f t="shared" si="18"/>
        <v>0</v>
      </c>
      <c r="H133" s="35">
        <f t="shared" si="19"/>
        <v>0</v>
      </c>
      <c r="I133" s="35" t="e">
        <f>COUNTIFS(U$4:U$121,$E$133,$D4:$D122,$D$130)</f>
        <v>#VALUE!</v>
      </c>
      <c r="J133" s="35">
        <f t="shared" si="20"/>
        <v>0</v>
      </c>
      <c r="K133" s="35">
        <f t="shared" si="21"/>
        <v>0</v>
      </c>
      <c r="L133" s="35">
        <f t="shared" si="22"/>
        <v>0</v>
      </c>
    </row>
    <row r="134" spans="4:12" x14ac:dyDescent="0.25">
      <c r="D134" s="1"/>
      <c r="E134" s="147" t="s">
        <v>85</v>
      </c>
      <c r="F134" s="35">
        <f t="shared" si="17"/>
        <v>0</v>
      </c>
      <c r="G134" s="35">
        <f t="shared" si="18"/>
        <v>0</v>
      </c>
      <c r="H134" s="35">
        <f t="shared" si="19"/>
        <v>0</v>
      </c>
      <c r="I134" s="35" t="e">
        <f>COUNTIFS(U$4:U$121,$E$134,$D4:$D123,$D$130)</f>
        <v>#VALUE!</v>
      </c>
      <c r="J134" s="35">
        <f t="shared" si="20"/>
        <v>0</v>
      </c>
      <c r="K134" s="35">
        <f t="shared" si="21"/>
        <v>0</v>
      </c>
      <c r="L134" s="35">
        <f t="shared" si="22"/>
        <v>0</v>
      </c>
    </row>
    <row r="135" spans="4:12" x14ac:dyDescent="0.25">
      <c r="D135" s="1"/>
      <c r="E135" s="147" t="s">
        <v>343</v>
      </c>
      <c r="F135" s="35">
        <f t="shared" si="17"/>
        <v>0</v>
      </c>
      <c r="G135" s="35">
        <f t="shared" si="18"/>
        <v>0</v>
      </c>
      <c r="H135" s="35">
        <f t="shared" si="19"/>
        <v>0</v>
      </c>
      <c r="I135" s="35">
        <f>COUNTIFS(U$4:U$121,$E$135,$D$4:$D$121,$D$130)</f>
        <v>0</v>
      </c>
      <c r="J135" s="35">
        <f t="shared" si="20"/>
        <v>0</v>
      </c>
      <c r="K135" s="35">
        <f t="shared" si="21"/>
        <v>0</v>
      </c>
      <c r="L135" s="35">
        <f t="shared" si="22"/>
        <v>0</v>
      </c>
    </row>
    <row r="136" spans="4:12" x14ac:dyDescent="0.25">
      <c r="D136" s="1"/>
      <c r="E136" s="147" t="s">
        <v>344</v>
      </c>
      <c r="F136" s="35">
        <f t="shared" si="17"/>
        <v>0</v>
      </c>
      <c r="G136" s="35">
        <f t="shared" si="18"/>
        <v>0</v>
      </c>
      <c r="H136" s="35">
        <f t="shared" si="19"/>
        <v>0</v>
      </c>
      <c r="I136" s="35">
        <f>COUNTIFS(U$4:U$121,$E136,$D$4:$D$121,$D$130)</f>
        <v>0</v>
      </c>
      <c r="J136" s="35">
        <f t="shared" si="20"/>
        <v>0</v>
      </c>
      <c r="K136" s="35">
        <f t="shared" si="21"/>
        <v>0</v>
      </c>
      <c r="L136" s="35">
        <f t="shared" si="22"/>
        <v>0</v>
      </c>
    </row>
    <row r="137" spans="4:12" x14ac:dyDescent="0.25">
      <c r="D137" s="1"/>
      <c r="E137" s="147" t="s">
        <v>325</v>
      </c>
      <c r="F137" s="35">
        <f t="shared" si="17"/>
        <v>0</v>
      </c>
      <c r="G137" s="35">
        <f t="shared" si="18"/>
        <v>0</v>
      </c>
      <c r="H137" s="35">
        <f t="shared" si="19"/>
        <v>0</v>
      </c>
      <c r="I137" s="35">
        <f>COUNTIFS(U$4:U$121,$E137,$D$4:$D$121,$D$130)</f>
        <v>0</v>
      </c>
      <c r="J137" s="35">
        <f t="shared" si="20"/>
        <v>0</v>
      </c>
      <c r="K137" s="35">
        <f t="shared" si="21"/>
        <v>0</v>
      </c>
      <c r="L137" s="35">
        <f t="shared" si="22"/>
        <v>0</v>
      </c>
    </row>
    <row r="138" spans="4:12" x14ac:dyDescent="0.25">
      <c r="D138" s="1"/>
      <c r="E138" s="147" t="s">
        <v>165</v>
      </c>
      <c r="F138" s="35">
        <f t="shared" si="17"/>
        <v>0</v>
      </c>
      <c r="G138" s="35">
        <f t="shared" si="18"/>
        <v>0</v>
      </c>
      <c r="H138" s="35">
        <f t="shared" si="19"/>
        <v>0</v>
      </c>
      <c r="I138" s="35">
        <f>COUNTIFS(U$4:U$121,$E138,$D$4:$D$121,$D$130)</f>
        <v>0</v>
      </c>
      <c r="J138" s="35">
        <f t="shared" si="20"/>
        <v>0</v>
      </c>
      <c r="K138" s="35">
        <f t="shared" si="21"/>
        <v>0</v>
      </c>
      <c r="L138" s="35">
        <f t="shared" si="22"/>
        <v>0</v>
      </c>
    </row>
    <row r="139" spans="4:12" x14ac:dyDescent="0.25">
      <c r="D139" s="1"/>
      <c r="E139" s="1"/>
      <c r="F139" s="1"/>
      <c r="G139" s="1"/>
      <c r="H139" s="1"/>
      <c r="I139" s="1"/>
      <c r="J139" s="1"/>
      <c r="K139" s="1"/>
      <c r="L139" s="1"/>
    </row>
    <row r="140" spans="4:12" x14ac:dyDescent="0.25">
      <c r="D140" s="1"/>
      <c r="E140" s="110" t="s">
        <v>350</v>
      </c>
      <c r="F140" s="35">
        <f>F134+F137+F133</f>
        <v>0</v>
      </c>
      <c r="G140" s="35">
        <f t="shared" ref="G140:L140" si="23">G134+G137+G133</f>
        <v>0</v>
      </c>
      <c r="H140" s="35">
        <f t="shared" si="23"/>
        <v>0</v>
      </c>
      <c r="I140" s="35" t="e">
        <f t="shared" si="23"/>
        <v>#VALUE!</v>
      </c>
      <c r="J140" s="35">
        <f t="shared" si="23"/>
        <v>0</v>
      </c>
      <c r="K140" s="35">
        <f t="shared" si="23"/>
        <v>0</v>
      </c>
      <c r="L140" s="35">
        <f t="shared" si="23"/>
        <v>0</v>
      </c>
    </row>
  </sheetData>
  <autoFilter ref="A3:BR28" xr:uid="{00000000-0009-0000-0000-000008000000}">
    <sortState xmlns:xlrd2="http://schemas.microsoft.com/office/spreadsheetml/2017/richdata2" ref="A4:AO28">
      <sortCondition ref="E3:E28"/>
    </sortState>
  </autoFilter>
  <mergeCells count="8">
    <mergeCell ref="B40:B41"/>
    <mergeCell ref="AE1:AI1"/>
    <mergeCell ref="AJ1:AN1"/>
    <mergeCell ref="F1:J1"/>
    <mergeCell ref="K1:O1"/>
    <mergeCell ref="P1:T1"/>
    <mergeCell ref="U1:Y1"/>
    <mergeCell ref="Z1:AD1"/>
  </mergeCells>
  <phoneticPr fontId="17" type="noConversion"/>
  <conditionalFormatting sqref="E48:H60">
    <cfRule type="containsText" dxfId="219" priority="69" operator="containsText" text="Alerte">
      <formula>NOT(ISERROR(SEARCH("Alerte",E48)))</formula>
    </cfRule>
  </conditionalFormatting>
  <conditionalFormatting sqref="E61:H61">
    <cfRule type="containsText" dxfId="218" priority="68" operator="containsText" text="Alerte">
      <formula>NOT(ISERROR(SEARCH("Alerte",E66)))</formula>
    </cfRule>
  </conditionalFormatting>
  <conditionalFormatting sqref="E62:H62">
    <cfRule type="containsText" dxfId="217" priority="67" operator="containsText" text="Alerte">
      <formula>NOT(ISERROR(SEARCH("Alerte",E68)))</formula>
    </cfRule>
  </conditionalFormatting>
  <conditionalFormatting sqref="F48:G50">
    <cfRule type="containsText" dxfId="216" priority="66" operator="containsText" text="Alerte">
      <formula>NOT(ISERROR(SEARCH("Alerte",F48)))</formula>
    </cfRule>
  </conditionalFormatting>
  <conditionalFormatting sqref="F53:G53">
    <cfRule type="containsText" dxfId="215" priority="64" operator="containsText" text="Alerte">
      <formula>NOT(ISERROR(SEARCH("Alerte",F53)))</formula>
    </cfRule>
  </conditionalFormatting>
  <conditionalFormatting sqref="F58:G59">
    <cfRule type="containsText" dxfId="214" priority="65" operator="containsText" text="Alerte">
      <formula>NOT(ISERROR(SEARCH("Alerte",F58)))</formula>
    </cfRule>
  </conditionalFormatting>
  <conditionalFormatting sqref="F4:I16">
    <cfRule type="containsText" dxfId="213" priority="15" operator="containsText" text="Alerte">
      <formula>NOT(ISERROR(SEARCH("Alerte",F4)))</formula>
    </cfRule>
  </conditionalFormatting>
  <conditionalFormatting sqref="F17:I17 P17:S17 U17:X17 Z17:AC17">
    <cfRule type="containsText" dxfId="212" priority="33" operator="containsText" text="Alerte">
      <formula>NOT(ISERROR(SEARCH("Alerte",F22)))</formula>
    </cfRule>
  </conditionalFormatting>
  <conditionalFormatting sqref="F18:I18 K18:N18 P18:S18 U18:X18 Z18:AC18">
    <cfRule type="containsText" dxfId="211" priority="32" operator="containsText" text="Alerte">
      <formula>NOT(ISERROR(SEARCH("Alerte",F24)))</formula>
    </cfRule>
  </conditionalFormatting>
  <conditionalFormatting sqref="F19:I25 K19:N25 P19:S25 U19:X25 Z19:AC25 AE19:AH25">
    <cfRule type="containsText" dxfId="210" priority="120" operator="containsText" text="Alerte">
      <formula>NOT(ISERROR(SEARCH("Alerte",F19)))</formula>
    </cfRule>
  </conditionalFormatting>
  <conditionalFormatting sqref="G4:H15">
    <cfRule type="containsText" dxfId="209" priority="27" operator="containsText" text="Alerte">
      <formula>NOT(ISERROR(SEARCH("Alerte",G4)))</formula>
    </cfRule>
  </conditionalFormatting>
  <conditionalFormatting sqref="J4:J25 O4:O25 T4:T25 Y4:Y25 AD4:AD25 AI4:AI25 AN4:AN25">
    <cfRule type="cellIs" dxfId="208" priority="29" operator="lessThan">
      <formula>0.333333333333333</formula>
    </cfRule>
    <cfRule type="cellIs" dxfId="207" priority="30" operator="greaterThan">
      <formula>0.333333333333333</formula>
    </cfRule>
  </conditionalFormatting>
  <conditionalFormatting sqref="K4:N16">
    <cfRule type="containsText" dxfId="206" priority="11" operator="containsText" text="Alerte">
      <formula>NOT(ISERROR(SEARCH("Alerte",K4)))</formula>
    </cfRule>
  </conditionalFormatting>
  <conditionalFormatting sqref="K17:N17">
    <cfRule type="containsText" dxfId="205" priority="31" operator="containsText" text="Alerte">
      <formula>NOT(ISERROR(SEARCH("Alerte",K22)))</formula>
    </cfRule>
  </conditionalFormatting>
  <conditionalFormatting sqref="L4:M15">
    <cfRule type="containsText" dxfId="204" priority="12" operator="containsText" text="Alerte">
      <formula>NOT(ISERROR(SEARCH("Alerte",L4)))</formula>
    </cfRule>
  </conditionalFormatting>
  <conditionalFormatting sqref="P4:S16">
    <cfRule type="containsText" dxfId="203" priority="9" operator="containsText" text="Alerte">
      <formula>NOT(ISERROR(SEARCH("Alerte",P4)))</formula>
    </cfRule>
  </conditionalFormatting>
  <conditionalFormatting sqref="Q4:R15">
    <cfRule type="containsText" dxfId="202" priority="10" operator="containsText" text="Alerte">
      <formula>NOT(ISERROR(SEARCH("Alerte",Q4)))</formula>
    </cfRule>
  </conditionalFormatting>
  <conditionalFormatting sqref="U4:X16">
    <cfRule type="containsText" dxfId="201" priority="7" operator="containsText" text="Alerte">
      <formula>NOT(ISERROR(SEARCH("Alerte",U4)))</formula>
    </cfRule>
  </conditionalFormatting>
  <conditionalFormatting sqref="V4:W15">
    <cfRule type="containsText" dxfId="200" priority="8" operator="containsText" text="Alerte">
      <formula>NOT(ISERROR(SEARCH("Alerte",V4)))</formula>
    </cfRule>
  </conditionalFormatting>
  <conditionalFormatting sqref="Z4:AC16">
    <cfRule type="containsText" dxfId="199" priority="5" operator="containsText" text="Alerte">
      <formula>NOT(ISERROR(SEARCH("Alerte",Z4)))</formula>
    </cfRule>
  </conditionalFormatting>
  <conditionalFormatting sqref="AA4:AB15">
    <cfRule type="containsText" dxfId="198" priority="6" operator="containsText" text="Alerte">
      <formula>NOT(ISERROR(SEARCH("Alerte",AA4)))</formula>
    </cfRule>
  </conditionalFormatting>
  <conditionalFormatting sqref="AE4:AH16">
    <cfRule type="containsText" dxfId="197" priority="3" operator="containsText" text="Alerte">
      <formula>NOT(ISERROR(SEARCH("Alerte",AE4)))</formula>
    </cfRule>
  </conditionalFormatting>
  <conditionalFormatting sqref="AE17:AH17">
    <cfRule type="containsText" dxfId="196" priority="20" operator="containsText" text="Alerte">
      <formula>NOT(ISERROR(SEARCH("Alerte",AE22)))</formula>
    </cfRule>
  </conditionalFormatting>
  <conditionalFormatting sqref="AE18:AH18">
    <cfRule type="containsText" dxfId="195" priority="19" operator="containsText" text="Alerte">
      <formula>NOT(ISERROR(SEARCH("Alerte",AE24)))</formula>
    </cfRule>
  </conditionalFormatting>
  <conditionalFormatting sqref="AF4:AG7">
    <cfRule type="containsText" dxfId="194" priority="18" operator="containsText" text="Alerte">
      <formula>NOT(ISERROR(SEARCH("Alerte",AF4)))</formula>
    </cfRule>
  </conditionalFormatting>
  <conditionalFormatting sqref="AF9:AG12">
    <cfRule type="containsText" dxfId="193" priority="4" operator="containsText" text="Alerte">
      <formula>NOT(ISERROR(SEARCH("Alerte",AF9)))</formula>
    </cfRule>
  </conditionalFormatting>
  <conditionalFormatting sqref="AF14:AG15">
    <cfRule type="containsText" dxfId="192" priority="17" operator="containsText" text="Alerte">
      <formula>NOT(ISERROR(SEARCH("Alerte",AF14)))</formula>
    </cfRule>
  </conditionalFormatting>
  <conditionalFormatting sqref="AJ9:AM9">
    <cfRule type="containsText" dxfId="191" priority="1" operator="containsText" text="Alerte">
      <formula>NOT(ISERROR(SEARCH("Alerte",AJ9)))</formula>
    </cfRule>
  </conditionalFormatting>
  <conditionalFormatting sqref="AJ19:AM25">
    <cfRule type="containsText" dxfId="190" priority="121" operator="containsText" text="Alerte">
      <formula>NOT(ISERROR(SEARCH("Alerte",AJ19)))</formula>
    </cfRule>
  </conditionalFormatting>
  <conditionalFormatting sqref="AO4:AO26">
    <cfRule type="cellIs" dxfId="189" priority="105" operator="lessThan">
      <formula>1.66666666666667</formula>
    </cfRule>
    <cfRule type="cellIs" dxfId="188" priority="106" operator="greaterThan">
      <formula>1.66666666666667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>
    <tabColor rgb="FF002060"/>
  </sheetPr>
  <dimension ref="A1:BT159"/>
  <sheetViews>
    <sheetView topLeftCell="B1" zoomScale="80" zoomScaleNormal="80" workbookViewId="0">
      <pane xSplit="3" topLeftCell="E1" activePane="topRight" state="frozen"/>
      <selection activeCell="B1" sqref="B1"/>
      <selection pane="topRight" activeCell="F1" sqref="F1:J1"/>
    </sheetView>
  </sheetViews>
  <sheetFormatPr baseColWidth="10" defaultRowHeight="14.25" customHeight="1" x14ac:dyDescent="0.25"/>
  <cols>
    <col min="1" max="1" width="7.7109375" hidden="1" customWidth="1"/>
    <col min="2" max="2" width="22.140625" bestFit="1" customWidth="1"/>
    <col min="3" max="3" width="7" customWidth="1"/>
    <col min="4" max="4" width="11.5703125" hidden="1" customWidth="1"/>
    <col min="5" max="5" width="13.140625" bestFit="1" customWidth="1"/>
    <col min="6" max="6" width="9.5703125" customWidth="1"/>
    <col min="7" max="7" width="6.42578125" bestFit="1" customWidth="1"/>
    <col min="8" max="8" width="8.7109375" bestFit="1" customWidth="1"/>
    <col min="9" max="9" width="6" bestFit="1" customWidth="1"/>
    <col min="10" max="10" width="11.5703125" bestFit="1" customWidth="1"/>
    <col min="11" max="11" width="9.7109375" customWidth="1"/>
    <col min="12" max="12" width="6.42578125" bestFit="1" customWidth="1"/>
    <col min="13" max="13" width="8.7109375" bestFit="1" customWidth="1"/>
    <col min="14" max="14" width="10.140625" bestFit="1" customWidth="1"/>
    <col min="15" max="15" width="11.5703125" bestFit="1" customWidth="1"/>
    <col min="16" max="16" width="9.42578125" customWidth="1"/>
    <col min="17" max="17" width="6.42578125" bestFit="1" customWidth="1"/>
    <col min="18" max="18" width="8.7109375" bestFit="1" customWidth="1"/>
    <col min="19" max="19" width="10.140625" bestFit="1" customWidth="1"/>
    <col min="20" max="20" width="11.5703125" bestFit="1" customWidth="1"/>
    <col min="21" max="21" width="9.42578125" customWidth="1"/>
    <col min="22" max="22" width="6.42578125" bestFit="1" customWidth="1"/>
    <col min="23" max="23" width="8.7109375" bestFit="1" customWidth="1"/>
    <col min="24" max="24" width="10.140625" bestFit="1" customWidth="1"/>
    <col min="25" max="25" width="11.5703125" bestFit="1" customWidth="1"/>
    <col min="26" max="26" width="9.7109375" customWidth="1"/>
    <col min="27" max="27" width="6.42578125" bestFit="1" customWidth="1"/>
    <col min="28" max="28" width="8.7109375" bestFit="1" customWidth="1"/>
    <col min="29" max="29" width="10.140625" bestFit="1" customWidth="1"/>
    <col min="30" max="30" width="11.5703125" bestFit="1" customWidth="1"/>
    <col min="31" max="31" width="9.42578125" customWidth="1"/>
    <col min="32" max="32" width="6.42578125" bestFit="1" customWidth="1"/>
    <col min="33" max="33" width="8.7109375" bestFit="1" customWidth="1"/>
    <col min="34" max="34" width="10.140625" bestFit="1" customWidth="1"/>
    <col min="35" max="35" width="11.5703125" bestFit="1" customWidth="1"/>
    <col min="36" max="36" width="9.5703125" customWidth="1"/>
    <col min="37" max="37" width="6.42578125" bestFit="1" customWidth="1"/>
    <col min="38" max="38" width="8.7109375" bestFit="1" customWidth="1"/>
    <col min="39" max="39" width="10.140625" bestFit="1" customWidth="1"/>
    <col min="40" max="40" width="11.5703125" bestFit="1" customWidth="1"/>
    <col min="41" max="41" width="11.5703125" customWidth="1"/>
  </cols>
  <sheetData>
    <row r="1" spans="1:72" s="4" customFormat="1" ht="17.25" customHeight="1" thickBot="1" x14ac:dyDescent="0.25">
      <c r="B1" s="51" t="str">
        <f>"S"&amp;_xlfn.ISOWEEKNUM(F1)</f>
        <v>S20</v>
      </c>
      <c r="C1" s="1"/>
      <c r="D1" s="1"/>
      <c r="E1" s="1"/>
      <c r="F1" s="529">
        <f>'S&amp;E'!H3</f>
        <v>46153</v>
      </c>
      <c r="G1" s="530"/>
      <c r="H1" s="530"/>
      <c r="I1" s="530"/>
      <c r="J1" s="531"/>
      <c r="K1" s="532">
        <f>F1+1</f>
        <v>46154</v>
      </c>
      <c r="L1" s="533"/>
      <c r="M1" s="533"/>
      <c r="N1" s="533"/>
      <c r="O1" s="534"/>
      <c r="P1" s="532">
        <f>K1+1</f>
        <v>46155</v>
      </c>
      <c r="Q1" s="533"/>
      <c r="R1" s="533"/>
      <c r="S1" s="533"/>
      <c r="T1" s="534"/>
      <c r="U1" s="532">
        <f>P1+1</f>
        <v>46156</v>
      </c>
      <c r="V1" s="533"/>
      <c r="W1" s="533"/>
      <c r="X1" s="533"/>
      <c r="Y1" s="534"/>
      <c r="Z1" s="532">
        <f>U1+1</f>
        <v>46157</v>
      </c>
      <c r="AA1" s="533"/>
      <c r="AB1" s="533"/>
      <c r="AC1" s="533"/>
      <c r="AD1" s="534"/>
      <c r="AE1" s="526">
        <f>Z1+1</f>
        <v>46158</v>
      </c>
      <c r="AF1" s="527"/>
      <c r="AG1" s="527"/>
      <c r="AH1" s="527"/>
      <c r="AI1" s="528"/>
      <c r="AJ1" s="526">
        <f>AE1+1</f>
        <v>46159</v>
      </c>
      <c r="AK1" s="527"/>
      <c r="AL1" s="527"/>
      <c r="AM1" s="527"/>
      <c r="AN1" s="528"/>
      <c r="AO1" s="2">
        <v>1.6666666666666665</v>
      </c>
      <c r="AP1" s="3">
        <f>AO2/AO1</f>
        <v>5</v>
      </c>
      <c r="BT1" s="4" t="s">
        <v>0</v>
      </c>
    </row>
    <row r="2" spans="1:72" s="1" customFormat="1" ht="14.25" customHeight="1" thickTop="1" thickBot="1" x14ac:dyDescent="0.25">
      <c r="F2" s="5" t="s">
        <v>1</v>
      </c>
      <c r="G2" s="6">
        <f>J2/"8:00:00"</f>
        <v>20.999999999999996</v>
      </c>
      <c r="H2" s="7">
        <f>J2/$AO$2</f>
        <v>0.83999999999999986</v>
      </c>
      <c r="I2" s="8" t="s">
        <v>0</v>
      </c>
      <c r="J2" s="9">
        <f>SUM(J4:J33)</f>
        <v>6.9999999999999982</v>
      </c>
      <c r="K2" s="5" t="s">
        <v>1</v>
      </c>
      <c r="L2" s="6">
        <f>O2/"8:00:00"</f>
        <v>23.374999999999993</v>
      </c>
      <c r="M2" s="7">
        <f>O2/$AO$2</f>
        <v>0.93499999999999972</v>
      </c>
      <c r="N2" s="8" t="s">
        <v>2</v>
      </c>
      <c r="O2" s="9">
        <f>SUM(O4:O33)</f>
        <v>7.7916666666666634</v>
      </c>
      <c r="P2" s="5" t="s">
        <v>1</v>
      </c>
      <c r="Q2" s="6">
        <f>T2/"8:00:00"</f>
        <v>20.374999999999993</v>
      </c>
      <c r="R2" s="7">
        <f>T2/$AO$2</f>
        <v>0.81499999999999984</v>
      </c>
      <c r="S2" s="8" t="s">
        <v>2</v>
      </c>
      <c r="T2" s="9">
        <f>SUM(T4:T33)</f>
        <v>6.7916666666666643</v>
      </c>
      <c r="U2" s="5" t="s">
        <v>1</v>
      </c>
      <c r="V2" s="6">
        <f>Y2/"8:00:00"</f>
        <v>19.374999999999996</v>
      </c>
      <c r="W2" s="7">
        <f>Y2/$AO$2</f>
        <v>0.77499999999999991</v>
      </c>
      <c r="X2" s="8" t="s">
        <v>2</v>
      </c>
      <c r="Y2" s="9">
        <f>SUM(Y4:Y33)</f>
        <v>6.4583333333333313</v>
      </c>
      <c r="Z2" s="5" t="s">
        <v>1</v>
      </c>
      <c r="AA2" s="6">
        <f>AD2/"8:00:00"</f>
        <v>19.374999999999996</v>
      </c>
      <c r="AB2" s="7">
        <f>AD2/$AO$2</f>
        <v>0.77499999999999991</v>
      </c>
      <c r="AC2" s="8" t="s">
        <v>2</v>
      </c>
      <c r="AD2" s="9">
        <f>SUM(AD4:AD33)</f>
        <v>6.4583333333333313</v>
      </c>
      <c r="AE2" s="5" t="s">
        <v>1</v>
      </c>
      <c r="AF2" s="6">
        <f>AI2/"8:00:00"</f>
        <v>18.375</v>
      </c>
      <c r="AG2" s="7">
        <f>AI2/$AO$2</f>
        <v>0.73499999999999999</v>
      </c>
      <c r="AH2" s="8" t="s">
        <v>2</v>
      </c>
      <c r="AI2" s="9">
        <f>SUM(AI4:AI33)</f>
        <v>6.1249999999999991</v>
      </c>
      <c r="AJ2" s="5" t="s">
        <v>1</v>
      </c>
      <c r="AK2" s="6">
        <f>AN2/"8:00:00"</f>
        <v>19.999999999999993</v>
      </c>
      <c r="AL2" s="7">
        <f>AN2/$AO$2</f>
        <v>0.79999999999999982</v>
      </c>
      <c r="AM2" s="8" t="s">
        <v>2</v>
      </c>
      <c r="AN2" s="9">
        <f>SUM(AN4:AN33)</f>
        <v>6.6666666666666643</v>
      </c>
      <c r="AO2" s="9">
        <f>SUM(AO4:AO8)</f>
        <v>8.3333333333333321</v>
      </c>
      <c r="AP2" s="9" t="s">
        <v>3</v>
      </c>
      <c r="AQ2" s="10" t="s">
        <v>4</v>
      </c>
      <c r="AT2" s="11">
        <v>0.33333333333333331</v>
      </c>
      <c r="AW2" s="12">
        <v>1.6666666666666667</v>
      </c>
    </row>
    <row r="3" spans="1:72" s="26" customFormat="1" ht="14.25" customHeight="1" thickBot="1" x14ac:dyDescent="0.3">
      <c r="A3" s="13" t="s">
        <v>247</v>
      </c>
      <c r="B3" s="14" t="s">
        <v>6</v>
      </c>
      <c r="C3" s="15" t="s">
        <v>5</v>
      </c>
      <c r="D3" s="16" t="s">
        <v>364</v>
      </c>
      <c r="E3" s="16" t="s">
        <v>365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  <c r="AP3" s="24" t="s">
        <v>3</v>
      </c>
      <c r="AQ3" s="25"/>
      <c r="AR3" s="53" t="s">
        <v>14</v>
      </c>
      <c r="AS3" s="54"/>
      <c r="AT3" s="55"/>
    </row>
    <row r="4" spans="1:72" s="31" customFormat="1" ht="14.25" customHeight="1" x14ac:dyDescent="0.25">
      <c r="A4" s="105" t="s">
        <v>276</v>
      </c>
      <c r="B4" s="322" t="s">
        <v>361</v>
      </c>
      <c r="C4" s="105" t="s">
        <v>567</v>
      </c>
      <c r="D4" s="142" t="s">
        <v>363</v>
      </c>
      <c r="E4" s="300" t="s">
        <v>159</v>
      </c>
      <c r="F4" s="226">
        <v>0.375</v>
      </c>
      <c r="G4" s="180">
        <v>0.45833333333333331</v>
      </c>
      <c r="H4" s="181">
        <v>0.5</v>
      </c>
      <c r="I4" s="27">
        <v>0.75</v>
      </c>
      <c r="J4" s="337">
        <f t="shared" ref="J4:J16" si="0">IFERROR(MOD(I4-F4,1)-(H4-G4),"")</f>
        <v>0.33333333333333331</v>
      </c>
      <c r="K4" s="225">
        <v>0.375</v>
      </c>
      <c r="L4" s="180">
        <v>0.45833333333333331</v>
      </c>
      <c r="M4" s="180">
        <v>0.5</v>
      </c>
      <c r="N4" s="227">
        <v>0.75</v>
      </c>
      <c r="O4" s="337">
        <f t="shared" ref="O4:O16" si="1">IFERROR(MOD(N4-K4,1)-(M4-L4),"")</f>
        <v>0.33333333333333331</v>
      </c>
      <c r="P4" s="225">
        <v>0.375</v>
      </c>
      <c r="Q4" s="180">
        <v>0.45833333333333331</v>
      </c>
      <c r="R4" s="180">
        <v>0.5</v>
      </c>
      <c r="S4" s="227">
        <v>0.75</v>
      </c>
      <c r="T4" s="337">
        <f t="shared" ref="T4:T13" si="2">IFERROR(MOD(S4-P4,1)-(R4-Q4),"")</f>
        <v>0.33333333333333331</v>
      </c>
      <c r="U4" s="226">
        <v>0.375</v>
      </c>
      <c r="V4" s="180">
        <v>0.45833333333333331</v>
      </c>
      <c r="W4" s="181">
        <v>0.5</v>
      </c>
      <c r="X4" s="27">
        <v>0.75</v>
      </c>
      <c r="Y4" s="337">
        <f t="shared" ref="Y4:Y13" si="3">IFERROR(MOD(X4-U4,1)-(W4-V4),"")</f>
        <v>0.33333333333333331</v>
      </c>
      <c r="Z4" s="74" t="s">
        <v>15</v>
      </c>
      <c r="AA4" s="129" t="s">
        <v>15</v>
      </c>
      <c r="AB4" s="127" t="s">
        <v>15</v>
      </c>
      <c r="AC4" s="75" t="s">
        <v>15</v>
      </c>
      <c r="AD4" s="337" t="str">
        <f t="shared" ref="AD4:AD15" si="4">IFERROR(MOD(AC4-Z4,1)-(AB4-AA4),"")</f>
        <v/>
      </c>
      <c r="AE4" s="74" t="s">
        <v>15</v>
      </c>
      <c r="AF4" s="127" t="s">
        <v>15</v>
      </c>
      <c r="AG4" s="127" t="s">
        <v>15</v>
      </c>
      <c r="AH4" s="75" t="s">
        <v>15</v>
      </c>
      <c r="AI4" s="337" t="str">
        <f t="shared" ref="AI4:AI15" si="5">IFERROR(MOD(AH4-AE4,1)-(AG4-AF4),"")</f>
        <v/>
      </c>
      <c r="AJ4" s="226">
        <v>0.375</v>
      </c>
      <c r="AK4" s="180">
        <v>0.45833333333333331</v>
      </c>
      <c r="AL4" s="181">
        <v>0.5</v>
      </c>
      <c r="AM4" s="27">
        <v>0.75</v>
      </c>
      <c r="AN4" s="337">
        <f t="shared" ref="AN4:AN16" si="6">IFERROR(MOD(AM4-AJ4,1)-(AL4-AK4),"")</f>
        <v>0.33333333333333331</v>
      </c>
      <c r="AO4" s="28">
        <f t="shared" ref="AO4:AO33" si="7">SUM(J4,O4,T4,Y4,AD4,AI4,AN4)</f>
        <v>1.6666666666666665</v>
      </c>
      <c r="AP4" s="29"/>
      <c r="AQ4" s="30" t="str">
        <f>IF(AO4&gt;$AO$1, "Alerte Dépassement!!!","")</f>
        <v/>
      </c>
    </row>
    <row r="5" spans="1:72" s="31" customFormat="1" ht="14.25" customHeight="1" x14ac:dyDescent="0.25">
      <c r="A5" s="35"/>
      <c r="B5" s="322" t="s">
        <v>402</v>
      </c>
      <c r="C5" s="105" t="s">
        <v>567</v>
      </c>
      <c r="D5" s="142"/>
      <c r="E5" s="300" t="s">
        <v>79</v>
      </c>
      <c r="F5" s="74" t="s">
        <v>15</v>
      </c>
      <c r="G5" s="127" t="s">
        <v>15</v>
      </c>
      <c r="H5" s="127" t="s">
        <v>15</v>
      </c>
      <c r="I5" s="75" t="s">
        <v>15</v>
      </c>
      <c r="J5" s="337" t="str">
        <f t="shared" si="0"/>
        <v/>
      </c>
      <c r="K5" s="74" t="s">
        <v>15</v>
      </c>
      <c r="L5" s="127" t="s">
        <v>15</v>
      </c>
      <c r="M5" s="127" t="s">
        <v>15</v>
      </c>
      <c r="N5" s="75" t="s">
        <v>15</v>
      </c>
      <c r="O5" s="337" t="str">
        <f t="shared" si="1"/>
        <v/>
      </c>
      <c r="P5" s="225">
        <v>0.375</v>
      </c>
      <c r="Q5" s="180">
        <v>0.45833333333333331</v>
      </c>
      <c r="R5" s="180">
        <v>0.5</v>
      </c>
      <c r="S5" s="227">
        <v>0.75</v>
      </c>
      <c r="T5" s="337">
        <f t="shared" si="2"/>
        <v>0.33333333333333331</v>
      </c>
      <c r="U5" s="226">
        <v>0.375</v>
      </c>
      <c r="V5" s="180">
        <v>0.45833333333333331</v>
      </c>
      <c r="W5" s="181">
        <v>0.5</v>
      </c>
      <c r="X5" s="27">
        <v>0.75</v>
      </c>
      <c r="Y5" s="337">
        <f t="shared" si="3"/>
        <v>0.33333333333333331</v>
      </c>
      <c r="Z5" s="226">
        <v>0.375</v>
      </c>
      <c r="AA5" s="180">
        <v>0.45833333333333331</v>
      </c>
      <c r="AB5" s="181">
        <v>0.5</v>
      </c>
      <c r="AC5" s="27">
        <v>0.75</v>
      </c>
      <c r="AD5" s="337">
        <f t="shared" si="4"/>
        <v>0.33333333333333331</v>
      </c>
      <c r="AE5" s="226">
        <v>0.375</v>
      </c>
      <c r="AF5" s="180">
        <v>0.45833333333333331</v>
      </c>
      <c r="AG5" s="181">
        <v>0.5</v>
      </c>
      <c r="AH5" s="27">
        <v>0.75</v>
      </c>
      <c r="AI5" s="337">
        <f t="shared" si="5"/>
        <v>0.33333333333333331</v>
      </c>
      <c r="AJ5" s="226">
        <v>0.375</v>
      </c>
      <c r="AK5" s="180">
        <v>0.45833333333333331</v>
      </c>
      <c r="AL5" s="181">
        <v>0.5</v>
      </c>
      <c r="AM5" s="27">
        <v>0.75</v>
      </c>
      <c r="AN5" s="337">
        <f t="shared" si="6"/>
        <v>0.33333333333333331</v>
      </c>
      <c r="AO5" s="28">
        <f t="shared" si="7"/>
        <v>1.6666666666666665</v>
      </c>
      <c r="AP5" s="30"/>
      <c r="AQ5" s="30"/>
    </row>
    <row r="6" spans="1:72" s="31" customFormat="1" ht="14.25" customHeight="1" x14ac:dyDescent="0.25">
      <c r="A6" s="59" t="s">
        <v>282</v>
      </c>
      <c r="B6" s="322" t="s">
        <v>357</v>
      </c>
      <c r="C6" s="105" t="s">
        <v>567</v>
      </c>
      <c r="D6" s="142" t="s">
        <v>363</v>
      </c>
      <c r="E6" s="300" t="s">
        <v>347</v>
      </c>
      <c r="F6" s="74" t="s">
        <v>15</v>
      </c>
      <c r="G6" s="127" t="s">
        <v>15</v>
      </c>
      <c r="H6" s="127" t="s">
        <v>15</v>
      </c>
      <c r="I6" s="74" t="s">
        <v>15</v>
      </c>
      <c r="J6" s="337" t="str">
        <f t="shared" si="0"/>
        <v/>
      </c>
      <c r="K6" s="225">
        <v>0.375</v>
      </c>
      <c r="L6" s="180">
        <v>0.5</v>
      </c>
      <c r="M6" s="180">
        <v>0.54166666666666663</v>
      </c>
      <c r="N6" s="139">
        <v>0.75</v>
      </c>
      <c r="O6" s="337">
        <f t="shared" si="1"/>
        <v>0.33333333333333337</v>
      </c>
      <c r="P6" s="225">
        <v>0.375</v>
      </c>
      <c r="Q6" s="180">
        <v>0.5</v>
      </c>
      <c r="R6" s="180">
        <v>0.54166666666666696</v>
      </c>
      <c r="S6" s="227">
        <v>0.75</v>
      </c>
      <c r="T6" s="337">
        <f t="shared" si="2"/>
        <v>0.33333333333333304</v>
      </c>
      <c r="U6" s="138">
        <v>0.375</v>
      </c>
      <c r="V6" s="180">
        <v>0.45833333333333331</v>
      </c>
      <c r="W6" s="181">
        <v>0.5</v>
      </c>
      <c r="X6" s="139">
        <v>0.75</v>
      </c>
      <c r="Y6" s="337">
        <f t="shared" si="3"/>
        <v>0.33333333333333331</v>
      </c>
      <c r="Z6" s="138">
        <v>0.375</v>
      </c>
      <c r="AA6" s="180">
        <v>0.5</v>
      </c>
      <c r="AB6" s="181">
        <v>0.54166666666666696</v>
      </c>
      <c r="AC6" s="139">
        <v>0.75</v>
      </c>
      <c r="AD6" s="337">
        <f t="shared" si="4"/>
        <v>0.33333333333333304</v>
      </c>
      <c r="AE6" s="226">
        <v>0.375</v>
      </c>
      <c r="AF6" s="180">
        <v>0.45833333333333331</v>
      </c>
      <c r="AG6" s="181">
        <v>0.5</v>
      </c>
      <c r="AH6" s="27">
        <v>0.75</v>
      </c>
      <c r="AI6" s="337">
        <f t="shared" si="5"/>
        <v>0.33333333333333331</v>
      </c>
      <c r="AJ6" s="74" t="s">
        <v>15</v>
      </c>
      <c r="AK6" s="127" t="s">
        <v>15</v>
      </c>
      <c r="AL6" s="127" t="s">
        <v>15</v>
      </c>
      <c r="AM6" s="75" t="s">
        <v>15</v>
      </c>
      <c r="AN6" s="337" t="str">
        <f t="shared" si="6"/>
        <v/>
      </c>
      <c r="AO6" s="28">
        <f t="shared" si="7"/>
        <v>1.6666666666666661</v>
      </c>
      <c r="AP6" s="29"/>
      <c r="AQ6" s="30" t="str">
        <f t="shared" ref="AQ6:AQ8" si="8">IF(AO6&gt;$AO$1, "Alerte Dépassement!!!","")</f>
        <v/>
      </c>
      <c r="AR6" s="32"/>
    </row>
    <row r="7" spans="1:72" s="31" customFormat="1" ht="14.25" customHeight="1" x14ac:dyDescent="0.25">
      <c r="A7" s="59" t="s">
        <v>263</v>
      </c>
      <c r="B7" s="322" t="s">
        <v>358</v>
      </c>
      <c r="C7" s="105" t="s">
        <v>567</v>
      </c>
      <c r="D7" s="142" t="s">
        <v>363</v>
      </c>
      <c r="E7" s="300" t="s">
        <v>347</v>
      </c>
      <c r="F7" s="220">
        <v>0.375</v>
      </c>
      <c r="G7" s="180">
        <v>0.58333333333333337</v>
      </c>
      <c r="H7" s="181">
        <v>0.625</v>
      </c>
      <c r="I7" s="27">
        <v>0.75</v>
      </c>
      <c r="J7" s="337">
        <f t="shared" si="0"/>
        <v>0.33333333333333337</v>
      </c>
      <c r="K7" s="225">
        <v>0.375</v>
      </c>
      <c r="L7" s="180">
        <v>0.54166666666666663</v>
      </c>
      <c r="M7" s="180">
        <v>0.58333333333333337</v>
      </c>
      <c r="N7" s="139">
        <v>0.75</v>
      </c>
      <c r="O7" s="337">
        <f t="shared" si="1"/>
        <v>0.33333333333333326</v>
      </c>
      <c r="P7" s="224" t="s">
        <v>15</v>
      </c>
      <c r="Q7" s="127" t="s">
        <v>15</v>
      </c>
      <c r="R7" s="159" t="s">
        <v>15</v>
      </c>
      <c r="S7" s="74" t="s">
        <v>15</v>
      </c>
      <c r="T7" s="337" t="str">
        <f t="shared" si="2"/>
        <v/>
      </c>
      <c r="U7" s="224" t="s">
        <v>15</v>
      </c>
      <c r="V7" s="127" t="s">
        <v>15</v>
      </c>
      <c r="W7" s="159" t="s">
        <v>15</v>
      </c>
      <c r="X7" s="74" t="s">
        <v>15</v>
      </c>
      <c r="Y7" s="337" t="str">
        <f t="shared" si="3"/>
        <v/>
      </c>
      <c r="Z7" s="138">
        <v>0.375</v>
      </c>
      <c r="AA7" s="180">
        <v>0.5</v>
      </c>
      <c r="AB7" s="181">
        <v>0.54166666666666696</v>
      </c>
      <c r="AC7" s="139">
        <v>0.75</v>
      </c>
      <c r="AD7" s="337">
        <f t="shared" si="4"/>
        <v>0.33333333333333304</v>
      </c>
      <c r="AE7" s="138">
        <v>0.375</v>
      </c>
      <c r="AF7" s="180">
        <v>0.45833333333333331</v>
      </c>
      <c r="AG7" s="181">
        <v>0.5</v>
      </c>
      <c r="AH7" s="139">
        <v>0.75</v>
      </c>
      <c r="AI7" s="337">
        <f t="shared" si="5"/>
        <v>0.33333333333333331</v>
      </c>
      <c r="AJ7" s="226">
        <v>0.375</v>
      </c>
      <c r="AK7" s="180">
        <v>0.45833333333333331</v>
      </c>
      <c r="AL7" s="180">
        <v>0.5</v>
      </c>
      <c r="AM7" s="27">
        <v>0.75</v>
      </c>
      <c r="AN7" s="337">
        <f t="shared" si="6"/>
        <v>0.33333333333333331</v>
      </c>
      <c r="AO7" s="28">
        <f t="shared" si="7"/>
        <v>1.6666666666666663</v>
      </c>
      <c r="AQ7" s="30" t="str">
        <f t="shared" si="8"/>
        <v/>
      </c>
      <c r="AR7" s="34"/>
    </row>
    <row r="8" spans="1:72" s="31" customFormat="1" ht="15" customHeight="1" x14ac:dyDescent="0.25">
      <c r="A8" s="105" t="s">
        <v>290</v>
      </c>
      <c r="B8" s="322" t="s">
        <v>360</v>
      </c>
      <c r="C8" s="105" t="s">
        <v>567</v>
      </c>
      <c r="D8" s="142" t="s">
        <v>363</v>
      </c>
      <c r="E8" s="300" t="s">
        <v>347</v>
      </c>
      <c r="F8" s="226">
        <v>0.375</v>
      </c>
      <c r="G8" s="180">
        <v>0.58333333333333337</v>
      </c>
      <c r="H8" s="180">
        <v>0.625</v>
      </c>
      <c r="I8" s="27">
        <v>0.75</v>
      </c>
      <c r="J8" s="337">
        <f t="shared" si="0"/>
        <v>0.33333333333333337</v>
      </c>
      <c r="K8" s="226">
        <v>0.375</v>
      </c>
      <c r="L8" s="180">
        <v>0.54166666666666663</v>
      </c>
      <c r="M8" s="181">
        <v>0.58333333333333337</v>
      </c>
      <c r="N8" s="27">
        <v>0.75</v>
      </c>
      <c r="O8" s="337">
        <f t="shared" si="1"/>
        <v>0.33333333333333326</v>
      </c>
      <c r="P8" s="225">
        <v>0.375</v>
      </c>
      <c r="Q8" s="180">
        <v>0.54166666666666663</v>
      </c>
      <c r="R8" s="180">
        <v>0.58333333333333337</v>
      </c>
      <c r="S8" s="227">
        <v>0.75</v>
      </c>
      <c r="T8" s="337">
        <f t="shared" si="2"/>
        <v>0.33333333333333326</v>
      </c>
      <c r="U8" s="138">
        <v>0.375</v>
      </c>
      <c r="V8" s="180">
        <v>0.54166666666666663</v>
      </c>
      <c r="W8" s="181">
        <v>0.58333333333333337</v>
      </c>
      <c r="X8" s="139">
        <v>0.75</v>
      </c>
      <c r="Y8" s="337">
        <f t="shared" si="3"/>
        <v>0.33333333333333326</v>
      </c>
      <c r="Z8" s="74" t="s">
        <v>15</v>
      </c>
      <c r="AA8" s="127" t="s">
        <v>15</v>
      </c>
      <c r="AB8" s="127" t="s">
        <v>15</v>
      </c>
      <c r="AC8" s="75" t="s">
        <v>15</v>
      </c>
      <c r="AD8" s="337" t="str">
        <f t="shared" si="4"/>
        <v/>
      </c>
      <c r="AE8" s="224" t="s">
        <v>15</v>
      </c>
      <c r="AF8" s="127" t="s">
        <v>15</v>
      </c>
      <c r="AG8" s="159" t="s">
        <v>15</v>
      </c>
      <c r="AH8" s="74" t="s">
        <v>15</v>
      </c>
      <c r="AI8" s="337" t="str">
        <f t="shared" si="5"/>
        <v/>
      </c>
      <c r="AJ8" s="225">
        <v>0.375</v>
      </c>
      <c r="AK8" s="180">
        <v>0.45833333333333331</v>
      </c>
      <c r="AL8" s="180">
        <v>0.5</v>
      </c>
      <c r="AM8" s="227">
        <v>0.75</v>
      </c>
      <c r="AN8" s="337">
        <f t="shared" si="6"/>
        <v>0.33333333333333331</v>
      </c>
      <c r="AO8" s="28">
        <f t="shared" si="7"/>
        <v>1.6666666666666663</v>
      </c>
      <c r="AP8" s="29"/>
      <c r="AQ8" s="30" t="str">
        <f t="shared" si="8"/>
        <v/>
      </c>
    </row>
    <row r="9" spans="1:72" s="31" customFormat="1" ht="14.25" customHeight="1" x14ac:dyDescent="0.25">
      <c r="A9" s="202"/>
      <c r="B9" s="322" t="s">
        <v>394</v>
      </c>
      <c r="C9" s="105" t="s">
        <v>567</v>
      </c>
      <c r="D9" s="142"/>
      <c r="E9" s="35" t="s">
        <v>347</v>
      </c>
      <c r="F9" s="226">
        <v>0.375</v>
      </c>
      <c r="G9" s="180">
        <v>0.54166666666666663</v>
      </c>
      <c r="H9" s="181">
        <v>0.58333333333333337</v>
      </c>
      <c r="I9" s="27">
        <v>0.75</v>
      </c>
      <c r="J9" s="337">
        <f t="shared" si="0"/>
        <v>0.33333333333333326</v>
      </c>
      <c r="K9" s="225">
        <v>0.375</v>
      </c>
      <c r="L9" s="180">
        <v>0.5</v>
      </c>
      <c r="M9" s="180">
        <v>0.54166666666666663</v>
      </c>
      <c r="N9" s="139">
        <v>0.75</v>
      </c>
      <c r="O9" s="337">
        <f t="shared" si="1"/>
        <v>0.33333333333333337</v>
      </c>
      <c r="P9" s="225">
        <v>0.375</v>
      </c>
      <c r="Q9" s="180">
        <v>0.5</v>
      </c>
      <c r="R9" s="180">
        <v>0.54166666666666663</v>
      </c>
      <c r="S9" s="227">
        <v>0.75</v>
      </c>
      <c r="T9" s="337">
        <f t="shared" si="2"/>
        <v>0.33333333333333337</v>
      </c>
      <c r="U9" s="225">
        <v>0.375</v>
      </c>
      <c r="V9" s="180">
        <v>0.5</v>
      </c>
      <c r="W9" s="180">
        <v>0.54166666666666663</v>
      </c>
      <c r="X9" s="227">
        <v>0.75</v>
      </c>
      <c r="Y9" s="337">
        <f t="shared" si="3"/>
        <v>0.33333333333333337</v>
      </c>
      <c r="Z9" s="74" t="s">
        <v>15</v>
      </c>
      <c r="AA9" s="127" t="s">
        <v>15</v>
      </c>
      <c r="AB9" s="127" t="s">
        <v>15</v>
      </c>
      <c r="AC9" s="75" t="s">
        <v>15</v>
      </c>
      <c r="AD9" s="337" t="str">
        <f t="shared" si="4"/>
        <v/>
      </c>
      <c r="AE9" s="74" t="s">
        <v>15</v>
      </c>
      <c r="AF9" s="127" t="s">
        <v>15</v>
      </c>
      <c r="AG9" s="127" t="s">
        <v>15</v>
      </c>
      <c r="AH9" s="75" t="s">
        <v>15</v>
      </c>
      <c r="AI9" s="337" t="str">
        <f t="shared" si="5"/>
        <v/>
      </c>
      <c r="AJ9" s="226">
        <v>0.375</v>
      </c>
      <c r="AK9" s="180">
        <v>0.54166666666666663</v>
      </c>
      <c r="AL9" s="181">
        <v>0.58333333333333337</v>
      </c>
      <c r="AM9" s="27">
        <v>0.75</v>
      </c>
      <c r="AN9" s="337">
        <f t="shared" si="6"/>
        <v>0.33333333333333326</v>
      </c>
      <c r="AO9" s="198">
        <f t="shared" si="7"/>
        <v>1.6666666666666667</v>
      </c>
      <c r="AP9" s="30"/>
      <c r="AQ9" s="30"/>
    </row>
    <row r="10" spans="1:72" s="31" customFormat="1" ht="14.25" customHeight="1" x14ac:dyDescent="0.25">
      <c r="A10" s="202"/>
      <c r="B10" s="322" t="s">
        <v>378</v>
      </c>
      <c r="C10" s="105" t="s">
        <v>567</v>
      </c>
      <c r="D10" s="142" t="s">
        <v>363</v>
      </c>
      <c r="E10" s="35" t="s">
        <v>347</v>
      </c>
      <c r="F10" s="224" t="s">
        <v>15</v>
      </c>
      <c r="G10" s="127" t="s">
        <v>15</v>
      </c>
      <c r="H10" s="159" t="s">
        <v>15</v>
      </c>
      <c r="I10" s="74" t="s">
        <v>15</v>
      </c>
      <c r="J10" s="337" t="str">
        <f t="shared" si="0"/>
        <v/>
      </c>
      <c r="K10" s="224" t="s">
        <v>15</v>
      </c>
      <c r="L10" s="127" t="s">
        <v>15</v>
      </c>
      <c r="M10" s="159" t="s">
        <v>15</v>
      </c>
      <c r="N10" s="74" t="s">
        <v>15</v>
      </c>
      <c r="O10" s="337" t="str">
        <f t="shared" si="1"/>
        <v/>
      </c>
      <c r="P10" s="226">
        <v>0.375</v>
      </c>
      <c r="Q10" s="180">
        <v>0.45833333333333331</v>
      </c>
      <c r="R10" s="181">
        <v>0.5</v>
      </c>
      <c r="S10" s="27">
        <v>0.75</v>
      </c>
      <c r="T10" s="337">
        <f t="shared" si="2"/>
        <v>0.33333333333333331</v>
      </c>
      <c r="U10" s="138">
        <v>0.375</v>
      </c>
      <c r="V10" s="180">
        <v>0.54166666666666663</v>
      </c>
      <c r="W10" s="181">
        <v>0.58333333333333337</v>
      </c>
      <c r="X10" s="139">
        <v>0.75</v>
      </c>
      <c r="Y10" s="337">
        <f t="shared" si="3"/>
        <v>0.33333333333333326</v>
      </c>
      <c r="Z10" s="225">
        <v>0.375</v>
      </c>
      <c r="AA10" s="180">
        <v>0.54166666666666663</v>
      </c>
      <c r="AB10" s="180">
        <v>0.58333333333333337</v>
      </c>
      <c r="AC10" s="227">
        <v>0.75</v>
      </c>
      <c r="AD10" s="337">
        <f t="shared" si="4"/>
        <v>0.33333333333333326</v>
      </c>
      <c r="AE10" s="225">
        <v>0.375</v>
      </c>
      <c r="AF10" s="180">
        <v>0.5</v>
      </c>
      <c r="AG10" s="180">
        <v>0.54166666666666663</v>
      </c>
      <c r="AH10" s="227">
        <v>0.75</v>
      </c>
      <c r="AI10" s="337">
        <f t="shared" si="5"/>
        <v>0.33333333333333337</v>
      </c>
      <c r="AJ10" s="226">
        <v>0.375</v>
      </c>
      <c r="AK10" s="180">
        <v>0.54166666666666663</v>
      </c>
      <c r="AL10" s="181">
        <v>0.58333333333333337</v>
      </c>
      <c r="AM10" s="27">
        <v>0.75</v>
      </c>
      <c r="AN10" s="337">
        <f t="shared" si="6"/>
        <v>0.33333333333333326</v>
      </c>
      <c r="AO10" s="198">
        <f t="shared" si="7"/>
        <v>1.6666666666666663</v>
      </c>
      <c r="AP10" s="30"/>
      <c r="AQ10" s="30"/>
    </row>
    <row r="11" spans="1:72" s="31" customFormat="1" ht="14.25" customHeight="1" x14ac:dyDescent="0.25">
      <c r="A11" s="202"/>
      <c r="B11" s="322" t="s">
        <v>379</v>
      </c>
      <c r="C11" s="105" t="s">
        <v>567</v>
      </c>
      <c r="D11" s="142" t="s">
        <v>363</v>
      </c>
      <c r="E11" s="35" t="s">
        <v>347</v>
      </c>
      <c r="F11" s="224" t="s">
        <v>15</v>
      </c>
      <c r="G11" s="127" t="s">
        <v>15</v>
      </c>
      <c r="H11" s="159" t="s">
        <v>15</v>
      </c>
      <c r="I11" s="74" t="s">
        <v>15</v>
      </c>
      <c r="J11" s="337" t="str">
        <f t="shared" si="0"/>
        <v/>
      </c>
      <c r="K11" s="224" t="s">
        <v>15</v>
      </c>
      <c r="L11" s="127" t="s">
        <v>15</v>
      </c>
      <c r="M11" s="159" t="s">
        <v>15</v>
      </c>
      <c r="N11" s="74" t="s">
        <v>15</v>
      </c>
      <c r="O11" s="337" t="str">
        <f t="shared" si="1"/>
        <v/>
      </c>
      <c r="P11" s="226">
        <v>0.375</v>
      </c>
      <c r="Q11" s="180">
        <v>0.45833333333333331</v>
      </c>
      <c r="R11" s="181">
        <v>0.5</v>
      </c>
      <c r="S11" s="27">
        <v>0.75</v>
      </c>
      <c r="T11" s="337">
        <f t="shared" si="2"/>
        <v>0.33333333333333331</v>
      </c>
      <c r="U11" s="138">
        <v>0.375</v>
      </c>
      <c r="V11" s="180">
        <v>0.5</v>
      </c>
      <c r="W11" s="181">
        <v>0.54166666666666663</v>
      </c>
      <c r="X11" s="139">
        <v>0.75</v>
      </c>
      <c r="Y11" s="337">
        <f t="shared" si="3"/>
        <v>0.33333333333333337</v>
      </c>
      <c r="Z11" s="138">
        <v>0.375</v>
      </c>
      <c r="AA11" s="180">
        <v>0.5</v>
      </c>
      <c r="AB11" s="181">
        <v>0.54166666666666663</v>
      </c>
      <c r="AC11" s="139">
        <v>0.75</v>
      </c>
      <c r="AD11" s="337">
        <f t="shared" si="4"/>
        <v>0.33333333333333337</v>
      </c>
      <c r="AE11" s="138">
        <v>0.375</v>
      </c>
      <c r="AF11" s="180">
        <v>0.54166666666666663</v>
      </c>
      <c r="AG11" s="181">
        <v>0.58333333333333337</v>
      </c>
      <c r="AH11" s="139">
        <v>0.75</v>
      </c>
      <c r="AI11" s="337">
        <f t="shared" si="5"/>
        <v>0.33333333333333326</v>
      </c>
      <c r="AJ11" s="226">
        <v>0.375</v>
      </c>
      <c r="AK11" s="180">
        <v>0.54166666666666663</v>
      </c>
      <c r="AL11" s="181">
        <v>0.58333333333333337</v>
      </c>
      <c r="AM11" s="27">
        <v>0.75</v>
      </c>
      <c r="AN11" s="337">
        <f t="shared" si="6"/>
        <v>0.33333333333333326</v>
      </c>
      <c r="AO11" s="198">
        <f t="shared" si="7"/>
        <v>1.6666666666666665</v>
      </c>
      <c r="AP11" s="30"/>
      <c r="AQ11" s="30"/>
    </row>
    <row r="12" spans="1:72" s="31" customFormat="1" ht="14.25" customHeight="1" x14ac:dyDescent="0.25">
      <c r="A12" s="202"/>
      <c r="B12" s="322" t="s">
        <v>380</v>
      </c>
      <c r="C12" s="105" t="s">
        <v>567</v>
      </c>
      <c r="D12" s="142" t="s">
        <v>363</v>
      </c>
      <c r="E12" s="35" t="s">
        <v>347</v>
      </c>
      <c r="F12" s="74" t="s">
        <v>15</v>
      </c>
      <c r="G12" s="127" t="s">
        <v>15</v>
      </c>
      <c r="H12" s="127" t="s">
        <v>15</v>
      </c>
      <c r="I12" s="74" t="s">
        <v>15</v>
      </c>
      <c r="J12" s="337" t="str">
        <f t="shared" si="0"/>
        <v/>
      </c>
      <c r="K12" s="225">
        <v>0.375</v>
      </c>
      <c r="L12" s="180">
        <v>0.54166666666666663</v>
      </c>
      <c r="M12" s="180">
        <v>0.58333333333333337</v>
      </c>
      <c r="N12" s="227">
        <v>0.75</v>
      </c>
      <c r="O12" s="337">
        <f t="shared" si="1"/>
        <v>0.33333333333333326</v>
      </c>
      <c r="P12" s="225">
        <v>0.375</v>
      </c>
      <c r="Q12" s="180">
        <v>0.58333333333333337</v>
      </c>
      <c r="R12" s="180">
        <v>0.625</v>
      </c>
      <c r="S12" s="227">
        <v>0.75</v>
      </c>
      <c r="T12" s="337">
        <f t="shared" si="2"/>
        <v>0.33333333333333337</v>
      </c>
      <c r="U12" s="138">
        <v>0.375</v>
      </c>
      <c r="V12" s="180">
        <v>0.58333333333333337</v>
      </c>
      <c r="W12" s="181">
        <v>0.625</v>
      </c>
      <c r="X12" s="139">
        <v>0.75</v>
      </c>
      <c r="Y12" s="337">
        <f t="shared" si="3"/>
        <v>0.33333333333333337</v>
      </c>
      <c r="Z12" s="225">
        <v>0.375</v>
      </c>
      <c r="AA12" s="180">
        <v>0.45833333333333331</v>
      </c>
      <c r="AB12" s="180">
        <v>0.5</v>
      </c>
      <c r="AC12" s="227">
        <v>0.75</v>
      </c>
      <c r="AD12" s="337">
        <f t="shared" si="4"/>
        <v>0.33333333333333331</v>
      </c>
      <c r="AE12" s="138">
        <v>0.375</v>
      </c>
      <c r="AF12" s="180">
        <v>0.54166666666666663</v>
      </c>
      <c r="AG12" s="181">
        <v>0.58333333333333337</v>
      </c>
      <c r="AH12" s="139">
        <v>0.75</v>
      </c>
      <c r="AI12" s="337">
        <f t="shared" si="5"/>
        <v>0.33333333333333326</v>
      </c>
      <c r="AJ12" s="74" t="s">
        <v>15</v>
      </c>
      <c r="AK12" s="127" t="s">
        <v>15</v>
      </c>
      <c r="AL12" s="127" t="s">
        <v>15</v>
      </c>
      <c r="AM12" s="75" t="s">
        <v>15</v>
      </c>
      <c r="AN12" s="337" t="str">
        <f t="shared" si="6"/>
        <v/>
      </c>
      <c r="AO12" s="198">
        <f t="shared" si="7"/>
        <v>1.6666666666666665</v>
      </c>
      <c r="AP12" s="30"/>
      <c r="AQ12" s="30"/>
    </row>
    <row r="13" spans="1:72" s="31" customFormat="1" ht="14.25" customHeight="1" x14ac:dyDescent="0.25">
      <c r="A13" s="177" t="s">
        <v>287</v>
      </c>
      <c r="B13" s="322" t="s">
        <v>359</v>
      </c>
      <c r="C13" s="105" t="s">
        <v>567</v>
      </c>
      <c r="D13" s="142" t="s">
        <v>363</v>
      </c>
      <c r="E13" s="35" t="s">
        <v>367</v>
      </c>
      <c r="F13" s="226">
        <v>0.375</v>
      </c>
      <c r="G13" s="180">
        <v>0.54166666666666663</v>
      </c>
      <c r="H13" s="181">
        <v>0.58333333333333337</v>
      </c>
      <c r="I13" s="27">
        <v>0.75</v>
      </c>
      <c r="J13" s="337">
        <f t="shared" si="0"/>
        <v>0.33333333333333326</v>
      </c>
      <c r="K13" s="225">
        <v>0.375</v>
      </c>
      <c r="L13" s="180">
        <v>0.58333333333333337</v>
      </c>
      <c r="M13" s="180">
        <v>0.625</v>
      </c>
      <c r="N13" s="139">
        <v>0.75</v>
      </c>
      <c r="O13" s="337">
        <f t="shared" si="1"/>
        <v>0.33333333333333337</v>
      </c>
      <c r="P13" s="225">
        <v>0.375</v>
      </c>
      <c r="Q13" s="180">
        <v>0.58333333333333337</v>
      </c>
      <c r="R13" s="180">
        <v>0.625</v>
      </c>
      <c r="S13" s="227">
        <v>0.75</v>
      </c>
      <c r="T13" s="337">
        <f t="shared" si="2"/>
        <v>0.33333333333333337</v>
      </c>
      <c r="U13" s="138">
        <v>0.375</v>
      </c>
      <c r="V13" s="180">
        <v>0.58333333333333337</v>
      </c>
      <c r="W13" s="181">
        <v>0.625</v>
      </c>
      <c r="X13" s="139">
        <v>0.75</v>
      </c>
      <c r="Y13" s="337">
        <f t="shared" si="3"/>
        <v>0.33333333333333337</v>
      </c>
      <c r="Z13" s="74" t="s">
        <v>15</v>
      </c>
      <c r="AA13" s="127" t="s">
        <v>15</v>
      </c>
      <c r="AB13" s="127" t="s">
        <v>15</v>
      </c>
      <c r="AC13" s="75" t="s">
        <v>15</v>
      </c>
      <c r="AD13" s="337" t="str">
        <f t="shared" si="4"/>
        <v/>
      </c>
      <c r="AE13" s="224" t="s">
        <v>15</v>
      </c>
      <c r="AF13" s="127" t="s">
        <v>15</v>
      </c>
      <c r="AG13" s="159" t="s">
        <v>15</v>
      </c>
      <c r="AH13" s="74" t="s">
        <v>15</v>
      </c>
      <c r="AI13" s="337" t="str">
        <f t="shared" si="5"/>
        <v/>
      </c>
      <c r="AJ13" s="226">
        <v>0.375</v>
      </c>
      <c r="AK13" s="180">
        <v>0.54166666666666663</v>
      </c>
      <c r="AL13" s="181">
        <v>0.58333333333333337</v>
      </c>
      <c r="AM13" s="27">
        <v>0.75</v>
      </c>
      <c r="AN13" s="337">
        <f t="shared" si="6"/>
        <v>0.33333333333333326</v>
      </c>
      <c r="AO13" s="198">
        <f t="shared" si="7"/>
        <v>1.6666666666666667</v>
      </c>
      <c r="AP13" s="29"/>
      <c r="AQ13" s="30" t="str">
        <f>IF(AO13&gt;$AO$1, "Alerte Dépassement!!!","")</f>
        <v/>
      </c>
    </row>
    <row r="14" spans="1:72" s="31" customFormat="1" ht="14.25" customHeight="1" x14ac:dyDescent="0.25">
      <c r="A14" s="204" t="s">
        <v>264</v>
      </c>
      <c r="B14" s="322" t="s">
        <v>362</v>
      </c>
      <c r="C14" s="105" t="s">
        <v>567</v>
      </c>
      <c r="D14" s="142" t="s">
        <v>363</v>
      </c>
      <c r="E14" s="300" t="s">
        <v>376</v>
      </c>
      <c r="F14" s="226">
        <v>0.375</v>
      </c>
      <c r="G14" s="180">
        <v>0.58333333333333337</v>
      </c>
      <c r="H14" s="181">
        <v>0.625</v>
      </c>
      <c r="I14" s="27">
        <v>0.75</v>
      </c>
      <c r="J14" s="337">
        <f t="shared" si="0"/>
        <v>0.33333333333333337</v>
      </c>
      <c r="K14" s="225">
        <v>0.375</v>
      </c>
      <c r="L14" s="180">
        <v>0.54166666666666663</v>
      </c>
      <c r="M14" s="180">
        <v>0.58333333333333337</v>
      </c>
      <c r="N14" s="227">
        <v>0.75</v>
      </c>
      <c r="O14" s="337">
        <f t="shared" si="1"/>
        <v>0.33333333333333326</v>
      </c>
      <c r="P14" s="225">
        <v>0.375</v>
      </c>
      <c r="Q14" s="180">
        <v>0.58333333333333337</v>
      </c>
      <c r="R14" s="180">
        <v>0.625</v>
      </c>
      <c r="S14" s="227">
        <v>0.75</v>
      </c>
      <c r="T14" s="337">
        <f>IFERROR(MOD(S14-P14,1)-(R14-Q14),"")</f>
        <v>0.33333333333333337</v>
      </c>
      <c r="U14" s="138">
        <v>0.375</v>
      </c>
      <c r="V14" s="180">
        <v>0.58333333333333337</v>
      </c>
      <c r="W14" s="181">
        <v>0.625</v>
      </c>
      <c r="X14" s="139">
        <v>0.75</v>
      </c>
      <c r="Y14" s="337">
        <f>IFERROR(MOD(X14-U14,1)-(W14-V14),"")</f>
        <v>0.33333333333333337</v>
      </c>
      <c r="Z14" s="74" t="s">
        <v>15</v>
      </c>
      <c r="AA14" s="127" t="s">
        <v>15</v>
      </c>
      <c r="AB14" s="127" t="s">
        <v>15</v>
      </c>
      <c r="AC14" s="75" t="s">
        <v>15</v>
      </c>
      <c r="AD14" s="337" t="str">
        <f t="shared" si="4"/>
        <v/>
      </c>
      <c r="AE14" s="224" t="s">
        <v>15</v>
      </c>
      <c r="AF14" s="127" t="s">
        <v>15</v>
      </c>
      <c r="AG14" s="159" t="s">
        <v>15</v>
      </c>
      <c r="AH14" s="74" t="s">
        <v>15</v>
      </c>
      <c r="AI14" s="337" t="str">
        <f t="shared" si="5"/>
        <v/>
      </c>
      <c r="AJ14" s="226">
        <v>0.375</v>
      </c>
      <c r="AK14" s="180">
        <v>0.5</v>
      </c>
      <c r="AL14" s="181">
        <v>0.54166666666666663</v>
      </c>
      <c r="AM14" s="27">
        <v>0.75</v>
      </c>
      <c r="AN14" s="337">
        <f t="shared" si="6"/>
        <v>0.33333333333333337</v>
      </c>
      <c r="AO14" s="198">
        <f t="shared" si="7"/>
        <v>1.666666666666667</v>
      </c>
      <c r="AP14" s="29"/>
      <c r="AQ14" s="30" t="str">
        <f>IF(AO14&gt;$AO$1, "Alerte Dépassement!!!","")</f>
        <v/>
      </c>
      <c r="AR14" s="48"/>
    </row>
    <row r="15" spans="1:72" s="31" customFormat="1" ht="14.25" customHeight="1" x14ac:dyDescent="0.25">
      <c r="A15" s="202"/>
      <c r="B15" s="322" t="s">
        <v>331</v>
      </c>
      <c r="C15" s="105" t="s">
        <v>567</v>
      </c>
      <c r="D15" s="223"/>
      <c r="E15" s="35" t="s">
        <v>400</v>
      </c>
      <c r="F15" s="220">
        <v>0.375</v>
      </c>
      <c r="G15" s="180">
        <v>0.45833333333333331</v>
      </c>
      <c r="H15" s="181">
        <v>0.5</v>
      </c>
      <c r="I15" s="27">
        <v>0.75</v>
      </c>
      <c r="J15" s="337">
        <f t="shared" si="0"/>
        <v>0.33333333333333331</v>
      </c>
      <c r="K15" s="220">
        <v>0.375</v>
      </c>
      <c r="L15" s="180">
        <v>0.58333333333333337</v>
      </c>
      <c r="M15" s="180">
        <v>0.625</v>
      </c>
      <c r="N15" s="27">
        <v>0.75</v>
      </c>
      <c r="O15" s="337">
        <f t="shared" si="1"/>
        <v>0.33333333333333337</v>
      </c>
      <c r="P15" s="224" t="s">
        <v>15</v>
      </c>
      <c r="Q15" s="127" t="s">
        <v>15</v>
      </c>
      <c r="R15" s="159" t="s">
        <v>15</v>
      </c>
      <c r="S15" s="74" t="s">
        <v>15</v>
      </c>
      <c r="T15" s="337" t="str">
        <f t="shared" ref="T15" si="9">IFERROR(MOD(S15-P15,1)-(R15-Q15),"")</f>
        <v/>
      </c>
      <c r="U15" s="92" t="s">
        <v>15</v>
      </c>
      <c r="V15" s="159" t="s">
        <v>15</v>
      </c>
      <c r="W15" s="159" t="s">
        <v>15</v>
      </c>
      <c r="X15" s="92" t="s">
        <v>15</v>
      </c>
      <c r="Y15" s="337" t="str">
        <f t="shared" ref="Y15" si="10">IFERROR(MOD(X15-U15,1)-(W15-V15),"")</f>
        <v/>
      </c>
      <c r="Z15" s="138">
        <v>0.375</v>
      </c>
      <c r="AA15" s="180">
        <v>0.58333333333333337</v>
      </c>
      <c r="AB15" s="181">
        <v>0.625</v>
      </c>
      <c r="AC15" s="139">
        <v>0.75</v>
      </c>
      <c r="AD15" s="337">
        <f t="shared" si="4"/>
        <v>0.33333333333333337</v>
      </c>
      <c r="AE15" s="226">
        <v>0.375</v>
      </c>
      <c r="AF15" s="180">
        <v>0.58333333333333337</v>
      </c>
      <c r="AG15" s="181">
        <v>0.625</v>
      </c>
      <c r="AH15" s="27">
        <v>0.75</v>
      </c>
      <c r="AI15" s="337">
        <f t="shared" si="5"/>
        <v>0.33333333333333337</v>
      </c>
      <c r="AJ15" s="182">
        <v>0.375</v>
      </c>
      <c r="AK15" s="181">
        <v>0.5</v>
      </c>
      <c r="AL15" s="181">
        <v>0.54166666666666663</v>
      </c>
      <c r="AM15" s="96">
        <v>0.75</v>
      </c>
      <c r="AN15" s="337">
        <f t="shared" si="6"/>
        <v>0.33333333333333337</v>
      </c>
      <c r="AO15" s="198">
        <f t="shared" si="7"/>
        <v>1.666666666666667</v>
      </c>
      <c r="AP15" s="30"/>
      <c r="AQ15" s="30"/>
    </row>
    <row r="16" spans="1:72" s="31" customFormat="1" ht="14.25" customHeight="1" x14ac:dyDescent="0.25">
      <c r="A16" s="202"/>
      <c r="B16" s="322" t="s">
        <v>176</v>
      </c>
      <c r="C16" s="105" t="s">
        <v>567</v>
      </c>
      <c r="D16" s="223"/>
      <c r="E16" s="35" t="s">
        <v>400</v>
      </c>
      <c r="F16" s="225">
        <v>0.375</v>
      </c>
      <c r="G16" s="180">
        <v>0.5</v>
      </c>
      <c r="H16" s="180">
        <v>0.54166666666666663</v>
      </c>
      <c r="I16" s="227">
        <v>0.75</v>
      </c>
      <c r="J16" s="337">
        <f t="shared" si="0"/>
        <v>0.33333333333333337</v>
      </c>
      <c r="K16" s="226">
        <v>0.375</v>
      </c>
      <c r="L16" s="180">
        <v>0.45833333333333331</v>
      </c>
      <c r="M16" s="181">
        <v>0.5</v>
      </c>
      <c r="N16" s="27">
        <v>0.75</v>
      </c>
      <c r="O16" s="337">
        <f t="shared" si="1"/>
        <v>0.33333333333333331</v>
      </c>
      <c r="P16" s="225">
        <v>0.375</v>
      </c>
      <c r="Q16" s="180">
        <v>0.54166666666666663</v>
      </c>
      <c r="R16" s="180">
        <v>0.58333333333333337</v>
      </c>
      <c r="S16" s="227">
        <v>0.75</v>
      </c>
      <c r="T16" s="337">
        <f>IFERROR(MOD(S16-P16,1)-(R16-Q16),"")</f>
        <v>0.33333333333333326</v>
      </c>
      <c r="U16" s="182">
        <v>0.375</v>
      </c>
      <c r="V16" s="181">
        <v>0.5</v>
      </c>
      <c r="W16" s="181">
        <v>0.54166666666666663</v>
      </c>
      <c r="X16" s="96">
        <v>0.75</v>
      </c>
      <c r="Y16" s="337">
        <f>IFERROR(MOD(X16-U16,1)-(W16-V16),"")</f>
        <v>0.33333333333333337</v>
      </c>
      <c r="Z16" s="138">
        <v>0.375</v>
      </c>
      <c r="AA16" s="180">
        <v>0.54166666666666663</v>
      </c>
      <c r="AB16" s="181">
        <v>0.58333333333333337</v>
      </c>
      <c r="AC16" s="139">
        <v>0.75</v>
      </c>
      <c r="AD16" s="337">
        <f>IFERROR(MOD(AC16-Z16,1)-(AB16-AA16),"")</f>
        <v>0.33333333333333326</v>
      </c>
      <c r="AE16" s="74" t="s">
        <v>15</v>
      </c>
      <c r="AF16" s="127" t="s">
        <v>15</v>
      </c>
      <c r="AG16" s="127" t="s">
        <v>15</v>
      </c>
      <c r="AH16" s="75" t="s">
        <v>15</v>
      </c>
      <c r="AI16" s="337" t="str">
        <f>IFERROR(MOD(AH16-AE16,1)-(AG16-AF16),"")</f>
        <v/>
      </c>
      <c r="AJ16" s="74" t="s">
        <v>15</v>
      </c>
      <c r="AK16" s="127" t="s">
        <v>15</v>
      </c>
      <c r="AL16" s="127" t="s">
        <v>15</v>
      </c>
      <c r="AM16" s="75" t="s">
        <v>15</v>
      </c>
      <c r="AN16" s="337" t="str">
        <f t="shared" si="6"/>
        <v/>
      </c>
      <c r="AO16" s="198">
        <f t="shared" si="7"/>
        <v>1.6666666666666667</v>
      </c>
      <c r="AP16" s="30"/>
      <c r="AQ16" s="30"/>
    </row>
    <row r="17" spans="1:53" s="31" customFormat="1" ht="14.25" customHeight="1" x14ac:dyDescent="0.25">
      <c r="A17" s="202"/>
      <c r="B17" s="322" t="s">
        <v>330</v>
      </c>
      <c r="C17" s="105" t="s">
        <v>567</v>
      </c>
      <c r="D17" s="308" t="s">
        <v>85</v>
      </c>
      <c r="E17" s="35" t="s">
        <v>400</v>
      </c>
      <c r="F17" s="74" t="s">
        <v>15</v>
      </c>
      <c r="G17" s="127" t="s">
        <v>15</v>
      </c>
      <c r="H17" s="127" t="s">
        <v>15</v>
      </c>
      <c r="I17" s="74" t="s">
        <v>15</v>
      </c>
      <c r="J17" s="337" t="str">
        <f>IFERROR(MOD(I17-F17,1)-(H17-G17),"")</f>
        <v/>
      </c>
      <c r="K17" s="225">
        <v>0.375</v>
      </c>
      <c r="L17" s="180">
        <v>0.45833333333333331</v>
      </c>
      <c r="M17" s="180">
        <v>0.5</v>
      </c>
      <c r="N17" s="227">
        <v>0.75</v>
      </c>
      <c r="O17" s="337">
        <f>IFERROR(MOD(N17-K17,1)-(M17-L17),"")</f>
        <v>0.33333333333333331</v>
      </c>
      <c r="P17" s="225">
        <v>0.375</v>
      </c>
      <c r="Q17" s="180">
        <v>0.45833333333333331</v>
      </c>
      <c r="R17" s="180">
        <v>0.5</v>
      </c>
      <c r="S17" s="139">
        <v>0.75</v>
      </c>
      <c r="T17" s="337">
        <f>IFERROR(MOD(S17-P17,1)-(R17-Q17),"")</f>
        <v>0.33333333333333331</v>
      </c>
      <c r="U17" s="225">
        <v>0.375</v>
      </c>
      <c r="V17" s="180">
        <v>0.58333333333333337</v>
      </c>
      <c r="W17" s="180">
        <v>0.625</v>
      </c>
      <c r="X17" s="139">
        <v>0.75</v>
      </c>
      <c r="Y17" s="337">
        <f>IFERROR(MOD(X17-U17,1)-(W17-V17),"")</f>
        <v>0.33333333333333337</v>
      </c>
      <c r="Z17" s="226">
        <v>0.375</v>
      </c>
      <c r="AA17" s="180">
        <v>0.45833333333333331</v>
      </c>
      <c r="AB17" s="181">
        <v>0.5</v>
      </c>
      <c r="AC17" s="27">
        <v>0.75</v>
      </c>
      <c r="AD17" s="337">
        <f t="shared" ref="AD17:AD18" si="11">IFERROR(MOD(AC17-Z17,1)-(AB17-AA17),"")</f>
        <v>0.33333333333333331</v>
      </c>
      <c r="AE17" s="225">
        <v>0.375</v>
      </c>
      <c r="AF17" s="180">
        <v>0.58333333333333337</v>
      </c>
      <c r="AG17" s="181">
        <v>0.625</v>
      </c>
      <c r="AH17" s="27">
        <v>0.75</v>
      </c>
      <c r="AI17" s="337">
        <f t="shared" ref="AI17:AI18" si="12">IFERROR(MOD(AH17-AE17,1)-(AG17-AF17),"")</f>
        <v>0.33333333333333337</v>
      </c>
      <c r="AJ17" s="74" t="s">
        <v>15</v>
      </c>
      <c r="AK17" s="127" t="s">
        <v>15</v>
      </c>
      <c r="AL17" s="127" t="s">
        <v>15</v>
      </c>
      <c r="AM17" s="75" t="s">
        <v>15</v>
      </c>
      <c r="AN17" s="337" t="str">
        <f>IFERROR(MOD(AM17-AJ17,1)-(AL17-AK17),"")</f>
        <v/>
      </c>
      <c r="AO17" s="198">
        <f>SUM(J17,O17,T17,Y17,AD17,AI17,AN17)</f>
        <v>1.6666666666666665</v>
      </c>
      <c r="AP17" s="30"/>
      <c r="AQ17" s="30"/>
    </row>
    <row r="18" spans="1:53" s="31" customFormat="1" ht="14.25" customHeight="1" x14ac:dyDescent="0.25">
      <c r="A18" s="202"/>
      <c r="B18" s="322" t="s">
        <v>335</v>
      </c>
      <c r="C18" s="105" t="s">
        <v>567</v>
      </c>
      <c r="D18" s="308" t="s">
        <v>85</v>
      </c>
      <c r="E18" s="35" t="s">
        <v>400</v>
      </c>
      <c r="F18" s="226">
        <v>0.375</v>
      </c>
      <c r="G18" s="180">
        <v>0.5</v>
      </c>
      <c r="H18" s="181">
        <v>0.54166666666666663</v>
      </c>
      <c r="I18" s="27">
        <v>0.75</v>
      </c>
      <c r="J18" s="337">
        <f>IFERROR(MOD(I18-F18,1)-(H18-G18),"")</f>
        <v>0.33333333333333337</v>
      </c>
      <c r="K18" s="226">
        <v>0.375</v>
      </c>
      <c r="L18" s="180">
        <v>0.58333333333333337</v>
      </c>
      <c r="M18" s="181">
        <v>0.625</v>
      </c>
      <c r="N18" s="27">
        <v>0.75</v>
      </c>
      <c r="O18" s="337">
        <f>IFERROR(MOD(N18-K18,1)-(M18-L18),"")</f>
        <v>0.33333333333333337</v>
      </c>
      <c r="P18" s="226">
        <v>0.375</v>
      </c>
      <c r="Q18" s="180">
        <v>0.45833333333333331</v>
      </c>
      <c r="R18" s="181">
        <v>0.5</v>
      </c>
      <c r="S18" s="27">
        <v>0.75</v>
      </c>
      <c r="T18" s="337">
        <f>IFERROR(MOD(S18-P18,1)-(R18-Q18),"")</f>
        <v>0.33333333333333331</v>
      </c>
      <c r="U18" s="74" t="s">
        <v>15</v>
      </c>
      <c r="V18" s="127" t="s">
        <v>15</v>
      </c>
      <c r="W18" s="127" t="s">
        <v>15</v>
      </c>
      <c r="X18" s="74" t="s">
        <v>15</v>
      </c>
      <c r="Y18" s="337" t="str">
        <f>IFERROR(MOD(X18-U18,1)-(W18-V18),"")</f>
        <v/>
      </c>
      <c r="Z18" s="74" t="s">
        <v>15</v>
      </c>
      <c r="AA18" s="127" t="s">
        <v>15</v>
      </c>
      <c r="AB18" s="127" t="s">
        <v>15</v>
      </c>
      <c r="AC18" s="74" t="s">
        <v>15</v>
      </c>
      <c r="AD18" s="337" t="str">
        <f t="shared" si="11"/>
        <v/>
      </c>
      <c r="AE18" s="225">
        <v>0.375</v>
      </c>
      <c r="AF18" s="180">
        <v>0.5</v>
      </c>
      <c r="AG18" s="181">
        <v>0.54166666666666663</v>
      </c>
      <c r="AH18" s="27">
        <v>0.75</v>
      </c>
      <c r="AI18" s="337">
        <f t="shared" si="12"/>
        <v>0.33333333333333337</v>
      </c>
      <c r="AJ18" s="226">
        <v>0.375</v>
      </c>
      <c r="AK18" s="180">
        <v>0.58333333333333337</v>
      </c>
      <c r="AL18" s="181">
        <v>0.625</v>
      </c>
      <c r="AM18" s="27">
        <v>0.75</v>
      </c>
      <c r="AN18" s="337">
        <f>IFERROR(MOD(AM18-AJ18,1)-(AL18-AK18),"")</f>
        <v>0.33333333333333337</v>
      </c>
      <c r="AO18" s="198">
        <f>SUM(J18,O18,T18,Y18,AD18,AI18,AN18)</f>
        <v>1.666666666666667</v>
      </c>
      <c r="AP18" s="30"/>
      <c r="AQ18" s="30"/>
    </row>
    <row r="19" spans="1:53" s="31" customFormat="1" ht="14.25" customHeight="1" x14ac:dyDescent="0.25">
      <c r="A19" s="202"/>
      <c r="B19" s="322" t="s">
        <v>521</v>
      </c>
      <c r="C19" s="105" t="s">
        <v>567</v>
      </c>
      <c r="D19" s="308" t="s">
        <v>522</v>
      </c>
      <c r="E19" s="35" t="s">
        <v>347</v>
      </c>
      <c r="F19" s="226">
        <v>0.375</v>
      </c>
      <c r="G19" s="180">
        <v>0.54166666666666663</v>
      </c>
      <c r="H19" s="181">
        <v>0.58333333333333337</v>
      </c>
      <c r="I19" s="27">
        <v>0.75</v>
      </c>
      <c r="J19" s="337">
        <f>IFERROR(MOD(I19-F19,1)-(H19-G19),"")</f>
        <v>0.33333333333333326</v>
      </c>
      <c r="K19" s="224" t="s">
        <v>15</v>
      </c>
      <c r="L19" s="127" t="s">
        <v>15</v>
      </c>
      <c r="M19" s="159" t="s">
        <v>15</v>
      </c>
      <c r="N19" s="74" t="s">
        <v>15</v>
      </c>
      <c r="O19" s="337" t="str">
        <f>IFERROR(MOD(N19-K19,1)-(M19-L19),"")</f>
        <v/>
      </c>
      <c r="P19" s="74" t="s">
        <v>15</v>
      </c>
      <c r="Q19" s="127" t="s">
        <v>15</v>
      </c>
      <c r="R19" s="127" t="s">
        <v>15</v>
      </c>
      <c r="S19" s="74" t="s">
        <v>15</v>
      </c>
      <c r="T19" s="337" t="str">
        <f>IFERROR(MOD(S19-P19,1)-(R19-Q19),"")</f>
        <v/>
      </c>
      <c r="U19" s="225">
        <v>0.375</v>
      </c>
      <c r="V19" s="180">
        <v>0.54166666666666663</v>
      </c>
      <c r="W19" s="180">
        <v>0.58333333333333337</v>
      </c>
      <c r="X19" s="139">
        <v>0.75</v>
      </c>
      <c r="Y19" s="337">
        <f>IFERROR(MOD(X19-U19,1)-(W19-V19),"")</f>
        <v>0.33333333333333326</v>
      </c>
      <c r="Z19" s="138">
        <v>0.375</v>
      </c>
      <c r="AA19" s="180">
        <v>0.5</v>
      </c>
      <c r="AB19" s="181">
        <v>0.54166666666666663</v>
      </c>
      <c r="AC19" s="139">
        <v>0.75</v>
      </c>
      <c r="AD19" s="337">
        <f>IFERROR(MOD(AC19-Z19,1)-(AB19-AA19),"")</f>
        <v>0.33333333333333337</v>
      </c>
      <c r="AE19" s="225">
        <v>0.375</v>
      </c>
      <c r="AF19" s="180">
        <v>0.54166666666666663</v>
      </c>
      <c r="AG19" s="181">
        <v>0.58333333333333337</v>
      </c>
      <c r="AH19" s="27">
        <v>0.75</v>
      </c>
      <c r="AI19" s="337">
        <f>IFERROR(MOD(AH19-AE19,1)-(AG19-AF19),"")</f>
        <v>0.33333333333333326</v>
      </c>
      <c r="AJ19" s="226">
        <v>0.375</v>
      </c>
      <c r="AK19" s="180">
        <v>0.58333333333333337</v>
      </c>
      <c r="AL19" s="181">
        <v>0.625</v>
      </c>
      <c r="AM19" s="27">
        <v>0.75</v>
      </c>
      <c r="AN19" s="337">
        <f>IFERROR(MOD(AM19-AJ19,1)-(AL19-AK19),"")</f>
        <v>0.33333333333333337</v>
      </c>
      <c r="AO19" s="198">
        <f>SUM(J19,O19,T19,Y19,AD19,AI19,AN19)</f>
        <v>1.6666666666666665</v>
      </c>
      <c r="AP19" s="30"/>
      <c r="AQ19" s="30"/>
    </row>
    <row r="20" spans="1:53" s="31" customFormat="1" ht="14.25" customHeight="1" x14ac:dyDescent="0.2">
      <c r="A20" s="202"/>
      <c r="B20" s="67" t="s">
        <v>341</v>
      </c>
      <c r="C20" s="105" t="s">
        <v>565</v>
      </c>
      <c r="D20" s="223"/>
      <c r="E20" s="35" t="s">
        <v>400</v>
      </c>
      <c r="F20" s="220">
        <v>0.375</v>
      </c>
      <c r="G20" s="180">
        <v>0.45833333333333331</v>
      </c>
      <c r="H20" s="180">
        <v>0.5</v>
      </c>
      <c r="I20" s="27">
        <v>0.75</v>
      </c>
      <c r="J20" s="337">
        <f t="shared" ref="J20:J25" si="13">IFERROR(MOD(I20-F20,1)-(H20-G20),"")</f>
        <v>0.33333333333333331</v>
      </c>
      <c r="K20" s="220">
        <v>0.375</v>
      </c>
      <c r="L20" s="180">
        <v>0.45833333333333331</v>
      </c>
      <c r="M20" s="180">
        <v>0.5</v>
      </c>
      <c r="N20" s="27">
        <v>0.75</v>
      </c>
      <c r="O20" s="337">
        <f t="shared" ref="O20:O25" si="14">IFERROR(MOD(N20-K20,1)-(M20-L20),"")</f>
        <v>0.33333333333333331</v>
      </c>
      <c r="P20" s="220" t="s">
        <v>15</v>
      </c>
      <c r="Q20" s="180" t="s">
        <v>15</v>
      </c>
      <c r="R20" s="180" t="s">
        <v>15</v>
      </c>
      <c r="S20" s="27" t="s">
        <v>15</v>
      </c>
      <c r="T20" s="337" t="str">
        <f t="shared" ref="T20:T25" si="15">IFERROR(MOD(S20-P20,1)-(R20-Q20),"")</f>
        <v/>
      </c>
      <c r="U20" s="74" t="s">
        <v>15</v>
      </c>
      <c r="V20" s="127" t="s">
        <v>15</v>
      </c>
      <c r="W20" s="127" t="s">
        <v>15</v>
      </c>
      <c r="X20" s="74" t="s">
        <v>15</v>
      </c>
      <c r="Y20" s="337" t="str">
        <f t="shared" ref="Y20:Y25" si="16">IFERROR(MOD(X20-U20,1)-(W20-V20),"")</f>
        <v/>
      </c>
      <c r="Z20" s="226">
        <v>0.375</v>
      </c>
      <c r="AA20" s="180">
        <v>0.58333333333333337</v>
      </c>
      <c r="AB20" s="181">
        <v>0.625</v>
      </c>
      <c r="AC20" s="27">
        <v>0.75</v>
      </c>
      <c r="AD20" s="337">
        <f>IFERROR(MOD(AC20-Z20,1)-(AB20-AA20),"")</f>
        <v>0.33333333333333337</v>
      </c>
      <c r="AE20" s="226">
        <v>0.375</v>
      </c>
      <c r="AF20" s="180">
        <v>0.58333333333333337</v>
      </c>
      <c r="AG20" s="181">
        <v>0.625</v>
      </c>
      <c r="AH20" s="27">
        <v>0.75</v>
      </c>
      <c r="AI20" s="337">
        <f>IFERROR(MOD(AH20-AE20,1)-(AG20-AF20),"")</f>
        <v>0.33333333333333337</v>
      </c>
      <c r="AJ20" s="225">
        <v>0.375</v>
      </c>
      <c r="AK20" s="180">
        <v>0.5</v>
      </c>
      <c r="AL20" s="181">
        <v>0.54166666666666663</v>
      </c>
      <c r="AM20" s="27">
        <v>0.75</v>
      </c>
      <c r="AN20" s="337">
        <f t="shared" ref="AN20:AN25" si="17">IFERROR(MOD(AM20-AJ20,1)-(AL20-AK20),"")</f>
        <v>0.33333333333333337</v>
      </c>
      <c r="AO20" s="198">
        <f t="shared" si="7"/>
        <v>1.666666666666667</v>
      </c>
      <c r="AP20" s="30"/>
      <c r="AQ20" s="30"/>
    </row>
    <row r="21" spans="1:53" s="31" customFormat="1" ht="14.25" customHeight="1" x14ac:dyDescent="0.2">
      <c r="A21" s="202"/>
      <c r="B21" s="67" t="s">
        <v>377</v>
      </c>
      <c r="C21" s="105" t="s">
        <v>565</v>
      </c>
      <c r="D21" s="223"/>
      <c r="E21" s="35" t="s">
        <v>400</v>
      </c>
      <c r="F21" s="220">
        <v>0.375</v>
      </c>
      <c r="G21" s="179">
        <v>0.5</v>
      </c>
      <c r="H21" s="180">
        <v>0.54166666666666663</v>
      </c>
      <c r="I21" s="100">
        <v>0.75</v>
      </c>
      <c r="J21" s="337">
        <f t="shared" si="13"/>
        <v>0.33333333333333337</v>
      </c>
      <c r="K21" s="220">
        <v>0.375</v>
      </c>
      <c r="L21" s="179">
        <v>0.45833333333333331</v>
      </c>
      <c r="M21" s="180">
        <v>0.5</v>
      </c>
      <c r="N21" s="100">
        <v>0.75</v>
      </c>
      <c r="O21" s="337">
        <f t="shared" si="14"/>
        <v>0.33333333333333331</v>
      </c>
      <c r="P21" s="220">
        <v>0.375</v>
      </c>
      <c r="Q21" s="180">
        <v>0.54166666666666663</v>
      </c>
      <c r="R21" s="180">
        <v>0.58333333333333337</v>
      </c>
      <c r="S21" s="27">
        <v>0.75</v>
      </c>
      <c r="T21" s="337">
        <f t="shared" si="15"/>
        <v>0.33333333333333326</v>
      </c>
      <c r="U21" s="220">
        <v>0.375</v>
      </c>
      <c r="V21" s="179">
        <v>0.5</v>
      </c>
      <c r="W21" s="180">
        <v>0.54166666666666663</v>
      </c>
      <c r="X21" s="100">
        <v>0.75</v>
      </c>
      <c r="Y21" s="337">
        <f t="shared" si="16"/>
        <v>0.33333333333333337</v>
      </c>
      <c r="Z21" s="74" t="s">
        <v>15</v>
      </c>
      <c r="AA21" s="127" t="s">
        <v>15</v>
      </c>
      <c r="AB21" s="127" t="s">
        <v>15</v>
      </c>
      <c r="AC21" s="74" t="s">
        <v>15</v>
      </c>
      <c r="AD21" s="337" t="str">
        <f t="shared" ref="AD21:AD28" si="18">IFERROR(MOD(AC21-Z21,1)-(AB21-AA21),"")</f>
        <v/>
      </c>
      <c r="AE21" s="74" t="s">
        <v>15</v>
      </c>
      <c r="AF21" s="127" t="s">
        <v>15</v>
      </c>
      <c r="AG21" s="127" t="s">
        <v>15</v>
      </c>
      <c r="AH21" s="74" t="s">
        <v>15</v>
      </c>
      <c r="AI21" s="337" t="str">
        <f t="shared" ref="AI21:AI28" si="19">IFERROR(MOD(AH21-AE21,1)-(AG21-AF21),"")</f>
        <v/>
      </c>
      <c r="AJ21" s="225">
        <v>0.375</v>
      </c>
      <c r="AK21" s="179">
        <v>0.58333333333333337</v>
      </c>
      <c r="AL21" s="180">
        <v>0.625</v>
      </c>
      <c r="AM21" s="100">
        <v>0.75</v>
      </c>
      <c r="AN21" s="337">
        <f t="shared" si="17"/>
        <v>0.33333333333333337</v>
      </c>
      <c r="AO21" s="198">
        <f t="shared" si="7"/>
        <v>1.666666666666667</v>
      </c>
      <c r="AP21" s="30"/>
      <c r="AQ21" s="30"/>
    </row>
    <row r="22" spans="1:53" s="31" customFormat="1" ht="14.25" customHeight="1" x14ac:dyDescent="0.25">
      <c r="A22" s="177"/>
      <c r="B22" s="67" t="s">
        <v>568</v>
      </c>
      <c r="C22" s="105" t="s">
        <v>565</v>
      </c>
      <c r="D22" s="203"/>
      <c r="E22" s="362" t="s">
        <v>569</v>
      </c>
      <c r="F22" s="220">
        <v>0.375</v>
      </c>
      <c r="G22" s="179">
        <v>0.5</v>
      </c>
      <c r="H22" s="180">
        <v>0.54166666666666663</v>
      </c>
      <c r="I22" s="100">
        <v>0.75</v>
      </c>
      <c r="J22" s="337">
        <f t="shared" si="13"/>
        <v>0.33333333333333337</v>
      </c>
      <c r="K22" s="226">
        <v>0.375</v>
      </c>
      <c r="L22" s="180">
        <v>0.58333333333333337</v>
      </c>
      <c r="M22" s="181">
        <v>0.625</v>
      </c>
      <c r="N22" s="27">
        <v>0.75</v>
      </c>
      <c r="O22" s="337">
        <f t="shared" si="14"/>
        <v>0.33333333333333337</v>
      </c>
      <c r="P22" s="226">
        <v>0.375</v>
      </c>
      <c r="Q22" s="180">
        <v>0.58333333333333337</v>
      </c>
      <c r="R22" s="181">
        <v>0.625</v>
      </c>
      <c r="S22" s="27">
        <v>0.75</v>
      </c>
      <c r="T22" s="337">
        <f t="shared" si="15"/>
        <v>0.33333333333333337</v>
      </c>
      <c r="U22" s="225">
        <v>0.375</v>
      </c>
      <c r="V22" s="180">
        <v>0.58333333333333337</v>
      </c>
      <c r="W22" s="181">
        <v>0.625</v>
      </c>
      <c r="X22" s="27">
        <v>0.75</v>
      </c>
      <c r="Y22" s="337">
        <f t="shared" si="16"/>
        <v>0.33333333333333337</v>
      </c>
      <c r="Z22" s="226">
        <v>0.375</v>
      </c>
      <c r="AA22" s="180">
        <v>0.45833333333333331</v>
      </c>
      <c r="AB22" s="181">
        <v>0.5</v>
      </c>
      <c r="AC22" s="27">
        <v>0.75</v>
      </c>
      <c r="AD22" s="337">
        <f t="shared" si="18"/>
        <v>0.33333333333333331</v>
      </c>
      <c r="AE22" s="74" t="s">
        <v>15</v>
      </c>
      <c r="AF22" s="127" t="s">
        <v>15</v>
      </c>
      <c r="AG22" s="127" t="s">
        <v>15</v>
      </c>
      <c r="AH22" s="74" t="s">
        <v>15</v>
      </c>
      <c r="AI22" s="337" t="str">
        <f t="shared" si="19"/>
        <v/>
      </c>
      <c r="AJ22" s="74" t="s">
        <v>15</v>
      </c>
      <c r="AK22" s="127" t="s">
        <v>15</v>
      </c>
      <c r="AL22" s="127" t="s">
        <v>15</v>
      </c>
      <c r="AM22" s="75" t="s">
        <v>15</v>
      </c>
      <c r="AN22" s="337" t="str">
        <f t="shared" si="17"/>
        <v/>
      </c>
      <c r="AO22" s="198">
        <f t="shared" si="7"/>
        <v>1.6666666666666667</v>
      </c>
      <c r="AP22" s="29"/>
      <c r="AQ22" s="30"/>
    </row>
    <row r="23" spans="1:53" s="31" customFormat="1" ht="14.25" customHeight="1" x14ac:dyDescent="0.25">
      <c r="A23" s="202"/>
      <c r="B23" s="67" t="s">
        <v>570</v>
      </c>
      <c r="C23" s="105" t="s">
        <v>565</v>
      </c>
      <c r="D23" s="203"/>
      <c r="E23" s="362" t="s">
        <v>569</v>
      </c>
      <c r="F23" s="226">
        <v>0.375</v>
      </c>
      <c r="G23" s="180">
        <v>0.58333333333333337</v>
      </c>
      <c r="H23" s="181">
        <v>0.625</v>
      </c>
      <c r="I23" s="27">
        <v>0.75</v>
      </c>
      <c r="J23" s="337">
        <f t="shared" si="13"/>
        <v>0.33333333333333337</v>
      </c>
      <c r="K23" s="226">
        <v>0.375</v>
      </c>
      <c r="L23" s="180">
        <v>0.58333333333333337</v>
      </c>
      <c r="M23" s="181">
        <v>0.625</v>
      </c>
      <c r="N23" s="27">
        <v>0.75</v>
      </c>
      <c r="O23" s="337">
        <f t="shared" si="14"/>
        <v>0.33333333333333337</v>
      </c>
      <c r="P23" s="226">
        <v>0.375</v>
      </c>
      <c r="Q23" s="180">
        <v>0.58333333333333337</v>
      </c>
      <c r="R23" s="181">
        <v>0.625</v>
      </c>
      <c r="S23" s="27">
        <v>0.75</v>
      </c>
      <c r="T23" s="337">
        <f t="shared" si="15"/>
        <v>0.33333333333333337</v>
      </c>
      <c r="U23" s="225">
        <v>0.375</v>
      </c>
      <c r="V23" s="180">
        <v>0.58333333333333337</v>
      </c>
      <c r="W23" s="181">
        <v>0.625</v>
      </c>
      <c r="X23" s="27">
        <v>0.75</v>
      </c>
      <c r="Y23" s="337">
        <f t="shared" si="16"/>
        <v>0.33333333333333337</v>
      </c>
      <c r="Z23" s="226">
        <v>0.375</v>
      </c>
      <c r="AA23" s="180">
        <v>0.58333333333333337</v>
      </c>
      <c r="AB23" s="181">
        <v>0.625</v>
      </c>
      <c r="AC23" s="27">
        <v>0.75</v>
      </c>
      <c r="AD23" s="337">
        <f t="shared" si="18"/>
        <v>0.33333333333333337</v>
      </c>
      <c r="AE23" s="74" t="s">
        <v>15</v>
      </c>
      <c r="AF23" s="127" t="s">
        <v>15</v>
      </c>
      <c r="AG23" s="127" t="s">
        <v>15</v>
      </c>
      <c r="AH23" s="74" t="s">
        <v>15</v>
      </c>
      <c r="AI23" s="337" t="str">
        <f t="shared" si="19"/>
        <v/>
      </c>
      <c r="AJ23" s="74" t="s">
        <v>15</v>
      </c>
      <c r="AK23" s="127" t="s">
        <v>15</v>
      </c>
      <c r="AL23" s="127" t="s">
        <v>15</v>
      </c>
      <c r="AM23" s="74" t="s">
        <v>15</v>
      </c>
      <c r="AN23" s="337" t="str">
        <f t="shared" si="17"/>
        <v/>
      </c>
      <c r="AO23" s="198">
        <f t="shared" si="7"/>
        <v>1.666666666666667</v>
      </c>
      <c r="AP23" s="30"/>
      <c r="AQ23" s="30"/>
    </row>
    <row r="24" spans="1:53" ht="14.25" customHeight="1" x14ac:dyDescent="0.25">
      <c r="B24" s="67" t="s">
        <v>571</v>
      </c>
      <c r="C24" s="105" t="s">
        <v>565</v>
      </c>
      <c r="D24" s="199" t="s">
        <v>366</v>
      </c>
      <c r="E24" s="362" t="s">
        <v>569</v>
      </c>
      <c r="F24" s="226">
        <v>0.375</v>
      </c>
      <c r="G24" s="180">
        <v>0.45833333333333331</v>
      </c>
      <c r="H24" s="181">
        <v>0.5</v>
      </c>
      <c r="I24" s="27">
        <v>0.75</v>
      </c>
      <c r="J24" s="337">
        <f t="shared" si="13"/>
        <v>0.33333333333333331</v>
      </c>
      <c r="K24" s="226">
        <v>0.375</v>
      </c>
      <c r="L24" s="180">
        <v>0.58333333333333337</v>
      </c>
      <c r="M24" s="181">
        <v>0.625</v>
      </c>
      <c r="N24" s="27">
        <v>0.75</v>
      </c>
      <c r="O24" s="337">
        <f t="shared" si="14"/>
        <v>0.33333333333333337</v>
      </c>
      <c r="P24" s="226">
        <v>0.375</v>
      </c>
      <c r="Q24" s="180">
        <v>0.58333333333333337</v>
      </c>
      <c r="R24" s="181">
        <v>0.625</v>
      </c>
      <c r="S24" s="27">
        <v>0.75</v>
      </c>
      <c r="T24" s="337">
        <f t="shared" si="15"/>
        <v>0.33333333333333337</v>
      </c>
      <c r="U24" s="226">
        <v>0.375</v>
      </c>
      <c r="V24" s="180">
        <v>0.58333333333333337</v>
      </c>
      <c r="W24" s="181">
        <v>0.625</v>
      </c>
      <c r="X24" s="27">
        <v>0.75</v>
      </c>
      <c r="Y24" s="337">
        <f t="shared" si="16"/>
        <v>0.33333333333333337</v>
      </c>
      <c r="Z24" s="226">
        <v>0.375</v>
      </c>
      <c r="AA24" s="180">
        <v>0.58333333333333337</v>
      </c>
      <c r="AB24" s="181">
        <v>0.625</v>
      </c>
      <c r="AC24" s="27">
        <v>0.75</v>
      </c>
      <c r="AD24" s="337">
        <f t="shared" si="18"/>
        <v>0.33333333333333337</v>
      </c>
      <c r="AE24" s="74" t="s">
        <v>15</v>
      </c>
      <c r="AF24" s="127" t="s">
        <v>15</v>
      </c>
      <c r="AG24" s="127" t="s">
        <v>15</v>
      </c>
      <c r="AH24" s="74" t="s">
        <v>15</v>
      </c>
      <c r="AI24" s="337" t="str">
        <f t="shared" si="19"/>
        <v/>
      </c>
      <c r="AJ24" s="74" t="s">
        <v>15</v>
      </c>
      <c r="AK24" s="127" t="s">
        <v>15</v>
      </c>
      <c r="AL24" s="127" t="s">
        <v>15</v>
      </c>
      <c r="AM24" s="74" t="s">
        <v>15</v>
      </c>
      <c r="AN24" s="337" t="str">
        <f t="shared" si="17"/>
        <v/>
      </c>
      <c r="AO24" s="198">
        <f t="shared" si="7"/>
        <v>1.666666666666667</v>
      </c>
      <c r="AT24" s="31"/>
      <c r="AU24" s="31"/>
      <c r="AV24" s="31"/>
      <c r="AW24" s="31"/>
      <c r="AX24" s="31"/>
      <c r="AY24" s="31"/>
      <c r="AZ24" s="31"/>
      <c r="BA24" s="31"/>
    </row>
    <row r="25" spans="1:53" ht="15" x14ac:dyDescent="0.25">
      <c r="A25" s="201"/>
      <c r="B25" s="350" t="s">
        <v>332</v>
      </c>
      <c r="C25" s="361" t="s">
        <v>565</v>
      </c>
      <c r="D25" s="342" t="s">
        <v>85</v>
      </c>
      <c r="E25" s="347" t="s">
        <v>558</v>
      </c>
      <c r="F25" s="182">
        <v>0.375</v>
      </c>
      <c r="G25" s="181">
        <v>0.45833333333333331</v>
      </c>
      <c r="H25" s="181">
        <v>0.5</v>
      </c>
      <c r="I25" s="96">
        <v>0.75</v>
      </c>
      <c r="J25" s="73">
        <f t="shared" si="13"/>
        <v>0.33333333333333331</v>
      </c>
      <c r="K25" s="226">
        <v>0.375</v>
      </c>
      <c r="L25" s="180">
        <v>0.45833333333333331</v>
      </c>
      <c r="M25" s="181">
        <v>0.5</v>
      </c>
      <c r="N25" s="27">
        <v>0.75</v>
      </c>
      <c r="O25" s="73">
        <f t="shared" si="14"/>
        <v>0.33333333333333331</v>
      </c>
      <c r="P25" s="74" t="s">
        <v>15</v>
      </c>
      <c r="Q25" s="129" t="s">
        <v>15</v>
      </c>
      <c r="R25" s="127" t="s">
        <v>15</v>
      </c>
      <c r="S25" s="75" t="s">
        <v>15</v>
      </c>
      <c r="T25" s="73" t="str">
        <f t="shared" si="15"/>
        <v/>
      </c>
      <c r="U25" s="74" t="s">
        <v>15</v>
      </c>
      <c r="V25" s="129" t="s">
        <v>15</v>
      </c>
      <c r="W25" s="127" t="s">
        <v>15</v>
      </c>
      <c r="X25" s="75" t="s">
        <v>15</v>
      </c>
      <c r="Y25" s="73" t="str">
        <f t="shared" si="16"/>
        <v/>
      </c>
      <c r="Z25" s="226">
        <v>0.375</v>
      </c>
      <c r="AA25" s="180">
        <v>0.58333333333333337</v>
      </c>
      <c r="AB25" s="181">
        <v>0.625</v>
      </c>
      <c r="AC25" s="27">
        <v>0.75</v>
      </c>
      <c r="AD25" s="337">
        <f t="shared" si="18"/>
        <v>0.33333333333333337</v>
      </c>
      <c r="AE25" s="182">
        <v>0.375</v>
      </c>
      <c r="AF25" s="181">
        <v>0.58333333333333337</v>
      </c>
      <c r="AG25" s="181">
        <v>0.625</v>
      </c>
      <c r="AH25" s="96">
        <v>0.75</v>
      </c>
      <c r="AI25" s="337">
        <f t="shared" si="19"/>
        <v>0.33333333333333337</v>
      </c>
      <c r="AJ25" s="182">
        <v>0.375</v>
      </c>
      <c r="AK25" s="181">
        <v>0.5</v>
      </c>
      <c r="AL25" s="181">
        <v>0.54166666666666663</v>
      </c>
      <c r="AM25" s="96">
        <v>0.75</v>
      </c>
      <c r="AN25" s="73">
        <f t="shared" si="17"/>
        <v>0.33333333333333337</v>
      </c>
      <c r="AO25" s="28">
        <f t="shared" si="7"/>
        <v>1.666666666666667</v>
      </c>
    </row>
    <row r="26" spans="1:53" ht="15" x14ac:dyDescent="0.25">
      <c r="A26" s="201"/>
      <c r="B26" s="350" t="s">
        <v>552</v>
      </c>
      <c r="C26" s="361" t="s">
        <v>565</v>
      </c>
      <c r="D26" s="342" t="s">
        <v>85</v>
      </c>
      <c r="E26" s="343" t="s">
        <v>554</v>
      </c>
      <c r="F26" s="226">
        <v>0.375</v>
      </c>
      <c r="G26" s="180">
        <v>0.45833333333333331</v>
      </c>
      <c r="H26" s="181">
        <v>0.5</v>
      </c>
      <c r="I26" s="27">
        <v>0.75</v>
      </c>
      <c r="J26" s="73">
        <f t="shared" ref="J26:J33" si="20">IFERROR(MOD(I26-F26,1)-(H26-G26),"")</f>
        <v>0.33333333333333331</v>
      </c>
      <c r="K26" s="138">
        <v>0.375</v>
      </c>
      <c r="L26" s="180">
        <v>0.5</v>
      </c>
      <c r="M26" s="181">
        <v>0.54166666666666663</v>
      </c>
      <c r="N26" s="139">
        <v>0.75</v>
      </c>
      <c r="O26" s="73">
        <f t="shared" ref="O26:O33" si="21">IFERROR(MOD(N26-K26,1)-(M26-L26),"")</f>
        <v>0.33333333333333337</v>
      </c>
      <c r="P26" s="74" t="s">
        <v>15</v>
      </c>
      <c r="Q26" s="129" t="s">
        <v>15</v>
      </c>
      <c r="R26" s="127" t="s">
        <v>15</v>
      </c>
      <c r="S26" s="75" t="s">
        <v>15</v>
      </c>
      <c r="T26" s="73" t="str">
        <f t="shared" ref="T26:T33" si="22">IFERROR(MOD(S26-P26,1)-(R26-Q26),"")</f>
        <v/>
      </c>
      <c r="U26" s="74" t="s">
        <v>15</v>
      </c>
      <c r="V26" s="129" t="s">
        <v>15</v>
      </c>
      <c r="W26" s="127" t="s">
        <v>15</v>
      </c>
      <c r="X26" s="75" t="s">
        <v>15</v>
      </c>
      <c r="Y26" s="73" t="str">
        <f t="shared" ref="Y26:Y33" si="23">IFERROR(MOD(X26-U26,1)-(W26-V26),"")</f>
        <v/>
      </c>
      <c r="Z26" s="138">
        <v>0.375</v>
      </c>
      <c r="AA26" s="180">
        <v>0.5</v>
      </c>
      <c r="AB26" s="181">
        <v>0.54166666666666663</v>
      </c>
      <c r="AC26" s="139">
        <v>0.75</v>
      </c>
      <c r="AD26" s="337">
        <f t="shared" si="18"/>
        <v>0.33333333333333337</v>
      </c>
      <c r="AE26" s="138">
        <v>0.375</v>
      </c>
      <c r="AF26" s="180">
        <v>0.5</v>
      </c>
      <c r="AG26" s="181">
        <v>0.54166666666666663</v>
      </c>
      <c r="AH26" s="139">
        <v>0.75</v>
      </c>
      <c r="AI26" s="337">
        <f t="shared" si="19"/>
        <v>0.33333333333333337</v>
      </c>
      <c r="AJ26" s="138">
        <v>0.375</v>
      </c>
      <c r="AK26" s="180">
        <v>0.58333333333333337</v>
      </c>
      <c r="AL26" s="181">
        <v>0.625</v>
      </c>
      <c r="AM26" s="139">
        <v>0.75</v>
      </c>
      <c r="AN26" s="73">
        <f t="shared" ref="AN26:AN33" si="24">IFERROR(MOD(AM26-AJ26,1)-(AL26-AK26),"")</f>
        <v>0.33333333333333337</v>
      </c>
      <c r="AO26" s="28">
        <f t="shared" si="7"/>
        <v>1.666666666666667</v>
      </c>
    </row>
    <row r="27" spans="1:53" ht="15" x14ac:dyDescent="0.25">
      <c r="A27" s="201"/>
      <c r="B27" s="350" t="s">
        <v>557</v>
      </c>
      <c r="C27" s="361" t="s">
        <v>565</v>
      </c>
      <c r="D27" s="342" t="s">
        <v>85</v>
      </c>
      <c r="E27" s="346" t="s">
        <v>555</v>
      </c>
      <c r="F27" s="138">
        <v>0.375</v>
      </c>
      <c r="G27" s="180">
        <v>0.45833333333333331</v>
      </c>
      <c r="H27" s="181">
        <v>0.5</v>
      </c>
      <c r="I27" s="139">
        <v>0.75</v>
      </c>
      <c r="J27" s="73">
        <f t="shared" si="20"/>
        <v>0.33333333333333331</v>
      </c>
      <c r="K27" s="138">
        <v>0.375</v>
      </c>
      <c r="L27" s="180">
        <v>0.54166666666666663</v>
      </c>
      <c r="M27" s="181">
        <v>0.58333333333333337</v>
      </c>
      <c r="N27" s="139">
        <v>0.75</v>
      </c>
      <c r="O27" s="73">
        <f t="shared" si="21"/>
        <v>0.33333333333333326</v>
      </c>
      <c r="P27" s="74" t="s">
        <v>15</v>
      </c>
      <c r="Q27" s="129" t="s">
        <v>15</v>
      </c>
      <c r="R27" s="127" t="s">
        <v>15</v>
      </c>
      <c r="S27" s="75" t="s">
        <v>15</v>
      </c>
      <c r="T27" s="73" t="str">
        <f t="shared" si="22"/>
        <v/>
      </c>
      <c r="U27" s="74" t="s">
        <v>15</v>
      </c>
      <c r="V27" s="129" t="s">
        <v>15</v>
      </c>
      <c r="W27" s="127" t="s">
        <v>15</v>
      </c>
      <c r="X27" s="75" t="s">
        <v>15</v>
      </c>
      <c r="Y27" s="73" t="str">
        <f t="shared" si="23"/>
        <v/>
      </c>
      <c r="Z27" s="138">
        <v>0.375</v>
      </c>
      <c r="AA27" s="179">
        <v>0.45833333333333331</v>
      </c>
      <c r="AB27" s="180">
        <v>0.5</v>
      </c>
      <c r="AC27" s="139">
        <v>0.75</v>
      </c>
      <c r="AD27" s="337">
        <f t="shared" si="18"/>
        <v>0.33333333333333331</v>
      </c>
      <c r="AE27" s="138">
        <v>0.375</v>
      </c>
      <c r="AF27" s="180">
        <v>0.58333333333333337</v>
      </c>
      <c r="AG27" s="181">
        <v>0.625</v>
      </c>
      <c r="AH27" s="139">
        <v>0.75</v>
      </c>
      <c r="AI27" s="337">
        <f t="shared" si="19"/>
        <v>0.33333333333333337</v>
      </c>
      <c r="AJ27" s="226">
        <v>0.375</v>
      </c>
      <c r="AK27" s="180">
        <v>0.45833333333333331</v>
      </c>
      <c r="AL27" s="181">
        <v>0.5</v>
      </c>
      <c r="AM27" s="27">
        <v>0.75</v>
      </c>
      <c r="AN27" s="73">
        <f t="shared" si="24"/>
        <v>0.33333333333333331</v>
      </c>
      <c r="AO27" s="28">
        <f t="shared" si="7"/>
        <v>1.6666666666666663</v>
      </c>
    </row>
    <row r="28" spans="1:53" ht="15" x14ac:dyDescent="0.25">
      <c r="A28" s="201"/>
      <c r="B28" s="350" t="s">
        <v>572</v>
      </c>
      <c r="C28" s="361" t="s">
        <v>565</v>
      </c>
      <c r="D28" s="342" t="s">
        <v>85</v>
      </c>
      <c r="E28" s="346"/>
      <c r="F28" s="74" t="s">
        <v>15</v>
      </c>
      <c r="G28" s="129" t="s">
        <v>15</v>
      </c>
      <c r="H28" s="127" t="s">
        <v>15</v>
      </c>
      <c r="I28" s="75" t="s">
        <v>15</v>
      </c>
      <c r="J28" s="73" t="str">
        <f t="shared" si="20"/>
        <v/>
      </c>
      <c r="K28" s="138">
        <v>0.375</v>
      </c>
      <c r="L28" s="180">
        <v>0.54166666666666663</v>
      </c>
      <c r="M28" s="181">
        <v>0.58333333333333337</v>
      </c>
      <c r="N28" s="139">
        <v>0.75</v>
      </c>
      <c r="O28" s="73">
        <f t="shared" si="21"/>
        <v>0.33333333333333326</v>
      </c>
      <c r="P28" s="138">
        <v>0.375</v>
      </c>
      <c r="Q28" s="181">
        <v>0.54166666666666663</v>
      </c>
      <c r="R28" s="181">
        <v>0.58333333333333337</v>
      </c>
      <c r="S28" s="139">
        <v>0.75</v>
      </c>
      <c r="T28" s="73">
        <f t="shared" si="22"/>
        <v>0.33333333333333326</v>
      </c>
      <c r="U28" s="226">
        <v>0.375</v>
      </c>
      <c r="V28" s="180">
        <v>0.45833333333333331</v>
      </c>
      <c r="W28" s="181">
        <v>0.5</v>
      </c>
      <c r="X28" s="27">
        <v>0.75</v>
      </c>
      <c r="Y28" s="73">
        <f t="shared" si="23"/>
        <v>0.33333333333333331</v>
      </c>
      <c r="Z28" s="138">
        <v>0.375</v>
      </c>
      <c r="AA28" s="179">
        <v>0.45833333333333331</v>
      </c>
      <c r="AB28" s="180">
        <v>0.5</v>
      </c>
      <c r="AC28" s="139">
        <v>0.75</v>
      </c>
      <c r="AD28" s="337">
        <f t="shared" si="18"/>
        <v>0.33333333333333331</v>
      </c>
      <c r="AE28" s="138">
        <v>0.375</v>
      </c>
      <c r="AF28" s="180">
        <v>0.58333333333333337</v>
      </c>
      <c r="AG28" s="181">
        <v>0.625</v>
      </c>
      <c r="AH28" s="139">
        <v>0.75</v>
      </c>
      <c r="AI28" s="337">
        <f t="shared" si="19"/>
        <v>0.33333333333333337</v>
      </c>
      <c r="AJ28" s="74" t="s">
        <v>15</v>
      </c>
      <c r="AK28" s="129" t="s">
        <v>15</v>
      </c>
      <c r="AL28" s="127" t="s">
        <v>15</v>
      </c>
      <c r="AM28" s="75" t="s">
        <v>15</v>
      </c>
      <c r="AN28" s="73" t="str">
        <f t="shared" si="24"/>
        <v/>
      </c>
      <c r="AO28" s="28">
        <f t="shared" si="7"/>
        <v>1.6666666666666665</v>
      </c>
    </row>
    <row r="29" spans="1:53" ht="15" x14ac:dyDescent="0.25">
      <c r="A29" s="201"/>
      <c r="B29" s="350" t="s">
        <v>573</v>
      </c>
      <c r="C29" s="361" t="s">
        <v>565</v>
      </c>
      <c r="D29" s="342" t="s">
        <v>85</v>
      </c>
      <c r="E29" s="344"/>
      <c r="F29" s="138" t="s">
        <v>156</v>
      </c>
      <c r="G29" s="180" t="s">
        <v>156</v>
      </c>
      <c r="H29" s="181" t="s">
        <v>156</v>
      </c>
      <c r="I29" s="139" t="s">
        <v>156</v>
      </c>
      <c r="J29" s="73" t="str">
        <f t="shared" si="20"/>
        <v/>
      </c>
      <c r="K29" s="138" t="s">
        <v>156</v>
      </c>
      <c r="L29" s="180" t="s">
        <v>156</v>
      </c>
      <c r="M29" s="181" t="s">
        <v>156</v>
      </c>
      <c r="N29" s="139" t="s">
        <v>156</v>
      </c>
      <c r="O29" s="73" t="str">
        <f t="shared" si="21"/>
        <v/>
      </c>
      <c r="P29" s="138" t="s">
        <v>156</v>
      </c>
      <c r="Q29" s="180" t="s">
        <v>156</v>
      </c>
      <c r="R29" s="181" t="s">
        <v>156</v>
      </c>
      <c r="S29" s="139" t="s">
        <v>156</v>
      </c>
      <c r="T29" s="73" t="str">
        <f t="shared" si="22"/>
        <v/>
      </c>
      <c r="U29" s="138" t="s">
        <v>156</v>
      </c>
      <c r="V29" s="180" t="s">
        <v>156</v>
      </c>
      <c r="W29" s="181" t="s">
        <v>156</v>
      </c>
      <c r="X29" s="139" t="s">
        <v>156</v>
      </c>
      <c r="Y29" s="73" t="str">
        <f t="shared" si="23"/>
        <v/>
      </c>
      <c r="Z29" s="138" t="s">
        <v>156</v>
      </c>
      <c r="AA29" s="180" t="s">
        <v>156</v>
      </c>
      <c r="AB29" s="181" t="s">
        <v>156</v>
      </c>
      <c r="AC29" s="139" t="s">
        <v>156</v>
      </c>
      <c r="AD29" s="73" t="str">
        <f>IFERROR(MOD(AC29-Z29,1)-(AB29-AA29),"")</f>
        <v/>
      </c>
      <c r="AE29" s="138" t="s">
        <v>156</v>
      </c>
      <c r="AF29" s="180" t="s">
        <v>156</v>
      </c>
      <c r="AG29" s="181" t="s">
        <v>156</v>
      </c>
      <c r="AH29" s="139" t="s">
        <v>156</v>
      </c>
      <c r="AI29" s="73" t="str">
        <f>IFERROR(MOD(AH29-AE29,1)-(AG29-AF29),"")</f>
        <v/>
      </c>
      <c r="AJ29" s="138" t="s">
        <v>156</v>
      </c>
      <c r="AK29" s="180" t="s">
        <v>156</v>
      </c>
      <c r="AL29" s="181" t="s">
        <v>156</v>
      </c>
      <c r="AM29" s="139" t="s">
        <v>156</v>
      </c>
      <c r="AN29" s="73" t="str">
        <f t="shared" si="24"/>
        <v/>
      </c>
      <c r="AO29" s="28">
        <f t="shared" si="7"/>
        <v>0</v>
      </c>
    </row>
    <row r="30" spans="1:53" ht="15" x14ac:dyDescent="0.25">
      <c r="A30" s="201"/>
      <c r="B30" s="350" t="s">
        <v>544</v>
      </c>
      <c r="C30" s="361" t="s">
        <v>565</v>
      </c>
      <c r="D30" s="342" t="s">
        <v>85</v>
      </c>
      <c r="E30" s="344" t="s">
        <v>559</v>
      </c>
      <c r="F30" s="220">
        <v>0.375</v>
      </c>
      <c r="G30" s="179">
        <v>0.54166666666666663</v>
      </c>
      <c r="H30" s="180">
        <v>0.58333333333333337</v>
      </c>
      <c r="I30" s="100">
        <v>0.75</v>
      </c>
      <c r="J30" s="73">
        <f t="shared" si="20"/>
        <v>0.33333333333333326</v>
      </c>
      <c r="K30" s="226">
        <v>0.375</v>
      </c>
      <c r="L30" s="180">
        <v>0.45833333333333331</v>
      </c>
      <c r="M30" s="181">
        <v>0.5</v>
      </c>
      <c r="N30" s="27">
        <v>0.75</v>
      </c>
      <c r="O30" s="73">
        <f t="shared" si="21"/>
        <v>0.33333333333333331</v>
      </c>
      <c r="P30" s="138">
        <v>0.375</v>
      </c>
      <c r="Q30" s="180">
        <v>0.5</v>
      </c>
      <c r="R30" s="181">
        <v>0.54166666666666663</v>
      </c>
      <c r="S30" s="139">
        <v>0.75</v>
      </c>
      <c r="T30" s="73">
        <f t="shared" si="22"/>
        <v>0.33333333333333337</v>
      </c>
      <c r="U30" s="74" t="s">
        <v>15</v>
      </c>
      <c r="V30" s="129" t="s">
        <v>15</v>
      </c>
      <c r="W30" s="127" t="s">
        <v>15</v>
      </c>
      <c r="X30" s="75" t="s">
        <v>15</v>
      </c>
      <c r="Y30" s="73" t="str">
        <f t="shared" si="23"/>
        <v/>
      </c>
      <c r="Z30" s="74" t="s">
        <v>15</v>
      </c>
      <c r="AA30" s="129" t="s">
        <v>15</v>
      </c>
      <c r="AB30" s="127" t="s">
        <v>15</v>
      </c>
      <c r="AC30" s="75" t="s">
        <v>15</v>
      </c>
      <c r="AD30" s="73" t="str">
        <f>IFERROR(MOD(AC30-Z30,1)-(AB30-AA30),"")</f>
        <v/>
      </c>
      <c r="AE30" s="226">
        <v>0.375</v>
      </c>
      <c r="AF30" s="180">
        <v>0.45833333333333331</v>
      </c>
      <c r="AG30" s="181">
        <v>0.5</v>
      </c>
      <c r="AH30" s="27">
        <v>0.75</v>
      </c>
      <c r="AI30" s="73">
        <f>IFERROR(MOD(AH30-AE30,1)-(AG30-AF30),"")</f>
        <v>0.33333333333333331</v>
      </c>
      <c r="AJ30" s="182">
        <v>0.375</v>
      </c>
      <c r="AK30" s="181">
        <v>0.58333333333333337</v>
      </c>
      <c r="AL30" s="181">
        <v>0.625</v>
      </c>
      <c r="AM30" s="96">
        <v>0.75</v>
      </c>
      <c r="AN30" s="73">
        <f t="shared" si="24"/>
        <v>0.33333333333333337</v>
      </c>
      <c r="AO30" s="28">
        <f t="shared" si="7"/>
        <v>1.6666666666666665</v>
      </c>
    </row>
    <row r="31" spans="1:53" ht="15" x14ac:dyDescent="0.25">
      <c r="A31" s="201"/>
      <c r="B31" s="350" t="s">
        <v>566</v>
      </c>
      <c r="C31" s="361" t="s">
        <v>565</v>
      </c>
      <c r="D31" s="342" t="s">
        <v>85</v>
      </c>
      <c r="E31" s="344"/>
      <c r="F31" s="220">
        <v>0.375</v>
      </c>
      <c r="G31" s="179">
        <v>0.54166666666666663</v>
      </c>
      <c r="H31" s="180">
        <v>0.58333333333333337</v>
      </c>
      <c r="I31" s="100">
        <v>0.75</v>
      </c>
      <c r="J31" s="73">
        <f t="shared" si="20"/>
        <v>0.33333333333333326</v>
      </c>
      <c r="K31" s="226">
        <v>0.375</v>
      </c>
      <c r="L31" s="180">
        <v>0.45833333333333331</v>
      </c>
      <c r="M31" s="181">
        <v>0.5</v>
      </c>
      <c r="N31" s="27">
        <v>0.75</v>
      </c>
      <c r="O31" s="73">
        <f t="shared" si="21"/>
        <v>0.33333333333333331</v>
      </c>
      <c r="P31" s="138">
        <v>0.375</v>
      </c>
      <c r="Q31" s="180">
        <v>0.5</v>
      </c>
      <c r="R31" s="181">
        <v>0.54166666666666663</v>
      </c>
      <c r="S31" s="139">
        <v>0.75</v>
      </c>
      <c r="T31" s="73">
        <f t="shared" si="22"/>
        <v>0.33333333333333337</v>
      </c>
      <c r="U31" s="74" t="s">
        <v>15</v>
      </c>
      <c r="V31" s="129" t="s">
        <v>15</v>
      </c>
      <c r="W31" s="127" t="s">
        <v>15</v>
      </c>
      <c r="X31" s="75" t="s">
        <v>15</v>
      </c>
      <c r="Y31" s="73" t="str">
        <f t="shared" si="23"/>
        <v/>
      </c>
      <c r="Z31" s="74" t="s">
        <v>15</v>
      </c>
      <c r="AA31" s="129" t="s">
        <v>15</v>
      </c>
      <c r="AB31" s="127" t="s">
        <v>15</v>
      </c>
      <c r="AC31" s="75" t="s">
        <v>15</v>
      </c>
      <c r="AD31" s="73" t="str">
        <f>IFERROR(MOD(AC31-Z31,1)-(AB31-AA31),"")</f>
        <v/>
      </c>
      <c r="AE31" s="226">
        <v>0.375</v>
      </c>
      <c r="AF31" s="180">
        <v>0.45833333333333331</v>
      </c>
      <c r="AG31" s="181">
        <v>0.5</v>
      </c>
      <c r="AH31" s="27">
        <v>0.75</v>
      </c>
      <c r="AI31" s="73">
        <f>IFERROR(MOD(AH31-AE31,1)-(AG31-AF31),"")</f>
        <v>0.33333333333333331</v>
      </c>
      <c r="AJ31" s="182">
        <v>0.375</v>
      </c>
      <c r="AK31" s="181">
        <v>0.58333333333333337</v>
      </c>
      <c r="AL31" s="181">
        <v>0.625</v>
      </c>
      <c r="AM31" s="96">
        <v>0.75</v>
      </c>
      <c r="AN31" s="73">
        <f t="shared" si="24"/>
        <v>0.33333333333333337</v>
      </c>
      <c r="AO31" s="28">
        <f t="shared" si="7"/>
        <v>1.6666666666666665</v>
      </c>
    </row>
    <row r="32" spans="1:53" s="31" customFormat="1" ht="14.25" customHeight="1" x14ac:dyDescent="0.2">
      <c r="A32" s="202"/>
      <c r="B32" s="363" t="s">
        <v>337</v>
      </c>
      <c r="C32" s="105" t="s">
        <v>574</v>
      </c>
      <c r="D32" s="223"/>
      <c r="E32" s="35" t="s">
        <v>400</v>
      </c>
      <c r="F32" s="226">
        <v>0.375</v>
      </c>
      <c r="G32" s="180">
        <v>0.45833333333333331</v>
      </c>
      <c r="H32" s="181">
        <v>0.5</v>
      </c>
      <c r="I32" s="27">
        <v>0.75</v>
      </c>
      <c r="J32" s="337">
        <f t="shared" si="20"/>
        <v>0.33333333333333331</v>
      </c>
      <c r="K32" s="74" t="s">
        <v>15</v>
      </c>
      <c r="L32" s="127" t="s">
        <v>15</v>
      </c>
      <c r="M32" s="127" t="s">
        <v>15</v>
      </c>
      <c r="N32" s="75" t="s">
        <v>15</v>
      </c>
      <c r="O32" s="337" t="str">
        <f t="shared" si="21"/>
        <v/>
      </c>
      <c r="P32" s="74" t="s">
        <v>15</v>
      </c>
      <c r="Q32" s="127" t="s">
        <v>15</v>
      </c>
      <c r="R32" s="127" t="s">
        <v>15</v>
      </c>
      <c r="S32" s="75" t="s">
        <v>15</v>
      </c>
      <c r="T32" s="337" t="str">
        <f t="shared" si="22"/>
        <v/>
      </c>
      <c r="U32" s="182">
        <v>0.375</v>
      </c>
      <c r="V32" s="181">
        <v>0.5</v>
      </c>
      <c r="W32" s="181">
        <v>0.54166666666666663</v>
      </c>
      <c r="X32" s="96">
        <v>0.75</v>
      </c>
      <c r="Y32" s="337">
        <f t="shared" si="23"/>
        <v>0.33333333333333337</v>
      </c>
      <c r="Z32" s="182">
        <v>0.375</v>
      </c>
      <c r="AA32" s="181">
        <v>0.5</v>
      </c>
      <c r="AB32" s="181">
        <v>0.54166666666666663</v>
      </c>
      <c r="AC32" s="96">
        <v>0.75</v>
      </c>
      <c r="AD32" s="337">
        <f>IFERROR(MOD(AC32-Z32,1)-(AB32-AA32),"")</f>
        <v>0.33333333333333337</v>
      </c>
      <c r="AE32" s="138">
        <v>0.375</v>
      </c>
      <c r="AF32" s="180">
        <v>0.58333333333333337</v>
      </c>
      <c r="AG32" s="181">
        <v>0.625</v>
      </c>
      <c r="AH32" s="139">
        <v>0.75</v>
      </c>
      <c r="AI32" s="337">
        <f>IFERROR(MOD(AH32-AE32,1)-(AG32-AF32),"")</f>
        <v>0.33333333333333337</v>
      </c>
      <c r="AJ32" s="226">
        <v>0.375</v>
      </c>
      <c r="AK32" s="180">
        <v>0.58333333333333337</v>
      </c>
      <c r="AL32" s="181">
        <v>0.625</v>
      </c>
      <c r="AM32" s="27">
        <v>0.75</v>
      </c>
      <c r="AN32" s="337">
        <f t="shared" si="24"/>
        <v>0.33333333333333337</v>
      </c>
      <c r="AO32" s="198">
        <f t="shared" si="7"/>
        <v>1.666666666666667</v>
      </c>
      <c r="AP32" s="30"/>
      <c r="AQ32" s="30"/>
    </row>
    <row r="33" spans="1:53" s="31" customFormat="1" ht="14.25" customHeight="1" x14ac:dyDescent="0.2">
      <c r="A33" s="202"/>
      <c r="B33" s="363" t="s">
        <v>339</v>
      </c>
      <c r="C33" s="105" t="s">
        <v>574</v>
      </c>
      <c r="D33" s="223"/>
      <c r="E33" s="35" t="s">
        <v>523</v>
      </c>
      <c r="F33" s="224" t="s">
        <v>15</v>
      </c>
      <c r="G33" s="127" t="s">
        <v>15</v>
      </c>
      <c r="H33" s="159" t="s">
        <v>15</v>
      </c>
      <c r="I33" s="74" t="s">
        <v>15</v>
      </c>
      <c r="J33" s="337" t="str">
        <f t="shared" si="20"/>
        <v/>
      </c>
      <c r="K33" s="220">
        <v>0.5</v>
      </c>
      <c r="L33" s="327"/>
      <c r="M33" s="327"/>
      <c r="N33" s="27">
        <v>0.625</v>
      </c>
      <c r="O33" s="337">
        <f t="shared" si="21"/>
        <v>0.125</v>
      </c>
      <c r="P33" s="220">
        <v>0.5</v>
      </c>
      <c r="Q33" s="327"/>
      <c r="R33" s="327"/>
      <c r="S33" s="27">
        <v>0.625</v>
      </c>
      <c r="T33" s="337">
        <f t="shared" si="22"/>
        <v>0.125</v>
      </c>
      <c r="U33" s="220">
        <v>0.5</v>
      </c>
      <c r="V33" s="327"/>
      <c r="W33" s="327"/>
      <c r="X33" s="27">
        <v>0.625</v>
      </c>
      <c r="Y33" s="337">
        <f t="shared" si="23"/>
        <v>0.125</v>
      </c>
      <c r="Z33" s="220">
        <v>0.5</v>
      </c>
      <c r="AA33" s="327"/>
      <c r="AB33" s="327"/>
      <c r="AC33" s="27">
        <v>0.625</v>
      </c>
      <c r="AD33" s="337">
        <f>IFERROR(MOD(AC33-Z33,1)-(AB33-AA33),"")</f>
        <v>0.125</v>
      </c>
      <c r="AE33" s="220">
        <v>0.5</v>
      </c>
      <c r="AF33" s="327"/>
      <c r="AG33" s="327"/>
      <c r="AH33" s="27">
        <v>0.625</v>
      </c>
      <c r="AI33" s="337">
        <f>IFERROR(MOD(AH33-AE33,1)-(AG33-AF33),"")</f>
        <v>0.125</v>
      </c>
      <c r="AJ33" s="224" t="s">
        <v>15</v>
      </c>
      <c r="AK33" s="127" t="s">
        <v>15</v>
      </c>
      <c r="AL33" s="159" t="s">
        <v>15</v>
      </c>
      <c r="AM33" s="74" t="s">
        <v>15</v>
      </c>
      <c r="AN33" s="337" t="str">
        <f t="shared" si="24"/>
        <v/>
      </c>
      <c r="AO33" s="198">
        <f t="shared" si="7"/>
        <v>0.625</v>
      </c>
      <c r="AP33" s="30"/>
      <c r="AQ33" s="30"/>
    </row>
    <row r="34" spans="1:53" ht="14.25" customHeight="1" x14ac:dyDescent="0.25">
      <c r="A34" s="71"/>
      <c r="C34" s="102"/>
      <c r="D34" s="178" t="s">
        <v>366</v>
      </c>
      <c r="AT34" s="31"/>
      <c r="AU34" s="31"/>
      <c r="AV34" s="31"/>
      <c r="AW34" s="31"/>
      <c r="AX34" s="31"/>
      <c r="AY34" s="31"/>
      <c r="AZ34" s="31"/>
      <c r="BA34" s="31"/>
    </row>
    <row r="35" spans="1:53" s="31" customFormat="1" ht="14.25" customHeight="1" x14ac:dyDescent="0.2">
      <c r="A35" s="59" t="s">
        <v>292</v>
      </c>
      <c r="B35" s="67" t="s">
        <v>356</v>
      </c>
      <c r="C35" s="59"/>
      <c r="D35" s="142" t="s">
        <v>363</v>
      </c>
      <c r="E35" s="300" t="s">
        <v>404</v>
      </c>
      <c r="F35" s="226">
        <v>0.375</v>
      </c>
      <c r="G35" s="180">
        <v>0.45833333333333331</v>
      </c>
      <c r="H35" s="181">
        <v>0.5</v>
      </c>
      <c r="I35" s="27">
        <v>0.75</v>
      </c>
      <c r="J35" s="337">
        <f>IFERROR(MOD(I35-F35,1)-(H35-G35),"")</f>
        <v>0.33333333333333331</v>
      </c>
      <c r="K35" s="138">
        <v>0.375</v>
      </c>
      <c r="L35" s="180">
        <v>0.54166666666666663</v>
      </c>
      <c r="M35" s="181">
        <v>0.58333333333333337</v>
      </c>
      <c r="N35" s="139">
        <v>0.75</v>
      </c>
      <c r="O35" s="337">
        <f>IFERROR(MOD(N35-K35,1)-(M35-L35),"")</f>
        <v>0.33333333333333326</v>
      </c>
      <c r="P35" s="138">
        <v>0.375</v>
      </c>
      <c r="Q35" s="180">
        <v>0.54166666666666663</v>
      </c>
      <c r="R35" s="181">
        <v>0.58333333333333337</v>
      </c>
      <c r="S35" s="139">
        <v>0.75</v>
      </c>
      <c r="T35" s="337">
        <f>IFERROR(MOD(S35-P35,1)-(R35-Q35),"")</f>
        <v>0.33333333333333326</v>
      </c>
      <c r="U35" s="220">
        <v>0.375</v>
      </c>
      <c r="V35" s="180">
        <v>0.45833333333333331</v>
      </c>
      <c r="W35" s="181">
        <v>0.5</v>
      </c>
      <c r="X35" s="27">
        <v>0.75</v>
      </c>
      <c r="Y35" s="337">
        <f>IFERROR(MOD(X35-U35,1)-(W35-V35),"")</f>
        <v>0.33333333333333331</v>
      </c>
      <c r="Z35" s="220">
        <v>0.375</v>
      </c>
      <c r="AA35" s="180">
        <v>0.45833333333333331</v>
      </c>
      <c r="AB35" s="181">
        <v>0.5</v>
      </c>
      <c r="AC35" s="27">
        <v>0.75</v>
      </c>
      <c r="AD35" s="337">
        <f>IFERROR(MOD(AC35-Z35,1)-(AB35-AA35),"")</f>
        <v>0.33333333333333331</v>
      </c>
      <c r="AE35" s="74" t="s">
        <v>15</v>
      </c>
      <c r="AF35" s="127" t="s">
        <v>15</v>
      </c>
      <c r="AG35" s="127" t="s">
        <v>15</v>
      </c>
      <c r="AH35" s="75" t="s">
        <v>15</v>
      </c>
      <c r="AI35" s="337" t="str">
        <f>IFERROR(MOD(AH35-AE35,1)-(AG35-AF35),"")</f>
        <v/>
      </c>
      <c r="AJ35" s="74" t="s">
        <v>15</v>
      </c>
      <c r="AK35" s="127" t="s">
        <v>15</v>
      </c>
      <c r="AL35" s="127" t="s">
        <v>15</v>
      </c>
      <c r="AM35" s="75" t="s">
        <v>15</v>
      </c>
      <c r="AN35" s="337" t="str">
        <f>IFERROR(MOD(AM35-AJ35,1)-(AL35-AK35),"")</f>
        <v/>
      </c>
      <c r="AO35" s="28">
        <f>SUM(J35,O35,T35,Y35,AD35,AI35,AN35)</f>
        <v>1.6666666666666663</v>
      </c>
      <c r="AP35" s="29"/>
      <c r="AQ35" s="30" t="str">
        <f>IF(AO35&gt;$AO$1, "Alerte Dépassement!!!","")</f>
        <v/>
      </c>
    </row>
    <row r="36" spans="1:53" s="31" customFormat="1" ht="14.25" customHeight="1" x14ac:dyDescent="0.2">
      <c r="A36" s="202"/>
      <c r="B36" s="67" t="s">
        <v>333</v>
      </c>
      <c r="C36" s="174"/>
      <c r="D36" s="223"/>
      <c r="E36" s="35" t="s">
        <v>404</v>
      </c>
      <c r="F36" s="138">
        <v>0.375</v>
      </c>
      <c r="G36" s="180">
        <v>0.54166666666666663</v>
      </c>
      <c r="H36" s="181">
        <v>0.58333333333333337</v>
      </c>
      <c r="I36" s="139">
        <v>0.75</v>
      </c>
      <c r="J36" s="337">
        <f>IFERROR(MOD(I36-F36,1)-(H36-G36),"")</f>
        <v>0.33333333333333326</v>
      </c>
      <c r="K36" s="138">
        <v>0.375</v>
      </c>
      <c r="L36" s="180">
        <v>0.54166666666666663</v>
      </c>
      <c r="M36" s="181">
        <v>0.58333333333333337</v>
      </c>
      <c r="N36" s="139">
        <v>0.75</v>
      </c>
      <c r="O36" s="337">
        <f>IFERROR(MOD(N36-K36,1)-(M36-L36),"")</f>
        <v>0.33333333333333326</v>
      </c>
      <c r="P36" s="138">
        <v>0.375</v>
      </c>
      <c r="Q36" s="180">
        <v>0.54166666666666663</v>
      </c>
      <c r="R36" s="181">
        <v>0.58333333333333337</v>
      </c>
      <c r="S36" s="139">
        <v>0.75</v>
      </c>
      <c r="T36" s="337">
        <f>IFERROR(MOD(S36-P36,1)-(R36-Q36),"")</f>
        <v>0.33333333333333326</v>
      </c>
      <c r="U36" s="220">
        <v>0.375</v>
      </c>
      <c r="V36" s="180">
        <v>0.45833333333333331</v>
      </c>
      <c r="W36" s="181">
        <v>0.5</v>
      </c>
      <c r="X36" s="27">
        <v>0.75</v>
      </c>
      <c r="Y36" s="337">
        <f>IFERROR(MOD(X36-U36,1)-(W36-V36),"")</f>
        <v>0.33333333333333331</v>
      </c>
      <c r="Z36" s="220">
        <v>0.375</v>
      </c>
      <c r="AA36" s="180">
        <v>0.45833333333333331</v>
      </c>
      <c r="AB36" s="181">
        <v>0.5</v>
      </c>
      <c r="AC36" s="27">
        <v>0.75</v>
      </c>
      <c r="AD36" s="337">
        <f>IFERROR(MOD(AC36-Z36,1)-(AB36-AA36),"")</f>
        <v>0.33333333333333331</v>
      </c>
      <c r="AE36" s="74" t="s">
        <v>15</v>
      </c>
      <c r="AF36" s="127" t="s">
        <v>15</v>
      </c>
      <c r="AG36" s="127" t="s">
        <v>15</v>
      </c>
      <c r="AH36" s="75" t="s">
        <v>15</v>
      </c>
      <c r="AI36" s="337" t="str">
        <f>IFERROR(MOD(AH36-AE36,1)-(AG36-AF36),"")</f>
        <v/>
      </c>
      <c r="AJ36" s="74" t="s">
        <v>15</v>
      </c>
      <c r="AK36" s="127" t="s">
        <v>15</v>
      </c>
      <c r="AL36" s="127" t="s">
        <v>15</v>
      </c>
      <c r="AM36" s="75" t="s">
        <v>15</v>
      </c>
      <c r="AN36" s="337" t="str">
        <f>IFERROR(MOD(AM36-AJ36,1)-(AL36-AK36),"")</f>
        <v/>
      </c>
      <c r="AO36" s="198">
        <f>SUM(J36,O36,T36,Y36,AD36,AI36,AN36)</f>
        <v>1.6666666666666663</v>
      </c>
      <c r="AP36" s="30"/>
      <c r="AQ36" s="30"/>
    </row>
    <row r="37" spans="1:53" ht="14.25" customHeight="1" x14ac:dyDescent="0.25">
      <c r="F37" s="30"/>
      <c r="G37" s="30"/>
      <c r="H37" s="30"/>
      <c r="I37" s="30"/>
      <c r="J37" s="30"/>
      <c r="K37" s="30"/>
      <c r="L37" s="30"/>
      <c r="M37" s="30"/>
      <c r="N37" s="30"/>
      <c r="AT37" s="31"/>
      <c r="AU37" s="31"/>
      <c r="AV37" s="31"/>
      <c r="AW37" s="31"/>
      <c r="AX37" s="31"/>
      <c r="AY37" s="31"/>
      <c r="AZ37" s="31"/>
      <c r="BA37" s="31"/>
    </row>
    <row r="38" spans="1:53" ht="13.9" customHeight="1" x14ac:dyDescent="0.25">
      <c r="F38" s="30"/>
      <c r="G38" s="30"/>
      <c r="H38" s="30"/>
      <c r="I38" s="30"/>
      <c r="J38" s="30"/>
      <c r="K38" s="30"/>
      <c r="AT38" s="31"/>
      <c r="AU38" s="31"/>
      <c r="AV38" s="31"/>
      <c r="AW38" s="31"/>
      <c r="AX38" s="31"/>
      <c r="AY38" s="31"/>
      <c r="AZ38" s="31"/>
      <c r="BA38" s="31"/>
    </row>
    <row r="39" spans="1:53" ht="13.9" hidden="1" customHeight="1" x14ac:dyDescent="0.25">
      <c r="F39" s="30"/>
      <c r="G39" s="30"/>
      <c r="H39" s="30"/>
      <c r="I39" s="30"/>
      <c r="J39" s="30"/>
      <c r="K39" s="30"/>
      <c r="AT39" s="31"/>
      <c r="AU39" s="31"/>
      <c r="AV39" s="31"/>
      <c r="AW39" s="31"/>
      <c r="AX39" s="31"/>
      <c r="AY39" s="31"/>
      <c r="AZ39" s="31"/>
      <c r="BA39" s="31"/>
    </row>
    <row r="40" spans="1:53" ht="13.9" hidden="1" customHeight="1" x14ac:dyDescent="0.25">
      <c r="F40" s="30"/>
      <c r="G40" s="30"/>
      <c r="H40" s="30"/>
      <c r="I40" s="30"/>
      <c r="J40" s="30"/>
      <c r="K40" s="30"/>
      <c r="AT40" s="31"/>
      <c r="AU40" s="31"/>
      <c r="AV40" s="31"/>
      <c r="AW40" s="31"/>
      <c r="AX40" s="31"/>
      <c r="AY40" s="31"/>
      <c r="AZ40" s="31"/>
      <c r="BA40" s="31"/>
    </row>
    <row r="41" spans="1:53" ht="13.9" hidden="1" customHeight="1" x14ac:dyDescent="0.25">
      <c r="J41" s="30"/>
      <c r="K41" s="30"/>
      <c r="AT41" s="31"/>
      <c r="AU41" s="31"/>
      <c r="AV41" s="31"/>
      <c r="AW41" s="31"/>
      <c r="AX41" s="31"/>
      <c r="AY41" s="31"/>
      <c r="AZ41" s="31"/>
      <c r="BA41" s="31"/>
    </row>
    <row r="42" spans="1:53" ht="13.9" hidden="1" customHeight="1" x14ac:dyDescent="0.25">
      <c r="J42" s="230"/>
      <c r="K42" s="30"/>
      <c r="AG42" s="192"/>
      <c r="AT42" s="31"/>
      <c r="AU42" s="31"/>
      <c r="AV42" s="31"/>
      <c r="AW42" s="31"/>
      <c r="AX42" s="31"/>
      <c r="AY42" s="31"/>
      <c r="AZ42" s="31"/>
      <c r="BA42" s="31"/>
    </row>
    <row r="43" spans="1:53" ht="13.9" hidden="1" customHeight="1" x14ac:dyDescent="0.25">
      <c r="J43" s="30"/>
      <c r="K43" s="30"/>
      <c r="AT43" s="31"/>
      <c r="AU43" s="31"/>
      <c r="AV43" s="31"/>
      <c r="AW43" s="31"/>
      <c r="AX43" s="31"/>
      <c r="AY43" s="31"/>
      <c r="AZ43" s="31"/>
      <c r="BA43" s="31"/>
    </row>
    <row r="44" spans="1:53" ht="13.9" hidden="1" customHeight="1" x14ac:dyDescent="0.25">
      <c r="J44" s="30"/>
      <c r="K44" s="30"/>
      <c r="AT44" s="31"/>
      <c r="AU44" s="31"/>
      <c r="AV44" s="31"/>
      <c r="AW44" s="31"/>
      <c r="AX44" s="31"/>
      <c r="AY44" s="31"/>
      <c r="AZ44" s="31"/>
      <c r="BA44" s="31"/>
    </row>
    <row r="45" spans="1:53" ht="13.9" hidden="1" customHeight="1" x14ac:dyDescent="0.25">
      <c r="J45" s="30"/>
      <c r="K45" s="30"/>
      <c r="AT45" s="31"/>
      <c r="AU45" s="31"/>
      <c r="AV45" s="31"/>
      <c r="AW45" s="31"/>
      <c r="AX45" s="31"/>
      <c r="AY45" s="31"/>
      <c r="AZ45" s="31"/>
      <c r="BA45" s="31"/>
    </row>
    <row r="46" spans="1:53" ht="13.9" hidden="1" customHeight="1" x14ac:dyDescent="0.25">
      <c r="E46" s="62"/>
      <c r="AT46" s="31"/>
      <c r="AU46" s="31"/>
      <c r="AV46" s="31"/>
      <c r="AW46" s="31"/>
      <c r="AX46" s="31"/>
      <c r="AY46" s="31"/>
      <c r="AZ46" s="31"/>
      <c r="BA46" s="31"/>
    </row>
    <row r="47" spans="1:53" ht="13.9" hidden="1" customHeight="1" x14ac:dyDescent="0.25">
      <c r="E47" s="62"/>
      <c r="AT47" s="31"/>
      <c r="AU47" s="31"/>
      <c r="AV47" s="31"/>
      <c r="AW47" s="31"/>
      <c r="AX47" s="31"/>
      <c r="AY47" s="31"/>
      <c r="AZ47" s="31"/>
      <c r="BA47" s="31"/>
    </row>
    <row r="48" spans="1:53" ht="13.9" hidden="1" customHeight="1" x14ac:dyDescent="0.25">
      <c r="E48" s="62"/>
      <c r="AT48" s="31"/>
      <c r="AU48" s="31"/>
      <c r="AV48" s="31"/>
      <c r="AW48" s="31"/>
      <c r="AX48" s="31"/>
      <c r="AY48" s="31"/>
      <c r="AZ48" s="31"/>
      <c r="BA48" s="31"/>
    </row>
    <row r="49" spans="2:36" ht="14.25" customHeight="1" x14ac:dyDescent="0.25">
      <c r="E49" s="62"/>
    </row>
    <row r="50" spans="2:36" ht="14.25" customHeight="1" x14ac:dyDescent="0.25">
      <c r="E50" s="62"/>
      <c r="F50" t="s">
        <v>224</v>
      </c>
      <c r="K50" t="s">
        <v>225</v>
      </c>
      <c r="P50" t="s">
        <v>226</v>
      </c>
      <c r="U50" t="s">
        <v>227</v>
      </c>
      <c r="Z50" t="s">
        <v>228</v>
      </c>
      <c r="AE50" t="s">
        <v>229</v>
      </c>
      <c r="AJ50" t="s">
        <v>230</v>
      </c>
    </row>
    <row r="51" spans="2:36" ht="14.25" customHeight="1" x14ac:dyDescent="0.25">
      <c r="B51" s="120">
        <f>AVERAGE(F51:AJ51)</f>
        <v>8.2857142857142865</v>
      </c>
      <c r="E51" s="60" t="s">
        <v>15</v>
      </c>
      <c r="F51" s="216">
        <f>COUNTIF(F4:F33,$E51)</f>
        <v>8</v>
      </c>
      <c r="G51" s="60"/>
      <c r="H51" s="60"/>
      <c r="I51" s="60"/>
      <c r="J51" s="60"/>
      <c r="K51" s="216">
        <f>COUNTIF(K4:K33,$E51)</f>
        <v>5</v>
      </c>
      <c r="L51" s="60"/>
      <c r="M51" s="60"/>
      <c r="N51" s="60"/>
      <c r="O51" s="60"/>
      <c r="P51" s="216">
        <f>COUNTIF(P4:P33,$E51)</f>
        <v>8</v>
      </c>
      <c r="Q51" s="60"/>
      <c r="R51" s="60"/>
      <c r="S51" s="60"/>
      <c r="T51" s="60"/>
      <c r="U51" s="216">
        <f>COUNTIF(U4:U33,$E51)</f>
        <v>9</v>
      </c>
      <c r="V51" s="60"/>
      <c r="W51" s="60"/>
      <c r="X51" s="60"/>
      <c r="Y51" s="60"/>
      <c r="Z51" s="216">
        <f>COUNTIF(Z4:Z33,$E51)</f>
        <v>9</v>
      </c>
      <c r="AA51" s="60"/>
      <c r="AB51" s="60"/>
      <c r="AC51" s="60"/>
      <c r="AD51" s="60"/>
      <c r="AE51" s="216">
        <f>COUNTIF(AE4:AE33,$E51)</f>
        <v>10</v>
      </c>
      <c r="AF51" s="60"/>
      <c r="AG51" s="60"/>
      <c r="AH51" s="60"/>
      <c r="AI51" s="60"/>
      <c r="AJ51" s="216">
        <f>COUNTIF(AJ4:AJ33,$E51)</f>
        <v>9</v>
      </c>
    </row>
    <row r="52" spans="2:36" ht="14.25" customHeight="1" x14ac:dyDescent="0.25">
      <c r="B52" s="120">
        <f>AVERAGE(F52:AJ52)</f>
        <v>20</v>
      </c>
      <c r="D52" s="200">
        <v>0.375</v>
      </c>
      <c r="E52" t="s">
        <v>354</v>
      </c>
      <c r="F52" s="218">
        <f>COUNTIF(F4:F33,$D$52)</f>
        <v>21</v>
      </c>
      <c r="G52" s="60"/>
      <c r="H52" s="60"/>
      <c r="I52" s="60"/>
      <c r="J52" s="60"/>
      <c r="K52" s="218">
        <f>COUNTIF(K4:K33,$D$52)</f>
        <v>23</v>
      </c>
      <c r="L52" s="60"/>
      <c r="M52" s="60"/>
      <c r="N52" s="60"/>
      <c r="O52" s="60"/>
      <c r="P52" s="218">
        <f>COUNTIF(P4:P33,$D$52)</f>
        <v>20</v>
      </c>
      <c r="Q52" s="60"/>
      <c r="R52" s="60"/>
      <c r="S52" s="60"/>
      <c r="T52" s="60"/>
      <c r="U52" s="218">
        <f>COUNTIF(U4:U33,$D$52)</f>
        <v>19</v>
      </c>
      <c r="V52" s="60"/>
      <c r="W52" s="60"/>
      <c r="X52" s="60"/>
      <c r="Y52" s="60"/>
      <c r="Z52" s="218">
        <f>COUNTIF(Z4:Z33,$D$52)</f>
        <v>19</v>
      </c>
      <c r="AA52" s="60"/>
      <c r="AB52" s="60"/>
      <c r="AC52" s="60"/>
      <c r="AD52" s="60"/>
      <c r="AE52" s="218">
        <f>COUNTIF(AE4:AE33,$D$52)</f>
        <v>18</v>
      </c>
      <c r="AF52" s="60"/>
      <c r="AG52" s="60"/>
      <c r="AH52" s="60"/>
      <c r="AI52" s="60"/>
      <c r="AJ52" s="218">
        <f>COUNTIF(AJ4:AJ33,$D$52)</f>
        <v>20</v>
      </c>
    </row>
    <row r="53" spans="2:36" ht="14.25" hidden="1" customHeight="1" x14ac:dyDescent="0.25">
      <c r="B53" s="120" t="e">
        <f>AVERAGE(F53:AJ53)</f>
        <v>#REF!</v>
      </c>
      <c r="F53" s="64" t="e">
        <f>#REF!+F49+#REF!</f>
        <v>#REF!</v>
      </c>
      <c r="K53" s="64" t="e">
        <f>#REF!+K49+#REF!</f>
        <v>#REF!</v>
      </c>
      <c r="P53" s="64" t="e">
        <f>#REF!+P49+#REF!</f>
        <v>#REF!</v>
      </c>
      <c r="U53" s="64" t="e">
        <f>#REF!+U49+#REF!</f>
        <v>#REF!</v>
      </c>
      <c r="Z53" s="64" t="e">
        <f>#REF!+Z49+#REF!</f>
        <v>#REF!</v>
      </c>
      <c r="AE53" s="64" t="e">
        <f>#REF!+AE49+#REF!</f>
        <v>#REF!</v>
      </c>
      <c r="AJ53" s="64" t="e">
        <f>#REF!+AJ49+#REF!</f>
        <v>#REF!</v>
      </c>
    </row>
    <row r="54" spans="2:36" ht="14.25" hidden="1" customHeight="1" x14ac:dyDescent="0.25">
      <c r="B54" s="120" t="e">
        <f>AVERAGE(F54:AJ54)</f>
        <v>#DIV/0!</v>
      </c>
      <c r="F54" s="65" t="str">
        <f>F50</f>
        <v>lundi</v>
      </c>
      <c r="K54" s="65" t="str">
        <f>K50</f>
        <v>mardi</v>
      </c>
      <c r="P54" s="65" t="str">
        <f>P50</f>
        <v>mercredi</v>
      </c>
      <c r="U54" s="65" t="str">
        <f>U50</f>
        <v>jeudi</v>
      </c>
      <c r="Z54" s="65" t="str">
        <f>Z50</f>
        <v>vendredi</v>
      </c>
      <c r="AE54" s="65" t="str">
        <f>AE50</f>
        <v>samedi</v>
      </c>
      <c r="AJ54" s="65" t="str">
        <f>AJ50</f>
        <v>dimanche</v>
      </c>
    </row>
    <row r="56" spans="2:36" ht="14.25" customHeight="1" x14ac:dyDescent="0.25">
      <c r="B56" s="535" t="s">
        <v>395</v>
      </c>
      <c r="E56" s="62">
        <v>0.45833333333333331</v>
      </c>
      <c r="F56" s="60">
        <f>COUNTIF(G4:G33,$E$56)</f>
        <v>8</v>
      </c>
      <c r="K56" s="60">
        <f>COUNTIF(L4:L33,$E$56)</f>
        <v>8</v>
      </c>
      <c r="P56" s="60">
        <f>COUNTIF(Q4:Q33,$E$56)</f>
        <v>6</v>
      </c>
      <c r="U56" s="60">
        <f>COUNTIF(V4:V33,$E$56)</f>
        <v>4</v>
      </c>
      <c r="Z56" s="60">
        <f>COUNTIF(AA4:AA33,$E$56)</f>
        <v>6</v>
      </c>
      <c r="AE56" s="60">
        <f>COUNTIF(AF4:AF33,$E$56)</f>
        <v>5</v>
      </c>
      <c r="AJ56" s="60">
        <f>COUNTIF(AK4:AK33,$E$56)</f>
        <v>5</v>
      </c>
    </row>
    <row r="57" spans="2:36" ht="14.25" customHeight="1" x14ac:dyDescent="0.25">
      <c r="B57" s="535"/>
      <c r="E57" s="62">
        <v>0.5</v>
      </c>
      <c r="F57" s="60">
        <f>COUNTIF(G4:G33,$E$57)</f>
        <v>4</v>
      </c>
      <c r="K57" s="60">
        <f>COUNTIF(L4:L33,$E$57)</f>
        <v>3</v>
      </c>
      <c r="P57" s="60">
        <f>COUNTIF(Q4:Q33,$E$57)</f>
        <v>4</v>
      </c>
      <c r="U57" s="60">
        <f>COUNTIF(V4:V33,$E$57)</f>
        <v>5</v>
      </c>
      <c r="Z57" s="60">
        <f>COUNTIF(AA4:AA33,$E$57)</f>
        <v>6</v>
      </c>
      <c r="AE57" s="60">
        <f>COUNTIF(AF4:AF33,$E$57)</f>
        <v>3</v>
      </c>
      <c r="AJ57" s="60">
        <f>COUNTIF(AK4:AK33,$E$57)</f>
        <v>4</v>
      </c>
    </row>
    <row r="58" spans="2:36" ht="14.25" customHeight="1" x14ac:dyDescent="0.25">
      <c r="B58" s="535"/>
      <c r="E58" s="62">
        <v>0.54166666666666663</v>
      </c>
      <c r="F58" s="60">
        <f>COUNTIF(G4:G33,$E$58)</f>
        <v>5</v>
      </c>
      <c r="K58" s="60">
        <f>COUNTIF(L4:L33,$E$58)</f>
        <v>6</v>
      </c>
      <c r="P58" s="60">
        <f>COUNTIF(Q4:Q33,$E$58)</f>
        <v>4</v>
      </c>
      <c r="U58" s="60">
        <f>COUNTIF(V4:V33,$E$58)</f>
        <v>3</v>
      </c>
      <c r="Z58" s="60">
        <f>COUNTIF(AA4:AA33,$E$58)</f>
        <v>2</v>
      </c>
      <c r="AE58" s="60">
        <f>COUNTIF(AF4:AF33,$E$58)</f>
        <v>3</v>
      </c>
      <c r="AJ58" s="60">
        <f>COUNTIF(AK4:AK33,$E$58)</f>
        <v>4</v>
      </c>
    </row>
    <row r="59" spans="2:36" ht="14.25" customHeight="1" x14ac:dyDescent="0.25">
      <c r="E59" s="62">
        <v>0.58333333333333337</v>
      </c>
      <c r="F59" s="60">
        <f>COUNTIF(G4:G33,$E$59)</f>
        <v>4</v>
      </c>
      <c r="K59" s="60">
        <f>COUNTIF(L4:L33,$E$59)</f>
        <v>6</v>
      </c>
      <c r="P59" s="60">
        <f>COUNTIF(Q4:Q33,$E$59)</f>
        <v>6</v>
      </c>
      <c r="U59" s="60">
        <f>COUNTIF(V4:V33,$E$59)</f>
        <v>7</v>
      </c>
      <c r="Z59" s="60">
        <f>COUNTIF(AA4:AA33,$E$59)</f>
        <v>5</v>
      </c>
      <c r="AE59" s="60">
        <f>COUNTIF(AF4:AF33,$E$59)</f>
        <v>7</v>
      </c>
      <c r="AJ59" s="60">
        <f>COUNTIF(AK4:AK33,$E$59)</f>
        <v>7</v>
      </c>
    </row>
    <row r="148" spans="4:12" ht="14.25" customHeight="1" x14ac:dyDescent="0.25">
      <c r="D148" s="1"/>
      <c r="E148" s="147" t="s">
        <v>348</v>
      </c>
      <c r="F148" s="171">
        <f>SUMIF($D4:$D140,$D$149,J4:J140)</f>
        <v>0</v>
      </c>
      <c r="G148" s="171">
        <f>SUMIF($D4:$D140,$D$149,O4:O140)</f>
        <v>0</v>
      </c>
      <c r="H148" s="171">
        <f>SUMIF($D4:$D140,$D$149,T4:T140)</f>
        <v>0</v>
      </c>
      <c r="I148" s="171">
        <f>SUMIF($D4:$D140,$D$149,Y4:Y140)</f>
        <v>0</v>
      </c>
      <c r="J148" s="171">
        <f>SUMIF($D4:$D140,$D$149,AD4:AD140)</f>
        <v>0</v>
      </c>
      <c r="K148" s="171">
        <f>SUMIF($D4:$D140,$D$149,AI4:AI140)</f>
        <v>0</v>
      </c>
      <c r="L148" s="171">
        <f>SUMIF($D4:$D140,$D$149,AN4:AN140)</f>
        <v>0</v>
      </c>
    </row>
    <row r="149" spans="4:12" ht="14.25" customHeight="1" x14ac:dyDescent="0.25">
      <c r="D149" s="190" t="s">
        <v>30</v>
      </c>
      <c r="E149" s="147" t="s">
        <v>15</v>
      </c>
      <c r="F149" s="35">
        <f>COUNTIFS(F4:F140,$E$149,$D4:$D140,$D$149)</f>
        <v>0</v>
      </c>
      <c r="G149" s="35">
        <f>COUNTIFS(K4:K140,$E$149,$D4:$D140,$D$149)</f>
        <v>0</v>
      </c>
      <c r="H149" s="35">
        <f>COUNTIFS(P4:P140,$E$149,$D4:$D140,$D$149)</f>
        <v>0</v>
      </c>
      <c r="I149" s="35">
        <f>COUNTIFS(U4:U140,$E$149,$D4:$D140,$D$149)</f>
        <v>0</v>
      </c>
      <c r="J149" s="35">
        <f>COUNTIFS(Z4:Z140,$E$149,$D4:$D140,$D$149)</f>
        <v>0</v>
      </c>
      <c r="K149" s="35">
        <f>COUNTIFS(AE4:AE140,$E$149,$D4:$D140,$D$149)</f>
        <v>0</v>
      </c>
      <c r="L149" s="35">
        <f>COUNTIFS(AJ4:AJ140,$E$149,$D4:$D140,$D$149)</f>
        <v>0</v>
      </c>
    </row>
    <row r="150" spans="4:12" ht="14.25" customHeight="1" x14ac:dyDescent="0.25">
      <c r="D150" s="1"/>
      <c r="E150" s="147" t="s">
        <v>349</v>
      </c>
      <c r="F150" s="35">
        <f>COUNTIF(D4:D140,$D$149)</f>
        <v>0</v>
      </c>
      <c r="G150" s="35">
        <f t="shared" ref="G150:L150" si="25">F150</f>
        <v>0</v>
      </c>
      <c r="H150" s="35">
        <f t="shared" si="25"/>
        <v>0</v>
      </c>
      <c r="I150" s="35">
        <f t="shared" si="25"/>
        <v>0</v>
      </c>
      <c r="J150" s="35">
        <f t="shared" si="25"/>
        <v>0</v>
      </c>
      <c r="K150" s="35">
        <f t="shared" si="25"/>
        <v>0</v>
      </c>
      <c r="L150" s="35">
        <f t="shared" si="25"/>
        <v>0</v>
      </c>
    </row>
    <row r="151" spans="4:12" ht="14.25" customHeight="1" x14ac:dyDescent="0.25">
      <c r="D151" s="1"/>
      <c r="E151" s="147" t="s">
        <v>159</v>
      </c>
      <c r="F151" s="35">
        <f t="shared" ref="F151:F157" si="26">COUNTIFS(F$4:F$140,$E151,$D$4:$D$140,$D$149)</f>
        <v>0</v>
      </c>
      <c r="G151" s="35">
        <f t="shared" ref="G151:G157" si="27">COUNTIFS(K$4:K$140,$E151,$D$4:$D$140,$D$149)</f>
        <v>0</v>
      </c>
      <c r="H151" s="35">
        <f t="shared" ref="H151:H157" si="28">COUNTIFS(P$4:P$140,$E151,$D$4:$D$140,$D$149)</f>
        <v>0</v>
      </c>
      <c r="I151" s="35">
        <f>COUNTIFS(U4:U140,$E$151,$D4:$D140,$D$149)</f>
        <v>0</v>
      </c>
      <c r="J151" s="35">
        <f t="shared" ref="J151:J157" si="29">COUNTIFS(Z$4:Z$140,$E151,$D$4:$D$140,$D$149)</f>
        <v>0</v>
      </c>
      <c r="K151" s="35">
        <f t="shared" ref="K151:K157" si="30">COUNTIFS(AE$4:AE$140,$E151,$D$4:$D$140,$D$149)</f>
        <v>0</v>
      </c>
      <c r="L151" s="35">
        <f t="shared" ref="L151:L157" si="31">COUNTIFS(AJ$4:AJ$140,$E151,$D$4:$D$140,$D$149)</f>
        <v>0</v>
      </c>
    </row>
    <row r="152" spans="4:12" ht="14.25" customHeight="1" x14ac:dyDescent="0.25">
      <c r="D152" s="1"/>
      <c r="E152" s="147" t="s">
        <v>156</v>
      </c>
      <c r="F152" s="35">
        <f t="shared" si="26"/>
        <v>0</v>
      </c>
      <c r="G152" s="35">
        <f t="shared" si="27"/>
        <v>0</v>
      </c>
      <c r="H152" s="35">
        <f t="shared" si="28"/>
        <v>0</v>
      </c>
      <c r="I152" s="35">
        <f>COUNTIFS(U$4:U$140,$E$152,$D5:$D141,$D$149)</f>
        <v>0</v>
      </c>
      <c r="J152" s="35">
        <f t="shared" si="29"/>
        <v>0</v>
      </c>
      <c r="K152" s="35">
        <f t="shared" si="30"/>
        <v>0</v>
      </c>
      <c r="L152" s="35">
        <f t="shared" si="31"/>
        <v>0</v>
      </c>
    </row>
    <row r="153" spans="4:12" ht="14.25" customHeight="1" x14ac:dyDescent="0.25">
      <c r="D153" s="1"/>
      <c r="E153" s="147" t="s">
        <v>85</v>
      </c>
      <c r="F153" s="35">
        <f t="shared" si="26"/>
        <v>0</v>
      </c>
      <c r="G153" s="35">
        <f t="shared" si="27"/>
        <v>0</v>
      </c>
      <c r="H153" s="35">
        <f t="shared" si="28"/>
        <v>0</v>
      </c>
      <c r="I153" s="35" t="e">
        <f>COUNTIFS(U$4:U$140,$E$153,$D5:$D142,$D$149)</f>
        <v>#VALUE!</v>
      </c>
      <c r="J153" s="35">
        <f t="shared" si="29"/>
        <v>0</v>
      </c>
      <c r="K153" s="35">
        <f t="shared" si="30"/>
        <v>0</v>
      </c>
      <c r="L153" s="35">
        <f t="shared" si="31"/>
        <v>0</v>
      </c>
    </row>
    <row r="154" spans="4:12" ht="14.25" customHeight="1" x14ac:dyDescent="0.25">
      <c r="D154" s="1"/>
      <c r="E154" s="147" t="s">
        <v>343</v>
      </c>
      <c r="F154" s="35">
        <f t="shared" si="26"/>
        <v>0</v>
      </c>
      <c r="G154" s="35">
        <f t="shared" si="27"/>
        <v>0</v>
      </c>
      <c r="H154" s="35">
        <f t="shared" si="28"/>
        <v>0</v>
      </c>
      <c r="I154" s="35">
        <f>COUNTIFS(U$4:U$140,$E$154,$D$4:$D$140,$D$149)</f>
        <v>0</v>
      </c>
      <c r="J154" s="35">
        <f t="shared" si="29"/>
        <v>0</v>
      </c>
      <c r="K154" s="35">
        <f t="shared" si="30"/>
        <v>0</v>
      </c>
      <c r="L154" s="35">
        <f t="shared" si="31"/>
        <v>0</v>
      </c>
    </row>
    <row r="155" spans="4:12" ht="14.25" customHeight="1" x14ac:dyDescent="0.25">
      <c r="D155" s="1"/>
      <c r="E155" s="147" t="s">
        <v>344</v>
      </c>
      <c r="F155" s="35">
        <f t="shared" si="26"/>
        <v>0</v>
      </c>
      <c r="G155" s="35">
        <f t="shared" si="27"/>
        <v>0</v>
      </c>
      <c r="H155" s="35">
        <f t="shared" si="28"/>
        <v>0</v>
      </c>
      <c r="I155" s="35">
        <f>COUNTIFS(U$4:U$140,$E155,$D$4:$D$140,$D$149)</f>
        <v>0</v>
      </c>
      <c r="J155" s="35">
        <f t="shared" si="29"/>
        <v>0</v>
      </c>
      <c r="K155" s="35">
        <f t="shared" si="30"/>
        <v>0</v>
      </c>
      <c r="L155" s="35">
        <f t="shared" si="31"/>
        <v>0</v>
      </c>
    </row>
    <row r="156" spans="4:12" ht="14.25" customHeight="1" x14ac:dyDescent="0.25">
      <c r="D156" s="1"/>
      <c r="E156" s="147" t="s">
        <v>325</v>
      </c>
      <c r="F156" s="35">
        <f t="shared" si="26"/>
        <v>0</v>
      </c>
      <c r="G156" s="35">
        <f t="shared" si="27"/>
        <v>0</v>
      </c>
      <c r="H156" s="35">
        <f t="shared" si="28"/>
        <v>0</v>
      </c>
      <c r="I156" s="35">
        <f>COUNTIFS(U$4:U$140,$E156,$D$4:$D$140,$D$149)</f>
        <v>0</v>
      </c>
      <c r="J156" s="35">
        <f t="shared" si="29"/>
        <v>0</v>
      </c>
      <c r="K156" s="35">
        <f t="shared" si="30"/>
        <v>0</v>
      </c>
      <c r="L156" s="35">
        <f t="shared" si="31"/>
        <v>0</v>
      </c>
    </row>
    <row r="157" spans="4:12" ht="14.25" customHeight="1" x14ac:dyDescent="0.25">
      <c r="D157" s="1"/>
      <c r="E157" s="147" t="s">
        <v>165</v>
      </c>
      <c r="F157" s="35">
        <f t="shared" si="26"/>
        <v>0</v>
      </c>
      <c r="G157" s="35">
        <f t="shared" si="27"/>
        <v>0</v>
      </c>
      <c r="H157" s="35">
        <f t="shared" si="28"/>
        <v>0</v>
      </c>
      <c r="I157" s="35">
        <f>COUNTIFS(U$4:U$140,$E157,$D$4:$D$140,$D$149)</f>
        <v>0</v>
      </c>
      <c r="J157" s="35">
        <f t="shared" si="29"/>
        <v>0</v>
      </c>
      <c r="K157" s="35">
        <f t="shared" si="30"/>
        <v>0</v>
      </c>
      <c r="L157" s="35">
        <f t="shared" si="31"/>
        <v>0</v>
      </c>
    </row>
    <row r="158" spans="4:12" ht="14.25" customHeight="1" x14ac:dyDescent="0.25">
      <c r="D158" s="1"/>
      <c r="E158" s="1"/>
      <c r="F158" s="1"/>
      <c r="G158" s="1"/>
      <c r="H158" s="1"/>
      <c r="I158" s="1"/>
      <c r="J158" s="1"/>
      <c r="K158" s="1"/>
      <c r="L158" s="1"/>
    </row>
    <row r="159" spans="4:12" ht="14.25" customHeight="1" x14ac:dyDescent="0.25">
      <c r="D159" s="1"/>
      <c r="E159" s="110" t="s">
        <v>350</v>
      </c>
      <c r="F159" s="35">
        <f>F153+F156+F152</f>
        <v>0</v>
      </c>
      <c r="G159" s="35">
        <f t="shared" ref="G159:L159" si="32">G153+G156+G152</f>
        <v>0</v>
      </c>
      <c r="H159" s="35">
        <f t="shared" si="32"/>
        <v>0</v>
      </c>
      <c r="I159" s="35" t="e">
        <f t="shared" si="32"/>
        <v>#VALUE!</v>
      </c>
      <c r="J159" s="35">
        <f t="shared" si="32"/>
        <v>0</v>
      </c>
      <c r="K159" s="35">
        <f t="shared" si="32"/>
        <v>0</v>
      </c>
      <c r="L159" s="35">
        <f t="shared" si="32"/>
        <v>0</v>
      </c>
    </row>
  </sheetData>
  <autoFilter ref="A3:BT34" xr:uid="{00000000-0009-0000-0000-000009000000}">
    <sortState xmlns:xlrd2="http://schemas.microsoft.com/office/spreadsheetml/2017/richdata2" ref="A4:BT34">
      <sortCondition ref="E3:E34"/>
    </sortState>
  </autoFilter>
  <mergeCells count="8">
    <mergeCell ref="B56:B58"/>
    <mergeCell ref="AJ1:AN1"/>
    <mergeCell ref="F1:J1"/>
    <mergeCell ref="K1:O1"/>
    <mergeCell ref="P1:T1"/>
    <mergeCell ref="U1:Y1"/>
    <mergeCell ref="Z1:AD1"/>
    <mergeCell ref="AE1:AI1"/>
  </mergeCells>
  <phoneticPr fontId="17" type="noConversion"/>
  <conditionalFormatting sqref="F4:I26">
    <cfRule type="containsText" dxfId="187" priority="11" operator="containsText" text="Alerte">
      <formula>NOT(ISERROR(SEARCH("Alerte",F4)))</formula>
    </cfRule>
  </conditionalFormatting>
  <conditionalFormatting sqref="F32:I33">
    <cfRule type="containsText" dxfId="186" priority="58" operator="containsText" text="Alerte">
      <formula>NOT(ISERROR(SEARCH("Alerte",F32)))</formula>
    </cfRule>
  </conditionalFormatting>
  <conditionalFormatting sqref="F35:I36">
    <cfRule type="containsText" dxfId="185" priority="69" operator="containsText" text="Alerte">
      <formula>NOT(ISERROR(SEARCH("Alerte",F35)))</formula>
    </cfRule>
  </conditionalFormatting>
  <conditionalFormatting sqref="G6:H6">
    <cfRule type="containsText" dxfId="184" priority="38" operator="containsText" text="Alerte">
      <formula>NOT(ISERROR(SEARCH("Alerte",G6)))</formula>
    </cfRule>
  </conditionalFormatting>
  <conditionalFormatting sqref="G8:H8">
    <cfRule type="containsText" dxfId="183" priority="40" operator="containsText" text="Alerte">
      <formula>NOT(ISERROR(SEARCH("Alerte",G8)))</formula>
    </cfRule>
  </conditionalFormatting>
  <conditionalFormatting sqref="G10:H12">
    <cfRule type="containsText" dxfId="182" priority="34" operator="containsText" text="Alerte">
      <formula>NOT(ISERROR(SEARCH("Alerte",G10)))</formula>
    </cfRule>
  </conditionalFormatting>
  <conditionalFormatting sqref="G17:H17">
    <cfRule type="containsText" dxfId="181" priority="61" operator="containsText" text="Alerte">
      <formula>NOT(ISERROR(SEARCH("Alerte",G17)))</formula>
    </cfRule>
  </conditionalFormatting>
  <conditionalFormatting sqref="G22:H23">
    <cfRule type="containsText" dxfId="180" priority="47" operator="containsText" text="Alerte">
      <formula>NOT(ISERROR(SEARCH("Alerte",G22)))</formula>
    </cfRule>
  </conditionalFormatting>
  <conditionalFormatting sqref="J4:J33 O4:O33 T4:T33 Y4:Y33">
    <cfRule type="cellIs" dxfId="179" priority="62" operator="lessThan">
      <formula>0.333333333333333</formula>
    </cfRule>
    <cfRule type="cellIs" dxfId="178" priority="63" operator="greaterThan">
      <formula>0.333333333333333</formula>
    </cfRule>
  </conditionalFormatting>
  <conditionalFormatting sqref="J35:J36 O35:O36 T35:T36 AD35:AD36 AI35:AI36 AN35:AN36">
    <cfRule type="cellIs" dxfId="177" priority="73" operator="lessThan">
      <formula>0.333333333333333</formula>
    </cfRule>
    <cfRule type="cellIs" dxfId="176" priority="74" operator="greaterThan">
      <formula>0.333333333333333</formula>
    </cfRule>
  </conditionalFormatting>
  <conditionalFormatting sqref="K4:N25">
    <cfRule type="containsText" dxfId="175" priority="12" operator="containsText" text="Alerte">
      <formula>NOT(ISERROR(SEARCH("Alerte",K4)))</formula>
    </cfRule>
  </conditionalFormatting>
  <conditionalFormatting sqref="K30:N33">
    <cfRule type="containsText" dxfId="174" priority="7" operator="containsText" text="Alerte">
      <formula>NOT(ISERROR(SEARCH("Alerte",K30)))</formula>
    </cfRule>
  </conditionalFormatting>
  <conditionalFormatting sqref="K35:N36">
    <cfRule type="containsText" dxfId="173" priority="67" operator="containsText" text="Alerte">
      <formula>NOT(ISERROR(SEARCH("Alerte",K35)))</formula>
    </cfRule>
  </conditionalFormatting>
  <conditionalFormatting sqref="L6:M6">
    <cfRule type="containsText" dxfId="172" priority="44" operator="containsText" text="Alerte">
      <formula>NOT(ISERROR(SEARCH("Alerte",L6)))</formula>
    </cfRule>
  </conditionalFormatting>
  <conditionalFormatting sqref="L8:M8">
    <cfRule type="containsText" dxfId="171" priority="46" operator="containsText" text="Alerte">
      <formula>NOT(ISERROR(SEARCH("Alerte",L8)))</formula>
    </cfRule>
  </conditionalFormatting>
  <conditionalFormatting sqref="L10:M12">
    <cfRule type="containsText" dxfId="170" priority="35" operator="containsText" text="Alerte">
      <formula>NOT(ISERROR(SEARCH("Alerte",L10)))</formula>
    </cfRule>
  </conditionalFormatting>
  <conditionalFormatting sqref="L19:M19">
    <cfRule type="containsText" dxfId="169" priority="36" operator="containsText" text="Alerte">
      <formula>NOT(ISERROR(SEARCH("Alerte",L19)))</formula>
    </cfRule>
  </conditionalFormatting>
  <conditionalFormatting sqref="L22:M23">
    <cfRule type="containsText" dxfId="168" priority="55" operator="containsText" text="Alerte">
      <formula>NOT(ISERROR(SEARCH("Alerte",L22)))</formula>
    </cfRule>
  </conditionalFormatting>
  <conditionalFormatting sqref="L37:N37 F37:K40 J41:K45">
    <cfRule type="containsText" dxfId="167" priority="204" operator="containsText" text="Alerte">
      <formula>NOT(ISERROR(SEARCH("Alerte",F37)))</formula>
    </cfRule>
  </conditionalFormatting>
  <conditionalFormatting sqref="P4:S24">
    <cfRule type="containsText" dxfId="166" priority="14" operator="containsText" text="Alerte">
      <formula>NOT(ISERROR(SEARCH("Alerte",P4)))</formula>
    </cfRule>
  </conditionalFormatting>
  <conditionalFormatting sqref="P32:S33">
    <cfRule type="containsText" dxfId="165" priority="37" operator="containsText" text="Alerte">
      <formula>NOT(ISERROR(SEARCH("Alerte",P32)))</formula>
    </cfRule>
  </conditionalFormatting>
  <conditionalFormatting sqref="P35:S36">
    <cfRule type="containsText" dxfId="164" priority="64" operator="containsText" text="Alerte">
      <formula>NOT(ISERROR(SEARCH("Alerte",P35)))</formula>
    </cfRule>
  </conditionalFormatting>
  <conditionalFormatting sqref="Q6:R8">
    <cfRule type="containsText" dxfId="163" priority="33" operator="containsText" text="Alerte">
      <formula>NOT(ISERROR(SEARCH("Alerte",Q6)))</formula>
    </cfRule>
  </conditionalFormatting>
  <conditionalFormatting sqref="Q12:R12">
    <cfRule type="containsText" dxfId="162" priority="50" operator="containsText" text="Alerte">
      <formula>NOT(ISERROR(SEARCH("Alerte",Q12)))</formula>
    </cfRule>
  </conditionalFormatting>
  <conditionalFormatting sqref="Q19:R19">
    <cfRule type="containsText" dxfId="161" priority="39" operator="containsText" text="Alerte">
      <formula>NOT(ISERROR(SEARCH("Alerte",Q19)))</formula>
    </cfRule>
  </conditionalFormatting>
  <conditionalFormatting sqref="Q23:R23">
    <cfRule type="containsText" dxfId="160" priority="72" operator="containsText" text="Alerte">
      <formula>NOT(ISERROR(SEARCH("Alerte",Q23)))</formula>
    </cfRule>
  </conditionalFormatting>
  <conditionalFormatting sqref="U4:X24 C36">
    <cfRule type="containsText" dxfId="159" priority="75" operator="containsText" text="Alerte">
      <formula>NOT(ISERROR(SEARCH("Alerte",C4)))</formula>
    </cfRule>
  </conditionalFormatting>
  <conditionalFormatting sqref="U28:X28">
    <cfRule type="containsText" dxfId="158" priority="10" operator="containsText" text="Alerte">
      <formula>NOT(ISERROR(SEARCH("Alerte",U28)))</formula>
    </cfRule>
  </conditionalFormatting>
  <conditionalFormatting sqref="U32:X33">
    <cfRule type="containsText" dxfId="157" priority="43" operator="containsText" text="Alerte">
      <formula>NOT(ISERROR(SEARCH("Alerte",U32)))</formula>
    </cfRule>
  </conditionalFormatting>
  <conditionalFormatting sqref="U35:X36">
    <cfRule type="containsText" dxfId="156" priority="68" operator="containsText" text="Alerte">
      <formula>NOT(ISERROR(SEARCH("Alerte",U35)))</formula>
    </cfRule>
  </conditionalFormatting>
  <conditionalFormatting sqref="V6:W8">
    <cfRule type="containsText" dxfId="155" priority="42" operator="containsText" text="Alerte">
      <formula>NOT(ISERROR(SEARCH("Alerte",V6)))</formula>
    </cfRule>
  </conditionalFormatting>
  <conditionalFormatting sqref="V10:W12">
    <cfRule type="containsText" dxfId="154" priority="41" operator="containsText" text="Alerte">
      <formula>NOT(ISERROR(SEARCH("Alerte",V10)))</formula>
    </cfRule>
  </conditionalFormatting>
  <conditionalFormatting sqref="V19:W19">
    <cfRule type="containsText" dxfId="153" priority="45" operator="containsText" text="Alerte">
      <formula>NOT(ISERROR(SEARCH("Alerte",V19)))</formula>
    </cfRule>
  </conditionalFormatting>
  <conditionalFormatting sqref="V33:W33">
    <cfRule type="containsText" dxfId="152" priority="60" operator="containsText" text="Alerte">
      <formula>NOT(ISERROR(SEARCH("Alerte",V33)))</formula>
    </cfRule>
  </conditionalFormatting>
  <conditionalFormatting sqref="Y35:Y36">
    <cfRule type="cellIs" dxfId="151" priority="56" operator="lessThan">
      <formula>0.333333333333333</formula>
    </cfRule>
    <cfRule type="cellIs" dxfId="150" priority="57" operator="greaterThan">
      <formula>0.333333333333333</formula>
    </cfRule>
  </conditionalFormatting>
  <conditionalFormatting sqref="Z4:AC25">
    <cfRule type="containsText" dxfId="149" priority="13" operator="containsText" text="Alerte">
      <formula>NOT(ISERROR(SEARCH("Alerte",Z4)))</formula>
    </cfRule>
  </conditionalFormatting>
  <conditionalFormatting sqref="Z32:AC33">
    <cfRule type="containsText" dxfId="148" priority="53" operator="containsText" text="Alerte">
      <formula>NOT(ISERROR(SEARCH("Alerte",Z32)))</formula>
    </cfRule>
  </conditionalFormatting>
  <conditionalFormatting sqref="Z35:AC36">
    <cfRule type="containsText" dxfId="147" priority="65" operator="containsText" text="Alerte">
      <formula>NOT(ISERROR(SEARCH("Alerte",Z35)))</formula>
    </cfRule>
  </conditionalFormatting>
  <conditionalFormatting sqref="AA7:AB7">
    <cfRule type="containsText" dxfId="146" priority="52" operator="containsText" text="Alerte">
      <formula>NOT(ISERROR(SEARCH("Alerte",AA7)))</formula>
    </cfRule>
  </conditionalFormatting>
  <conditionalFormatting sqref="AA10:AB11">
    <cfRule type="containsText" dxfId="145" priority="51" operator="containsText" text="Alerte">
      <formula>NOT(ISERROR(SEARCH("Alerte",AA10)))</formula>
    </cfRule>
  </conditionalFormatting>
  <conditionalFormatting sqref="AA19:AB19">
    <cfRule type="containsText" dxfId="144" priority="54" operator="containsText" text="Alerte">
      <formula>NOT(ISERROR(SEARCH("Alerte",AA19)))</formula>
    </cfRule>
  </conditionalFormatting>
  <conditionalFormatting sqref="AA33:AB33">
    <cfRule type="containsText" dxfId="143" priority="59" operator="containsText" text="Alerte">
      <formula>NOT(ISERROR(SEARCH("Alerte",AA33)))</formula>
    </cfRule>
  </conditionalFormatting>
  <conditionalFormatting sqref="AD4:AD33">
    <cfRule type="cellIs" dxfId="142" priority="5" operator="lessThan">
      <formula>0.333333333333333</formula>
    </cfRule>
    <cfRule type="cellIs" dxfId="141" priority="6" operator="greaterThan">
      <formula>0.333333333333333</formula>
    </cfRule>
  </conditionalFormatting>
  <conditionalFormatting sqref="AE4:AH25">
    <cfRule type="containsText" dxfId="140" priority="30" operator="containsText" text="Alerte">
      <formula>NOT(ISERROR(SEARCH("Alerte",AE4)))</formula>
    </cfRule>
  </conditionalFormatting>
  <conditionalFormatting sqref="AE30:AH33">
    <cfRule type="containsText" dxfId="139" priority="8" operator="containsText" text="Alerte">
      <formula>NOT(ISERROR(SEARCH("Alerte",AE30)))</formula>
    </cfRule>
  </conditionalFormatting>
  <conditionalFormatting sqref="AE35:AH36">
    <cfRule type="containsText" dxfId="138" priority="70" operator="containsText" text="Alerte">
      <formula>NOT(ISERROR(SEARCH("Alerte",AE35)))</formula>
    </cfRule>
  </conditionalFormatting>
  <conditionalFormatting sqref="AF6:AG7">
    <cfRule type="containsText" dxfId="137" priority="26" operator="containsText" text="Alerte">
      <formula>NOT(ISERROR(SEARCH("Alerte",AF6)))</formula>
    </cfRule>
  </conditionalFormatting>
  <conditionalFormatting sqref="AF10:AG12">
    <cfRule type="containsText" dxfId="136" priority="27" operator="containsText" text="Alerte">
      <formula>NOT(ISERROR(SEARCH("Alerte",AF10)))</formula>
    </cfRule>
  </conditionalFormatting>
  <conditionalFormatting sqref="AF17:AG17">
    <cfRule type="containsText" dxfId="135" priority="29" operator="containsText" text="Alerte">
      <formula>NOT(ISERROR(SEARCH("Alerte",AF17)))</formula>
    </cfRule>
  </conditionalFormatting>
  <conditionalFormatting sqref="AF19:AG19">
    <cfRule type="containsText" dxfId="134" priority="71" operator="containsText" text="Alerte">
      <formula>NOT(ISERROR(SEARCH("Alerte",AF19)))</formula>
    </cfRule>
  </conditionalFormatting>
  <conditionalFormatting sqref="AF22:AG23">
    <cfRule type="containsText" dxfId="133" priority="28" operator="containsText" text="Alerte">
      <formula>NOT(ISERROR(SEARCH("Alerte",AF22)))</formula>
    </cfRule>
  </conditionalFormatting>
  <conditionalFormatting sqref="AF33:AG33">
    <cfRule type="containsText" dxfId="132" priority="15" operator="containsText" text="Alerte">
      <formula>NOT(ISERROR(SEARCH("Alerte",AF33)))</formula>
    </cfRule>
  </conditionalFormatting>
  <conditionalFormatting sqref="AI4:AI33">
    <cfRule type="cellIs" dxfId="131" priority="3" operator="lessThan">
      <formula>0.333333333333333</formula>
    </cfRule>
    <cfRule type="cellIs" dxfId="130" priority="4" operator="greaterThan">
      <formula>0.333333333333333</formula>
    </cfRule>
  </conditionalFormatting>
  <conditionalFormatting sqref="AJ4:AM25">
    <cfRule type="containsText" dxfId="129" priority="23" operator="containsText" text="Alerte">
      <formula>NOT(ISERROR(SEARCH("Alerte",AJ4)))</formula>
    </cfRule>
  </conditionalFormatting>
  <conditionalFormatting sqref="AJ27:AM27">
    <cfRule type="containsText" dxfId="128" priority="9" operator="containsText" text="Alerte">
      <formula>NOT(ISERROR(SEARCH("Alerte",AJ27)))</formula>
    </cfRule>
  </conditionalFormatting>
  <conditionalFormatting sqref="AJ32:AM33">
    <cfRule type="containsText" dxfId="127" priority="21" operator="containsText" text="Alerte">
      <formula>NOT(ISERROR(SEARCH("Alerte",AJ32)))</formula>
    </cfRule>
  </conditionalFormatting>
  <conditionalFormatting sqref="AJ35:AM36">
    <cfRule type="containsText" dxfId="126" priority="66" operator="containsText" text="Alerte">
      <formula>NOT(ISERROR(SEARCH("Alerte",AJ35)))</formula>
    </cfRule>
  </conditionalFormatting>
  <conditionalFormatting sqref="AK6:AL6">
    <cfRule type="containsText" dxfId="125" priority="17" operator="containsText" text="Alerte">
      <formula>NOT(ISERROR(SEARCH("Alerte",AK6)))</formula>
    </cfRule>
  </conditionalFormatting>
  <conditionalFormatting sqref="AK8:AL8">
    <cfRule type="containsText" dxfId="124" priority="19" operator="containsText" text="Alerte">
      <formula>NOT(ISERROR(SEARCH("Alerte",AK8)))</formula>
    </cfRule>
  </conditionalFormatting>
  <conditionalFormatting sqref="AK10:AL10">
    <cfRule type="containsText" dxfId="123" priority="18" operator="containsText" text="Alerte">
      <formula>NOT(ISERROR(SEARCH("Alerte",AK10)))</formula>
    </cfRule>
  </conditionalFormatting>
  <conditionalFormatting sqref="AK12:AL12">
    <cfRule type="containsText" dxfId="122" priority="16" operator="containsText" text="Alerte">
      <formula>NOT(ISERROR(SEARCH("Alerte",AK12)))</formula>
    </cfRule>
  </conditionalFormatting>
  <conditionalFormatting sqref="AK17:AL17">
    <cfRule type="containsText" dxfId="121" priority="22" operator="containsText" text="Alerte">
      <formula>NOT(ISERROR(SEARCH("Alerte",AK17)))</formula>
    </cfRule>
  </conditionalFormatting>
  <conditionalFormatting sqref="AK22:AL23">
    <cfRule type="containsText" dxfId="120" priority="20" operator="containsText" text="Alerte">
      <formula>NOT(ISERROR(SEARCH("Alerte",AK22)))</formula>
    </cfRule>
  </conditionalFormatting>
  <conditionalFormatting sqref="AN4:AN33">
    <cfRule type="cellIs" dxfId="119" priority="1" operator="lessThan">
      <formula>0.333333333333333</formula>
    </cfRule>
    <cfRule type="cellIs" dxfId="118" priority="2" operator="greaterThan">
      <formula>0.333333333333333</formula>
    </cfRule>
  </conditionalFormatting>
  <conditionalFormatting sqref="AO4:AO33">
    <cfRule type="cellIs" dxfId="117" priority="157" operator="lessThan">
      <formula>1.66666666666667</formula>
    </cfRule>
    <cfRule type="cellIs" dxfId="116" priority="158" operator="greaterThan">
      <formula>1.66666666666667</formula>
    </cfRule>
  </conditionalFormatting>
  <conditionalFormatting sqref="AO35:AO36">
    <cfRule type="cellIs" dxfId="115" priority="202" operator="lessThan">
      <formula>1.66666666666667</formula>
    </cfRule>
    <cfRule type="cellIs" dxfId="114" priority="203" operator="greaterThan">
      <formula>1.66666666666667</formula>
    </cfRule>
  </conditionalFormatting>
  <conditionalFormatting sqref="AQ4:AQ11 AP9:AP11 A9:A23 AP12:AQ23 A32:A33 AP32:AQ33 AQ35 A36 AP36:AQ36">
    <cfRule type="containsText" dxfId="113" priority="201" operator="containsText" text="Alerte">
      <formula>NOT(ISERROR(SEARCH("Alerte",A4)))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rgb="FF7030A0"/>
  </sheetPr>
  <dimension ref="A1:BT179"/>
  <sheetViews>
    <sheetView topLeftCell="B1" zoomScale="80" zoomScaleNormal="80" workbookViewId="0">
      <pane xSplit="2" topLeftCell="D1" activePane="topRight" state="frozen"/>
      <selection activeCell="B1" sqref="B1"/>
      <selection pane="topRight" activeCell="N25" sqref="N25"/>
    </sheetView>
  </sheetViews>
  <sheetFormatPr baseColWidth="10" defaultRowHeight="14.25" customHeight="1" x14ac:dyDescent="0.25"/>
  <cols>
    <col min="1" max="1" width="7.7109375" hidden="1" customWidth="1"/>
    <col min="2" max="2" width="22.140625" bestFit="1" customWidth="1"/>
    <col min="3" max="3" width="7.28515625" hidden="1" customWidth="1"/>
    <col min="4" max="4" width="6.7109375" bestFit="1" customWidth="1"/>
    <col min="5" max="5" width="5.85546875" bestFit="1" customWidth="1"/>
    <col min="6" max="6" width="9.5703125" customWidth="1"/>
    <col min="7" max="7" width="6.42578125" bestFit="1" customWidth="1"/>
    <col min="8" max="8" width="8.7109375" bestFit="1" customWidth="1"/>
    <col min="9" max="9" width="6" bestFit="1" customWidth="1"/>
    <col min="10" max="10" width="11.5703125" bestFit="1" customWidth="1"/>
    <col min="11" max="11" width="9.7109375" customWidth="1"/>
    <col min="12" max="12" width="6.42578125" bestFit="1" customWidth="1"/>
    <col min="13" max="13" width="8.7109375" bestFit="1" customWidth="1"/>
    <col min="14" max="14" width="10.140625" bestFit="1" customWidth="1"/>
    <col min="15" max="15" width="11.5703125" bestFit="1" customWidth="1"/>
    <col min="16" max="16" width="9.42578125" customWidth="1"/>
    <col min="17" max="17" width="6.42578125" bestFit="1" customWidth="1"/>
    <col min="18" max="18" width="8.7109375" bestFit="1" customWidth="1"/>
    <col min="19" max="19" width="10.140625" bestFit="1" customWidth="1"/>
    <col min="20" max="20" width="11.5703125" bestFit="1" customWidth="1"/>
    <col min="21" max="21" width="9.42578125" customWidth="1"/>
    <col min="22" max="22" width="6.42578125" bestFit="1" customWidth="1"/>
    <col min="23" max="23" width="8.7109375" bestFit="1" customWidth="1"/>
    <col min="24" max="24" width="10.140625" bestFit="1" customWidth="1"/>
    <col min="25" max="25" width="11.5703125" bestFit="1" customWidth="1"/>
    <col min="26" max="26" width="9.7109375" customWidth="1"/>
    <col min="27" max="27" width="6.42578125" bestFit="1" customWidth="1"/>
    <col min="28" max="28" width="8.7109375" bestFit="1" customWidth="1"/>
    <col min="29" max="29" width="10.140625" bestFit="1" customWidth="1"/>
    <col min="30" max="30" width="11.5703125" bestFit="1" customWidth="1"/>
    <col min="31" max="31" width="9.42578125" customWidth="1"/>
    <col min="32" max="32" width="6.42578125" bestFit="1" customWidth="1"/>
    <col min="33" max="33" width="8.7109375" bestFit="1" customWidth="1"/>
    <col min="34" max="34" width="10.140625" bestFit="1" customWidth="1"/>
    <col min="35" max="35" width="11.5703125" bestFit="1" customWidth="1"/>
    <col min="36" max="36" width="9.5703125" customWidth="1"/>
    <col min="37" max="37" width="6.42578125" bestFit="1" customWidth="1"/>
    <col min="38" max="38" width="8.7109375" bestFit="1" customWidth="1"/>
    <col min="39" max="39" width="10.140625" bestFit="1" customWidth="1"/>
    <col min="40" max="40" width="11.5703125" bestFit="1" customWidth="1"/>
    <col min="41" max="41" width="11.5703125" customWidth="1"/>
  </cols>
  <sheetData>
    <row r="1" spans="1:72" s="4" customFormat="1" ht="17.25" customHeight="1" thickBot="1" x14ac:dyDescent="0.25">
      <c r="B1" s="51" t="str">
        <f>"S"&amp;_xlfn.ISOWEEKNUM(F1)</f>
        <v>S20</v>
      </c>
      <c r="C1" s="1"/>
      <c r="D1" s="1"/>
      <c r="E1" s="1"/>
      <c r="F1" s="529">
        <f>'S&amp;E'!H3</f>
        <v>46153</v>
      </c>
      <c r="G1" s="530"/>
      <c r="H1" s="530"/>
      <c r="I1" s="530"/>
      <c r="J1" s="531"/>
      <c r="K1" s="532">
        <f>F1+1</f>
        <v>46154</v>
      </c>
      <c r="L1" s="533"/>
      <c r="M1" s="533"/>
      <c r="N1" s="533"/>
      <c r="O1" s="534"/>
      <c r="P1" s="532">
        <f>K1+1</f>
        <v>46155</v>
      </c>
      <c r="Q1" s="533"/>
      <c r="R1" s="533"/>
      <c r="S1" s="533"/>
      <c r="T1" s="534"/>
      <c r="U1" s="532">
        <f>P1+1</f>
        <v>46156</v>
      </c>
      <c r="V1" s="533"/>
      <c r="W1" s="533"/>
      <c r="X1" s="533"/>
      <c r="Y1" s="534"/>
      <c r="Z1" s="532">
        <f>U1+1</f>
        <v>46157</v>
      </c>
      <c r="AA1" s="533"/>
      <c r="AB1" s="533"/>
      <c r="AC1" s="533"/>
      <c r="AD1" s="534"/>
      <c r="AE1" s="526">
        <f>Z1+1</f>
        <v>46158</v>
      </c>
      <c r="AF1" s="527"/>
      <c r="AG1" s="527"/>
      <c r="AH1" s="527"/>
      <c r="AI1" s="528"/>
      <c r="AJ1" s="526">
        <f>AE1+1</f>
        <v>46159</v>
      </c>
      <c r="AK1" s="527"/>
      <c r="AL1" s="527"/>
      <c r="AM1" s="527"/>
      <c r="AN1" s="528"/>
      <c r="AO1" s="2">
        <v>1.6666666666666665</v>
      </c>
      <c r="AP1" s="3">
        <f>AO2/AO1</f>
        <v>10</v>
      </c>
      <c r="BT1" s="4" t="s">
        <v>0</v>
      </c>
    </row>
    <row r="2" spans="1:72" s="1" customFormat="1" ht="14.25" customHeight="1" thickTop="1" thickBot="1" x14ac:dyDescent="0.25">
      <c r="F2" s="5" t="s">
        <v>1</v>
      </c>
      <c r="G2" s="6">
        <f>J2/"8:00:00"</f>
        <v>7.9999999999999982</v>
      </c>
      <c r="H2" s="7">
        <f>J2/$AO$2</f>
        <v>0.15999999999999998</v>
      </c>
      <c r="I2" s="8" t="s">
        <v>0</v>
      </c>
      <c r="J2" s="9">
        <f>SUM(J4:J17)</f>
        <v>2.6666666666666661</v>
      </c>
      <c r="K2" s="5" t="s">
        <v>1</v>
      </c>
      <c r="L2" s="6">
        <f>O2/"8:00:00"</f>
        <v>6.9999999999999991</v>
      </c>
      <c r="M2" s="7">
        <f>O2/$AO$2</f>
        <v>0.14000000000000001</v>
      </c>
      <c r="N2" s="8" t="s">
        <v>2</v>
      </c>
      <c r="O2" s="9">
        <f>SUM(O4:O17)</f>
        <v>2.333333333333333</v>
      </c>
      <c r="P2" s="5" t="s">
        <v>1</v>
      </c>
      <c r="Q2" s="6">
        <f>T2/"8:00:00"</f>
        <v>6.9999999999999991</v>
      </c>
      <c r="R2" s="7">
        <f>T2/$AO$2</f>
        <v>0.14000000000000001</v>
      </c>
      <c r="S2" s="8" t="s">
        <v>2</v>
      </c>
      <c r="T2" s="9">
        <f>SUM(T4:T17)</f>
        <v>2.333333333333333</v>
      </c>
      <c r="U2" s="5" t="s">
        <v>1</v>
      </c>
      <c r="V2" s="6">
        <f>Y2/"8:00:00"</f>
        <v>6.9999999999999991</v>
      </c>
      <c r="W2" s="7">
        <f>Y2/$AO$2</f>
        <v>0.14000000000000001</v>
      </c>
      <c r="X2" s="8" t="s">
        <v>2</v>
      </c>
      <c r="Y2" s="9">
        <f>SUM(Y4:Y17)</f>
        <v>2.333333333333333</v>
      </c>
      <c r="Z2" s="5" t="s">
        <v>1</v>
      </c>
      <c r="AA2" s="6">
        <f>AD2/"8:00:00"</f>
        <v>6.9999999999999991</v>
      </c>
      <c r="AB2" s="7">
        <f>AD2/$AO$2</f>
        <v>0.14000000000000001</v>
      </c>
      <c r="AC2" s="8" t="s">
        <v>2</v>
      </c>
      <c r="AD2" s="9">
        <f>SUM(AD4:AD17)</f>
        <v>2.333333333333333</v>
      </c>
      <c r="AE2" s="5" t="s">
        <v>1</v>
      </c>
      <c r="AF2" s="6">
        <f>AI2/"8:00:00"</f>
        <v>6.9999999999999991</v>
      </c>
      <c r="AG2" s="7">
        <f>AI2/$AO$2</f>
        <v>0.14000000000000001</v>
      </c>
      <c r="AH2" s="8" t="s">
        <v>2</v>
      </c>
      <c r="AI2" s="9">
        <f>SUM(AI4:AI17)</f>
        <v>2.333333333333333</v>
      </c>
      <c r="AJ2" s="5" t="s">
        <v>1</v>
      </c>
      <c r="AK2" s="6">
        <f>AN2/"8:00:00"</f>
        <v>6.9999999999999991</v>
      </c>
      <c r="AL2" s="7">
        <f>AN2/$AO$2</f>
        <v>0.14000000000000001</v>
      </c>
      <c r="AM2" s="8" t="s">
        <v>2</v>
      </c>
      <c r="AN2" s="9">
        <f>SUM(AN4:AN17)</f>
        <v>2.333333333333333</v>
      </c>
      <c r="AO2" s="9">
        <f>SUM(AO4:AO17)</f>
        <v>16.666666666666664</v>
      </c>
      <c r="AP2" s="9" t="s">
        <v>3</v>
      </c>
      <c r="AQ2" s="10" t="s">
        <v>4</v>
      </c>
      <c r="AT2" s="11">
        <v>0.33333333333333331</v>
      </c>
      <c r="AW2" s="12">
        <v>1.6666666666666667</v>
      </c>
    </row>
    <row r="3" spans="1:72" s="26" customFormat="1" ht="14.25" customHeight="1" thickBot="1" x14ac:dyDescent="0.3">
      <c r="A3" s="13" t="s">
        <v>247</v>
      </c>
      <c r="B3" s="14" t="s">
        <v>6</v>
      </c>
      <c r="C3" s="15" t="s">
        <v>5</v>
      </c>
      <c r="D3" s="16" t="s">
        <v>364</v>
      </c>
      <c r="E3" s="16" t="s">
        <v>365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  <c r="AP3" s="24" t="s">
        <v>3</v>
      </c>
      <c r="AQ3" s="25"/>
      <c r="AR3" s="53" t="s">
        <v>14</v>
      </c>
      <c r="AS3" s="54"/>
      <c r="AT3" s="55"/>
    </row>
    <row r="4" spans="1:72" s="31" customFormat="1" ht="14.25" customHeight="1" x14ac:dyDescent="0.2">
      <c r="A4" s="208" t="s">
        <v>292</v>
      </c>
      <c r="B4" s="35" t="s">
        <v>369</v>
      </c>
      <c r="C4" s="59"/>
      <c r="D4" s="35" t="s">
        <v>78</v>
      </c>
      <c r="E4" s="35" t="s">
        <v>79</v>
      </c>
      <c r="F4" s="138">
        <v>0.375</v>
      </c>
      <c r="G4" s="180">
        <v>0.54166666666666663</v>
      </c>
      <c r="H4" s="181">
        <v>0.58333333333333337</v>
      </c>
      <c r="I4" s="139">
        <v>0.75</v>
      </c>
      <c r="J4" s="84">
        <f>IFERROR(MOD(I4-F4,1)-(H4-G4),"")</f>
        <v>0.33333333333333326</v>
      </c>
      <c r="K4" s="138">
        <v>0.375</v>
      </c>
      <c r="L4" s="180">
        <v>0.54166666666666663</v>
      </c>
      <c r="M4" s="181">
        <v>0.58333333333333337</v>
      </c>
      <c r="N4" s="139">
        <v>0.75</v>
      </c>
      <c r="O4" s="84">
        <f>IFERROR(MOD(N4-K4,1)-(M4-L4),"")</f>
        <v>0.33333333333333326</v>
      </c>
      <c r="P4" s="138">
        <v>0.375</v>
      </c>
      <c r="Q4" s="180">
        <v>0.54166666666666663</v>
      </c>
      <c r="R4" s="181">
        <v>0.58333333333333337</v>
      </c>
      <c r="S4" s="139">
        <v>0.75</v>
      </c>
      <c r="T4" s="84">
        <f>IFERROR(MOD(S4-P4,1)-(R4-Q4),"")</f>
        <v>0.33333333333333326</v>
      </c>
      <c r="U4" s="206" t="s">
        <v>15</v>
      </c>
      <c r="V4" s="180" t="s">
        <v>15</v>
      </c>
      <c r="W4" s="181" t="s">
        <v>15</v>
      </c>
      <c r="X4" s="207" t="s">
        <v>15</v>
      </c>
      <c r="Y4" s="84" t="str">
        <f t="shared" ref="Y4" si="0">IFERROR(MOD(X4-U4,1)-(W4-V4),"")</f>
        <v/>
      </c>
      <c r="Z4" s="206" t="s">
        <v>15</v>
      </c>
      <c r="AA4" s="180" t="s">
        <v>15</v>
      </c>
      <c r="AB4" s="181" t="s">
        <v>15</v>
      </c>
      <c r="AC4" s="207" t="s">
        <v>15</v>
      </c>
      <c r="AD4" s="84" t="str">
        <f>IFERROR(MOD(AC4-Z4,1)-(AB4-AA4),"")</f>
        <v/>
      </c>
      <c r="AE4" s="205">
        <v>0.375</v>
      </c>
      <c r="AF4" s="180">
        <v>0.54166666666666663</v>
      </c>
      <c r="AG4" s="181">
        <v>0.58333333333333337</v>
      </c>
      <c r="AH4" s="139">
        <v>0.75</v>
      </c>
      <c r="AI4" s="84">
        <f>IFERROR(MOD(AH4-AE4,1)-(AG4-AF4),"")</f>
        <v>0.33333333333333326</v>
      </c>
      <c r="AJ4" s="138">
        <v>0.375</v>
      </c>
      <c r="AK4" s="180">
        <v>0.54166666666666663</v>
      </c>
      <c r="AL4" s="181">
        <v>0.58333333333333337</v>
      </c>
      <c r="AM4" s="139">
        <v>0.75</v>
      </c>
      <c r="AN4" s="84">
        <f>IFERROR(MOD(AM4-AJ4,1)-(AL4-AK4),"")</f>
        <v>0.33333333333333326</v>
      </c>
      <c r="AO4" s="28">
        <f t="shared" ref="AO4:AO13" si="1">SUM(J4,O4,T4,Y4,AD4,AI4,AN4)</f>
        <v>1.6666666666666663</v>
      </c>
      <c r="AP4" s="29"/>
      <c r="AQ4" s="30" t="str">
        <f t="shared" ref="AQ4:AQ13" si="2">IF(AO4&gt;$AO$1, "Alerte Dépassement!!!","")</f>
        <v/>
      </c>
    </row>
    <row r="5" spans="1:72" s="31" customFormat="1" ht="14.25" customHeight="1" x14ac:dyDescent="0.2">
      <c r="A5" s="208" t="s">
        <v>263</v>
      </c>
      <c r="B5" s="35" t="s">
        <v>370</v>
      </c>
      <c r="C5" s="59"/>
      <c r="D5" s="35" t="s">
        <v>78</v>
      </c>
      <c r="E5" s="35" t="s">
        <v>79</v>
      </c>
      <c r="F5" s="205">
        <v>0.375</v>
      </c>
      <c r="G5" s="180">
        <v>0.54166666666666663</v>
      </c>
      <c r="H5" s="181">
        <v>0.58333333333333337</v>
      </c>
      <c r="I5" s="139">
        <v>0.75</v>
      </c>
      <c r="J5" s="84">
        <f t="shared" ref="J5" si="3">IFERROR(MOD(I5-F5,1)-(H5-G5),"")</f>
        <v>0.33333333333333326</v>
      </c>
      <c r="K5" s="138">
        <v>0.375</v>
      </c>
      <c r="L5" s="180">
        <v>0.54166666666666663</v>
      </c>
      <c r="M5" s="181">
        <v>0.58333333333333337</v>
      </c>
      <c r="N5" s="139">
        <v>0.75</v>
      </c>
      <c r="O5" s="84">
        <f t="shared" ref="O5:O13" si="4">IFERROR(MOD(N5-K5,1)-(M5-L5),"")</f>
        <v>0.33333333333333326</v>
      </c>
      <c r="P5" s="138">
        <v>0.375</v>
      </c>
      <c r="Q5" s="180">
        <v>0.54166666666666663</v>
      </c>
      <c r="R5" s="181">
        <v>0.58333333333333337</v>
      </c>
      <c r="S5" s="139">
        <v>0.75</v>
      </c>
      <c r="T5" s="84">
        <f t="shared" ref="T5:T11" si="5">IFERROR(MOD(S5-P5,1)-(R5-Q5),"")</f>
        <v>0.33333333333333326</v>
      </c>
      <c r="U5" s="138">
        <v>0.375</v>
      </c>
      <c r="V5" s="180">
        <v>0.54166666666666663</v>
      </c>
      <c r="W5" s="181">
        <v>0.58333333333333337</v>
      </c>
      <c r="X5" s="139">
        <v>0.75</v>
      </c>
      <c r="Y5" s="84">
        <f t="shared" ref="Y5:Y10" si="6">IFERROR(MOD(X5-U5,1)-(W5-V5),"")</f>
        <v>0.33333333333333326</v>
      </c>
      <c r="Z5" s="138">
        <v>0.375</v>
      </c>
      <c r="AA5" s="180">
        <v>0.54166666666666663</v>
      </c>
      <c r="AB5" s="181">
        <v>0.58333333333333337</v>
      </c>
      <c r="AC5" s="139">
        <v>0.75</v>
      </c>
      <c r="AD5" s="84">
        <f t="shared" ref="AD5:AD11" si="7">IFERROR(MOD(AC5-Z5,1)-(AB5-AA5),"")</f>
        <v>0.33333333333333326</v>
      </c>
      <c r="AE5" s="206" t="s">
        <v>15</v>
      </c>
      <c r="AF5" s="180" t="s">
        <v>15</v>
      </c>
      <c r="AG5" s="181" t="s">
        <v>15</v>
      </c>
      <c r="AH5" s="207" t="s">
        <v>15</v>
      </c>
      <c r="AI5" s="84" t="str">
        <f t="shared" ref="AI5" si="8">IFERROR(MOD(AH5-AE5,1)-(AG5-AF5),"")</f>
        <v/>
      </c>
      <c r="AJ5" s="206" t="s">
        <v>15</v>
      </c>
      <c r="AK5" s="180" t="s">
        <v>15</v>
      </c>
      <c r="AL5" s="181" t="s">
        <v>15</v>
      </c>
      <c r="AM5" s="207" t="s">
        <v>15</v>
      </c>
      <c r="AN5" s="84" t="str">
        <f t="shared" ref="AN5:AN11" si="9">IFERROR(MOD(AM5-AJ5,1)-(AL5-AK5),"")</f>
        <v/>
      </c>
      <c r="AO5" s="28">
        <f t="shared" si="1"/>
        <v>1.6666666666666663</v>
      </c>
      <c r="AP5" s="29"/>
      <c r="AQ5" s="30" t="str">
        <f t="shared" si="2"/>
        <v/>
      </c>
      <c r="AR5" s="32"/>
    </row>
    <row r="6" spans="1:72" s="31" customFormat="1" ht="14.25" customHeight="1" x14ac:dyDescent="0.2">
      <c r="A6" s="208" t="s">
        <v>282</v>
      </c>
      <c r="B6" s="35" t="s">
        <v>371</v>
      </c>
      <c r="C6" s="59"/>
      <c r="D6" s="35" t="s">
        <v>78</v>
      </c>
      <c r="E6" s="35" t="s">
        <v>346</v>
      </c>
      <c r="F6" s="138">
        <v>0.375</v>
      </c>
      <c r="G6" s="180">
        <v>0.54166666666666663</v>
      </c>
      <c r="H6" s="181">
        <v>0.58333333333333337</v>
      </c>
      <c r="I6" s="139">
        <v>0.75</v>
      </c>
      <c r="J6" s="84">
        <f t="shared" ref="J6:J13" si="10">IFERROR(MOD(I6-F6,1)-(H6-G6),"")</f>
        <v>0.33333333333333326</v>
      </c>
      <c r="K6" s="206" t="s">
        <v>15</v>
      </c>
      <c r="L6" s="180" t="s">
        <v>15</v>
      </c>
      <c r="M6" s="181" t="s">
        <v>15</v>
      </c>
      <c r="N6" s="207" t="s">
        <v>15</v>
      </c>
      <c r="O6" s="84" t="str">
        <f t="shared" si="4"/>
        <v/>
      </c>
      <c r="P6" s="206" t="s">
        <v>15</v>
      </c>
      <c r="Q6" s="180" t="s">
        <v>15</v>
      </c>
      <c r="R6" s="181" t="s">
        <v>15</v>
      </c>
      <c r="S6" s="207" t="s">
        <v>15</v>
      </c>
      <c r="T6" s="84" t="str">
        <f t="shared" si="5"/>
        <v/>
      </c>
      <c r="U6" s="138">
        <v>0.375</v>
      </c>
      <c r="V6" s="180">
        <v>0.54166666666666663</v>
      </c>
      <c r="W6" s="181">
        <v>0.58333333333333337</v>
      </c>
      <c r="X6" s="139">
        <v>0.75</v>
      </c>
      <c r="Y6" s="84">
        <f t="shared" ref="Y6" si="11">IFERROR(MOD(X6-U6,1)-(W6-V6),"")</f>
        <v>0.33333333333333326</v>
      </c>
      <c r="Z6" s="138">
        <v>0.375</v>
      </c>
      <c r="AA6" s="180">
        <v>0.54166666666666663</v>
      </c>
      <c r="AB6" s="181">
        <v>0.58333333333333337</v>
      </c>
      <c r="AC6" s="139">
        <v>0.75</v>
      </c>
      <c r="AD6" s="84">
        <f t="shared" si="7"/>
        <v>0.33333333333333326</v>
      </c>
      <c r="AE6" s="138">
        <v>0.375</v>
      </c>
      <c r="AF6" s="180">
        <v>0.54166666666666663</v>
      </c>
      <c r="AG6" s="181">
        <v>0.58333333333333337</v>
      </c>
      <c r="AH6" s="139">
        <v>0.75</v>
      </c>
      <c r="AI6" s="84">
        <f t="shared" ref="AI6:AI10" si="12">IFERROR(MOD(AH6-AE6,1)-(AG6-AF6),"")</f>
        <v>0.33333333333333326</v>
      </c>
      <c r="AJ6" s="138">
        <v>0.375</v>
      </c>
      <c r="AK6" s="180">
        <v>0.54166666666666663</v>
      </c>
      <c r="AL6" s="181">
        <v>0.58333333333333337</v>
      </c>
      <c r="AM6" s="139">
        <v>0.75</v>
      </c>
      <c r="AN6" s="84">
        <f t="shared" si="9"/>
        <v>0.33333333333333326</v>
      </c>
      <c r="AO6" s="28">
        <f t="shared" si="1"/>
        <v>1.6666666666666663</v>
      </c>
      <c r="AP6" s="29"/>
      <c r="AQ6" s="30" t="str">
        <f t="shared" si="2"/>
        <v/>
      </c>
      <c r="AR6" s="32"/>
    </row>
    <row r="7" spans="1:72" s="31" customFormat="1" ht="14.25" customHeight="1" x14ac:dyDescent="0.2">
      <c r="A7" s="208" t="s">
        <v>263</v>
      </c>
      <c r="B7" s="35" t="s">
        <v>372</v>
      </c>
      <c r="C7" s="59"/>
      <c r="D7" s="35" t="s">
        <v>78</v>
      </c>
      <c r="E7" s="35" t="s">
        <v>346</v>
      </c>
      <c r="F7" s="138">
        <v>0.375</v>
      </c>
      <c r="G7" s="180">
        <v>0.54166666666666663</v>
      </c>
      <c r="H7" s="181">
        <v>0.58333333333333337</v>
      </c>
      <c r="I7" s="139">
        <v>0.75</v>
      </c>
      <c r="J7" s="84">
        <f t="shared" si="10"/>
        <v>0.33333333333333326</v>
      </c>
      <c r="K7" s="138">
        <v>0.375</v>
      </c>
      <c r="L7" s="180">
        <v>0.54166666666666663</v>
      </c>
      <c r="M7" s="181">
        <v>0.58333333333333337</v>
      </c>
      <c r="N7" s="139">
        <v>0.75</v>
      </c>
      <c r="O7" s="84">
        <f t="shared" si="4"/>
        <v>0.33333333333333326</v>
      </c>
      <c r="P7" s="206" t="s">
        <v>15</v>
      </c>
      <c r="Q7" s="180" t="s">
        <v>15</v>
      </c>
      <c r="R7" s="181" t="s">
        <v>15</v>
      </c>
      <c r="S7" s="207" t="s">
        <v>15</v>
      </c>
      <c r="T7" s="84" t="str">
        <f t="shared" si="5"/>
        <v/>
      </c>
      <c r="U7" s="206" t="s">
        <v>15</v>
      </c>
      <c r="V7" s="180" t="s">
        <v>15</v>
      </c>
      <c r="W7" s="181" t="s">
        <v>15</v>
      </c>
      <c r="X7" s="207" t="s">
        <v>15</v>
      </c>
      <c r="Y7" s="84" t="str">
        <f t="shared" si="6"/>
        <v/>
      </c>
      <c r="Z7" s="205">
        <v>0.375</v>
      </c>
      <c r="AA7" s="180">
        <v>0.54166666666666663</v>
      </c>
      <c r="AB7" s="181">
        <v>0.58333333333333337</v>
      </c>
      <c r="AC7" s="139">
        <v>0.75</v>
      </c>
      <c r="AD7" s="84">
        <f>IFERROR(MOD(AC7-Z7,1)-(AB7-AA7),"")</f>
        <v>0.33333333333333326</v>
      </c>
      <c r="AE7" s="138">
        <v>0.375</v>
      </c>
      <c r="AF7" s="180">
        <v>0.54166666666666663</v>
      </c>
      <c r="AG7" s="181">
        <v>0.58333333333333337</v>
      </c>
      <c r="AH7" s="139">
        <v>0.75</v>
      </c>
      <c r="AI7" s="84">
        <f t="shared" si="12"/>
        <v>0.33333333333333326</v>
      </c>
      <c r="AJ7" s="138">
        <v>0.375</v>
      </c>
      <c r="AK7" s="180">
        <v>0.54166666666666663</v>
      </c>
      <c r="AL7" s="181">
        <v>0.58333333333333337</v>
      </c>
      <c r="AM7" s="139">
        <v>0.75</v>
      </c>
      <c r="AN7" s="84">
        <f t="shared" si="9"/>
        <v>0.33333333333333326</v>
      </c>
      <c r="AO7" s="28">
        <f t="shared" si="1"/>
        <v>1.6666666666666663</v>
      </c>
      <c r="AQ7" s="30" t="str">
        <f t="shared" si="2"/>
        <v/>
      </c>
      <c r="AR7" s="34"/>
    </row>
    <row r="8" spans="1:72" s="31" customFormat="1" ht="14.25" customHeight="1" x14ac:dyDescent="0.2">
      <c r="A8" s="177" t="s">
        <v>287</v>
      </c>
      <c r="B8" s="35" t="s">
        <v>44</v>
      </c>
      <c r="C8" s="105"/>
      <c r="D8" s="35" t="s">
        <v>78</v>
      </c>
      <c r="E8" s="35" t="s">
        <v>375</v>
      </c>
      <c r="F8" s="206" t="s">
        <v>15</v>
      </c>
      <c r="G8" s="180" t="s">
        <v>15</v>
      </c>
      <c r="H8" s="181" t="s">
        <v>15</v>
      </c>
      <c r="I8" s="207" t="s">
        <v>15</v>
      </c>
      <c r="J8" s="84" t="str">
        <f t="shared" si="10"/>
        <v/>
      </c>
      <c r="K8" s="205">
        <v>0.375</v>
      </c>
      <c r="L8" s="180">
        <v>0.54166666666666663</v>
      </c>
      <c r="M8" s="181">
        <v>0.58333333333333337</v>
      </c>
      <c r="N8" s="139">
        <v>0.75</v>
      </c>
      <c r="O8" s="84">
        <f t="shared" ref="O8" si="13">IFERROR(MOD(N8-K8,1)-(M8-L8),"")</f>
        <v>0.33333333333333326</v>
      </c>
      <c r="P8" s="138">
        <v>0.375</v>
      </c>
      <c r="Q8" s="180">
        <v>0.54166666666666663</v>
      </c>
      <c r="R8" s="181">
        <v>0.58333333333333337</v>
      </c>
      <c r="S8" s="139">
        <v>0.75</v>
      </c>
      <c r="T8" s="84">
        <f t="shared" si="5"/>
        <v>0.33333333333333326</v>
      </c>
      <c r="U8" s="138">
        <v>0.375</v>
      </c>
      <c r="V8" s="180">
        <v>0.54166666666666663</v>
      </c>
      <c r="W8" s="181">
        <v>0.58333333333333337</v>
      </c>
      <c r="X8" s="139">
        <v>0.75</v>
      </c>
      <c r="Y8" s="84">
        <f t="shared" si="6"/>
        <v>0.33333333333333326</v>
      </c>
      <c r="Z8" s="138">
        <v>0.375</v>
      </c>
      <c r="AA8" s="180">
        <v>0.54166666666666663</v>
      </c>
      <c r="AB8" s="181">
        <v>0.58333333333333337</v>
      </c>
      <c r="AC8" s="139">
        <v>0.75</v>
      </c>
      <c r="AD8" s="84">
        <f t="shared" si="7"/>
        <v>0.33333333333333326</v>
      </c>
      <c r="AE8" s="138">
        <v>0.375</v>
      </c>
      <c r="AF8" s="180">
        <v>0.54166666666666663</v>
      </c>
      <c r="AG8" s="181">
        <v>0.58333333333333337</v>
      </c>
      <c r="AH8" s="139">
        <v>0.75</v>
      </c>
      <c r="AI8" s="84">
        <f t="shared" si="12"/>
        <v>0.33333333333333326</v>
      </c>
      <c r="AJ8" s="206" t="s">
        <v>15</v>
      </c>
      <c r="AK8" s="180" t="s">
        <v>15</v>
      </c>
      <c r="AL8" s="181" t="s">
        <v>15</v>
      </c>
      <c r="AM8" s="207" t="s">
        <v>15</v>
      </c>
      <c r="AN8" s="84" t="str">
        <f t="shared" ref="AN8" si="14">IFERROR(MOD(AM8-AJ8,1)-(AL8-AK8),"")</f>
        <v/>
      </c>
      <c r="AO8" s="28">
        <f t="shared" si="1"/>
        <v>1.6666666666666663</v>
      </c>
      <c r="AP8" s="29"/>
      <c r="AQ8" s="30" t="str">
        <f t="shared" si="2"/>
        <v/>
      </c>
    </row>
    <row r="9" spans="1:72" s="31" customFormat="1" ht="14.25" customHeight="1" x14ac:dyDescent="0.2">
      <c r="A9" s="177" t="s">
        <v>290</v>
      </c>
      <c r="B9" s="35" t="s">
        <v>373</v>
      </c>
      <c r="C9" s="105"/>
      <c r="D9" s="35" t="s">
        <v>78</v>
      </c>
      <c r="E9" s="35" t="s">
        <v>346</v>
      </c>
      <c r="F9" s="138">
        <v>0.375</v>
      </c>
      <c r="G9" s="180">
        <v>0.54166666666666663</v>
      </c>
      <c r="H9" s="181">
        <v>0.58333333333333337</v>
      </c>
      <c r="I9" s="139">
        <v>0.75</v>
      </c>
      <c r="J9" s="84">
        <f t="shared" si="10"/>
        <v>0.33333333333333326</v>
      </c>
      <c r="K9" s="138">
        <v>0.375</v>
      </c>
      <c r="L9" s="180">
        <v>0.54166666666666663</v>
      </c>
      <c r="M9" s="181">
        <v>0.58333333333333337</v>
      </c>
      <c r="N9" s="139">
        <v>0.75</v>
      </c>
      <c r="O9" s="84">
        <f t="shared" si="4"/>
        <v>0.33333333333333326</v>
      </c>
      <c r="P9" s="138">
        <v>0.375</v>
      </c>
      <c r="Q9" s="180">
        <v>0.54166666666666663</v>
      </c>
      <c r="R9" s="181">
        <v>0.58333333333333337</v>
      </c>
      <c r="S9" s="139">
        <v>0.75</v>
      </c>
      <c r="T9" s="84">
        <f t="shared" si="5"/>
        <v>0.33333333333333326</v>
      </c>
      <c r="U9" s="138">
        <v>0.375</v>
      </c>
      <c r="V9" s="180">
        <v>0.54166666666666663</v>
      </c>
      <c r="W9" s="181">
        <v>0.58333333333333337</v>
      </c>
      <c r="X9" s="139">
        <v>0.75</v>
      </c>
      <c r="Y9" s="84">
        <f t="shared" si="6"/>
        <v>0.33333333333333326</v>
      </c>
      <c r="Z9" s="206" t="s">
        <v>15</v>
      </c>
      <c r="AA9" s="180" t="s">
        <v>15</v>
      </c>
      <c r="AB9" s="181" t="s">
        <v>15</v>
      </c>
      <c r="AC9" s="207" t="s">
        <v>15</v>
      </c>
      <c r="AD9" s="84" t="str">
        <f t="shared" si="7"/>
        <v/>
      </c>
      <c r="AE9" s="206" t="s">
        <v>15</v>
      </c>
      <c r="AF9" s="180" t="s">
        <v>15</v>
      </c>
      <c r="AG9" s="181" t="s">
        <v>15</v>
      </c>
      <c r="AH9" s="207" t="s">
        <v>15</v>
      </c>
      <c r="AI9" s="84" t="str">
        <f t="shared" si="12"/>
        <v/>
      </c>
      <c r="AJ9" s="205">
        <v>0.375</v>
      </c>
      <c r="AK9" s="180">
        <v>0.54166666666666663</v>
      </c>
      <c r="AL9" s="181">
        <v>0.58333333333333337</v>
      </c>
      <c r="AM9" s="139">
        <v>0.75</v>
      </c>
      <c r="AN9" s="84">
        <f t="shared" ref="AN9" si="15">IFERROR(MOD(AM9-AJ9,1)-(AL9-AK9),"")</f>
        <v>0.33333333333333326</v>
      </c>
      <c r="AO9" s="28">
        <f t="shared" si="1"/>
        <v>1.6666666666666663</v>
      </c>
      <c r="AP9" s="29"/>
      <c r="AQ9" s="30" t="str">
        <f t="shared" si="2"/>
        <v/>
      </c>
    </row>
    <row r="10" spans="1:72" s="31" customFormat="1" ht="14.25" customHeight="1" x14ac:dyDescent="0.25">
      <c r="A10" s="177"/>
      <c r="B10" s="102" t="s">
        <v>374</v>
      </c>
      <c r="C10" s="102"/>
      <c r="D10" s="35" t="s">
        <v>78</v>
      </c>
      <c r="E10" s="102" t="s">
        <v>79</v>
      </c>
      <c r="F10" s="205">
        <v>0.375</v>
      </c>
      <c r="G10" s="180">
        <v>0.54166666666666663</v>
      </c>
      <c r="H10" s="181">
        <v>0.58333333333333337</v>
      </c>
      <c r="I10" s="139">
        <v>0.75</v>
      </c>
      <c r="J10" s="84">
        <f t="shared" si="10"/>
        <v>0.33333333333333326</v>
      </c>
      <c r="K10" s="205">
        <v>0.375</v>
      </c>
      <c r="L10" s="180">
        <v>0.54166666666666663</v>
      </c>
      <c r="M10" s="181">
        <v>0.58333333333333337</v>
      </c>
      <c r="N10" s="139">
        <v>0.75</v>
      </c>
      <c r="O10" s="84">
        <f t="shared" si="4"/>
        <v>0.33333333333333326</v>
      </c>
      <c r="P10" s="205">
        <v>0.375</v>
      </c>
      <c r="Q10" s="180">
        <v>0.54166666666666663</v>
      </c>
      <c r="R10" s="181">
        <v>0.58333333333333337</v>
      </c>
      <c r="S10" s="139">
        <v>0.75</v>
      </c>
      <c r="T10" s="84">
        <f t="shared" si="5"/>
        <v>0.33333333333333326</v>
      </c>
      <c r="U10" s="205">
        <v>0.375</v>
      </c>
      <c r="V10" s="180">
        <v>0.54166666666666663</v>
      </c>
      <c r="W10" s="181">
        <v>0.58333333333333337</v>
      </c>
      <c r="X10" s="139">
        <v>0.75</v>
      </c>
      <c r="Y10" s="84">
        <f t="shared" si="6"/>
        <v>0.33333333333333326</v>
      </c>
      <c r="Z10" s="138">
        <v>0.375</v>
      </c>
      <c r="AA10" s="180">
        <v>0.54166666666666663</v>
      </c>
      <c r="AB10" s="181">
        <v>0.58333333333333337</v>
      </c>
      <c r="AC10" s="139">
        <v>0.75</v>
      </c>
      <c r="AD10" s="84">
        <f t="shared" si="7"/>
        <v>0.33333333333333326</v>
      </c>
      <c r="AE10" s="206" t="s">
        <v>15</v>
      </c>
      <c r="AF10" s="180" t="s">
        <v>15</v>
      </c>
      <c r="AG10" s="181" t="s">
        <v>15</v>
      </c>
      <c r="AH10" s="207" t="s">
        <v>15</v>
      </c>
      <c r="AI10" s="84" t="str">
        <f t="shared" si="12"/>
        <v/>
      </c>
      <c r="AJ10" s="206" t="s">
        <v>15</v>
      </c>
      <c r="AK10" s="180" t="s">
        <v>15</v>
      </c>
      <c r="AL10" s="181" t="s">
        <v>15</v>
      </c>
      <c r="AM10" s="207" t="s">
        <v>15</v>
      </c>
      <c r="AN10" s="84" t="str">
        <f t="shared" si="9"/>
        <v/>
      </c>
      <c r="AO10" s="28">
        <f t="shared" si="1"/>
        <v>1.6666666666666663</v>
      </c>
      <c r="AP10" s="29"/>
      <c r="AQ10" s="30" t="str">
        <f t="shared" si="2"/>
        <v/>
      </c>
    </row>
    <row r="11" spans="1:72" s="31" customFormat="1" ht="14.25" customHeight="1" x14ac:dyDescent="0.25">
      <c r="A11" s="177"/>
      <c r="B11" s="102" t="s">
        <v>397</v>
      </c>
      <c r="C11"/>
      <c r="D11" s="35" t="s">
        <v>78</v>
      </c>
      <c r="E11" s="35" t="s">
        <v>79</v>
      </c>
      <c r="F11" s="205">
        <v>0.375</v>
      </c>
      <c r="G11" s="180">
        <v>0.54166666666666663</v>
      </c>
      <c r="H11" s="181">
        <v>0.58333333333333337</v>
      </c>
      <c r="I11" s="139">
        <v>0.75</v>
      </c>
      <c r="J11" s="84">
        <f t="shared" si="10"/>
        <v>0.33333333333333326</v>
      </c>
      <c r="K11" s="205">
        <v>0.375</v>
      </c>
      <c r="L11" s="180">
        <v>0.54166666666666663</v>
      </c>
      <c r="M11" s="181">
        <v>0.58333333333333337</v>
      </c>
      <c r="N11" s="139">
        <v>0.75</v>
      </c>
      <c r="O11" s="84">
        <f t="shared" si="4"/>
        <v>0.33333333333333326</v>
      </c>
      <c r="P11" s="205">
        <v>0.375</v>
      </c>
      <c r="Q11" s="180">
        <v>0.54166666666666663</v>
      </c>
      <c r="R11" s="181">
        <v>0.58333333333333337</v>
      </c>
      <c r="S11" s="139">
        <v>0.75</v>
      </c>
      <c r="T11" s="84">
        <f t="shared" si="5"/>
        <v>0.33333333333333326</v>
      </c>
      <c r="U11" s="206" t="s">
        <v>15</v>
      </c>
      <c r="V11" s="180" t="s">
        <v>15</v>
      </c>
      <c r="W11" s="181" t="s">
        <v>15</v>
      </c>
      <c r="X11" s="207" t="s">
        <v>15</v>
      </c>
      <c r="Y11" s="84" t="str">
        <f t="shared" ref="Y11" si="16">IFERROR(MOD(X11-U11,1)-(W11-V11),"")</f>
        <v/>
      </c>
      <c r="Z11" s="206" t="s">
        <v>15</v>
      </c>
      <c r="AA11" s="180" t="s">
        <v>15</v>
      </c>
      <c r="AB11" s="181" t="s">
        <v>15</v>
      </c>
      <c r="AC11" s="207" t="s">
        <v>15</v>
      </c>
      <c r="AD11" s="84" t="str">
        <f t="shared" si="7"/>
        <v/>
      </c>
      <c r="AE11" s="205">
        <v>0.375</v>
      </c>
      <c r="AF11" s="180">
        <v>0.54166666666666663</v>
      </c>
      <c r="AG11" s="181">
        <v>0.58333333333333337</v>
      </c>
      <c r="AH11" s="139">
        <v>0.75</v>
      </c>
      <c r="AI11" s="84">
        <f>IFERROR(MOD(AH11-AE11,1)-(AG11-AF11),"")</f>
        <v>0.33333333333333326</v>
      </c>
      <c r="AJ11" s="205">
        <v>0.375</v>
      </c>
      <c r="AK11" s="180">
        <v>0.54166666666666663</v>
      </c>
      <c r="AL11" s="181">
        <v>0.58333333333333337</v>
      </c>
      <c r="AM11" s="139">
        <v>0.75</v>
      </c>
      <c r="AN11" s="84">
        <f t="shared" si="9"/>
        <v>0.33333333333333326</v>
      </c>
      <c r="AO11" s="28">
        <f t="shared" si="1"/>
        <v>1.6666666666666663</v>
      </c>
      <c r="AP11" s="29"/>
      <c r="AQ11" s="30" t="str">
        <f t="shared" si="2"/>
        <v/>
      </c>
    </row>
    <row r="12" spans="1:72" s="31" customFormat="1" ht="14.25" customHeight="1" x14ac:dyDescent="0.25">
      <c r="A12" s="177"/>
      <c r="B12" s="102" t="s">
        <v>398</v>
      </c>
      <c r="C12"/>
      <c r="D12" s="35" t="s">
        <v>78</v>
      </c>
      <c r="E12" s="35" t="s">
        <v>79</v>
      </c>
      <c r="F12" s="205">
        <v>0.375</v>
      </c>
      <c r="G12" s="180">
        <v>0.54166666666666663</v>
      </c>
      <c r="H12" s="181">
        <v>0.58333333333333337</v>
      </c>
      <c r="I12" s="139">
        <v>0.75</v>
      </c>
      <c r="J12" s="84">
        <f t="shared" si="10"/>
        <v>0.33333333333333326</v>
      </c>
      <c r="K12" s="206" t="s">
        <v>15</v>
      </c>
      <c r="L12" s="180" t="s">
        <v>15</v>
      </c>
      <c r="M12" s="181" t="s">
        <v>15</v>
      </c>
      <c r="N12" s="207" t="s">
        <v>15</v>
      </c>
      <c r="O12" s="84" t="str">
        <f t="shared" ref="O12" si="17">IFERROR(MOD(N12-K12,1)-(M12-L12),"")</f>
        <v/>
      </c>
      <c r="P12" s="206" t="s">
        <v>15</v>
      </c>
      <c r="Q12" s="180" t="s">
        <v>15</v>
      </c>
      <c r="R12" s="181" t="s">
        <v>15</v>
      </c>
      <c r="S12" s="207" t="s">
        <v>15</v>
      </c>
      <c r="T12" s="84" t="str">
        <f>IFERROR(MOD(S12-P12,1)-(R12-Q12),"")</f>
        <v/>
      </c>
      <c r="U12" s="138">
        <v>0.375</v>
      </c>
      <c r="V12" s="180">
        <v>0.54166666666666663</v>
      </c>
      <c r="W12" s="181">
        <v>0.58333333333333337</v>
      </c>
      <c r="X12" s="139">
        <v>0.75</v>
      </c>
      <c r="Y12" s="84">
        <f>IFERROR(MOD(X12-U12,1)-(W12-V12),"")</f>
        <v>0.33333333333333326</v>
      </c>
      <c r="Z12" s="205">
        <v>0.375</v>
      </c>
      <c r="AA12" s="180">
        <v>0.54166666666666663</v>
      </c>
      <c r="AB12" s="181">
        <v>0.58333333333333337</v>
      </c>
      <c r="AC12" s="139">
        <v>0.75</v>
      </c>
      <c r="AD12" s="84">
        <f>IFERROR(MOD(AC12-Z12,1)-(AB12-AA12),"")</f>
        <v>0.33333333333333326</v>
      </c>
      <c r="AE12" s="205">
        <v>0.375</v>
      </c>
      <c r="AF12" s="180">
        <v>0.54166666666666663</v>
      </c>
      <c r="AG12" s="181">
        <v>0.58333333333333337</v>
      </c>
      <c r="AH12" s="139">
        <v>0.75</v>
      </c>
      <c r="AI12" s="84">
        <f>IFERROR(MOD(AH12-AE12,1)-(AG12-AF12),"")</f>
        <v>0.33333333333333326</v>
      </c>
      <c r="AJ12" s="205">
        <v>0.375</v>
      </c>
      <c r="AK12" s="180">
        <v>0.54166666666666663</v>
      </c>
      <c r="AL12" s="181">
        <v>0.58333333333333337</v>
      </c>
      <c r="AM12" s="139">
        <v>0.75</v>
      </c>
      <c r="AN12" s="84">
        <f>IFERROR(MOD(AM12-AJ12,1)-(AL12-AK12),"")</f>
        <v>0.33333333333333326</v>
      </c>
      <c r="AO12" s="28">
        <f t="shared" si="1"/>
        <v>1.6666666666666663</v>
      </c>
      <c r="AP12" s="29"/>
      <c r="AQ12" s="30" t="str">
        <f t="shared" si="2"/>
        <v/>
      </c>
    </row>
    <row r="13" spans="1:72" s="31" customFormat="1" ht="14.25" customHeight="1" x14ac:dyDescent="0.25">
      <c r="A13" s="177"/>
      <c r="B13" s="102" t="s">
        <v>399</v>
      </c>
      <c r="C13"/>
      <c r="D13" s="35" t="s">
        <v>78</v>
      </c>
      <c r="E13" s="35" t="s">
        <v>346</v>
      </c>
      <c r="F13" s="206" t="s">
        <v>15</v>
      </c>
      <c r="G13" s="180" t="s">
        <v>15</v>
      </c>
      <c r="H13" s="181" t="s">
        <v>15</v>
      </c>
      <c r="I13" s="207" t="s">
        <v>15</v>
      </c>
      <c r="J13" s="84" t="str">
        <f t="shared" si="10"/>
        <v/>
      </c>
      <c r="K13" s="206" t="s">
        <v>15</v>
      </c>
      <c r="L13" s="180" t="s">
        <v>15</v>
      </c>
      <c r="M13" s="181" t="s">
        <v>15</v>
      </c>
      <c r="N13" s="207" t="s">
        <v>15</v>
      </c>
      <c r="O13" s="84" t="str">
        <f t="shared" si="4"/>
        <v/>
      </c>
      <c r="P13" s="205">
        <v>0.375</v>
      </c>
      <c r="Q13" s="180">
        <v>0.54166666666666663</v>
      </c>
      <c r="R13" s="181">
        <v>0.58333333333333337</v>
      </c>
      <c r="S13" s="139">
        <v>0.75</v>
      </c>
      <c r="T13" s="84">
        <f t="shared" ref="T13" si="18">IFERROR(MOD(S13-P13,1)-(R13-Q13),"")</f>
        <v>0.33333333333333326</v>
      </c>
      <c r="U13" s="138">
        <v>0.375</v>
      </c>
      <c r="V13" s="180">
        <v>0.54166666666666663</v>
      </c>
      <c r="W13" s="181">
        <v>0.58333333333333337</v>
      </c>
      <c r="X13" s="139">
        <v>0.75</v>
      </c>
      <c r="Y13" s="84">
        <f>IFERROR(MOD(X13-U13,1)-(W13-V13),"")</f>
        <v>0.33333333333333326</v>
      </c>
      <c r="Z13" s="138">
        <v>0.375</v>
      </c>
      <c r="AA13" s="180">
        <v>0.54166666666666663</v>
      </c>
      <c r="AB13" s="181">
        <v>0.58333333333333337</v>
      </c>
      <c r="AC13" s="139">
        <v>0.75</v>
      </c>
      <c r="AD13" s="84">
        <f>IFERROR(MOD(AC13-Z13,1)-(AB13-AA13),"")</f>
        <v>0.33333333333333326</v>
      </c>
      <c r="AE13" s="138">
        <v>0.375</v>
      </c>
      <c r="AF13" s="180">
        <v>0.54166666666666663</v>
      </c>
      <c r="AG13" s="181">
        <v>0.58333333333333337</v>
      </c>
      <c r="AH13" s="139">
        <v>0.75</v>
      </c>
      <c r="AI13" s="84">
        <f>IFERROR(MOD(AH13-AE13,1)-(AG13-AF13),"")</f>
        <v>0.33333333333333326</v>
      </c>
      <c r="AJ13" s="138">
        <v>0.375</v>
      </c>
      <c r="AK13" s="180">
        <v>0.54166666666666663</v>
      </c>
      <c r="AL13" s="181">
        <v>0.58333333333333337</v>
      </c>
      <c r="AM13" s="139">
        <v>0.75</v>
      </c>
      <c r="AN13" s="84">
        <f>IFERROR(MOD(AM13-AJ13,1)-(AL13-AK13),"")</f>
        <v>0.33333333333333326</v>
      </c>
      <c r="AO13" s="28">
        <f t="shared" si="1"/>
        <v>1.6666666666666663</v>
      </c>
      <c r="AP13" s="29"/>
      <c r="AQ13" s="30" t="str">
        <f t="shared" si="2"/>
        <v/>
      </c>
    </row>
    <row r="14" spans="1:72" s="31" customFormat="1" ht="15" customHeight="1" x14ac:dyDescent="0.25">
      <c r="A14" s="204"/>
      <c r="B14"/>
      <c r="C14"/>
      <c r="D14"/>
      <c r="E14"/>
      <c r="AJ14"/>
      <c r="AK14"/>
      <c r="AL14"/>
      <c r="AM14"/>
      <c r="AN14"/>
      <c r="AO14"/>
      <c r="AP14" s="29"/>
      <c r="AQ14" s="30"/>
      <c r="AR14" s="48"/>
    </row>
    <row r="15" spans="1:72" s="31" customFormat="1" ht="15" customHeight="1" x14ac:dyDescent="0.25">
      <c r="A15" s="204"/>
      <c r="B15"/>
      <c r="C15"/>
      <c r="D15"/>
      <c r="E15"/>
      <c r="F15" s="30"/>
      <c r="G15" s="30"/>
      <c r="H15" s="30"/>
      <c r="I15" s="30"/>
      <c r="J15" s="30"/>
      <c r="K15" s="30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 s="29"/>
      <c r="AQ15" s="30"/>
      <c r="AR15" s="48"/>
    </row>
    <row r="16" spans="1:72" s="31" customFormat="1" ht="15" customHeight="1" x14ac:dyDescent="0.25">
      <c r="A16" s="204"/>
      <c r="B16"/>
      <c r="C16"/>
      <c r="D16"/>
      <c r="E16"/>
      <c r="F16" s="30"/>
      <c r="G16" s="30"/>
      <c r="H16" s="30"/>
      <c r="I16" s="30"/>
      <c r="J16" s="30"/>
      <c r="K16" s="30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 s="29"/>
      <c r="AQ16" s="30"/>
      <c r="AR16" s="48"/>
    </row>
    <row r="17" spans="1:53" s="31" customFormat="1" ht="14.25" customHeight="1" x14ac:dyDescent="0.25">
      <c r="A17" s="202"/>
      <c r="B17"/>
      <c r="C17"/>
      <c r="D17"/>
      <c r="E17"/>
      <c r="F17" s="30"/>
      <c r="G17" s="30"/>
      <c r="H17" s="30"/>
      <c r="I17" s="30"/>
      <c r="J17" s="30"/>
      <c r="K17" s="30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 s="30"/>
      <c r="AQ17" s="30"/>
    </row>
    <row r="18" spans="1:53" s="31" customFormat="1" ht="14.25" customHeight="1" x14ac:dyDescent="0.25">
      <c r="A18" s="202"/>
      <c r="B18"/>
      <c r="C18"/>
      <c r="D18"/>
      <c r="E18"/>
      <c r="F18"/>
      <c r="G18"/>
      <c r="H18"/>
      <c r="I18"/>
      <c r="J18" s="30"/>
      <c r="K18" s="30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 s="30"/>
      <c r="AQ18" s="30"/>
    </row>
    <row r="19" spans="1:53" s="31" customFormat="1" ht="14.25" customHeight="1" x14ac:dyDescent="0.25">
      <c r="A19" s="202"/>
      <c r="B19"/>
      <c r="C19"/>
      <c r="D19"/>
      <c r="E19"/>
      <c r="F19"/>
      <c r="G19"/>
      <c r="H19"/>
      <c r="I19"/>
      <c r="J19" s="30"/>
      <c r="K19" s="30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s="30"/>
      <c r="AQ19" s="30"/>
    </row>
    <row r="20" spans="1:53" ht="14.25" customHeight="1" x14ac:dyDescent="0.25">
      <c r="A20" s="197"/>
      <c r="J20" s="30"/>
      <c r="K20" s="30"/>
      <c r="AQ20" s="30"/>
      <c r="AT20" s="31"/>
      <c r="AU20" s="31"/>
      <c r="AV20" s="31"/>
      <c r="AW20" s="31"/>
      <c r="AX20" s="31"/>
      <c r="AY20" s="31"/>
      <c r="AZ20" s="31"/>
      <c r="BA20" s="31"/>
    </row>
    <row r="21" spans="1:53" ht="14.25" customHeight="1" x14ac:dyDescent="0.25">
      <c r="J21" s="30"/>
      <c r="K21" s="30"/>
      <c r="AT21" s="31"/>
      <c r="AU21" s="31"/>
      <c r="AV21" s="31"/>
      <c r="AW21" s="31"/>
      <c r="AX21" s="31"/>
      <c r="AY21" s="31"/>
      <c r="AZ21" s="31"/>
      <c r="BA21" s="31"/>
    </row>
    <row r="22" spans="1:53" ht="14.25" customHeight="1" x14ac:dyDescent="0.25">
      <c r="A22" s="71"/>
      <c r="J22" s="30"/>
      <c r="K22" s="30"/>
      <c r="AT22" s="31"/>
      <c r="AU22" s="31"/>
      <c r="AV22" s="31"/>
      <c r="AW22" s="31"/>
      <c r="AX22" s="31"/>
      <c r="AY22" s="31"/>
      <c r="AZ22" s="31"/>
      <c r="BA22" s="31"/>
    </row>
    <row r="23" spans="1:53" ht="14.25" customHeight="1" x14ac:dyDescent="0.25">
      <c r="J23" s="30"/>
      <c r="K23" s="30"/>
      <c r="AT23" s="31"/>
      <c r="AU23" s="31"/>
      <c r="AV23" s="31"/>
      <c r="AW23" s="31"/>
      <c r="AX23" s="31"/>
      <c r="AY23" s="31"/>
      <c r="AZ23" s="31"/>
      <c r="BA23" s="31"/>
    </row>
    <row r="24" spans="1:53" ht="14.25" customHeight="1" x14ac:dyDescent="0.25">
      <c r="J24" s="30"/>
      <c r="K24" s="30"/>
      <c r="AT24" s="31"/>
      <c r="AU24" s="31"/>
      <c r="AV24" s="31"/>
      <c r="AW24" s="31"/>
      <c r="AX24" s="31"/>
      <c r="AY24" s="31"/>
      <c r="AZ24" s="31"/>
      <c r="BA24" s="31"/>
    </row>
    <row r="25" spans="1:53" ht="14.25" customHeight="1" x14ac:dyDescent="0.25">
      <c r="J25" s="30"/>
      <c r="K25" s="30"/>
      <c r="AT25" s="31"/>
      <c r="AU25" s="31"/>
      <c r="AV25" s="31"/>
      <c r="AW25" s="31"/>
      <c r="AX25" s="31"/>
      <c r="AY25" s="31"/>
      <c r="AZ25" s="31"/>
      <c r="BA25" s="31"/>
    </row>
    <row r="26" spans="1:53" ht="14.25" customHeight="1" x14ac:dyDescent="0.25">
      <c r="J26" s="30"/>
      <c r="K26" s="30"/>
      <c r="AT26" s="31"/>
      <c r="AU26" s="31"/>
      <c r="AV26" s="31"/>
      <c r="AW26" s="31"/>
      <c r="AX26" s="31"/>
      <c r="AY26" s="31"/>
      <c r="AZ26" s="31"/>
      <c r="BA26" s="31"/>
    </row>
    <row r="27" spans="1:53" ht="14.25" customHeight="1" x14ac:dyDescent="0.25">
      <c r="J27" s="30"/>
      <c r="K27" s="30"/>
      <c r="AT27" s="31"/>
      <c r="AU27" s="31"/>
      <c r="AV27" s="31"/>
      <c r="AW27" s="31"/>
      <c r="AX27" s="31"/>
      <c r="AY27" s="31"/>
      <c r="AZ27" s="31"/>
      <c r="BA27" s="31"/>
    </row>
    <row r="28" spans="1:53" ht="14.25" customHeight="1" x14ac:dyDescent="0.25">
      <c r="J28" s="30"/>
      <c r="K28" s="30"/>
      <c r="AG28" s="192"/>
      <c r="AT28" s="31"/>
      <c r="AU28" s="31"/>
      <c r="AV28" s="31"/>
      <c r="AW28" s="31"/>
      <c r="AX28" s="31"/>
      <c r="AY28" s="31"/>
      <c r="AZ28" s="31"/>
      <c r="BA28" s="31"/>
    </row>
    <row r="29" spans="1:53" ht="14.25" customHeight="1" x14ac:dyDescent="0.25">
      <c r="F29" s="30"/>
      <c r="J29" s="30"/>
      <c r="K29" s="30"/>
      <c r="AT29" s="31"/>
      <c r="AU29" s="31"/>
      <c r="AV29" s="31"/>
      <c r="AW29" s="31"/>
      <c r="AX29" s="31"/>
      <c r="AY29" s="31"/>
      <c r="AZ29" s="31"/>
      <c r="BA29" s="31"/>
    </row>
    <row r="30" spans="1:53" ht="14.25" customHeight="1" x14ac:dyDescent="0.25">
      <c r="F30" s="30"/>
      <c r="J30" s="30"/>
      <c r="K30" s="30"/>
      <c r="AT30" s="31"/>
      <c r="AU30" s="31"/>
      <c r="AV30" s="31"/>
      <c r="AW30" s="31"/>
      <c r="AX30" s="31"/>
      <c r="AY30" s="31"/>
      <c r="AZ30" s="31"/>
      <c r="BA30" s="31"/>
    </row>
    <row r="31" spans="1:53" ht="14.25" customHeight="1" x14ac:dyDescent="0.25">
      <c r="F31" s="30"/>
      <c r="J31" s="30"/>
      <c r="K31" s="30"/>
      <c r="AT31" s="31"/>
      <c r="AU31" s="31"/>
      <c r="AV31" s="31"/>
      <c r="AW31" s="31"/>
      <c r="AX31" s="31"/>
      <c r="AY31" s="31"/>
      <c r="AZ31" s="31"/>
      <c r="BA31" s="31"/>
    </row>
    <row r="32" spans="1:53" ht="14.25" customHeight="1" x14ac:dyDescent="0.25">
      <c r="E32" s="62"/>
      <c r="AT32" s="31"/>
      <c r="AU32" s="31"/>
      <c r="AV32" s="31"/>
      <c r="AW32" s="31"/>
      <c r="AX32" s="31"/>
      <c r="AY32" s="31"/>
      <c r="AZ32" s="31"/>
      <c r="BA32" s="31"/>
    </row>
    <row r="33" spans="2:53" ht="14.25" customHeight="1" x14ac:dyDescent="0.25">
      <c r="E33" s="62"/>
      <c r="AT33" s="31"/>
      <c r="AU33" s="31"/>
      <c r="AV33" s="31"/>
      <c r="AW33" s="31"/>
      <c r="AX33" s="31"/>
      <c r="AY33" s="31"/>
      <c r="AZ33" s="31"/>
      <c r="BA33" s="31"/>
    </row>
    <row r="34" spans="2:53" ht="14.25" customHeight="1" x14ac:dyDescent="0.25">
      <c r="E34" s="62"/>
      <c r="AT34" s="31"/>
      <c r="AU34" s="31"/>
      <c r="AV34" s="31"/>
      <c r="AW34" s="31"/>
      <c r="AX34" s="31"/>
      <c r="AY34" s="31"/>
      <c r="AZ34" s="31"/>
      <c r="BA34" s="31"/>
    </row>
    <row r="35" spans="2:53" ht="14.25" customHeight="1" x14ac:dyDescent="0.25">
      <c r="E35" s="62"/>
      <c r="AT35" s="31"/>
      <c r="AU35" s="31"/>
      <c r="AV35" s="31"/>
      <c r="AW35" s="31"/>
      <c r="AX35" s="31"/>
      <c r="AY35" s="31"/>
      <c r="AZ35" s="31"/>
      <c r="BA35" s="31"/>
    </row>
    <row r="36" spans="2:53" ht="14.25" customHeight="1" x14ac:dyDescent="0.25">
      <c r="E36" s="62"/>
      <c r="AT36" s="31"/>
      <c r="AU36" s="31"/>
      <c r="AV36" s="31"/>
      <c r="AW36" s="31"/>
      <c r="AX36" s="31"/>
      <c r="AY36" s="31"/>
      <c r="AZ36" s="31"/>
      <c r="BA36" s="31"/>
    </row>
    <row r="37" spans="2:53" ht="14.25" customHeight="1" x14ac:dyDescent="0.25">
      <c r="E37" s="62"/>
    </row>
    <row r="38" spans="2:53" ht="14.25" customHeight="1" x14ac:dyDescent="0.25">
      <c r="E38" s="62"/>
    </row>
    <row r="39" spans="2:53" s="60" customFormat="1" ht="14.25" customHeight="1" x14ac:dyDescent="0.25">
      <c r="B39" s="120">
        <f>AVERAGE(F39:AJ39)</f>
        <v>2.8571428571428572</v>
      </c>
      <c r="E39" s="60" t="s">
        <v>15</v>
      </c>
      <c r="F39" s="216">
        <f>COUNTIF(F4:F19,$E39)</f>
        <v>2</v>
      </c>
      <c r="K39" s="216">
        <f>COUNTIF(K4:K19,$E39)</f>
        <v>3</v>
      </c>
      <c r="P39" s="216">
        <f>COUNTIF(P4:P19,$E39)</f>
        <v>3</v>
      </c>
      <c r="U39" s="216">
        <f>COUNTIF(U4:U19,$E39)</f>
        <v>3</v>
      </c>
      <c r="Z39" s="216">
        <f>COUNTIF(Z4:Z19,$E39)</f>
        <v>3</v>
      </c>
      <c r="AE39" s="216">
        <f>COUNTIF(AE4:AE19,$E39)</f>
        <v>3</v>
      </c>
      <c r="AJ39" s="216">
        <f>COUNTIF(AJ4:AJ19,$E39)</f>
        <v>3</v>
      </c>
    </row>
    <row r="40" spans="2:53" s="60" customFormat="1" ht="14.25" customHeight="1" x14ac:dyDescent="0.25">
      <c r="B40" s="120">
        <f>AVERAGE(F40:AJ40)</f>
        <v>7.1428571428571432</v>
      </c>
      <c r="D40" s="217">
        <v>0.375</v>
      </c>
      <c r="E40" s="60" t="s">
        <v>354</v>
      </c>
      <c r="F40" s="218">
        <f>COUNTIF(F4:F19,$D$40)</f>
        <v>8</v>
      </c>
      <c r="K40" s="218">
        <f>COUNTIF(K4:K19,$D$40)</f>
        <v>7</v>
      </c>
      <c r="P40" s="218">
        <f>COUNTIF(P4:P19,$D$40)</f>
        <v>7</v>
      </c>
      <c r="U40" s="218">
        <f>COUNTIF(U4:U19,$D$40)</f>
        <v>7</v>
      </c>
      <c r="Z40" s="218">
        <f>COUNTIF(Z4:Z19,$D$40)</f>
        <v>7</v>
      </c>
      <c r="AE40" s="218">
        <f>COUNTIF(AE4:AE19,$D$40)</f>
        <v>7</v>
      </c>
      <c r="AJ40" s="218">
        <f>COUNTIF(AJ4:AJ19,$D$40)</f>
        <v>7</v>
      </c>
    </row>
    <row r="41" spans="2:53" ht="14.25" hidden="1" customHeight="1" x14ac:dyDescent="0.25">
      <c r="B41" s="120">
        <f>AVERAGE(F41:AJ41)</f>
        <v>0</v>
      </c>
      <c r="F41" s="64">
        <f>F36+F37+F35</f>
        <v>0</v>
      </c>
      <c r="K41" s="64">
        <f>K36+K37+K35</f>
        <v>0</v>
      </c>
      <c r="P41" s="64">
        <f>P36+P37+P35</f>
        <v>0</v>
      </c>
      <c r="U41" s="64">
        <f>U36+U37+U35</f>
        <v>0</v>
      </c>
      <c r="Z41" s="64">
        <f>Z36+Z37+Z35</f>
        <v>0</v>
      </c>
      <c r="AE41" s="64">
        <f>AE36+AE37+AE35</f>
        <v>0</v>
      </c>
      <c r="AJ41" s="64">
        <f>AJ36+AJ37+AJ35</f>
        <v>0</v>
      </c>
    </row>
    <row r="42" spans="2:53" ht="14.25" hidden="1" customHeight="1" x14ac:dyDescent="0.25">
      <c r="B42" s="120">
        <f>AVERAGE(F42:AJ42)</f>
        <v>0</v>
      </c>
      <c r="F42" s="65">
        <f>F38</f>
        <v>0</v>
      </c>
      <c r="K42" s="65">
        <f>K38</f>
        <v>0</v>
      </c>
      <c r="P42" s="65">
        <f>P38</f>
        <v>0</v>
      </c>
      <c r="U42" s="65">
        <f>U38</f>
        <v>0</v>
      </c>
      <c r="Z42" s="65">
        <f>Z38</f>
        <v>0</v>
      </c>
      <c r="AE42" s="65">
        <f>AE38</f>
        <v>0</v>
      </c>
      <c r="AJ42" s="65">
        <f>AJ38</f>
        <v>0</v>
      </c>
    </row>
    <row r="44" spans="2:53" ht="14.25" customHeight="1" x14ac:dyDescent="0.25">
      <c r="E44" s="62"/>
    </row>
    <row r="45" spans="2:53" ht="14.25" customHeight="1" x14ac:dyDescent="0.25">
      <c r="E45" s="62"/>
    </row>
    <row r="46" spans="2:53" ht="14.25" customHeight="1" x14ac:dyDescent="0.25">
      <c r="E46" s="62"/>
      <c r="K46" s="187"/>
    </row>
    <row r="168" spans="4:12" ht="14.25" customHeight="1" x14ac:dyDescent="0.25">
      <c r="D168" s="1"/>
      <c r="E168" s="147" t="s">
        <v>348</v>
      </c>
      <c r="F168" s="171">
        <f>SUMIF($D4:$D160,$D$169,J4:J160)</f>
        <v>0</v>
      </c>
      <c r="G168" s="171">
        <f>SUMIF($D4:$D160,$D$169,O4:O160)</f>
        <v>0</v>
      </c>
      <c r="H168" s="171">
        <f>SUMIF($D4:$D160,$D$169,T4:T160)</f>
        <v>0</v>
      </c>
      <c r="I168" s="171">
        <f>SUMIF($D4:$D160,$D$169,Y4:Y160)</f>
        <v>0</v>
      </c>
      <c r="J168" s="171">
        <f>SUMIF($D4:$D160,$D$169,AD4:AD160)</f>
        <v>0</v>
      </c>
      <c r="K168" s="171">
        <f>SUMIF($D4:$D160,$D$169,AI4:AI160)</f>
        <v>0</v>
      </c>
      <c r="L168" s="171">
        <f>SUMIF($D4:$D160,$D$169,AN4:AN160)</f>
        <v>0</v>
      </c>
    </row>
    <row r="169" spans="4:12" ht="14.25" customHeight="1" x14ac:dyDescent="0.25">
      <c r="D169" s="190" t="s">
        <v>30</v>
      </c>
      <c r="E169" s="147" t="s">
        <v>15</v>
      </c>
      <c r="F169" s="35">
        <f>COUNTIFS(F4:F160,$E$169,$D4:$D160,$D$169)</f>
        <v>0</v>
      </c>
      <c r="G169" s="35">
        <f>COUNTIFS(K4:K160,$E$169,$D4:$D160,$D$169)</f>
        <v>0</v>
      </c>
      <c r="H169" s="35">
        <f>COUNTIFS(P4:P160,$E$169,$D4:$D160,$D$169)</f>
        <v>0</v>
      </c>
      <c r="I169" s="35">
        <f>COUNTIFS(U4:U160,$E$169,$D4:$D160,$D$169)</f>
        <v>0</v>
      </c>
      <c r="J169" s="35">
        <f>COUNTIFS(Z4:Z160,$E$169,$D4:$D160,$D$169)</f>
        <v>0</v>
      </c>
      <c r="K169" s="35">
        <f>COUNTIFS(AE4:AE160,$E$169,$D4:$D160,$D$169)</f>
        <v>0</v>
      </c>
      <c r="L169" s="35">
        <f>COUNTIFS(AJ4:AJ160,$E$169,$D4:$D160,$D$169)</f>
        <v>0</v>
      </c>
    </row>
    <row r="170" spans="4:12" ht="14.25" customHeight="1" x14ac:dyDescent="0.25">
      <c r="D170" s="1"/>
      <c r="E170" s="147" t="s">
        <v>349</v>
      </c>
      <c r="F170" s="35">
        <f>COUNTIF(D4:D160,$D$169)</f>
        <v>0</v>
      </c>
      <c r="G170" s="35">
        <f t="shared" ref="G170:L170" si="19">F170</f>
        <v>0</v>
      </c>
      <c r="H170" s="35">
        <f t="shared" si="19"/>
        <v>0</v>
      </c>
      <c r="I170" s="35">
        <f t="shared" si="19"/>
        <v>0</v>
      </c>
      <c r="J170" s="35">
        <f t="shared" si="19"/>
        <v>0</v>
      </c>
      <c r="K170" s="35">
        <f t="shared" si="19"/>
        <v>0</v>
      </c>
      <c r="L170" s="35">
        <f t="shared" si="19"/>
        <v>0</v>
      </c>
    </row>
    <row r="171" spans="4:12" ht="14.25" customHeight="1" x14ac:dyDescent="0.25">
      <c r="D171" s="1"/>
      <c r="E171" s="147" t="s">
        <v>159</v>
      </c>
      <c r="F171" s="35">
        <f t="shared" ref="F171:F177" si="20">COUNTIFS(F$4:F$160,$E171,$D$4:$D$160,$D$169)</f>
        <v>0</v>
      </c>
      <c r="G171" s="35">
        <f t="shared" ref="G171:G177" si="21">COUNTIFS(K$4:K$160,$E171,$D$4:$D$160,$D$169)</f>
        <v>0</v>
      </c>
      <c r="H171" s="35">
        <f t="shared" ref="H171:H177" si="22">COUNTIFS(P$4:P$160,$E171,$D$4:$D$160,$D$169)</f>
        <v>0</v>
      </c>
      <c r="I171" s="35">
        <f>COUNTIFS(U4:U160,$E$171,$D4:$D160,$D$169)</f>
        <v>0</v>
      </c>
      <c r="J171" s="35">
        <f t="shared" ref="J171:J177" si="23">COUNTIFS(Z$4:Z$160,$E171,$D$4:$D$160,$D$169)</f>
        <v>0</v>
      </c>
      <c r="K171" s="35">
        <f t="shared" ref="K171:K177" si="24">COUNTIFS(AE$4:AE$160,$E171,$D$4:$D$160,$D$169)</f>
        <v>0</v>
      </c>
      <c r="L171" s="35">
        <f t="shared" ref="L171:L177" si="25">COUNTIFS(AJ$4:AJ$160,$E171,$D$4:$D$160,$D$169)</f>
        <v>0</v>
      </c>
    </row>
    <row r="172" spans="4:12" ht="14.25" customHeight="1" x14ac:dyDescent="0.25">
      <c r="D172" s="1"/>
      <c r="E172" s="147" t="s">
        <v>156</v>
      </c>
      <c r="F172" s="35">
        <f t="shared" si="20"/>
        <v>0</v>
      </c>
      <c r="G172" s="35">
        <f t="shared" si="21"/>
        <v>0</v>
      </c>
      <c r="H172" s="35">
        <f t="shared" si="22"/>
        <v>0</v>
      </c>
      <c r="I172" s="35">
        <f>COUNTIFS(U$4:U$160,$E$172,$D5:$D161,$D$169)</f>
        <v>0</v>
      </c>
      <c r="J172" s="35">
        <f t="shared" si="23"/>
        <v>0</v>
      </c>
      <c r="K172" s="35">
        <f t="shared" si="24"/>
        <v>0</v>
      </c>
      <c r="L172" s="35">
        <f t="shared" si="25"/>
        <v>0</v>
      </c>
    </row>
    <row r="173" spans="4:12" ht="14.25" customHeight="1" x14ac:dyDescent="0.25">
      <c r="D173" s="1"/>
      <c r="E173" s="147" t="s">
        <v>85</v>
      </c>
      <c r="F173" s="35">
        <f t="shared" si="20"/>
        <v>0</v>
      </c>
      <c r="G173" s="35">
        <f t="shared" si="21"/>
        <v>0</v>
      </c>
      <c r="H173" s="35">
        <f t="shared" si="22"/>
        <v>0</v>
      </c>
      <c r="I173" s="35">
        <f>COUNTIFS(U$4:U$160,$E$173,$D6:$D162,$D$169)</f>
        <v>0</v>
      </c>
      <c r="J173" s="35">
        <f t="shared" si="23"/>
        <v>0</v>
      </c>
      <c r="K173" s="35">
        <f t="shared" si="24"/>
        <v>0</v>
      </c>
      <c r="L173" s="35">
        <f t="shared" si="25"/>
        <v>0</v>
      </c>
    </row>
    <row r="174" spans="4:12" ht="14.25" customHeight="1" x14ac:dyDescent="0.25">
      <c r="D174" s="1"/>
      <c r="E174" s="147" t="s">
        <v>343</v>
      </c>
      <c r="F174" s="35">
        <f t="shared" si="20"/>
        <v>0</v>
      </c>
      <c r="G174" s="35">
        <f t="shared" si="21"/>
        <v>0</v>
      </c>
      <c r="H174" s="35">
        <f t="shared" si="22"/>
        <v>0</v>
      </c>
      <c r="I174" s="35">
        <f>COUNTIFS(U$4:U$160,$E$174,$D$4:$D$160,$D$169)</f>
        <v>0</v>
      </c>
      <c r="J174" s="35">
        <f t="shared" si="23"/>
        <v>0</v>
      </c>
      <c r="K174" s="35">
        <f t="shared" si="24"/>
        <v>0</v>
      </c>
      <c r="L174" s="35">
        <f t="shared" si="25"/>
        <v>0</v>
      </c>
    </row>
    <row r="175" spans="4:12" ht="14.25" customHeight="1" x14ac:dyDescent="0.25">
      <c r="D175" s="1"/>
      <c r="E175" s="147" t="s">
        <v>344</v>
      </c>
      <c r="F175" s="35">
        <f t="shared" si="20"/>
        <v>0</v>
      </c>
      <c r="G175" s="35">
        <f t="shared" si="21"/>
        <v>0</v>
      </c>
      <c r="H175" s="35">
        <f t="shared" si="22"/>
        <v>0</v>
      </c>
      <c r="I175" s="35">
        <f>COUNTIFS(U$4:U$160,$E175,$D$4:$D$160,$D$169)</f>
        <v>0</v>
      </c>
      <c r="J175" s="35">
        <f t="shared" si="23"/>
        <v>0</v>
      </c>
      <c r="K175" s="35">
        <f t="shared" si="24"/>
        <v>0</v>
      </c>
      <c r="L175" s="35">
        <f t="shared" si="25"/>
        <v>0</v>
      </c>
    </row>
    <row r="176" spans="4:12" ht="14.25" customHeight="1" x14ac:dyDescent="0.25">
      <c r="D176" s="1"/>
      <c r="E176" s="147" t="s">
        <v>325</v>
      </c>
      <c r="F176" s="35">
        <f t="shared" si="20"/>
        <v>0</v>
      </c>
      <c r="G176" s="35">
        <f t="shared" si="21"/>
        <v>0</v>
      </c>
      <c r="H176" s="35">
        <f t="shared" si="22"/>
        <v>0</v>
      </c>
      <c r="I176" s="35">
        <f>COUNTIFS(U$4:U$160,$E176,$D$4:$D$160,$D$169)</f>
        <v>0</v>
      </c>
      <c r="J176" s="35">
        <f t="shared" si="23"/>
        <v>0</v>
      </c>
      <c r="K176" s="35">
        <f t="shared" si="24"/>
        <v>0</v>
      </c>
      <c r="L176" s="35">
        <f t="shared" si="25"/>
        <v>0</v>
      </c>
    </row>
    <row r="177" spans="4:12" ht="14.25" customHeight="1" x14ac:dyDescent="0.25">
      <c r="D177" s="1"/>
      <c r="E177" s="147" t="s">
        <v>165</v>
      </c>
      <c r="F177" s="35">
        <f t="shared" si="20"/>
        <v>0</v>
      </c>
      <c r="G177" s="35">
        <f t="shared" si="21"/>
        <v>0</v>
      </c>
      <c r="H177" s="35">
        <f t="shared" si="22"/>
        <v>0</v>
      </c>
      <c r="I177" s="35">
        <f>COUNTIFS(U$4:U$160,$E177,$D$4:$D$160,$D$169)</f>
        <v>0</v>
      </c>
      <c r="J177" s="35">
        <f t="shared" si="23"/>
        <v>0</v>
      </c>
      <c r="K177" s="35">
        <f t="shared" si="24"/>
        <v>0</v>
      </c>
      <c r="L177" s="35">
        <f t="shared" si="25"/>
        <v>0</v>
      </c>
    </row>
    <row r="178" spans="4:12" ht="14.25" customHeight="1" x14ac:dyDescent="0.25">
      <c r="D178" s="1"/>
      <c r="E178" s="1"/>
      <c r="F178" s="1"/>
      <c r="G178" s="1"/>
      <c r="H178" s="1"/>
      <c r="I178" s="1"/>
      <c r="J178" s="1"/>
      <c r="K178" s="1"/>
      <c r="L178" s="1"/>
    </row>
    <row r="179" spans="4:12" ht="14.25" customHeight="1" x14ac:dyDescent="0.25">
      <c r="D179" s="1"/>
      <c r="E179" s="110" t="s">
        <v>350</v>
      </c>
      <c r="F179" s="35">
        <f>F173+F176+F172</f>
        <v>0</v>
      </c>
      <c r="G179" s="35">
        <f t="shared" ref="G179:L179" si="26">G173+G176+G172</f>
        <v>0</v>
      </c>
      <c r="H179" s="35">
        <f t="shared" si="26"/>
        <v>0</v>
      </c>
      <c r="I179" s="35">
        <f t="shared" si="26"/>
        <v>0</v>
      </c>
      <c r="J179" s="35">
        <f t="shared" si="26"/>
        <v>0</v>
      </c>
      <c r="K179" s="35">
        <f t="shared" si="26"/>
        <v>0</v>
      </c>
      <c r="L179" s="35">
        <f t="shared" si="26"/>
        <v>0</v>
      </c>
    </row>
  </sheetData>
  <autoFilter ref="A3:BT13" xr:uid="{00000000-0009-0000-0000-00000A000000}"/>
  <mergeCells count="7">
    <mergeCell ref="AJ1:AN1"/>
    <mergeCell ref="F1:J1"/>
    <mergeCell ref="K1:O1"/>
    <mergeCell ref="P1:T1"/>
    <mergeCell ref="U1:Y1"/>
    <mergeCell ref="Z1:AD1"/>
    <mergeCell ref="AE1:AI1"/>
  </mergeCells>
  <conditionalFormatting sqref="A17:A19 AP17:AP19">
    <cfRule type="containsText" dxfId="112" priority="362" operator="containsText" text="Alerte">
      <formula>NOT(ISERROR(SEARCH("Alerte",A17)))</formula>
    </cfRule>
  </conditionalFormatting>
  <conditionalFormatting sqref="F8">
    <cfRule type="containsText" dxfId="111" priority="87" operator="containsText" text="Alerte">
      <formula>NOT(ISERROR(SEARCH("Alerte",F8)))</formula>
    </cfRule>
  </conditionalFormatting>
  <conditionalFormatting sqref="F29:F31">
    <cfRule type="containsText" dxfId="110" priority="196" operator="containsText" text="Alerte">
      <formula>NOT(ISERROR(SEARCH("Alerte",F29)))</formula>
    </cfRule>
  </conditionalFormatting>
  <conditionalFormatting sqref="F9:H9">
    <cfRule type="containsText" dxfId="109" priority="86" operator="containsText" text="Alerte">
      <formula>NOT(ISERROR(SEARCH("Alerte",F9)))</formula>
    </cfRule>
  </conditionalFormatting>
  <conditionalFormatting sqref="F4:I13">
    <cfRule type="containsText" dxfId="108" priority="7" operator="containsText" text="Alerte">
      <formula>NOT(ISERROR(SEARCH("Alerte",F4)))</formula>
    </cfRule>
  </conditionalFormatting>
  <conditionalFormatting sqref="F15:K17 J18:K31">
    <cfRule type="containsText" dxfId="107" priority="281" operator="containsText" text="Alerte">
      <formula>NOT(ISERROR(SEARCH("Alerte",F15)))</formula>
    </cfRule>
  </conditionalFormatting>
  <conditionalFormatting sqref="I8">
    <cfRule type="containsText" dxfId="106" priority="88" operator="containsText" text="Alerte">
      <formula>NOT(ISERROR(SEARCH("Alerte",I8)))</formula>
    </cfRule>
  </conditionalFormatting>
  <conditionalFormatting sqref="J4:J13">
    <cfRule type="cellIs" dxfId="105" priority="8" operator="lessThan">
      <formula>0.333333333333333</formula>
    </cfRule>
    <cfRule type="cellIs" dxfId="104" priority="9" operator="greaterThan">
      <formula>0.333333333333333</formula>
    </cfRule>
  </conditionalFormatting>
  <conditionalFormatting sqref="K5">
    <cfRule type="containsText" dxfId="103" priority="75" operator="containsText" text="Alerte">
      <formula>NOT(ISERROR(SEARCH("Alerte",K5)))</formula>
    </cfRule>
  </conditionalFormatting>
  <conditionalFormatting sqref="K12:K13">
    <cfRule type="containsText" dxfId="102" priority="77" operator="containsText" text="Alerte">
      <formula>NOT(ISERROR(SEARCH("Alerte",K12)))</formula>
    </cfRule>
  </conditionalFormatting>
  <conditionalFormatting sqref="K4:M4">
    <cfRule type="containsText" dxfId="101" priority="72" operator="containsText" text="Alerte">
      <formula>NOT(ISERROR(SEARCH("Alerte",K4)))</formula>
    </cfRule>
  </conditionalFormatting>
  <conditionalFormatting sqref="K9:M9">
    <cfRule type="containsText" dxfId="100" priority="79" operator="containsText" text="Alerte">
      <formula>NOT(ISERROR(SEARCH("Alerte",K9)))</formula>
    </cfRule>
  </conditionalFormatting>
  <conditionalFormatting sqref="K4:N13">
    <cfRule type="containsText" dxfId="99" priority="16" operator="containsText" text="Alerte">
      <formula>NOT(ISERROR(SEARCH("Alerte",K4)))</formula>
    </cfRule>
  </conditionalFormatting>
  <conditionalFormatting sqref="N5">
    <cfRule type="containsText" dxfId="98" priority="76" operator="containsText" text="Alerte">
      <formula>NOT(ISERROR(SEARCH("Alerte",N5)))</formula>
    </cfRule>
  </conditionalFormatting>
  <conditionalFormatting sqref="N12:N13">
    <cfRule type="containsText" dxfId="97" priority="78" operator="containsText" text="Alerte">
      <formula>NOT(ISERROR(SEARCH("Alerte",N12)))</formula>
    </cfRule>
  </conditionalFormatting>
  <conditionalFormatting sqref="O4:O13">
    <cfRule type="cellIs" dxfId="96" priority="17" operator="lessThan">
      <formula>0.333333333333333</formula>
    </cfRule>
    <cfRule type="cellIs" dxfId="95" priority="18" operator="greaterThan">
      <formula>0.333333333333333</formula>
    </cfRule>
  </conditionalFormatting>
  <conditionalFormatting sqref="P5">
    <cfRule type="containsText" dxfId="94" priority="97" operator="containsText" text="Alerte">
      <formula>NOT(ISERROR(SEARCH("Alerte",P5)))</formula>
    </cfRule>
  </conditionalFormatting>
  <conditionalFormatting sqref="P8">
    <cfRule type="containsText" dxfId="93" priority="95" operator="containsText" text="Alerte">
      <formula>NOT(ISERROR(SEARCH("Alerte",P8)))</formula>
    </cfRule>
  </conditionalFormatting>
  <conditionalFormatting sqref="P4:R4">
    <cfRule type="containsText" dxfId="92" priority="94" operator="containsText" text="Alerte">
      <formula>NOT(ISERROR(SEARCH("Alerte",P4)))</formula>
    </cfRule>
  </conditionalFormatting>
  <conditionalFormatting sqref="P9:R9">
    <cfRule type="containsText" dxfId="91" priority="99" operator="containsText" text="Alerte">
      <formula>NOT(ISERROR(SEARCH("Alerte",P9)))</formula>
    </cfRule>
  </conditionalFormatting>
  <conditionalFormatting sqref="P4:S13">
    <cfRule type="containsText" dxfId="90" priority="19" operator="containsText" text="Alerte">
      <formula>NOT(ISERROR(SEARCH("Alerte",P4)))</formula>
    </cfRule>
  </conditionalFormatting>
  <conditionalFormatting sqref="S5">
    <cfRule type="containsText" dxfId="89" priority="98" operator="containsText" text="Alerte">
      <formula>NOT(ISERROR(SEARCH("Alerte",S5)))</formula>
    </cfRule>
  </conditionalFormatting>
  <conditionalFormatting sqref="S8">
    <cfRule type="containsText" dxfId="88" priority="96" operator="containsText" text="Alerte">
      <formula>NOT(ISERROR(SEARCH("Alerte",S8)))</formula>
    </cfRule>
  </conditionalFormatting>
  <conditionalFormatting sqref="T4:T13">
    <cfRule type="cellIs" dxfId="87" priority="20" operator="lessThan">
      <formula>0.333333333333333</formula>
    </cfRule>
    <cfRule type="cellIs" dxfId="86" priority="21" operator="greaterThan">
      <formula>0.333333333333333</formula>
    </cfRule>
  </conditionalFormatting>
  <conditionalFormatting sqref="U5:U6">
    <cfRule type="containsText" dxfId="85" priority="69" operator="containsText" text="Alerte">
      <formula>NOT(ISERROR(SEARCH("Alerte",U5)))</formula>
    </cfRule>
  </conditionalFormatting>
  <conditionalFormatting sqref="U8">
    <cfRule type="containsText" dxfId="84" priority="64" operator="containsText" text="Alerte">
      <formula>NOT(ISERROR(SEARCH("Alerte",U8)))</formula>
    </cfRule>
  </conditionalFormatting>
  <conditionalFormatting sqref="U12:U13">
    <cfRule type="containsText" dxfId="83" priority="66" operator="containsText" text="Alerte">
      <formula>NOT(ISERROR(SEARCH("Alerte",U12)))</formula>
    </cfRule>
  </conditionalFormatting>
  <conditionalFormatting sqref="U9:W9">
    <cfRule type="containsText" dxfId="82" priority="68" operator="containsText" text="Alerte">
      <formula>NOT(ISERROR(SEARCH("Alerte",U9)))</formula>
    </cfRule>
  </conditionalFormatting>
  <conditionalFormatting sqref="U4:X13">
    <cfRule type="containsText" dxfId="81" priority="25" operator="containsText" text="Alerte">
      <formula>NOT(ISERROR(SEARCH("Alerte",U4)))</formula>
    </cfRule>
  </conditionalFormatting>
  <conditionalFormatting sqref="X5:X6">
    <cfRule type="containsText" dxfId="80" priority="70" operator="containsText" text="Alerte">
      <formula>NOT(ISERROR(SEARCH("Alerte",X5)))</formula>
    </cfRule>
  </conditionalFormatting>
  <conditionalFormatting sqref="X8">
    <cfRule type="containsText" dxfId="79" priority="65" operator="containsText" text="Alerte">
      <formula>NOT(ISERROR(SEARCH("Alerte",X8)))</formula>
    </cfRule>
  </conditionalFormatting>
  <conditionalFormatting sqref="X12:X13">
    <cfRule type="containsText" dxfId="78" priority="67" operator="containsText" text="Alerte">
      <formula>NOT(ISERROR(SEARCH("Alerte",X12)))</formula>
    </cfRule>
  </conditionalFormatting>
  <conditionalFormatting sqref="Y4:Y13">
    <cfRule type="cellIs" dxfId="77" priority="26" operator="lessThan">
      <formula>0.333333333333333</formula>
    </cfRule>
    <cfRule type="cellIs" dxfId="76" priority="27" operator="greaterThan">
      <formula>0.333333333333333</formula>
    </cfRule>
  </conditionalFormatting>
  <conditionalFormatting sqref="Z5">
    <cfRule type="containsText" dxfId="75" priority="59" operator="containsText" text="Alerte">
      <formula>NOT(ISERROR(SEARCH("Alerte",Z5)))</formula>
    </cfRule>
  </conditionalFormatting>
  <conditionalFormatting sqref="Z8">
    <cfRule type="containsText" dxfId="74" priority="53" operator="containsText" text="Alerte">
      <formula>NOT(ISERROR(SEARCH("Alerte",Z8)))</formula>
    </cfRule>
  </conditionalFormatting>
  <conditionalFormatting sqref="Z13">
    <cfRule type="containsText" dxfId="73" priority="55" operator="containsText" text="Alerte">
      <formula>NOT(ISERROR(SEARCH("Alerte",Z13)))</formula>
    </cfRule>
  </conditionalFormatting>
  <conditionalFormatting sqref="Z4:AB4">
    <cfRule type="containsText" dxfId="72" priority="58" operator="containsText" text="Alerte">
      <formula>NOT(ISERROR(SEARCH("Alerte",Z4)))</formula>
    </cfRule>
  </conditionalFormatting>
  <conditionalFormatting sqref="Z9:AB9">
    <cfRule type="containsText" dxfId="71" priority="32" operator="containsText" text="Alerte">
      <formula>NOT(ISERROR(SEARCH("Alerte",Z9)))</formula>
    </cfRule>
  </conditionalFormatting>
  <conditionalFormatting sqref="Z4:AC13">
    <cfRule type="containsText" dxfId="70" priority="31" operator="containsText" text="Alerte">
      <formula>NOT(ISERROR(SEARCH("Alerte",Z4)))</formula>
    </cfRule>
  </conditionalFormatting>
  <conditionalFormatting sqref="AC5">
    <cfRule type="containsText" dxfId="69" priority="60" operator="containsText" text="Alerte">
      <formula>NOT(ISERROR(SEARCH("Alerte",AC5)))</formula>
    </cfRule>
  </conditionalFormatting>
  <conditionalFormatting sqref="AC8">
    <cfRule type="containsText" dxfId="68" priority="54" operator="containsText" text="Alerte">
      <formula>NOT(ISERROR(SEARCH("Alerte",AC8)))</formula>
    </cfRule>
  </conditionalFormatting>
  <conditionalFormatting sqref="AC13">
    <cfRule type="containsText" dxfId="67" priority="56" operator="containsText" text="Alerte">
      <formula>NOT(ISERROR(SEARCH("Alerte",AC13)))</formula>
    </cfRule>
  </conditionalFormatting>
  <conditionalFormatting sqref="AD4:AD13">
    <cfRule type="cellIs" dxfId="66" priority="33" operator="lessThan">
      <formula>0.333333333333333</formula>
    </cfRule>
    <cfRule type="cellIs" dxfId="65" priority="34" operator="greaterThan">
      <formula>0.333333333333333</formula>
    </cfRule>
  </conditionalFormatting>
  <conditionalFormatting sqref="AE8">
    <cfRule type="containsText" dxfId="64" priority="45" operator="containsText" text="Alerte">
      <formula>NOT(ISERROR(SEARCH("Alerte",AE8)))</formula>
    </cfRule>
  </conditionalFormatting>
  <conditionalFormatting sqref="AE13">
    <cfRule type="containsText" dxfId="63" priority="51" operator="containsText" text="Alerte">
      <formula>NOT(ISERROR(SEARCH("Alerte",AE13)))</formula>
    </cfRule>
  </conditionalFormatting>
  <conditionalFormatting sqref="AE9:AG9">
    <cfRule type="containsText" dxfId="62" priority="49" operator="containsText" text="Alerte">
      <formula>NOT(ISERROR(SEARCH("Alerte",AE9)))</formula>
    </cfRule>
  </conditionalFormatting>
  <conditionalFormatting sqref="AE4:AH13">
    <cfRule type="containsText" dxfId="61" priority="1" operator="containsText" text="Alerte">
      <formula>NOT(ISERROR(SEARCH("Alerte",AE4)))</formula>
    </cfRule>
  </conditionalFormatting>
  <conditionalFormatting sqref="AH8">
    <cfRule type="containsText" dxfId="60" priority="46" operator="containsText" text="Alerte">
      <formula>NOT(ISERROR(SEARCH("Alerte",AH8)))</formula>
    </cfRule>
  </conditionalFormatting>
  <conditionalFormatting sqref="AH13">
    <cfRule type="containsText" dxfId="59" priority="52" operator="containsText" text="Alerte">
      <formula>NOT(ISERROR(SEARCH("Alerte",AH13)))</formula>
    </cfRule>
  </conditionalFormatting>
  <conditionalFormatting sqref="AI4:AI13">
    <cfRule type="cellIs" dxfId="58" priority="2" operator="lessThan">
      <formula>0.333333333333333</formula>
    </cfRule>
    <cfRule type="cellIs" dxfId="57" priority="3" operator="greaterThan">
      <formula>0.333333333333333</formula>
    </cfRule>
  </conditionalFormatting>
  <conditionalFormatting sqref="AJ5">
    <cfRule type="containsText" dxfId="56" priority="41" operator="containsText" text="Alerte">
      <formula>NOT(ISERROR(SEARCH("Alerte",AJ5)))</formula>
    </cfRule>
  </conditionalFormatting>
  <conditionalFormatting sqref="AJ13">
    <cfRule type="containsText" dxfId="55" priority="42" operator="containsText" text="Alerte">
      <formula>NOT(ISERROR(SEARCH("Alerte",AJ13)))</formula>
    </cfRule>
  </conditionalFormatting>
  <conditionalFormatting sqref="AJ4:AL4">
    <cfRule type="containsText" dxfId="54" priority="37" operator="containsText" text="Alerte">
      <formula>NOT(ISERROR(SEARCH("Alerte",AJ4)))</formula>
    </cfRule>
  </conditionalFormatting>
  <conditionalFormatting sqref="AJ4:AM13">
    <cfRule type="containsText" dxfId="53" priority="35" operator="containsText" text="Alerte">
      <formula>NOT(ISERROR(SEARCH("Alerte",AJ4)))</formula>
    </cfRule>
  </conditionalFormatting>
  <conditionalFormatting sqref="AM5">
    <cfRule type="containsText" dxfId="52" priority="36" operator="containsText" text="Alerte">
      <formula>NOT(ISERROR(SEARCH("Alerte",AM5)))</formula>
    </cfRule>
  </conditionalFormatting>
  <conditionalFormatting sqref="AM13">
    <cfRule type="containsText" dxfId="51" priority="43" operator="containsText" text="Alerte">
      <formula>NOT(ISERROR(SEARCH("Alerte",AM13)))</formula>
    </cfRule>
  </conditionalFormatting>
  <conditionalFormatting sqref="AN4:AN13">
    <cfRule type="cellIs" dxfId="50" priority="110" operator="lessThan">
      <formula>0.333333333333333</formula>
    </cfRule>
    <cfRule type="cellIs" dxfId="49" priority="111" operator="greaterThan">
      <formula>0.333333333333333</formula>
    </cfRule>
  </conditionalFormatting>
  <conditionalFormatting sqref="AO4:AO13">
    <cfRule type="cellIs" dxfId="48" priority="360" operator="lessThan">
      <formula>1.66666666666667</formula>
    </cfRule>
    <cfRule type="cellIs" dxfId="47" priority="361" operator="greaterThan">
      <formula>1.66666666666667</formula>
    </cfRule>
  </conditionalFormatting>
  <conditionalFormatting sqref="AQ4:AQ20">
    <cfRule type="containsText" dxfId="46" priority="359" operator="containsText" text="Alerte">
      <formula>NOT(ISERROR(SEARCH("Alerte",AQ4)))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tabColor rgb="FF00FF00"/>
  </sheetPr>
  <dimension ref="A1:BO101"/>
  <sheetViews>
    <sheetView topLeftCell="B1" zoomScale="80" zoomScaleNormal="80" workbookViewId="0">
      <pane xSplit="1" topLeftCell="C1" activePane="topRight" state="frozen"/>
      <selection activeCell="B1" sqref="B1"/>
      <selection pane="topRight" activeCell="AB15" sqref="AB15"/>
    </sheetView>
  </sheetViews>
  <sheetFormatPr baseColWidth="10" defaultColWidth="11.42578125" defaultRowHeight="12.75" x14ac:dyDescent="0.2"/>
  <cols>
    <col min="1" max="1" width="10.5703125" style="1" hidden="1" customWidth="1"/>
    <col min="2" max="2" width="20.140625" style="1" customWidth="1"/>
    <col min="3" max="3" width="9.140625" style="1" bestFit="1" customWidth="1"/>
    <col min="4" max="4" width="6" style="1" bestFit="1" customWidth="1"/>
    <col min="5" max="5" width="10.7109375" style="1" bestFit="1" customWidth="1"/>
    <col min="6" max="6" width="8.5703125" style="1" bestFit="1" customWidth="1"/>
    <col min="7" max="7" width="8.85546875" style="1" bestFit="1" customWidth="1"/>
    <col min="8" max="8" width="6.42578125" style="1" customWidth="1"/>
    <col min="9" max="9" width="10.28515625" style="1" customWidth="1"/>
    <col min="10" max="11" width="9.85546875" style="1" bestFit="1" customWidth="1"/>
    <col min="12" max="12" width="9.28515625" style="1" customWidth="1"/>
    <col min="13" max="13" width="7.28515625" style="1" bestFit="1" customWidth="1"/>
    <col min="14" max="14" width="10.42578125" style="1" customWidth="1"/>
    <col min="15" max="15" width="9.85546875" style="1" bestFit="1" customWidth="1"/>
    <col min="16" max="16" width="8.5703125" style="1" bestFit="1" customWidth="1"/>
    <col min="17" max="17" width="9.28515625" style="1" customWidth="1"/>
    <col min="18" max="18" width="7.28515625" style="1" bestFit="1" customWidth="1"/>
    <col min="19" max="20" width="9.85546875" style="1" bestFit="1" customWidth="1"/>
    <col min="21" max="21" width="8.5703125" style="1" bestFit="1" customWidth="1"/>
    <col min="22" max="22" width="9.140625" style="1" bestFit="1" customWidth="1"/>
    <col min="23" max="23" width="7.28515625" style="1" bestFit="1" customWidth="1"/>
    <col min="24" max="25" width="9.85546875" style="1" bestFit="1" customWidth="1"/>
    <col min="26" max="26" width="9.5703125" style="1" bestFit="1" customWidth="1"/>
    <col min="27" max="27" width="10.28515625" style="1" customWidth="1"/>
    <col min="28" max="28" width="7.85546875" style="1" bestFit="1" customWidth="1"/>
    <col min="29" max="30" width="9.85546875" style="1" bestFit="1" customWidth="1"/>
    <col min="31" max="31" width="9.140625" style="1" bestFit="1" customWidth="1"/>
    <col min="32" max="32" width="9.28515625" style="1" customWidth="1"/>
    <col min="33" max="33" width="9.140625" style="1" bestFit="1" customWidth="1"/>
    <col min="34" max="34" width="9.85546875" style="1" bestFit="1" customWidth="1"/>
    <col min="35" max="35" width="9.7109375" style="1" customWidth="1"/>
    <col min="36" max="36" width="8.5703125" style="1" bestFit="1" customWidth="1"/>
    <col min="37" max="37" width="10.28515625" style="1" bestFit="1" customWidth="1"/>
    <col min="38" max="38" width="7.28515625" style="1" bestFit="1" customWidth="1"/>
    <col min="39" max="39" width="10.5703125" style="1" customWidth="1"/>
    <col min="40" max="40" width="9.85546875" style="1" bestFit="1" customWidth="1"/>
    <col min="41" max="41" width="10.5703125" style="1" customWidth="1"/>
    <col min="42" max="42" width="5.85546875" style="1" bestFit="1" customWidth="1"/>
    <col min="43" max="43" width="6.28515625" style="1" bestFit="1" customWidth="1"/>
    <col min="44" max="44" width="8.7109375" style="1" bestFit="1" customWidth="1"/>
    <col min="45" max="45" width="5.7109375" style="1" bestFit="1" customWidth="1"/>
    <col min="46" max="46" width="9.140625" style="1" bestFit="1" customWidth="1"/>
    <col min="47" max="47" width="7.28515625" style="1" bestFit="1" customWidth="1"/>
    <col min="48" max="48" width="9.5703125" style="1" bestFit="1" customWidth="1"/>
    <col min="49" max="49" width="2.28515625" style="1" bestFit="1" customWidth="1"/>
    <col min="50" max="50" width="6" style="1" bestFit="1" customWidth="1"/>
    <col min="51" max="51" width="5.85546875" style="1" bestFit="1" customWidth="1"/>
    <col min="52" max="52" width="6.28515625" style="1" bestFit="1" customWidth="1"/>
    <col min="53" max="53" width="9.140625" style="1" bestFit="1" customWidth="1"/>
    <col min="54" max="54" width="5.7109375" style="1" bestFit="1" customWidth="1"/>
    <col min="55" max="55" width="9.140625" style="1" bestFit="1" customWidth="1"/>
    <col min="56" max="56" width="7.28515625" style="1" bestFit="1" customWidth="1"/>
    <col min="57" max="57" width="9.5703125" style="1" bestFit="1" customWidth="1"/>
    <col min="58" max="58" width="11.42578125" style="1"/>
    <col min="59" max="59" width="6" style="1" bestFit="1" customWidth="1"/>
    <col min="60" max="61" width="6.7109375" style="1" bestFit="1" customWidth="1"/>
    <col min="62" max="62" width="9.140625" style="1" bestFit="1" customWidth="1"/>
    <col min="63" max="63" width="6.7109375" style="1" bestFit="1" customWidth="1"/>
    <col min="64" max="64" width="9.140625" style="1" bestFit="1" customWidth="1"/>
    <col min="65" max="65" width="7.28515625" style="1" bestFit="1" customWidth="1"/>
    <col min="66" max="66" width="9.5703125" style="1" bestFit="1" customWidth="1"/>
    <col min="67" max="67" width="1.7109375" style="1" bestFit="1" customWidth="1"/>
    <col min="68" max="16384" width="11.42578125" style="1"/>
  </cols>
  <sheetData>
    <row r="1" spans="1:67" s="4" customFormat="1" ht="13.5" thickBot="1" x14ac:dyDescent="0.25">
      <c r="A1" s="51" t="str">
        <f>"S"&amp;_xlfn.ISOWEEKNUM(F1)</f>
        <v>S20</v>
      </c>
      <c r="B1" s="135" t="str">
        <f>"S"&amp;_xlfn.ISOWEEKNUM(F1)</f>
        <v>S20</v>
      </c>
      <c r="C1" s="99"/>
      <c r="E1" s="1"/>
      <c r="F1" s="520">
        <f>'S&amp;E'!H3</f>
        <v>46153</v>
      </c>
      <c r="G1" s="521"/>
      <c r="H1" s="521"/>
      <c r="I1" s="521"/>
      <c r="J1" s="522"/>
      <c r="K1" s="520">
        <f>F1+1</f>
        <v>46154</v>
      </c>
      <c r="L1" s="521"/>
      <c r="M1" s="521"/>
      <c r="N1" s="521"/>
      <c r="O1" s="522"/>
      <c r="P1" s="520">
        <f>K1+1</f>
        <v>46155</v>
      </c>
      <c r="Q1" s="521"/>
      <c r="R1" s="521"/>
      <c r="S1" s="521"/>
      <c r="T1" s="522"/>
      <c r="U1" s="520">
        <f>P1+1</f>
        <v>46156</v>
      </c>
      <c r="V1" s="521"/>
      <c r="W1" s="521"/>
      <c r="X1" s="521"/>
      <c r="Y1" s="522"/>
      <c r="Z1" s="520">
        <f>U1+1</f>
        <v>46157</v>
      </c>
      <c r="AA1" s="521"/>
      <c r="AB1" s="521"/>
      <c r="AC1" s="521"/>
      <c r="AD1" s="522"/>
      <c r="AE1" s="520">
        <f>Z1+1</f>
        <v>46158</v>
      </c>
      <c r="AF1" s="521"/>
      <c r="AG1" s="521"/>
      <c r="AH1" s="521"/>
      <c r="AI1" s="522"/>
      <c r="AJ1" s="517">
        <f>AE1+1</f>
        <v>46159</v>
      </c>
      <c r="AK1" s="518"/>
      <c r="AL1" s="518"/>
      <c r="AM1" s="518"/>
      <c r="AN1" s="519"/>
      <c r="AO1" s="2">
        <v>1.6666666666666665</v>
      </c>
      <c r="AP1" s="3">
        <f>AO2/AO1</f>
        <v>4.5000000000000018</v>
      </c>
      <c r="AT1" s="1"/>
      <c r="BO1" s="4" t="s">
        <v>0</v>
      </c>
    </row>
    <row r="2" spans="1:67" ht="14.25" thickTop="1" thickBot="1" x14ac:dyDescent="0.25">
      <c r="F2" s="68" t="s">
        <v>1</v>
      </c>
      <c r="G2" s="6">
        <f>J2/"8:00:00"</f>
        <v>4.5000000000000027</v>
      </c>
      <c r="H2" s="7">
        <f>J2/$AO$2</f>
        <v>0.2</v>
      </c>
      <c r="I2" s="69">
        <f>COUNT(F4:F13)</f>
        <v>6</v>
      </c>
      <c r="J2" s="9">
        <f>SUM(J4:J13)</f>
        <v>1.5000000000000007</v>
      </c>
      <c r="K2" s="68" t="s">
        <v>1</v>
      </c>
      <c r="L2" s="6">
        <f>O2/"8:00:00"</f>
        <v>4.5000000000000027</v>
      </c>
      <c r="M2" s="7">
        <f>O2/$AO$2</f>
        <v>0.2</v>
      </c>
      <c r="N2" s="69">
        <f>COUNT(K4:K13)</f>
        <v>6</v>
      </c>
      <c r="O2" s="9">
        <f>SUM(O4:O13)</f>
        <v>1.5000000000000007</v>
      </c>
      <c r="P2" s="68" t="s">
        <v>1</v>
      </c>
      <c r="Q2" s="6">
        <f>T2/"8:00:00"</f>
        <v>4.5000000000000027</v>
      </c>
      <c r="R2" s="7">
        <f>T2/$AO$2</f>
        <v>0.2</v>
      </c>
      <c r="S2" s="69">
        <f>COUNT(P4:P13)</f>
        <v>6</v>
      </c>
      <c r="T2" s="9">
        <f>SUM(T4:T13)</f>
        <v>1.5000000000000007</v>
      </c>
      <c r="U2" s="68" t="s">
        <v>1</v>
      </c>
      <c r="V2" s="6">
        <f>Y2/"8:00:00"</f>
        <v>4.5000000000000027</v>
      </c>
      <c r="W2" s="7">
        <f>Y2/$AO$2</f>
        <v>0.2</v>
      </c>
      <c r="X2" s="69">
        <f>COUNT(U4:U13)</f>
        <v>6</v>
      </c>
      <c r="Y2" s="9">
        <f>SUM(Y4:Y13)</f>
        <v>1.5000000000000007</v>
      </c>
      <c r="Z2" s="68" t="s">
        <v>1</v>
      </c>
      <c r="AA2" s="6">
        <f>AD2/"8:00:00"</f>
        <v>4.5000000000000027</v>
      </c>
      <c r="AB2" s="7">
        <f>AD2/$AO$2</f>
        <v>0.2</v>
      </c>
      <c r="AC2" s="69">
        <f>COUNT(Z4:Z13)</f>
        <v>6</v>
      </c>
      <c r="AD2" s="9">
        <f>SUM(AD4:AD13)</f>
        <v>1.5000000000000007</v>
      </c>
      <c r="AE2" s="68" t="s">
        <v>1</v>
      </c>
      <c r="AF2" s="6">
        <f>AI2/"8:00:00"</f>
        <v>0</v>
      </c>
      <c r="AG2" s="7">
        <f>AI2/$AO$2</f>
        <v>0</v>
      </c>
      <c r="AH2" s="69">
        <f>COUNT(AE4:AE13)</f>
        <v>0</v>
      </c>
      <c r="AI2" s="9">
        <f>SUM(AI4:AI13)</f>
        <v>0</v>
      </c>
      <c r="AJ2" s="68" t="s">
        <v>1</v>
      </c>
      <c r="AK2" s="6">
        <f>AN2/"8:00:00"</f>
        <v>0</v>
      </c>
      <c r="AL2" s="7">
        <f>AN2/$AO$2</f>
        <v>0</v>
      </c>
      <c r="AM2" s="69">
        <f>COUNT(AJ4:AJ13)</f>
        <v>0</v>
      </c>
      <c r="AN2" s="9">
        <f>SUM(AN4:AN13)</f>
        <v>0</v>
      </c>
      <c r="AO2" s="9">
        <f>SUM(AO4:AO11)</f>
        <v>7.5000000000000027</v>
      </c>
      <c r="AP2" s="9" t="s">
        <v>3</v>
      </c>
      <c r="AR2" s="12">
        <v>1.6666666666666667</v>
      </c>
    </row>
    <row r="3" spans="1:67" s="26" customFormat="1" ht="22.5" customHeight="1" thickBot="1" x14ac:dyDescent="0.3">
      <c r="A3" s="14" t="s">
        <v>247</v>
      </c>
      <c r="B3" s="15" t="s">
        <v>141</v>
      </c>
      <c r="C3" s="15" t="s">
        <v>80</v>
      </c>
      <c r="E3" s="16" t="s">
        <v>9</v>
      </c>
      <c r="F3" s="17" t="s">
        <v>10</v>
      </c>
      <c r="G3" s="18" t="s">
        <v>11</v>
      </c>
      <c r="H3" s="19"/>
      <c r="I3" s="20" t="s">
        <v>12</v>
      </c>
      <c r="J3" s="21" t="s">
        <v>13</v>
      </c>
      <c r="K3" s="17" t="s">
        <v>10</v>
      </c>
      <c r="L3" s="18" t="s">
        <v>11</v>
      </c>
      <c r="M3" s="19"/>
      <c r="N3" s="20" t="s">
        <v>12</v>
      </c>
      <c r="O3" s="22" t="s">
        <v>13</v>
      </c>
      <c r="P3" s="17" t="s">
        <v>10</v>
      </c>
      <c r="Q3" s="18" t="s">
        <v>11</v>
      </c>
      <c r="R3" s="19"/>
      <c r="S3" s="20" t="s">
        <v>12</v>
      </c>
      <c r="T3" s="22" t="s">
        <v>13</v>
      </c>
      <c r="U3" s="17" t="s">
        <v>10</v>
      </c>
      <c r="V3" s="18" t="s">
        <v>11</v>
      </c>
      <c r="W3" s="19"/>
      <c r="X3" s="20" t="s">
        <v>12</v>
      </c>
      <c r="Y3" s="22" t="s">
        <v>13</v>
      </c>
      <c r="Z3" s="17" t="s">
        <v>10</v>
      </c>
      <c r="AA3" s="18" t="s">
        <v>11</v>
      </c>
      <c r="AB3" s="19"/>
      <c r="AC3" s="20" t="s">
        <v>12</v>
      </c>
      <c r="AD3" s="22" t="s">
        <v>13</v>
      </c>
      <c r="AE3" s="17" t="s">
        <v>10</v>
      </c>
      <c r="AF3" s="18" t="s">
        <v>11</v>
      </c>
      <c r="AG3" s="19"/>
      <c r="AH3" s="20" t="s">
        <v>12</v>
      </c>
      <c r="AI3" s="22" t="s">
        <v>13</v>
      </c>
      <c r="AJ3" s="17" t="s">
        <v>10</v>
      </c>
      <c r="AK3" s="18" t="s">
        <v>11</v>
      </c>
      <c r="AL3" s="19"/>
      <c r="AM3" s="20" t="s">
        <v>12</v>
      </c>
      <c r="AN3" s="22" t="s">
        <v>13</v>
      </c>
      <c r="AO3" s="23" t="s">
        <v>13</v>
      </c>
      <c r="AP3" s="24" t="s">
        <v>3</v>
      </c>
    </row>
    <row r="4" spans="1:67" ht="15" x14ac:dyDescent="0.25">
      <c r="A4" s="150" t="s">
        <v>276</v>
      </c>
      <c r="B4" s="476" t="s">
        <v>52</v>
      </c>
      <c r="C4" s="146" t="s">
        <v>524</v>
      </c>
      <c r="D4" s="146" t="s">
        <v>482</v>
      </c>
      <c r="E4" s="77" t="s">
        <v>68</v>
      </c>
      <c r="F4" s="220">
        <v>0.33333333333333331</v>
      </c>
      <c r="G4" s="180">
        <v>0.5</v>
      </c>
      <c r="H4" s="180">
        <v>0.54166666666666663</v>
      </c>
      <c r="I4" s="27">
        <v>0.70833333333333337</v>
      </c>
      <c r="J4" s="84">
        <f>IFERROR(MOD(I4-F4,1)-(H4-G4),"")</f>
        <v>0.33333333333333343</v>
      </c>
      <c r="K4" s="220">
        <v>0.33333333333333331</v>
      </c>
      <c r="L4" s="180">
        <v>0.5</v>
      </c>
      <c r="M4" s="180">
        <v>0.54166666666666663</v>
      </c>
      <c r="N4" s="27">
        <v>0.70833333333333337</v>
      </c>
      <c r="O4" s="84">
        <f>IFERROR(MOD(N4-K4,1)-(M4-L4),"")</f>
        <v>0.33333333333333343</v>
      </c>
      <c r="P4" s="220">
        <v>0.33333333333333331</v>
      </c>
      <c r="Q4" s="180">
        <v>0.5</v>
      </c>
      <c r="R4" s="180">
        <v>0.54166666666666663</v>
      </c>
      <c r="S4" s="27">
        <v>0.70833333333333337</v>
      </c>
      <c r="T4" s="84">
        <f t="shared" ref="T4:T9" si="0">IFERROR(MOD(S4-P4,1)-(R4-Q4),"")</f>
        <v>0.33333333333333343</v>
      </c>
      <c r="U4" s="220">
        <v>0.33333333333333331</v>
      </c>
      <c r="V4" s="180">
        <v>0.5</v>
      </c>
      <c r="W4" s="180">
        <v>0.54166666666666663</v>
      </c>
      <c r="X4" s="27">
        <v>0.70833333333333337</v>
      </c>
      <c r="Y4" s="84">
        <f t="shared" ref="Y4:Y9" si="1">IFERROR(MOD(X4-U4,1)-(W4-V4),"")</f>
        <v>0.33333333333333343</v>
      </c>
      <c r="Z4" s="220">
        <v>0.33333333333333331</v>
      </c>
      <c r="AA4" s="180">
        <v>0.5</v>
      </c>
      <c r="AB4" s="180">
        <v>0.54166666666666663</v>
      </c>
      <c r="AC4" s="27">
        <v>0.70833333333333337</v>
      </c>
      <c r="AD4" s="84">
        <f t="shared" ref="AD4:AD9" si="2">IFERROR(MOD(AC4-Z4,1)-(AB4-AA4),"")</f>
        <v>0.33333333333333343</v>
      </c>
      <c r="AE4" s="92" t="s">
        <v>15</v>
      </c>
      <c r="AF4" s="129" t="s">
        <v>15</v>
      </c>
      <c r="AG4" s="127" t="s">
        <v>15</v>
      </c>
      <c r="AH4" s="75" t="s">
        <v>15</v>
      </c>
      <c r="AI4" s="84" t="str">
        <f t="shared" ref="AI4:AI9" si="3">IFERROR(MOD(AH4-AE4,1)-(AG4-AF4),"")</f>
        <v/>
      </c>
      <c r="AJ4" s="92" t="s">
        <v>15</v>
      </c>
      <c r="AK4" s="129" t="s">
        <v>15</v>
      </c>
      <c r="AL4" s="127" t="s">
        <v>15</v>
      </c>
      <c r="AM4" s="75" t="s">
        <v>15</v>
      </c>
      <c r="AN4" s="84" t="str">
        <f t="shared" ref="AN4:AN9" si="4">IFERROR(MOD(AM4-AJ4,1)-(AL4-AK4),"")</f>
        <v/>
      </c>
      <c r="AO4" s="28">
        <f t="shared" ref="AO4:AO11" si="5">SUM(J4,O4,T4,Y4,AD4,AI4,AN4)</f>
        <v>1.6666666666666672</v>
      </c>
      <c r="AP4" s="302"/>
      <c r="AR4" s="305">
        <f t="shared" ref="AR4:AR11" si="6">COUNTIF(F4:AN4,"OFF")/4</f>
        <v>2</v>
      </c>
    </row>
    <row r="5" spans="1:67" s="36" customFormat="1" ht="15" x14ac:dyDescent="0.25">
      <c r="A5" s="150" t="s">
        <v>283</v>
      </c>
      <c r="B5" s="421" t="s">
        <v>60</v>
      </c>
      <c r="C5" s="146" t="s">
        <v>524</v>
      </c>
      <c r="D5" s="146" t="s">
        <v>489</v>
      </c>
      <c r="E5" s="91" t="s">
        <v>69</v>
      </c>
      <c r="F5" s="220">
        <v>0.33333333333333331</v>
      </c>
      <c r="G5" s="180">
        <v>0.5</v>
      </c>
      <c r="H5" s="180">
        <v>0.54166666666666663</v>
      </c>
      <c r="I5" s="27">
        <v>0.70833333333333337</v>
      </c>
      <c r="J5" s="84">
        <f t="shared" ref="J5:J9" si="7">IFERROR(MOD(I5-F5,1)-(H5-G5),"")</f>
        <v>0.33333333333333343</v>
      </c>
      <c r="K5" s="220">
        <v>0.33333333333333331</v>
      </c>
      <c r="L5" s="180">
        <v>0.5</v>
      </c>
      <c r="M5" s="180">
        <v>0.54166666666666663</v>
      </c>
      <c r="N5" s="27">
        <v>0.70833333333333337</v>
      </c>
      <c r="O5" s="84">
        <f t="shared" ref="O5:O9" si="8">IFERROR(MOD(N5-K5,1)-(M5-L5),"")</f>
        <v>0.33333333333333343</v>
      </c>
      <c r="P5" s="220">
        <v>0.33333333333333331</v>
      </c>
      <c r="Q5" s="180">
        <v>0.5</v>
      </c>
      <c r="R5" s="180">
        <v>0.54166666666666663</v>
      </c>
      <c r="S5" s="27">
        <v>0.70833333333333337</v>
      </c>
      <c r="T5" s="84">
        <f t="shared" si="0"/>
        <v>0.33333333333333343</v>
      </c>
      <c r="U5" s="220">
        <v>0.33333333333333331</v>
      </c>
      <c r="V5" s="180">
        <v>0.5</v>
      </c>
      <c r="W5" s="180">
        <v>0.54166666666666663</v>
      </c>
      <c r="X5" s="27">
        <v>0.70833333333333337</v>
      </c>
      <c r="Y5" s="84">
        <f t="shared" si="1"/>
        <v>0.33333333333333343</v>
      </c>
      <c r="Z5" s="220">
        <v>0.33333333333333331</v>
      </c>
      <c r="AA5" s="180">
        <v>0.5</v>
      </c>
      <c r="AB5" s="180">
        <v>0.54166666666666663</v>
      </c>
      <c r="AC5" s="27">
        <v>0.70833333333333337</v>
      </c>
      <c r="AD5" s="84">
        <f t="shared" si="2"/>
        <v>0.33333333333333343</v>
      </c>
      <c r="AE5" s="92" t="s">
        <v>15</v>
      </c>
      <c r="AF5" s="129" t="s">
        <v>15</v>
      </c>
      <c r="AG5" s="127" t="s">
        <v>15</v>
      </c>
      <c r="AH5" s="75" t="s">
        <v>15</v>
      </c>
      <c r="AI5" s="84" t="str">
        <f t="shared" si="3"/>
        <v/>
      </c>
      <c r="AJ5" s="92" t="s">
        <v>15</v>
      </c>
      <c r="AK5" s="129" t="s">
        <v>15</v>
      </c>
      <c r="AL5" s="127" t="s">
        <v>15</v>
      </c>
      <c r="AM5" s="75" t="s">
        <v>15</v>
      </c>
      <c r="AN5" s="84" t="str">
        <f t="shared" si="4"/>
        <v/>
      </c>
      <c r="AO5" s="28">
        <f t="shared" si="5"/>
        <v>1.6666666666666672</v>
      </c>
      <c r="AP5" s="302"/>
      <c r="AQ5" s="1"/>
      <c r="AR5" s="305">
        <f t="shared" si="6"/>
        <v>2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s="31" customFormat="1" ht="15" x14ac:dyDescent="0.25">
      <c r="A6" s="150" t="s">
        <v>285</v>
      </c>
      <c r="B6" s="476" t="s">
        <v>57</v>
      </c>
      <c r="C6" s="146" t="s">
        <v>524</v>
      </c>
      <c r="D6" s="477" t="s">
        <v>491</v>
      </c>
      <c r="E6" s="478" t="s">
        <v>69</v>
      </c>
      <c r="F6" s="479">
        <v>0.54166666666666663</v>
      </c>
      <c r="G6" s="180"/>
      <c r="H6" s="180"/>
      <c r="I6" s="93">
        <v>0.70833333333333337</v>
      </c>
      <c r="J6" s="480">
        <f t="shared" si="7"/>
        <v>0.16666666666666674</v>
      </c>
      <c r="K6" s="479">
        <v>0.54166666666666663</v>
      </c>
      <c r="L6" s="180"/>
      <c r="M6" s="180"/>
      <c r="N6" s="93">
        <v>0.70833333333333337</v>
      </c>
      <c r="O6" s="480">
        <f t="shared" si="8"/>
        <v>0.16666666666666674</v>
      </c>
      <c r="P6" s="479">
        <v>0.54166666666666663</v>
      </c>
      <c r="Q6" s="180"/>
      <c r="R6" s="180"/>
      <c r="S6" s="93">
        <v>0.70833333333333337</v>
      </c>
      <c r="T6" s="480">
        <f t="shared" si="0"/>
        <v>0.16666666666666674</v>
      </c>
      <c r="U6" s="479">
        <v>0.54166666666666663</v>
      </c>
      <c r="V6" s="180"/>
      <c r="W6" s="180"/>
      <c r="X6" s="93">
        <v>0.70833333333333337</v>
      </c>
      <c r="Y6" s="480">
        <f t="shared" si="1"/>
        <v>0.16666666666666674</v>
      </c>
      <c r="Z6" s="479">
        <v>0.54166666666666663</v>
      </c>
      <c r="AA6" s="180"/>
      <c r="AB6" s="180"/>
      <c r="AC6" s="93">
        <v>0.70833333333333337</v>
      </c>
      <c r="AD6" s="480">
        <f t="shared" si="2"/>
        <v>0.16666666666666674</v>
      </c>
      <c r="AE6" s="92" t="s">
        <v>15</v>
      </c>
      <c r="AF6" s="129" t="s">
        <v>15</v>
      </c>
      <c r="AG6" s="127" t="s">
        <v>15</v>
      </c>
      <c r="AH6" s="75" t="s">
        <v>15</v>
      </c>
      <c r="AI6" s="84" t="str">
        <f t="shared" si="3"/>
        <v/>
      </c>
      <c r="AJ6" s="92" t="s">
        <v>15</v>
      </c>
      <c r="AK6" s="129" t="s">
        <v>15</v>
      </c>
      <c r="AL6" s="127" t="s">
        <v>15</v>
      </c>
      <c r="AM6" s="75" t="s">
        <v>15</v>
      </c>
      <c r="AN6" s="84" t="str">
        <f t="shared" si="4"/>
        <v/>
      </c>
      <c r="AO6" s="28">
        <f t="shared" si="5"/>
        <v>0.8333333333333337</v>
      </c>
      <c r="AP6" s="302"/>
      <c r="AQ6" s="1"/>
      <c r="AR6" s="305">
        <f t="shared" si="6"/>
        <v>2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s="31" customFormat="1" ht="15" x14ac:dyDescent="0.25">
      <c r="A7" s="150" t="s">
        <v>266</v>
      </c>
      <c r="B7" s="476" t="s">
        <v>55</v>
      </c>
      <c r="C7" s="146" t="s">
        <v>524</v>
      </c>
      <c r="D7" s="477" t="s">
        <v>329</v>
      </c>
      <c r="E7" s="478" t="s">
        <v>70</v>
      </c>
      <c r="F7" s="479">
        <v>0.54166666666666663</v>
      </c>
      <c r="G7" s="180"/>
      <c r="H7" s="180"/>
      <c r="I7" s="93">
        <v>0.70833333333333337</v>
      </c>
      <c r="J7" s="480">
        <f t="shared" si="7"/>
        <v>0.16666666666666674</v>
      </c>
      <c r="K7" s="479">
        <v>0.54166666666666663</v>
      </c>
      <c r="L7" s="180"/>
      <c r="M7" s="180"/>
      <c r="N7" s="93">
        <v>0.70833333333333337</v>
      </c>
      <c r="O7" s="480">
        <f t="shared" si="8"/>
        <v>0.16666666666666674</v>
      </c>
      <c r="P7" s="479">
        <v>0.54166666666666663</v>
      </c>
      <c r="Q7" s="180"/>
      <c r="R7" s="180"/>
      <c r="S7" s="93">
        <v>0.70833333333333337</v>
      </c>
      <c r="T7" s="480">
        <f t="shared" si="0"/>
        <v>0.16666666666666674</v>
      </c>
      <c r="U7" s="479">
        <v>0.54166666666666663</v>
      </c>
      <c r="V7" s="180"/>
      <c r="W7" s="180"/>
      <c r="X7" s="93">
        <v>0.70833333333333337</v>
      </c>
      <c r="Y7" s="480">
        <f t="shared" si="1"/>
        <v>0.16666666666666674</v>
      </c>
      <c r="Z7" s="479">
        <v>0.54166666666666663</v>
      </c>
      <c r="AA7" s="180"/>
      <c r="AB7" s="180"/>
      <c r="AC7" s="93">
        <v>0.70833333333333337</v>
      </c>
      <c r="AD7" s="480">
        <f t="shared" si="2"/>
        <v>0.16666666666666674</v>
      </c>
      <c r="AE7" s="92" t="s">
        <v>15</v>
      </c>
      <c r="AF7" s="129" t="s">
        <v>15</v>
      </c>
      <c r="AG7" s="127" t="s">
        <v>15</v>
      </c>
      <c r="AH7" s="75" t="s">
        <v>15</v>
      </c>
      <c r="AI7" s="84" t="str">
        <f t="shared" si="3"/>
        <v/>
      </c>
      <c r="AJ7" s="92" t="s">
        <v>15</v>
      </c>
      <c r="AK7" s="129" t="s">
        <v>15</v>
      </c>
      <c r="AL7" s="127" t="s">
        <v>15</v>
      </c>
      <c r="AM7" s="75" t="s">
        <v>15</v>
      </c>
      <c r="AN7" s="84" t="str">
        <f t="shared" si="4"/>
        <v/>
      </c>
      <c r="AO7" s="28">
        <f t="shared" si="5"/>
        <v>0.8333333333333337</v>
      </c>
      <c r="AP7"/>
      <c r="AQ7" s="1"/>
      <c r="AR7" s="305">
        <f t="shared" si="6"/>
        <v>2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ht="15" x14ac:dyDescent="0.25">
      <c r="A8" s="150" t="s">
        <v>271</v>
      </c>
      <c r="B8" s="421" t="s">
        <v>174</v>
      </c>
      <c r="C8" s="146" t="s">
        <v>524</v>
      </c>
      <c r="D8" s="146" t="s">
        <v>497</v>
      </c>
      <c r="E8" s="78" t="s">
        <v>70</v>
      </c>
      <c r="F8" s="220">
        <v>0.33333333333333331</v>
      </c>
      <c r="G8" s="180">
        <v>0.5</v>
      </c>
      <c r="H8" s="180">
        <v>0.54166666666666663</v>
      </c>
      <c r="I8" s="27">
        <v>0.70833333333333337</v>
      </c>
      <c r="J8" s="84">
        <f t="shared" si="7"/>
        <v>0.33333333333333343</v>
      </c>
      <c r="K8" s="220">
        <v>0.33333333333333331</v>
      </c>
      <c r="L8" s="180">
        <v>0.5</v>
      </c>
      <c r="M8" s="180">
        <v>0.54166666666666663</v>
      </c>
      <c r="N8" s="27">
        <v>0.70833333333333337</v>
      </c>
      <c r="O8" s="84">
        <f t="shared" si="8"/>
        <v>0.33333333333333343</v>
      </c>
      <c r="P8" s="220">
        <v>0.33333333333333331</v>
      </c>
      <c r="Q8" s="180">
        <v>0.5</v>
      </c>
      <c r="R8" s="180">
        <v>0.54166666666666663</v>
      </c>
      <c r="S8" s="27">
        <v>0.70833333333333337</v>
      </c>
      <c r="T8" s="84">
        <f t="shared" si="0"/>
        <v>0.33333333333333343</v>
      </c>
      <c r="U8" s="220">
        <v>0.33333333333333331</v>
      </c>
      <c r="V8" s="180">
        <v>0.5</v>
      </c>
      <c r="W8" s="180">
        <v>0.54166666666666663</v>
      </c>
      <c r="X8" s="27">
        <v>0.70833333333333337</v>
      </c>
      <c r="Y8" s="84">
        <f t="shared" si="1"/>
        <v>0.33333333333333343</v>
      </c>
      <c r="Z8" s="220">
        <v>0.33333333333333331</v>
      </c>
      <c r="AA8" s="180">
        <v>0.5</v>
      </c>
      <c r="AB8" s="180">
        <v>0.54166666666666663</v>
      </c>
      <c r="AC8" s="27">
        <v>0.70833333333333337</v>
      </c>
      <c r="AD8" s="84">
        <f t="shared" si="2"/>
        <v>0.33333333333333343</v>
      </c>
      <c r="AE8" s="92" t="s">
        <v>15</v>
      </c>
      <c r="AF8" s="129" t="s">
        <v>15</v>
      </c>
      <c r="AG8" s="127" t="s">
        <v>15</v>
      </c>
      <c r="AH8" s="75" t="s">
        <v>15</v>
      </c>
      <c r="AI8" s="84" t="str">
        <f t="shared" si="3"/>
        <v/>
      </c>
      <c r="AJ8" s="92" t="s">
        <v>15</v>
      </c>
      <c r="AK8" s="129" t="s">
        <v>15</v>
      </c>
      <c r="AL8" s="127" t="s">
        <v>15</v>
      </c>
      <c r="AM8" s="75" t="s">
        <v>15</v>
      </c>
      <c r="AN8" s="84" t="str">
        <f t="shared" si="4"/>
        <v/>
      </c>
      <c r="AO8" s="28">
        <f t="shared" si="5"/>
        <v>1.6666666666666672</v>
      </c>
      <c r="AP8"/>
      <c r="AR8" s="305">
        <f t="shared" si="6"/>
        <v>2</v>
      </c>
    </row>
    <row r="9" spans="1:67" ht="15" x14ac:dyDescent="0.25">
      <c r="A9" s="150" t="s">
        <v>258</v>
      </c>
      <c r="B9" s="476" t="s">
        <v>145</v>
      </c>
      <c r="C9" s="146" t="s">
        <v>524</v>
      </c>
      <c r="D9" s="477" t="s">
        <v>496</v>
      </c>
      <c r="E9" s="478" t="s">
        <v>70</v>
      </c>
      <c r="F9" s="479">
        <v>0.54166666666666663</v>
      </c>
      <c r="G9" s="180"/>
      <c r="H9" s="180"/>
      <c r="I9" s="93">
        <v>0.70833333333333337</v>
      </c>
      <c r="J9" s="480">
        <f t="shared" si="7"/>
        <v>0.16666666666666674</v>
      </c>
      <c r="K9" s="479">
        <v>0.54166666666666663</v>
      </c>
      <c r="L9" s="180"/>
      <c r="M9" s="180"/>
      <c r="N9" s="93">
        <v>0.70833333333333337</v>
      </c>
      <c r="O9" s="480">
        <f t="shared" si="8"/>
        <v>0.16666666666666674</v>
      </c>
      <c r="P9" s="479">
        <v>0.54166666666666663</v>
      </c>
      <c r="Q9" s="180"/>
      <c r="R9" s="180"/>
      <c r="S9" s="93">
        <v>0.70833333333333337</v>
      </c>
      <c r="T9" s="480">
        <f t="shared" si="0"/>
        <v>0.16666666666666674</v>
      </c>
      <c r="U9" s="479">
        <v>0.54166666666666663</v>
      </c>
      <c r="V9" s="180"/>
      <c r="W9" s="180"/>
      <c r="X9" s="93">
        <v>0.70833333333333337</v>
      </c>
      <c r="Y9" s="480">
        <f t="shared" si="1"/>
        <v>0.16666666666666674</v>
      </c>
      <c r="Z9" s="479">
        <v>0.54166666666666663</v>
      </c>
      <c r="AA9" s="180"/>
      <c r="AB9" s="180"/>
      <c r="AC9" s="93">
        <v>0.70833333333333337</v>
      </c>
      <c r="AD9" s="480">
        <f t="shared" si="2"/>
        <v>0.16666666666666674</v>
      </c>
      <c r="AE9" s="92" t="s">
        <v>15</v>
      </c>
      <c r="AF9" s="129" t="s">
        <v>15</v>
      </c>
      <c r="AG9" s="127" t="s">
        <v>15</v>
      </c>
      <c r="AH9" s="75" t="s">
        <v>15</v>
      </c>
      <c r="AI9" s="84" t="str">
        <f t="shared" si="3"/>
        <v/>
      </c>
      <c r="AJ9" s="92" t="s">
        <v>15</v>
      </c>
      <c r="AK9" s="129" t="s">
        <v>15</v>
      </c>
      <c r="AL9" s="127" t="s">
        <v>15</v>
      </c>
      <c r="AM9" s="75" t="s">
        <v>15</v>
      </c>
      <c r="AN9" s="84" t="str">
        <f t="shared" si="4"/>
        <v/>
      </c>
      <c r="AO9" s="28">
        <f t="shared" si="5"/>
        <v>0.8333333333333337</v>
      </c>
      <c r="AP9" s="302"/>
      <c r="AR9" s="305">
        <f t="shared" si="6"/>
        <v>2</v>
      </c>
    </row>
    <row r="10" spans="1:67" ht="15" x14ac:dyDescent="0.25">
      <c r="A10" s="150" t="s">
        <v>276</v>
      </c>
      <c r="F10" s="88"/>
      <c r="G10" s="97"/>
      <c r="H10" s="98"/>
      <c r="I10" s="88"/>
      <c r="J10" s="84"/>
      <c r="K10" s="152"/>
      <c r="L10" s="158"/>
      <c r="M10" s="159"/>
      <c r="N10" s="153"/>
      <c r="O10" s="84"/>
      <c r="P10" s="80"/>
      <c r="Q10" s="97"/>
      <c r="R10" s="98"/>
      <c r="S10" s="88"/>
      <c r="T10" s="73"/>
      <c r="U10" s="80"/>
      <c r="V10" s="158"/>
      <c r="W10" s="159"/>
      <c r="X10" s="82"/>
      <c r="Y10" s="73"/>
      <c r="Z10" s="96"/>
      <c r="AA10" s="131"/>
      <c r="AB10" s="98"/>
      <c r="AC10" s="95"/>
      <c r="AD10" s="73"/>
      <c r="AE10" s="80"/>
      <c r="AF10" s="87"/>
      <c r="AG10" s="81"/>
      <c r="AH10" s="82"/>
      <c r="AI10" s="73"/>
      <c r="AJ10" s="80"/>
      <c r="AK10" s="87"/>
      <c r="AL10" s="81"/>
      <c r="AM10" s="82"/>
      <c r="AN10" s="73"/>
      <c r="AO10" s="28">
        <f t="shared" si="5"/>
        <v>0</v>
      </c>
      <c r="AP10" s="302"/>
      <c r="AR10" s="305">
        <f t="shared" si="6"/>
        <v>0</v>
      </c>
    </row>
    <row r="11" spans="1:67" ht="15" x14ac:dyDescent="0.25">
      <c r="A11" s="150" t="s">
        <v>265</v>
      </c>
      <c r="F11" s="88"/>
      <c r="G11" s="97"/>
      <c r="H11" s="98"/>
      <c r="I11" s="88"/>
      <c r="J11" s="84"/>
      <c r="K11" s="152"/>
      <c r="L11" s="158"/>
      <c r="M11" s="159"/>
      <c r="N11" s="153"/>
      <c r="O11" s="84"/>
      <c r="P11" s="80"/>
      <c r="Q11" s="97"/>
      <c r="R11" s="98"/>
      <c r="S11" s="88"/>
      <c r="T11" s="73"/>
      <c r="U11" s="80"/>
      <c r="V11" s="158"/>
      <c r="W11" s="159"/>
      <c r="X11" s="82"/>
      <c r="Y11" s="73"/>
      <c r="Z11" s="96"/>
      <c r="AA11" s="131"/>
      <c r="AB11" s="98"/>
      <c r="AC11" s="95"/>
      <c r="AD11" s="73"/>
      <c r="AE11" s="80"/>
      <c r="AF11" s="87"/>
      <c r="AG11" s="81"/>
      <c r="AH11" s="82"/>
      <c r="AI11" s="73"/>
      <c r="AJ11" s="80"/>
      <c r="AK11" s="87"/>
      <c r="AL11" s="81"/>
      <c r="AM11" s="82"/>
      <c r="AN11" s="73"/>
      <c r="AO11" s="28">
        <f t="shared" si="5"/>
        <v>0</v>
      </c>
      <c r="AP11"/>
      <c r="AR11" s="305">
        <f t="shared" si="6"/>
        <v>0</v>
      </c>
    </row>
    <row r="12" spans="1:67" customFormat="1" ht="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customFormat="1" ht="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ht="15" x14ac:dyDescent="0.25">
      <c r="G14"/>
      <c r="H14"/>
      <c r="I14"/>
      <c r="J14"/>
      <c r="K14"/>
      <c r="L14"/>
      <c r="M14"/>
    </row>
    <row r="18" spans="2:37" x14ac:dyDescent="0.2">
      <c r="N18" s="104"/>
      <c r="O18" s="37"/>
    </row>
    <row r="21" spans="2:37" ht="15.75" x14ac:dyDescent="0.25">
      <c r="B21" s="1" t="s">
        <v>100</v>
      </c>
      <c r="C21" s="1">
        <f>COUNTIF(D$4:D$11,B21)</f>
        <v>0</v>
      </c>
      <c r="D21" s="123">
        <v>0.29166666666666669</v>
      </c>
      <c r="E21" s="109" t="s">
        <v>73</v>
      </c>
      <c r="F21" s="280">
        <f t="shared" ref="F21:F32" si="9">COUNTIF(F$4:F$13,$D21)</f>
        <v>0</v>
      </c>
      <c r="G21" s="110"/>
      <c r="K21" s="107">
        <f t="shared" ref="K21:K32" si="10">COUNTIF(K$4:K$13,$D21)</f>
        <v>0</v>
      </c>
      <c r="L21" s="110"/>
      <c r="P21" s="107">
        <f t="shared" ref="P21:P32" si="11">COUNTIF(P$4:P$13,$D21)</f>
        <v>0</v>
      </c>
      <c r="Q21" s="110"/>
      <c r="U21" s="107">
        <f t="shared" ref="U21:U32" si="12">COUNTIF(U$4:U$13,$D21)</f>
        <v>0</v>
      </c>
      <c r="V21" s="110"/>
      <c r="Z21" s="107">
        <f t="shared" ref="Z21:Z32" si="13">COUNTIF(Z$4:Z$13,$D21)</f>
        <v>0</v>
      </c>
      <c r="AA21" s="110"/>
      <c r="AE21" s="107">
        <f t="shared" ref="AE21:AE32" si="14">COUNTIF(AE$4:AE$13,$D21)</f>
        <v>0</v>
      </c>
      <c r="AF21" s="110"/>
      <c r="AJ21" s="107">
        <f t="shared" ref="AJ21:AJ32" si="15">COUNTIF(AJ$4:AJ$13,$D21)</f>
        <v>0</v>
      </c>
      <c r="AK21" s="110"/>
    </row>
    <row r="22" spans="2:37" ht="15.75" x14ac:dyDescent="0.25">
      <c r="B22" s="1" t="s">
        <v>195</v>
      </c>
      <c r="C22" s="1">
        <f>COUNTIF(D$4:D$11,B22)</f>
        <v>0</v>
      </c>
      <c r="D22" s="123">
        <v>0.33333333333333331</v>
      </c>
      <c r="E22" s="109" t="s">
        <v>73</v>
      </c>
      <c r="F22" s="107">
        <f t="shared" si="9"/>
        <v>3</v>
      </c>
      <c r="G22" s="110">
        <f>SUM(F21:F23)</f>
        <v>3</v>
      </c>
      <c r="K22" s="107">
        <f t="shared" si="10"/>
        <v>3</v>
      </c>
      <c r="L22" s="110">
        <f>SUM(K21:K23)</f>
        <v>3</v>
      </c>
      <c r="P22" s="107">
        <f t="shared" si="11"/>
        <v>3</v>
      </c>
      <c r="Q22" s="110">
        <f>SUM(P21:P23)</f>
        <v>3</v>
      </c>
      <c r="U22" s="107">
        <f t="shared" si="12"/>
        <v>3</v>
      </c>
      <c r="V22" s="110">
        <f>SUM(U21:U23)</f>
        <v>3</v>
      </c>
      <c r="Z22" s="107">
        <f t="shared" si="13"/>
        <v>3</v>
      </c>
      <c r="AA22" s="110">
        <f>SUM(Z21:Z23)</f>
        <v>3</v>
      </c>
      <c r="AE22" s="107">
        <f t="shared" si="14"/>
        <v>0</v>
      </c>
      <c r="AF22" s="110">
        <f>SUM(AE21:AE23)</f>
        <v>0</v>
      </c>
      <c r="AJ22" s="107">
        <f t="shared" si="15"/>
        <v>0</v>
      </c>
      <c r="AK22" s="110">
        <f>SUM(AJ21:AJ23)</f>
        <v>0</v>
      </c>
    </row>
    <row r="23" spans="2:37" ht="15.75" x14ac:dyDescent="0.25">
      <c r="B23" s="1" t="s">
        <v>194</v>
      </c>
      <c r="C23" s="1">
        <f>COUNTIF(D$4:D$11,B23)</f>
        <v>0</v>
      </c>
      <c r="D23" s="123">
        <v>0.375</v>
      </c>
      <c r="E23" s="109" t="s">
        <v>73</v>
      </c>
      <c r="F23" s="280">
        <f t="shared" si="9"/>
        <v>0</v>
      </c>
      <c r="G23" s="110"/>
      <c r="K23" s="107">
        <f t="shared" si="10"/>
        <v>0</v>
      </c>
      <c r="L23" s="110"/>
      <c r="P23" s="107">
        <f t="shared" si="11"/>
        <v>0</v>
      </c>
      <c r="Q23" s="110"/>
      <c r="U23" s="107">
        <f t="shared" si="12"/>
        <v>0</v>
      </c>
      <c r="V23" s="110"/>
      <c r="Z23" s="107">
        <f t="shared" si="13"/>
        <v>0</v>
      </c>
      <c r="AA23" s="110"/>
      <c r="AE23" s="107">
        <f t="shared" si="14"/>
        <v>0</v>
      </c>
      <c r="AF23" s="110"/>
      <c r="AJ23" s="107">
        <f t="shared" si="15"/>
        <v>0</v>
      </c>
      <c r="AK23" s="110"/>
    </row>
    <row r="24" spans="2:37" ht="15.75" x14ac:dyDescent="0.25">
      <c r="D24" s="123">
        <v>0.41666666666666669</v>
      </c>
      <c r="E24" s="109" t="s">
        <v>98</v>
      </c>
      <c r="F24" s="209">
        <f t="shared" si="9"/>
        <v>0</v>
      </c>
      <c r="G24" s="110"/>
      <c r="K24" s="209">
        <f t="shared" si="10"/>
        <v>0</v>
      </c>
      <c r="L24" s="110"/>
      <c r="P24" s="209">
        <f t="shared" si="11"/>
        <v>0</v>
      </c>
      <c r="Q24" s="110"/>
      <c r="U24" s="209">
        <f t="shared" si="12"/>
        <v>0</v>
      </c>
      <c r="V24" s="110"/>
      <c r="Z24" s="209">
        <f t="shared" si="13"/>
        <v>0</v>
      </c>
      <c r="AA24" s="110"/>
      <c r="AE24" s="209">
        <f t="shared" si="14"/>
        <v>0</v>
      </c>
      <c r="AF24" s="110"/>
      <c r="AJ24" s="209">
        <f t="shared" si="15"/>
        <v>0</v>
      </c>
      <c r="AK24" s="110"/>
    </row>
    <row r="25" spans="2:37" ht="15.75" x14ac:dyDescent="0.25">
      <c r="D25" s="123">
        <v>0.45833333333333331</v>
      </c>
      <c r="E25" s="109" t="s">
        <v>31</v>
      </c>
      <c r="F25" s="209">
        <f t="shared" si="9"/>
        <v>0</v>
      </c>
      <c r="G25" s="110">
        <f>SUM(F24:F27)</f>
        <v>3</v>
      </c>
      <c r="K25" s="209">
        <f t="shared" si="10"/>
        <v>0</v>
      </c>
      <c r="L25" s="110">
        <f>SUM(K24:K27)</f>
        <v>3</v>
      </c>
      <c r="P25" s="209">
        <f t="shared" si="11"/>
        <v>0</v>
      </c>
      <c r="Q25" s="110">
        <f>SUM(P24:P27)</f>
        <v>3</v>
      </c>
      <c r="U25" s="209">
        <f t="shared" si="12"/>
        <v>0</v>
      </c>
      <c r="V25" s="110">
        <f>SUM(U24:U27)</f>
        <v>3</v>
      </c>
      <c r="Z25" s="209">
        <f t="shared" si="13"/>
        <v>0</v>
      </c>
      <c r="AA25" s="110">
        <f>SUM(Z24:Z27)</f>
        <v>3</v>
      </c>
      <c r="AE25" s="209">
        <f t="shared" si="14"/>
        <v>0</v>
      </c>
      <c r="AF25" s="110">
        <f>SUM(AE24:AE27)</f>
        <v>0</v>
      </c>
      <c r="AJ25" s="209">
        <f t="shared" si="15"/>
        <v>0</v>
      </c>
      <c r="AK25" s="110">
        <f>SUM(AJ24:AJ27)</f>
        <v>0</v>
      </c>
    </row>
    <row r="26" spans="2:37" ht="15.75" x14ac:dyDescent="0.25">
      <c r="D26" s="123">
        <v>0.5</v>
      </c>
      <c r="E26" s="109" t="s">
        <v>31</v>
      </c>
      <c r="F26" s="209">
        <f t="shared" si="9"/>
        <v>0</v>
      </c>
      <c r="G26" s="110"/>
      <c r="K26" s="209">
        <f t="shared" si="10"/>
        <v>0</v>
      </c>
      <c r="L26" s="110"/>
      <c r="P26" s="209">
        <f t="shared" si="11"/>
        <v>0</v>
      </c>
      <c r="Q26" s="110"/>
      <c r="U26" s="209">
        <f t="shared" si="12"/>
        <v>0</v>
      </c>
      <c r="V26" s="110"/>
      <c r="Z26" s="209">
        <f t="shared" si="13"/>
        <v>0</v>
      </c>
      <c r="AA26" s="110"/>
      <c r="AE26" s="209">
        <f t="shared" si="14"/>
        <v>0</v>
      </c>
      <c r="AF26" s="110"/>
      <c r="AJ26" s="209">
        <f t="shared" si="15"/>
        <v>0</v>
      </c>
      <c r="AK26" s="110"/>
    </row>
    <row r="27" spans="2:37" ht="15.75" x14ac:dyDescent="0.25">
      <c r="D27" s="123">
        <v>0.54166666666666663</v>
      </c>
      <c r="E27" s="109" t="s">
        <v>31</v>
      </c>
      <c r="F27" s="307">
        <f t="shared" si="9"/>
        <v>3</v>
      </c>
      <c r="G27" s="110"/>
      <c r="K27" s="209">
        <f t="shared" si="10"/>
        <v>3</v>
      </c>
      <c r="L27" s="110"/>
      <c r="P27" s="209">
        <f t="shared" si="11"/>
        <v>3</v>
      </c>
      <c r="Q27" s="110"/>
      <c r="U27" s="209">
        <f t="shared" si="12"/>
        <v>3</v>
      </c>
      <c r="V27" s="110"/>
      <c r="Z27" s="209">
        <f t="shared" si="13"/>
        <v>3</v>
      </c>
      <c r="AA27" s="110"/>
      <c r="AE27" s="209">
        <f t="shared" si="14"/>
        <v>0</v>
      </c>
      <c r="AF27" s="110"/>
      <c r="AJ27" s="209">
        <f t="shared" si="15"/>
        <v>0</v>
      </c>
      <c r="AK27" s="110"/>
    </row>
    <row r="28" spans="2:37" ht="15.75" x14ac:dyDescent="0.25">
      <c r="D28" s="123">
        <v>0.625</v>
      </c>
      <c r="E28" s="109" t="s">
        <v>31</v>
      </c>
      <c r="F28" s="281">
        <f t="shared" si="9"/>
        <v>0</v>
      </c>
      <c r="G28" s="110"/>
      <c r="K28" s="108">
        <f t="shared" si="10"/>
        <v>0</v>
      </c>
      <c r="L28" s="110"/>
      <c r="P28" s="108">
        <f t="shared" si="11"/>
        <v>0</v>
      </c>
      <c r="Q28" s="110"/>
      <c r="U28" s="108">
        <f t="shared" si="12"/>
        <v>0</v>
      </c>
      <c r="V28" s="110"/>
      <c r="Z28" s="108">
        <f t="shared" si="13"/>
        <v>0</v>
      </c>
      <c r="AA28" s="110"/>
      <c r="AE28" s="108">
        <f t="shared" si="14"/>
        <v>0</v>
      </c>
      <c r="AF28" s="110"/>
      <c r="AJ28" s="108">
        <f t="shared" si="15"/>
        <v>0</v>
      </c>
      <c r="AK28" s="110"/>
    </row>
    <row r="29" spans="2:37" ht="15.75" x14ac:dyDescent="0.25">
      <c r="D29" s="123">
        <v>0.66666666666666663</v>
      </c>
      <c r="E29" s="109" t="s">
        <v>31</v>
      </c>
      <c r="F29" s="281">
        <f t="shared" si="9"/>
        <v>0</v>
      </c>
      <c r="G29" s="110">
        <f>SUM(F28:F30)</f>
        <v>0</v>
      </c>
      <c r="K29" s="108">
        <f t="shared" si="10"/>
        <v>0</v>
      </c>
      <c r="L29" s="110">
        <f>SUM(K28:K30)</f>
        <v>0</v>
      </c>
      <c r="P29" s="108">
        <f t="shared" si="11"/>
        <v>0</v>
      </c>
      <c r="Q29" s="110">
        <f>SUM(P28:P30)</f>
        <v>0</v>
      </c>
      <c r="U29" s="108">
        <f t="shared" si="12"/>
        <v>0</v>
      </c>
      <c r="V29" s="110">
        <f>SUM(U28:U30)</f>
        <v>0</v>
      </c>
      <c r="Z29" s="108">
        <f t="shared" si="13"/>
        <v>0</v>
      </c>
      <c r="AA29" s="110">
        <f>SUM(Z28:Z30)</f>
        <v>0</v>
      </c>
      <c r="AE29" s="108">
        <f t="shared" si="14"/>
        <v>0</v>
      </c>
      <c r="AF29" s="110">
        <f>SUM(AE28:AE30)</f>
        <v>0</v>
      </c>
      <c r="AJ29" s="108">
        <f t="shared" si="15"/>
        <v>0</v>
      </c>
      <c r="AK29" s="110">
        <f>SUM(AJ28:AJ30)</f>
        <v>0</v>
      </c>
    </row>
    <row r="30" spans="2:37" ht="15.75" x14ac:dyDescent="0.25">
      <c r="D30" s="123">
        <v>0.70833333333333337</v>
      </c>
      <c r="E30" s="109" t="s">
        <v>31</v>
      </c>
      <c r="F30" s="108">
        <f t="shared" si="9"/>
        <v>0</v>
      </c>
      <c r="K30" s="108">
        <f t="shared" si="10"/>
        <v>0</v>
      </c>
      <c r="P30" s="108">
        <f t="shared" si="11"/>
        <v>0</v>
      </c>
      <c r="U30" s="108">
        <f t="shared" si="12"/>
        <v>0</v>
      </c>
      <c r="Z30" s="108">
        <f t="shared" si="13"/>
        <v>0</v>
      </c>
      <c r="AE30" s="108">
        <f t="shared" si="14"/>
        <v>0</v>
      </c>
      <c r="AJ30" s="108">
        <f t="shared" si="15"/>
        <v>0</v>
      </c>
    </row>
    <row r="31" spans="2:37" ht="15" x14ac:dyDescent="0.25">
      <c r="B31" s="120">
        <f>AVERAGE(F31:AJ31)</f>
        <v>1.7142857142857142</v>
      </c>
      <c r="D31" s="123" t="s">
        <v>15</v>
      </c>
      <c r="E31" s="110" t="s">
        <v>15</v>
      </c>
      <c r="F31" s="61">
        <f t="shared" si="9"/>
        <v>0</v>
      </c>
      <c r="K31" s="61">
        <f t="shared" si="10"/>
        <v>0</v>
      </c>
      <c r="P31" s="61">
        <f t="shared" si="11"/>
        <v>0</v>
      </c>
      <c r="U31" s="61">
        <f t="shared" si="12"/>
        <v>0</v>
      </c>
      <c r="Z31" s="61">
        <f t="shared" si="13"/>
        <v>0</v>
      </c>
      <c r="AE31" s="61">
        <f t="shared" si="14"/>
        <v>6</v>
      </c>
      <c r="AJ31" s="61">
        <f t="shared" si="15"/>
        <v>6</v>
      </c>
    </row>
    <row r="32" spans="2:37" ht="15" x14ac:dyDescent="0.25">
      <c r="B32" s="120">
        <f>AVERAGE(F32:AJ32)</f>
        <v>0</v>
      </c>
      <c r="D32" s="123">
        <v>0.91666666666666663</v>
      </c>
      <c r="E32" s="110" t="s">
        <v>19</v>
      </c>
      <c r="F32" s="65">
        <f t="shared" si="9"/>
        <v>0</v>
      </c>
      <c r="K32" s="65">
        <f t="shared" si="10"/>
        <v>0</v>
      </c>
      <c r="P32" s="65">
        <f t="shared" si="11"/>
        <v>0</v>
      </c>
      <c r="U32" s="65">
        <f t="shared" si="12"/>
        <v>0</v>
      </c>
      <c r="Z32" s="65">
        <f t="shared" si="13"/>
        <v>0</v>
      </c>
      <c r="AE32" s="65">
        <f t="shared" si="14"/>
        <v>0</v>
      </c>
      <c r="AJ32" s="65">
        <f t="shared" si="15"/>
        <v>0</v>
      </c>
    </row>
    <row r="37" spans="13:15" x14ac:dyDescent="0.2">
      <c r="M37" s="156"/>
      <c r="O37" s="156"/>
    </row>
    <row r="38" spans="13:15" x14ac:dyDescent="0.2">
      <c r="M38" s="161"/>
    </row>
    <row r="57" spans="2:2" x14ac:dyDescent="0.2">
      <c r="B57" s="30">
        <f>J2</f>
        <v>1.5000000000000007</v>
      </c>
    </row>
    <row r="58" spans="2:2" x14ac:dyDescent="0.2">
      <c r="B58" s="30">
        <f>O2</f>
        <v>1.5000000000000007</v>
      </c>
    </row>
    <row r="59" spans="2:2" x14ac:dyDescent="0.2">
      <c r="B59" s="30">
        <f>T2</f>
        <v>1.5000000000000007</v>
      </c>
    </row>
    <row r="60" spans="2:2" x14ac:dyDescent="0.2">
      <c r="B60" s="30">
        <f>Y2</f>
        <v>1.5000000000000007</v>
      </c>
    </row>
    <row r="61" spans="2:2" x14ac:dyDescent="0.2">
      <c r="B61" s="30">
        <f>AD2</f>
        <v>1.5000000000000007</v>
      </c>
    </row>
    <row r="62" spans="2:2" x14ac:dyDescent="0.2">
      <c r="B62" s="30">
        <f>AI2</f>
        <v>0</v>
      </c>
    </row>
    <row r="63" spans="2:2" x14ac:dyDescent="0.2">
      <c r="B63" s="30">
        <f>AN2</f>
        <v>0</v>
      </c>
    </row>
    <row r="66" spans="2:23" x14ac:dyDescent="0.2">
      <c r="B66" s="30">
        <v>13.79166666666667</v>
      </c>
    </row>
    <row r="67" spans="2:23" x14ac:dyDescent="0.2">
      <c r="B67" s="30">
        <v>14.916666666666673</v>
      </c>
    </row>
    <row r="68" spans="2:23" x14ac:dyDescent="0.2">
      <c r="B68" s="30">
        <v>14.333333333333337</v>
      </c>
      <c r="Q68" s="1" t="s">
        <v>541</v>
      </c>
    </row>
    <row r="69" spans="2:23" x14ac:dyDescent="0.2">
      <c r="B69" s="30">
        <v>14.833333333333339</v>
      </c>
    </row>
    <row r="70" spans="2:23" x14ac:dyDescent="0.2">
      <c r="B70" s="30">
        <v>10.958333333333332</v>
      </c>
      <c r="Q70" s="1">
        <v>16</v>
      </c>
      <c r="R70" s="1">
        <v>24</v>
      </c>
      <c r="S70" s="1">
        <v>20</v>
      </c>
      <c r="T70" s="1">
        <v>5</v>
      </c>
      <c r="U70" s="1">
        <v>25</v>
      </c>
      <c r="V70" s="1">
        <v>22</v>
      </c>
      <c r="W70" s="1">
        <v>19</v>
      </c>
    </row>
    <row r="71" spans="2:23" x14ac:dyDescent="0.2">
      <c r="B71" s="30">
        <v>9.7083333333333304</v>
      </c>
    </row>
    <row r="72" spans="2:23" x14ac:dyDescent="0.2">
      <c r="B72" s="30">
        <v>13.583333333333339</v>
      </c>
    </row>
    <row r="87" spans="4:14" x14ac:dyDescent="0.2">
      <c r="E87" s="147" t="s">
        <v>348</v>
      </c>
      <c r="F87" s="171">
        <f>SUMIF($D4:$D79,$D$88,J4:J79)</f>
        <v>0</v>
      </c>
      <c r="G87" s="171">
        <f>SUMIF($D4:$D79,$D$88,O4:O79)</f>
        <v>0</v>
      </c>
      <c r="H87" s="171">
        <f>SUMIF($D4:$D79,$D$88,T4:T79)</f>
        <v>0</v>
      </c>
      <c r="I87" s="171">
        <f>SUMIF($D4:$D79,$D$88,Y4:Y79)</f>
        <v>0</v>
      </c>
      <c r="J87" s="171">
        <f>SUMIF($D4:$D79,$D$88,AD4:AD79)</f>
        <v>0</v>
      </c>
      <c r="K87" s="171">
        <f>SUMIF($D4:$D79,$D$88,AI4:AI79)</f>
        <v>0</v>
      </c>
      <c r="L87" s="171">
        <f>SUMIF($D4:$D79,$D$88,AN4:AN79)</f>
        <v>0</v>
      </c>
      <c r="N87" s="231">
        <f>SUM(F87:L87)/"40:00:00"</f>
        <v>0</v>
      </c>
    </row>
    <row r="88" spans="4:14" x14ac:dyDescent="0.2">
      <c r="D88" s="190" t="s">
        <v>352</v>
      </c>
      <c r="E88" s="147" t="s">
        <v>15</v>
      </c>
      <c r="F88" s="35">
        <f>COUNTIFS(F4:F79,$E$88,$D4:$D79,$D$88)</f>
        <v>0</v>
      </c>
      <c r="G88" s="35">
        <f>COUNTIFS(K4:K79,$E$88,$D4:$D79,$D$88)</f>
        <v>0</v>
      </c>
      <c r="H88" s="35">
        <f>COUNTIFS(P4:P79,$E$88,$D4:$D79,$D$88)</f>
        <v>0</v>
      </c>
      <c r="I88" s="35">
        <f>COUNTIFS(U4:U79,$E$88,$D4:$D79,$D$88)</f>
        <v>0</v>
      </c>
      <c r="J88" s="35">
        <f>COUNTIFS(Z4:Z79,$E$88,$D4:$D79,$D$88)</f>
        <v>0</v>
      </c>
      <c r="K88" s="35">
        <f>COUNTIFS(AE4:AE79,$E$88,$D4:$D79,$D$88)</f>
        <v>0</v>
      </c>
      <c r="L88" s="35">
        <f>COUNTIFS(AJ4:AJ79,$E$88,$D4:$D79,$D$88)</f>
        <v>0</v>
      </c>
    </row>
    <row r="89" spans="4:14" x14ac:dyDescent="0.2">
      <c r="E89" s="147" t="s">
        <v>349</v>
      </c>
      <c r="F89" s="35">
        <f>COUNTIF(D4:D79,$D$88)</f>
        <v>0</v>
      </c>
      <c r="G89" s="35">
        <f t="shared" ref="G89:L89" si="16">F89</f>
        <v>0</v>
      </c>
      <c r="H89" s="35">
        <f t="shared" si="16"/>
        <v>0</v>
      </c>
      <c r="I89" s="35">
        <f t="shared" si="16"/>
        <v>0</v>
      </c>
      <c r="J89" s="35">
        <f t="shared" si="16"/>
        <v>0</v>
      </c>
      <c r="K89" s="35">
        <f t="shared" si="16"/>
        <v>0</v>
      </c>
      <c r="L89" s="35">
        <f t="shared" si="16"/>
        <v>0</v>
      </c>
    </row>
    <row r="90" spans="4:14" x14ac:dyDescent="0.2">
      <c r="E90" s="147" t="s">
        <v>159</v>
      </c>
      <c r="F90" s="35">
        <f t="shared" ref="F90:F96" si="17">COUNTIFS(F$4:F$79,$E90,$D$4:$D$79,$D$88)</f>
        <v>0</v>
      </c>
      <c r="G90" s="35">
        <f t="shared" ref="G90:G96" si="18">COUNTIFS(K$4:K$79,$E90,$D$4:$D$79,$D$88)</f>
        <v>0</v>
      </c>
      <c r="H90" s="35">
        <f t="shared" ref="H90:H96" si="19">COUNTIFS(P$4:P$79,$E90,$D$4:$D$79,$D$88)</f>
        <v>0</v>
      </c>
      <c r="I90" s="35">
        <f>COUNTIFS(U4:U79,$E$90,$D4:$D79,$D$88)</f>
        <v>0</v>
      </c>
      <c r="J90" s="35">
        <f t="shared" ref="J90:J96" si="20">COUNTIFS(Z$4:Z$79,$E90,$D$4:$D$79,$D$88)</f>
        <v>0</v>
      </c>
      <c r="K90" s="35">
        <f t="shared" ref="K90:K96" si="21">COUNTIFS(AE$4:AE$79,$E90,$D$4:$D$79,$D$88)</f>
        <v>0</v>
      </c>
      <c r="L90" s="35">
        <f t="shared" ref="L90:L96" si="22">COUNTIFS(AJ$4:AJ$79,$E90,$D$4:$D$79,$D$88)</f>
        <v>0</v>
      </c>
    </row>
    <row r="91" spans="4:14" x14ac:dyDescent="0.2">
      <c r="E91" s="147" t="s">
        <v>156</v>
      </c>
      <c r="F91" s="35">
        <f t="shared" si="17"/>
        <v>0</v>
      </c>
      <c r="G91" s="35">
        <f t="shared" si="18"/>
        <v>0</v>
      </c>
      <c r="H91" s="35">
        <f t="shared" si="19"/>
        <v>0</v>
      </c>
      <c r="I91" s="35">
        <f>COUNTIFS(U$4:U$79,$E$91,$D5:$D80,$D$88)</f>
        <v>0</v>
      </c>
      <c r="J91" s="35">
        <f t="shared" si="20"/>
        <v>0</v>
      </c>
      <c r="K91" s="35">
        <f t="shared" si="21"/>
        <v>0</v>
      </c>
      <c r="L91" s="35">
        <f t="shared" si="22"/>
        <v>0</v>
      </c>
    </row>
    <row r="92" spans="4:14" x14ac:dyDescent="0.2">
      <c r="E92" s="147" t="s">
        <v>85</v>
      </c>
      <c r="F92" s="35">
        <f t="shared" si="17"/>
        <v>0</v>
      </c>
      <c r="G92" s="35">
        <f t="shared" si="18"/>
        <v>0</v>
      </c>
      <c r="H92" s="35">
        <f t="shared" si="19"/>
        <v>0</v>
      </c>
      <c r="I92" s="35">
        <f>COUNTIFS(U$4:U$79,$E$92,$D6:$D81,$D$88)</f>
        <v>0</v>
      </c>
      <c r="J92" s="35">
        <f t="shared" si="20"/>
        <v>0</v>
      </c>
      <c r="K92" s="35">
        <f t="shared" si="21"/>
        <v>0</v>
      </c>
      <c r="L92" s="35">
        <f t="shared" si="22"/>
        <v>0</v>
      </c>
    </row>
    <row r="93" spans="4:14" x14ac:dyDescent="0.2">
      <c r="E93" s="147" t="s">
        <v>343</v>
      </c>
      <c r="F93" s="35">
        <f t="shared" si="17"/>
        <v>0</v>
      </c>
      <c r="G93" s="35">
        <f t="shared" si="18"/>
        <v>0</v>
      </c>
      <c r="H93" s="35">
        <f t="shared" si="19"/>
        <v>0</v>
      </c>
      <c r="I93" s="35">
        <f>COUNTIFS(U$4:U$79,$E$93,$D$4:$D$79,$D$88)</f>
        <v>0</v>
      </c>
      <c r="J93" s="35">
        <f t="shared" si="20"/>
        <v>0</v>
      </c>
      <c r="K93" s="35">
        <f t="shared" si="21"/>
        <v>0</v>
      </c>
      <c r="L93" s="35">
        <f t="shared" si="22"/>
        <v>0</v>
      </c>
    </row>
    <row r="94" spans="4:14" x14ac:dyDescent="0.2">
      <c r="E94" s="147" t="s">
        <v>344</v>
      </c>
      <c r="F94" s="35">
        <f t="shared" si="17"/>
        <v>0</v>
      </c>
      <c r="G94" s="35">
        <f t="shared" si="18"/>
        <v>0</v>
      </c>
      <c r="H94" s="35">
        <f t="shared" si="19"/>
        <v>0</v>
      </c>
      <c r="I94" s="35">
        <f>COUNTIFS(U$4:U$79,$E94,$D$4:$D$79,$D$88)</f>
        <v>0</v>
      </c>
      <c r="J94" s="35">
        <f t="shared" si="20"/>
        <v>0</v>
      </c>
      <c r="K94" s="35">
        <f t="shared" si="21"/>
        <v>0</v>
      </c>
      <c r="L94" s="35">
        <f t="shared" si="22"/>
        <v>0</v>
      </c>
    </row>
    <row r="95" spans="4:14" x14ac:dyDescent="0.2">
      <c r="E95" s="147" t="s">
        <v>325</v>
      </c>
      <c r="F95" s="35">
        <f t="shared" si="17"/>
        <v>0</v>
      </c>
      <c r="G95" s="35">
        <f t="shared" si="18"/>
        <v>0</v>
      </c>
      <c r="H95" s="35">
        <f t="shared" si="19"/>
        <v>0</v>
      </c>
      <c r="I95" s="35">
        <f>COUNTIFS(U$4:U$79,$E95,$D$4:$D$79,$D$88)</f>
        <v>0</v>
      </c>
      <c r="J95" s="35">
        <f t="shared" si="20"/>
        <v>0</v>
      </c>
      <c r="K95" s="35">
        <f t="shared" si="21"/>
        <v>0</v>
      </c>
      <c r="L95" s="35">
        <f t="shared" si="22"/>
        <v>0</v>
      </c>
    </row>
    <row r="96" spans="4:14" x14ac:dyDescent="0.2">
      <c r="E96" s="147" t="s">
        <v>165</v>
      </c>
      <c r="F96" s="35">
        <f t="shared" si="17"/>
        <v>0</v>
      </c>
      <c r="G96" s="35">
        <f t="shared" si="18"/>
        <v>0</v>
      </c>
      <c r="H96" s="35">
        <f t="shared" si="19"/>
        <v>0</v>
      </c>
      <c r="I96" s="35">
        <f>COUNTIFS(U$4:U$79,$E96,$D$4:$D$79,$D$88)</f>
        <v>0</v>
      </c>
      <c r="J96" s="35">
        <f t="shared" si="20"/>
        <v>0</v>
      </c>
      <c r="K96" s="35">
        <f t="shared" si="21"/>
        <v>0</v>
      </c>
      <c r="L96" s="35">
        <f t="shared" si="22"/>
        <v>0</v>
      </c>
    </row>
    <row r="97" spans="5:12" x14ac:dyDescent="0.2">
      <c r="E97" s="147" t="s">
        <v>403</v>
      </c>
      <c r="F97" s="171">
        <f>SUMIF($D$4:$D$11,$D$88,H$4:H$11)-SUMIF($D$4:$D$11,$D$88,G$4:G$11)</f>
        <v>0</v>
      </c>
      <c r="G97" s="171">
        <f>SUMIF($D$4:$D$11,$D$88,M$4:M$11)-SUMIF($D$4:$D$11,$D$88,L$4:L$11)</f>
        <v>0</v>
      </c>
      <c r="H97" s="171">
        <f>SUMIF($D$4:$D$11,$D$88,R$4:R$11)-SUMIF($D$4:$D$11,$D$88,Q$4:Q$11)</f>
        <v>0</v>
      </c>
      <c r="I97" s="171">
        <f>SUMIF($D$4:$D$11,$D$88,W$4:W$11)-SUMIF($D$4:$D$11,$D$88,V$4:V$11)</f>
        <v>0</v>
      </c>
      <c r="J97" s="171">
        <f>SUMIF($D$4:$D$11,$D$88,AB$4:AB$11)-SUMIF($D$4:$D$11,$D$88,AA$4:AA$11)</f>
        <v>0</v>
      </c>
      <c r="K97" s="171">
        <f>SUMIF($D$4:$D$11,$D$88,AG$4:AG$11)-SUMIF($D$4:$D$11,$D$88,AF$4:AF$11)</f>
        <v>0</v>
      </c>
      <c r="L97" s="171">
        <f>SUMIF($D$4:$D$11,$D$88,AL$4:AL$11)-SUMIF($D$4:$D$11,$D$88,AK$4:AK$11)</f>
        <v>0</v>
      </c>
    </row>
    <row r="98" spans="5:12" x14ac:dyDescent="0.2">
      <c r="E98" s="110" t="s">
        <v>350</v>
      </c>
      <c r="F98" s="35">
        <f>F92+F95+F91</f>
        <v>0</v>
      </c>
      <c r="G98" s="35">
        <f t="shared" ref="G98:L98" si="23">G92+G95+G91</f>
        <v>0</v>
      </c>
      <c r="H98" s="35">
        <f t="shared" si="23"/>
        <v>0</v>
      </c>
      <c r="I98" s="35">
        <f t="shared" si="23"/>
        <v>0</v>
      </c>
      <c r="J98" s="35">
        <f t="shared" si="23"/>
        <v>0</v>
      </c>
      <c r="K98" s="35">
        <f t="shared" si="23"/>
        <v>0</v>
      </c>
      <c r="L98" s="35">
        <f t="shared" si="23"/>
        <v>0</v>
      </c>
    </row>
    <row r="101" spans="5:12" x14ac:dyDescent="0.2">
      <c r="E101" s="110" t="s">
        <v>355</v>
      </c>
      <c r="F101" s="196">
        <f>F89-SUM(F90:F96)-F88</f>
        <v>0</v>
      </c>
      <c r="G101" s="196">
        <f t="shared" ref="G101:L101" si="24">G89-SUM(G90:G96)-G88</f>
        <v>0</v>
      </c>
      <c r="H101" s="196">
        <f t="shared" si="24"/>
        <v>0</v>
      </c>
      <c r="I101" s="196">
        <f t="shared" si="24"/>
        <v>0</v>
      </c>
      <c r="J101" s="196">
        <f t="shared" si="24"/>
        <v>0</v>
      </c>
      <c r="K101" s="196">
        <f t="shared" si="24"/>
        <v>0</v>
      </c>
      <c r="L101" s="196">
        <f t="shared" si="24"/>
        <v>0</v>
      </c>
    </row>
  </sheetData>
  <autoFilter ref="A3:BO11" xr:uid="{00000000-0009-0000-0000-00000B000000}">
    <sortState xmlns:xlrd2="http://schemas.microsoft.com/office/spreadsheetml/2017/richdata2" ref="A4:BO11">
      <sortCondition ref="E3:E11"/>
    </sortState>
  </autoFilter>
  <mergeCells count="7">
    <mergeCell ref="AJ1:AN1"/>
    <mergeCell ref="F1:J1"/>
    <mergeCell ref="K1:O1"/>
    <mergeCell ref="P1:T1"/>
    <mergeCell ref="U1:Y1"/>
    <mergeCell ref="Z1:AD1"/>
    <mergeCell ref="AE1:AI1"/>
  </mergeCells>
  <conditionalFormatting sqref="F4:I9">
    <cfRule type="containsText" dxfId="45" priority="29" operator="containsText" text="Alerte">
      <formula>NOT(ISERROR(SEARCH("Alerte",F4)))</formula>
    </cfRule>
  </conditionalFormatting>
  <conditionalFormatting sqref="J4:J9">
    <cfRule type="cellIs" dxfId="44" priority="40" operator="lessThan">
      <formula>0.333333333333333</formula>
    </cfRule>
    <cfRule type="cellIs" dxfId="43" priority="41" operator="greaterThan">
      <formula>0.333333333333333</formula>
    </cfRule>
  </conditionalFormatting>
  <conditionalFormatting sqref="K6:K7">
    <cfRule type="containsText" dxfId="42" priority="27" operator="containsText" text="Alerte">
      <formula>NOT(ISERROR(SEARCH("Alerte",K6)))</formula>
    </cfRule>
  </conditionalFormatting>
  <conditionalFormatting sqref="K8:L9">
    <cfRule type="containsText" dxfId="41" priority="25" operator="containsText" text="Alerte">
      <formula>NOT(ISERROR(SEARCH("Alerte",K8)))</formula>
    </cfRule>
  </conditionalFormatting>
  <conditionalFormatting sqref="K4:N5">
    <cfRule type="containsText" dxfId="40" priority="12" operator="containsText" text="Alerte">
      <formula>NOT(ISERROR(SEARCH("Alerte",K4)))</formula>
    </cfRule>
  </conditionalFormatting>
  <conditionalFormatting sqref="L7">
    <cfRule type="containsText" dxfId="39" priority="26" operator="containsText" text="Alerte">
      <formula>NOT(ISERROR(SEARCH("Alerte",L7)))</formula>
    </cfRule>
  </conditionalFormatting>
  <conditionalFormatting sqref="L6:N6">
    <cfRule type="containsText" dxfId="38" priority="28" operator="containsText" text="Alerte">
      <formula>NOT(ISERROR(SEARCH("Alerte",L6)))</formula>
    </cfRule>
  </conditionalFormatting>
  <conditionalFormatting sqref="M7:N9">
    <cfRule type="containsText" dxfId="37" priority="7" operator="containsText" text="Alerte">
      <formula>NOT(ISERROR(SEARCH("Alerte",M7)))</formula>
    </cfRule>
  </conditionalFormatting>
  <conditionalFormatting sqref="O4:O9">
    <cfRule type="cellIs" dxfId="36" priority="38" operator="lessThan">
      <formula>0.333333333333333</formula>
    </cfRule>
    <cfRule type="cellIs" dxfId="35" priority="39" operator="greaterThan">
      <formula>0.333333333333333</formula>
    </cfRule>
  </conditionalFormatting>
  <conditionalFormatting sqref="P6:P7">
    <cfRule type="containsText" dxfId="34" priority="23" operator="containsText" text="Alerte">
      <formula>NOT(ISERROR(SEARCH("Alerte",P6)))</formula>
    </cfRule>
  </conditionalFormatting>
  <conditionalFormatting sqref="P8:Q9">
    <cfRule type="containsText" dxfId="33" priority="21" operator="containsText" text="Alerte">
      <formula>NOT(ISERROR(SEARCH("Alerte",P8)))</formula>
    </cfRule>
  </conditionalFormatting>
  <conditionalFormatting sqref="P4:S5">
    <cfRule type="containsText" dxfId="32" priority="11" operator="containsText" text="Alerte">
      <formula>NOT(ISERROR(SEARCH("Alerte",P4)))</formula>
    </cfRule>
  </conditionalFormatting>
  <conditionalFormatting sqref="Q7">
    <cfRule type="containsText" dxfId="31" priority="22" operator="containsText" text="Alerte">
      <formula>NOT(ISERROR(SEARCH("Alerte",Q7)))</formula>
    </cfRule>
  </conditionalFormatting>
  <conditionalFormatting sqref="Q6:S6">
    <cfRule type="containsText" dxfId="30" priority="24" operator="containsText" text="Alerte">
      <formula>NOT(ISERROR(SEARCH("Alerte",Q6)))</formula>
    </cfRule>
  </conditionalFormatting>
  <conditionalFormatting sqref="R7:S9">
    <cfRule type="containsText" dxfId="29" priority="6" operator="containsText" text="Alerte">
      <formula>NOT(ISERROR(SEARCH("Alerte",R7)))</formula>
    </cfRule>
  </conditionalFormatting>
  <conditionalFormatting sqref="T4:T9">
    <cfRule type="cellIs" dxfId="28" priority="36" operator="lessThan">
      <formula>0.333333333333333</formula>
    </cfRule>
    <cfRule type="cellIs" dxfId="27" priority="37" operator="greaterThan">
      <formula>0.333333333333333</formula>
    </cfRule>
  </conditionalFormatting>
  <conditionalFormatting sqref="U6:U7">
    <cfRule type="containsText" dxfId="26" priority="19" operator="containsText" text="Alerte">
      <formula>NOT(ISERROR(SEARCH("Alerte",U6)))</formula>
    </cfRule>
  </conditionalFormatting>
  <conditionalFormatting sqref="U8:V9">
    <cfRule type="containsText" dxfId="25" priority="17" operator="containsText" text="Alerte">
      <formula>NOT(ISERROR(SEARCH("Alerte",U8)))</formula>
    </cfRule>
  </conditionalFormatting>
  <conditionalFormatting sqref="U4:X5">
    <cfRule type="containsText" dxfId="24" priority="10" operator="containsText" text="Alerte">
      <formula>NOT(ISERROR(SEARCH("Alerte",U4)))</formula>
    </cfRule>
  </conditionalFormatting>
  <conditionalFormatting sqref="V7">
    <cfRule type="containsText" dxfId="23" priority="18" operator="containsText" text="Alerte">
      <formula>NOT(ISERROR(SEARCH("Alerte",V7)))</formula>
    </cfRule>
  </conditionalFormatting>
  <conditionalFormatting sqref="V6:X6">
    <cfRule type="containsText" dxfId="22" priority="20" operator="containsText" text="Alerte">
      <formula>NOT(ISERROR(SEARCH("Alerte",V6)))</formula>
    </cfRule>
  </conditionalFormatting>
  <conditionalFormatting sqref="W7:X9">
    <cfRule type="containsText" dxfId="21" priority="5" operator="containsText" text="Alerte">
      <formula>NOT(ISERROR(SEARCH("Alerte",W7)))</formula>
    </cfRule>
  </conditionalFormatting>
  <conditionalFormatting sqref="Y4:Y9">
    <cfRule type="cellIs" dxfId="20" priority="34" operator="lessThan">
      <formula>0.333333333333333</formula>
    </cfRule>
    <cfRule type="cellIs" dxfId="19" priority="35" operator="greaterThan">
      <formula>0.333333333333333</formula>
    </cfRule>
  </conditionalFormatting>
  <conditionalFormatting sqref="Z6:Z7">
    <cfRule type="containsText" dxfId="18" priority="15" operator="containsText" text="Alerte">
      <formula>NOT(ISERROR(SEARCH("Alerte",Z6)))</formula>
    </cfRule>
  </conditionalFormatting>
  <conditionalFormatting sqref="Z8:AA9">
    <cfRule type="containsText" dxfId="17" priority="13" operator="containsText" text="Alerte">
      <formula>NOT(ISERROR(SEARCH("Alerte",Z8)))</formula>
    </cfRule>
  </conditionalFormatting>
  <conditionalFormatting sqref="Z4:AC5">
    <cfRule type="containsText" dxfId="16" priority="9" operator="containsText" text="Alerte">
      <formula>NOT(ISERROR(SEARCH("Alerte",Z4)))</formula>
    </cfRule>
  </conditionalFormatting>
  <conditionalFormatting sqref="AA7">
    <cfRule type="containsText" dxfId="15" priority="14" operator="containsText" text="Alerte">
      <formula>NOT(ISERROR(SEARCH("Alerte",AA7)))</formula>
    </cfRule>
  </conditionalFormatting>
  <conditionalFormatting sqref="AA6:AC6">
    <cfRule type="containsText" dxfId="14" priority="16" operator="containsText" text="Alerte">
      <formula>NOT(ISERROR(SEARCH("Alerte",AA6)))</formula>
    </cfRule>
  </conditionalFormatting>
  <conditionalFormatting sqref="AB7:AC9">
    <cfRule type="containsText" dxfId="13" priority="4" operator="containsText" text="Alerte">
      <formula>NOT(ISERROR(SEARCH("Alerte",AB7)))</formula>
    </cfRule>
  </conditionalFormatting>
  <conditionalFormatting sqref="AD4:AD9">
    <cfRule type="cellIs" dxfId="12" priority="32" operator="lessThan">
      <formula>0.333333333333333</formula>
    </cfRule>
    <cfRule type="cellIs" dxfId="11" priority="33" operator="greaterThan">
      <formula>0.333333333333333</formula>
    </cfRule>
  </conditionalFormatting>
  <conditionalFormatting sqref="AE4:AH9">
    <cfRule type="containsText" dxfId="10" priority="8" operator="containsText" text="Alerte">
      <formula>NOT(ISERROR(SEARCH("Alerte",AE4)))</formula>
    </cfRule>
  </conditionalFormatting>
  <conditionalFormatting sqref="AI4:AI9">
    <cfRule type="cellIs" dxfId="9" priority="30" operator="lessThan">
      <formula>0.333333333333333</formula>
    </cfRule>
    <cfRule type="cellIs" dxfId="8" priority="31" operator="greaterThan">
      <formula>0.333333333333333</formula>
    </cfRule>
  </conditionalFormatting>
  <conditionalFormatting sqref="AJ4:AM9">
    <cfRule type="containsText" dxfId="7" priority="1" operator="containsText" text="Alerte">
      <formula>NOT(ISERROR(SEARCH("Alerte",AJ4)))</formula>
    </cfRule>
  </conditionalFormatting>
  <conditionalFormatting sqref="AN4:AN9">
    <cfRule type="cellIs" dxfId="6" priority="2" operator="lessThan">
      <formula>0.333333333333333</formula>
    </cfRule>
    <cfRule type="cellIs" dxfId="5" priority="3" operator="greaterThan">
      <formula>0.333333333333333</formula>
    </cfRule>
  </conditionalFormatting>
  <conditionalFormatting sqref="AO4:AO11">
    <cfRule type="cellIs" dxfId="4" priority="63" operator="lessThan">
      <formula>1.66666666666667</formula>
    </cfRule>
    <cfRule type="cellIs" dxfId="3" priority="64" operator="greaterThan">
      <formula>1.66666666666667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/>
  <dimension ref="A1:Z177"/>
  <sheetViews>
    <sheetView zoomScale="70" zoomScaleNormal="70" workbookViewId="0">
      <selection activeCell="R80" sqref="R80"/>
    </sheetView>
  </sheetViews>
  <sheetFormatPr baseColWidth="10" defaultRowHeight="15" x14ac:dyDescent="0.25"/>
  <cols>
    <col min="1" max="1" width="25.140625" customWidth="1"/>
    <col min="2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3" bestFit="1" customWidth="1"/>
    <col min="8" max="8" width="16" bestFit="1" customWidth="1"/>
    <col min="10" max="10" width="25" customWidth="1"/>
    <col min="11" max="12" width="12.42578125" bestFit="1" customWidth="1"/>
    <col min="13" max="13" width="14.85546875" bestFit="1" customWidth="1"/>
    <col min="14" max="14" width="12.42578125" bestFit="1" customWidth="1"/>
    <col min="15" max="15" width="14.85546875" bestFit="1" customWidth="1"/>
    <col min="16" max="16" width="13" bestFit="1" customWidth="1"/>
    <col min="17" max="17" width="16" bestFit="1" customWidth="1"/>
    <col min="19" max="19" width="18.7109375" customWidth="1"/>
    <col min="20" max="21" width="12.42578125" bestFit="1" customWidth="1"/>
    <col min="22" max="22" width="14.85546875" bestFit="1" customWidth="1"/>
    <col min="23" max="23" width="12.42578125" bestFit="1" customWidth="1"/>
    <col min="24" max="24" width="14.85546875" bestFit="1" customWidth="1"/>
    <col min="25" max="25" width="13" bestFit="1" customWidth="1"/>
    <col min="26" max="26" width="16" bestFit="1" customWidth="1"/>
  </cols>
  <sheetData>
    <row r="1" spans="1:26" x14ac:dyDescent="0.25">
      <c r="A1" s="60" t="s">
        <v>547</v>
      </c>
      <c r="B1" s="163" t="e">
        <f>#REF!</f>
        <v>#REF!</v>
      </c>
      <c r="C1" s="163" t="e">
        <f>B1+1</f>
        <v>#REF!</v>
      </c>
      <c r="D1" s="163" t="e">
        <f t="shared" ref="D1:H1" si="0">C1+1</f>
        <v>#REF!</v>
      </c>
      <c r="E1" s="163" t="e">
        <f t="shared" si="0"/>
        <v>#REF!</v>
      </c>
      <c r="F1" s="163" t="e">
        <f t="shared" si="0"/>
        <v>#REF!</v>
      </c>
      <c r="G1" s="163" t="e">
        <f t="shared" si="0"/>
        <v>#REF!</v>
      </c>
      <c r="H1" s="163" t="e">
        <f t="shared" si="0"/>
        <v>#REF!</v>
      </c>
      <c r="J1" s="60" t="s">
        <v>352</v>
      </c>
      <c r="K1" s="163" t="e">
        <f>B1</f>
        <v>#REF!</v>
      </c>
      <c r="L1" s="163" t="e">
        <f>K1+1</f>
        <v>#REF!</v>
      </c>
      <c r="M1" s="163" t="e">
        <f t="shared" ref="M1:Q1" si="1">L1+1</f>
        <v>#REF!</v>
      </c>
      <c r="N1" s="163" t="e">
        <f t="shared" si="1"/>
        <v>#REF!</v>
      </c>
      <c r="O1" s="163" t="e">
        <f t="shared" si="1"/>
        <v>#REF!</v>
      </c>
      <c r="P1" s="163" t="e">
        <f t="shared" si="1"/>
        <v>#REF!</v>
      </c>
      <c r="Q1" s="163" t="e">
        <f t="shared" si="1"/>
        <v>#REF!</v>
      </c>
      <c r="S1" s="60" t="s">
        <v>351</v>
      </c>
      <c r="T1" s="163" t="e">
        <f>K1</f>
        <v>#REF!</v>
      </c>
      <c r="U1" s="163" t="e">
        <f>T1+1</f>
        <v>#REF!</v>
      </c>
      <c r="V1" s="163" t="e">
        <f t="shared" ref="V1:Z1" si="2">U1+1</f>
        <v>#REF!</v>
      </c>
      <c r="W1" s="163" t="e">
        <f t="shared" si="2"/>
        <v>#REF!</v>
      </c>
      <c r="X1" s="163" t="e">
        <f t="shared" si="2"/>
        <v>#REF!</v>
      </c>
      <c r="Y1" s="163" t="e">
        <f t="shared" si="2"/>
        <v>#REF!</v>
      </c>
      <c r="Z1" s="163" t="e">
        <f t="shared" si="2"/>
        <v>#REF!</v>
      </c>
    </row>
    <row r="2" spans="1:26" x14ac:dyDescent="0.25">
      <c r="A2" t="s">
        <v>548</v>
      </c>
      <c r="B2" t="s">
        <v>224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J2" t="s">
        <v>548</v>
      </c>
      <c r="K2" t="s">
        <v>224</v>
      </c>
      <c r="L2" t="s">
        <v>225</v>
      </c>
      <c r="M2" t="s">
        <v>226</v>
      </c>
      <c r="N2" t="s">
        <v>227</v>
      </c>
      <c r="O2" t="s">
        <v>228</v>
      </c>
      <c r="P2" t="s">
        <v>229</v>
      </c>
      <c r="Q2" t="s">
        <v>230</v>
      </c>
      <c r="S2" t="s">
        <v>548</v>
      </c>
      <c r="T2" t="s">
        <v>224</v>
      </c>
      <c r="U2" t="s">
        <v>225</v>
      </c>
      <c r="V2" t="s">
        <v>226</v>
      </c>
      <c r="W2" t="s">
        <v>227</v>
      </c>
      <c r="X2" t="s">
        <v>228</v>
      </c>
      <c r="Y2" t="s">
        <v>229</v>
      </c>
      <c r="Z2" t="s">
        <v>230</v>
      </c>
    </row>
    <row r="3" spans="1:26" x14ac:dyDescent="0.25">
      <c r="A3" t="e">
        <f>#REF!</f>
        <v>#REF!</v>
      </c>
      <c r="B3" s="340" t="e">
        <f>#REF!</f>
        <v>#REF!</v>
      </c>
      <c r="C3" s="340" t="e">
        <f>#REF!</f>
        <v>#REF!</v>
      </c>
      <c r="D3" s="340" t="e">
        <f>#REF!</f>
        <v>#REF!</v>
      </c>
      <c r="E3" s="340" t="e">
        <f>#REF!</f>
        <v>#REF!</v>
      </c>
      <c r="F3" s="340" t="e">
        <f>#REF!</f>
        <v>#REF!</v>
      </c>
      <c r="G3" s="340" t="e">
        <f>#REF!</f>
        <v>#REF!</v>
      </c>
      <c r="H3" s="340" t="e">
        <f>#REF!</f>
        <v>#REF!</v>
      </c>
      <c r="J3" t="e">
        <f>#REF!</f>
        <v>#REF!</v>
      </c>
      <c r="K3" s="340" t="e">
        <f>#REF!</f>
        <v>#REF!</v>
      </c>
      <c r="L3" s="340" t="e">
        <f>#REF!</f>
        <v>#REF!</v>
      </c>
      <c r="M3" s="340" t="e">
        <f>#REF!</f>
        <v>#REF!</v>
      </c>
      <c r="N3" s="340" t="e">
        <f>#REF!</f>
        <v>#REF!</v>
      </c>
      <c r="O3" s="340" t="e">
        <f>#REF!</f>
        <v>#REF!</v>
      </c>
      <c r="P3" s="340" t="e">
        <f>#REF!</f>
        <v>#REF!</v>
      </c>
      <c r="Q3" s="340" t="e">
        <f>#REF!</f>
        <v>#REF!</v>
      </c>
      <c r="S3" s="221" t="str">
        <f>DA!B4</f>
        <v>ABDOURAMAN ALI NGAMBO</v>
      </c>
      <c r="T3" s="340" t="e">
        <f>#REF!</f>
        <v>#REF!</v>
      </c>
      <c r="U3" s="340" t="e">
        <f>#REF!</f>
        <v>#REF!</v>
      </c>
      <c r="V3" s="340" t="e">
        <f>#REF!</f>
        <v>#REF!</v>
      </c>
      <c r="W3" s="340" t="e">
        <f>#REF!</f>
        <v>#REF!</v>
      </c>
      <c r="X3" s="340" t="e">
        <f>#REF!</f>
        <v>#REF!</v>
      </c>
      <c r="Y3" s="340" t="e">
        <f>#REF!</f>
        <v>#REF!</v>
      </c>
      <c r="Z3" s="340" t="e">
        <f>#REF!</f>
        <v>#REF!</v>
      </c>
    </row>
    <row r="4" spans="1:26" x14ac:dyDescent="0.25">
      <c r="A4" t="e">
        <f>#REF!</f>
        <v>#REF!</v>
      </c>
      <c r="B4" s="340" t="e">
        <f>#REF!</f>
        <v>#REF!</v>
      </c>
      <c r="C4" s="340" t="e">
        <f>#REF!</f>
        <v>#REF!</v>
      </c>
      <c r="D4" s="340" t="e">
        <f>#REF!</f>
        <v>#REF!</v>
      </c>
      <c r="E4" s="340" t="e">
        <f>#REF!</f>
        <v>#REF!</v>
      </c>
      <c r="F4" s="340" t="e">
        <f>#REF!</f>
        <v>#REF!</v>
      </c>
      <c r="G4" s="340" t="e">
        <f>#REF!</f>
        <v>#REF!</v>
      </c>
      <c r="H4" s="340" t="e">
        <f>#REF!</f>
        <v>#REF!</v>
      </c>
      <c r="J4" t="e">
        <f>#REF!</f>
        <v>#REF!</v>
      </c>
      <c r="K4" s="340" t="e">
        <f>#REF!</f>
        <v>#REF!</v>
      </c>
      <c r="L4" s="340" t="e">
        <f>#REF!</f>
        <v>#REF!</v>
      </c>
      <c r="M4" s="340" t="e">
        <f>#REF!</f>
        <v>#REF!</v>
      </c>
      <c r="N4" s="340" t="e">
        <f>#REF!</f>
        <v>#REF!</v>
      </c>
      <c r="O4" s="340" t="e">
        <f>#REF!</f>
        <v>#REF!</v>
      </c>
      <c r="P4" s="340" t="e">
        <f>#REF!</f>
        <v>#REF!</v>
      </c>
      <c r="Q4" s="340" t="e">
        <f>#REF!</f>
        <v>#REF!</v>
      </c>
      <c r="S4" s="221" t="str">
        <f>DA!B5</f>
        <v>MANIDAH TAPIEDA LORRAINE MERVEILLE</v>
      </c>
      <c r="T4" s="340" t="e">
        <f>#REF!</f>
        <v>#REF!</v>
      </c>
      <c r="U4" s="340" t="e">
        <f>#REF!</f>
        <v>#REF!</v>
      </c>
      <c r="V4" s="340" t="e">
        <f>#REF!</f>
        <v>#REF!</v>
      </c>
      <c r="W4" s="340" t="e">
        <f>#REF!</f>
        <v>#REF!</v>
      </c>
      <c r="X4" s="340" t="e">
        <f>#REF!</f>
        <v>#REF!</v>
      </c>
      <c r="Y4" s="340" t="e">
        <f>#REF!</f>
        <v>#REF!</v>
      </c>
      <c r="Z4" s="340" t="e">
        <f>#REF!</f>
        <v>#REF!</v>
      </c>
    </row>
    <row r="5" spans="1:26" x14ac:dyDescent="0.25">
      <c r="A5" t="e">
        <f>#REF!</f>
        <v>#REF!</v>
      </c>
      <c r="B5" s="340" t="e">
        <f>#REF!</f>
        <v>#REF!</v>
      </c>
      <c r="C5" s="340" t="e">
        <f>#REF!</f>
        <v>#REF!</v>
      </c>
      <c r="D5" s="340" t="e">
        <f>#REF!</f>
        <v>#REF!</v>
      </c>
      <c r="E5" s="340" t="e">
        <f>#REF!</f>
        <v>#REF!</v>
      </c>
      <c r="F5" s="340" t="e">
        <f>#REF!</f>
        <v>#REF!</v>
      </c>
      <c r="G5" s="340" t="e">
        <f>#REF!</f>
        <v>#REF!</v>
      </c>
      <c r="H5" s="340" t="e">
        <f>#REF!</f>
        <v>#REF!</v>
      </c>
      <c r="J5" t="e">
        <f>#REF!</f>
        <v>#REF!</v>
      </c>
      <c r="K5" s="340" t="e">
        <f>#REF!</f>
        <v>#REF!</v>
      </c>
      <c r="L5" s="340" t="e">
        <f>#REF!</f>
        <v>#REF!</v>
      </c>
      <c r="M5" s="340" t="e">
        <f>#REF!</f>
        <v>#REF!</v>
      </c>
      <c r="N5" s="340" t="e">
        <f>#REF!</f>
        <v>#REF!</v>
      </c>
      <c r="O5" s="340" t="e">
        <f>#REF!</f>
        <v>#REF!</v>
      </c>
      <c r="P5" s="340" t="e">
        <f>#REF!</f>
        <v>#REF!</v>
      </c>
      <c r="Q5" s="340" t="e">
        <f>#REF!</f>
        <v>#REF!</v>
      </c>
      <c r="S5" s="221" t="str">
        <f>DA!B6</f>
        <v>ABOMO Madeleine</v>
      </c>
      <c r="T5" s="340" t="e">
        <f>#REF!</f>
        <v>#REF!</v>
      </c>
      <c r="U5" s="340" t="e">
        <f>#REF!</f>
        <v>#REF!</v>
      </c>
      <c r="V5" s="340" t="e">
        <f>#REF!</f>
        <v>#REF!</v>
      </c>
      <c r="W5" s="340" t="e">
        <f>#REF!</f>
        <v>#REF!</v>
      </c>
      <c r="X5" s="340" t="e">
        <f>#REF!</f>
        <v>#REF!</v>
      </c>
      <c r="Y5" s="340" t="e">
        <f>#REF!</f>
        <v>#REF!</v>
      </c>
      <c r="Z5" s="340" t="e">
        <f>#REF!</f>
        <v>#REF!</v>
      </c>
    </row>
    <row r="6" spans="1:26" x14ac:dyDescent="0.25">
      <c r="A6" t="e">
        <f>#REF!</f>
        <v>#REF!</v>
      </c>
      <c r="B6" s="340" t="e">
        <f>#REF!</f>
        <v>#REF!</v>
      </c>
      <c r="C6" s="340" t="e">
        <f>#REF!</f>
        <v>#REF!</v>
      </c>
      <c r="D6" s="340" t="e">
        <f>#REF!</f>
        <v>#REF!</v>
      </c>
      <c r="E6" s="340" t="e">
        <f>#REF!</f>
        <v>#REF!</v>
      </c>
      <c r="F6" s="340" t="e">
        <f>#REF!</f>
        <v>#REF!</v>
      </c>
      <c r="G6" s="340" t="e">
        <f>#REF!</f>
        <v>#REF!</v>
      </c>
      <c r="H6" s="340" t="e">
        <f>#REF!</f>
        <v>#REF!</v>
      </c>
      <c r="J6" t="e">
        <f>#REF!</f>
        <v>#REF!</v>
      </c>
      <c r="K6" s="340" t="e">
        <f>#REF!</f>
        <v>#REF!</v>
      </c>
      <c r="L6" s="340" t="e">
        <f>#REF!</f>
        <v>#REF!</v>
      </c>
      <c r="M6" s="340" t="e">
        <f>#REF!</f>
        <v>#REF!</v>
      </c>
      <c r="N6" s="340" t="e">
        <f>#REF!</f>
        <v>#REF!</v>
      </c>
      <c r="O6" s="340" t="e">
        <f>#REF!</f>
        <v>#REF!</v>
      </c>
      <c r="P6" s="340" t="e">
        <f>#REF!</f>
        <v>#REF!</v>
      </c>
      <c r="Q6" s="340" t="e">
        <f>#REF!</f>
        <v>#REF!</v>
      </c>
      <c r="S6" s="221" t="str">
        <f>DA!B7</f>
        <v>ZE DANY ROLAND</v>
      </c>
      <c r="T6" s="340" t="e">
        <f>#REF!</f>
        <v>#REF!</v>
      </c>
      <c r="U6" s="340" t="e">
        <f>#REF!</f>
        <v>#REF!</v>
      </c>
      <c r="V6" s="340" t="e">
        <f>#REF!</f>
        <v>#REF!</v>
      </c>
      <c r="W6" s="340" t="e">
        <f>#REF!</f>
        <v>#REF!</v>
      </c>
      <c r="X6" s="340" t="e">
        <f>#REF!</f>
        <v>#REF!</v>
      </c>
      <c r="Y6" s="340" t="e">
        <f>#REF!</f>
        <v>#REF!</v>
      </c>
      <c r="Z6" s="340" t="e">
        <f>#REF!</f>
        <v>#REF!</v>
      </c>
    </row>
    <row r="7" spans="1:26" x14ac:dyDescent="0.25">
      <c r="A7" t="e">
        <f>#REF!</f>
        <v>#REF!</v>
      </c>
      <c r="B7" s="340" t="e">
        <f>#REF!</f>
        <v>#REF!</v>
      </c>
      <c r="C7" s="340" t="e">
        <f>#REF!</f>
        <v>#REF!</v>
      </c>
      <c r="D7" s="340" t="e">
        <f>#REF!</f>
        <v>#REF!</v>
      </c>
      <c r="E7" s="340" t="e">
        <f>#REF!</f>
        <v>#REF!</v>
      </c>
      <c r="F7" s="340" t="e">
        <f>#REF!</f>
        <v>#REF!</v>
      </c>
      <c r="G7" s="340" t="e">
        <f>#REF!</f>
        <v>#REF!</v>
      </c>
      <c r="H7" s="340" t="e">
        <f>#REF!</f>
        <v>#REF!</v>
      </c>
      <c r="J7" t="e">
        <f>#REF!</f>
        <v>#REF!</v>
      </c>
      <c r="K7" s="340" t="e">
        <f>#REF!</f>
        <v>#REF!</v>
      </c>
      <c r="L7" s="340" t="e">
        <f>#REF!</f>
        <v>#REF!</v>
      </c>
      <c r="M7" s="340" t="e">
        <f>#REF!</f>
        <v>#REF!</v>
      </c>
      <c r="N7" s="340" t="e">
        <f>#REF!</f>
        <v>#REF!</v>
      </c>
      <c r="O7" s="340" t="e">
        <f>#REF!</f>
        <v>#REF!</v>
      </c>
      <c r="P7" s="340" t="e">
        <f>#REF!</f>
        <v>#REF!</v>
      </c>
      <c r="Q7" s="340" t="e">
        <f>#REF!</f>
        <v>#REF!</v>
      </c>
      <c r="S7" s="221" t="str">
        <f>DA!B8</f>
        <v xml:space="preserve">NYEHEG JOSE JAQUES </v>
      </c>
      <c r="T7" s="340" t="e">
        <f>#REF!</f>
        <v>#REF!</v>
      </c>
      <c r="U7" s="340" t="e">
        <f>#REF!</f>
        <v>#REF!</v>
      </c>
      <c r="V7" s="340" t="e">
        <f>#REF!</f>
        <v>#REF!</v>
      </c>
      <c r="W7" s="340" t="e">
        <f>#REF!</f>
        <v>#REF!</v>
      </c>
      <c r="X7" s="340" t="e">
        <f>#REF!</f>
        <v>#REF!</v>
      </c>
      <c r="Y7" s="340" t="e">
        <f>#REF!</f>
        <v>#REF!</v>
      </c>
      <c r="Z7" s="340" t="e">
        <f>#REF!</f>
        <v>#REF!</v>
      </c>
    </row>
    <row r="8" spans="1:26" x14ac:dyDescent="0.25">
      <c r="A8" t="e">
        <f>#REF!</f>
        <v>#REF!</v>
      </c>
      <c r="B8" s="340" t="e">
        <f>#REF!</f>
        <v>#REF!</v>
      </c>
      <c r="C8" s="340" t="e">
        <f>#REF!</f>
        <v>#REF!</v>
      </c>
      <c r="D8" s="340" t="e">
        <f>#REF!</f>
        <v>#REF!</v>
      </c>
      <c r="E8" s="340" t="e">
        <f>#REF!</f>
        <v>#REF!</v>
      </c>
      <c r="F8" s="340" t="e">
        <f>#REF!</f>
        <v>#REF!</v>
      </c>
      <c r="G8" s="340" t="e">
        <f>#REF!</f>
        <v>#REF!</v>
      </c>
      <c r="H8" s="340" t="e">
        <f>#REF!</f>
        <v>#REF!</v>
      </c>
      <c r="J8" t="e">
        <f>#REF!</f>
        <v>#REF!</v>
      </c>
      <c r="K8" s="340" t="e">
        <f>#REF!</f>
        <v>#REF!</v>
      </c>
      <c r="L8" s="340" t="e">
        <f>#REF!</f>
        <v>#REF!</v>
      </c>
      <c r="M8" s="340" t="e">
        <f>#REF!</f>
        <v>#REF!</v>
      </c>
      <c r="N8" s="340" t="e">
        <f>#REF!</f>
        <v>#REF!</v>
      </c>
      <c r="O8" s="340" t="e">
        <f>#REF!</f>
        <v>#REF!</v>
      </c>
      <c r="P8" s="340" t="e">
        <f>#REF!</f>
        <v>#REF!</v>
      </c>
      <c r="Q8" s="340" t="e">
        <f>#REF!</f>
        <v>#REF!</v>
      </c>
      <c r="S8" s="221" t="str">
        <f>DA!B9</f>
        <v>KAMNO TUENO FABIOLA BLANDINE</v>
      </c>
      <c r="T8" s="340" t="e">
        <f>#REF!</f>
        <v>#REF!</v>
      </c>
      <c r="U8" s="340" t="e">
        <f>#REF!</f>
        <v>#REF!</v>
      </c>
      <c r="V8" s="340" t="e">
        <f>#REF!</f>
        <v>#REF!</v>
      </c>
      <c r="W8" s="340" t="e">
        <f>#REF!</f>
        <v>#REF!</v>
      </c>
      <c r="X8" s="340" t="e">
        <f>#REF!</f>
        <v>#REF!</v>
      </c>
      <c r="Y8" s="340" t="e">
        <f>#REF!</f>
        <v>#REF!</v>
      </c>
      <c r="Z8" s="340" t="e">
        <f>#REF!</f>
        <v>#REF!</v>
      </c>
    </row>
    <row r="9" spans="1:26" x14ac:dyDescent="0.25">
      <c r="A9" t="e">
        <f>#REF!</f>
        <v>#REF!</v>
      </c>
      <c r="B9" s="340" t="e">
        <f>#REF!</f>
        <v>#REF!</v>
      </c>
      <c r="C9" s="340" t="e">
        <f>#REF!</f>
        <v>#REF!</v>
      </c>
      <c r="D9" s="340" t="e">
        <f>#REF!</f>
        <v>#REF!</v>
      </c>
      <c r="E9" s="340" t="e">
        <f>#REF!</f>
        <v>#REF!</v>
      </c>
      <c r="F9" s="340" t="e">
        <f>#REF!</f>
        <v>#REF!</v>
      </c>
      <c r="G9" s="340" t="e">
        <f>#REF!</f>
        <v>#REF!</v>
      </c>
      <c r="H9" s="340" t="e">
        <f>#REF!</f>
        <v>#REF!</v>
      </c>
      <c r="J9" t="e">
        <f>#REF!</f>
        <v>#REF!</v>
      </c>
      <c r="K9" s="340" t="e">
        <f>#REF!</f>
        <v>#REF!</v>
      </c>
      <c r="L9" s="340" t="e">
        <f>#REF!</f>
        <v>#REF!</v>
      </c>
      <c r="M9" s="340" t="e">
        <f>#REF!</f>
        <v>#REF!</v>
      </c>
      <c r="N9" s="340" t="e">
        <f>#REF!</f>
        <v>#REF!</v>
      </c>
      <c r="O9" s="340" t="e">
        <f>#REF!</f>
        <v>#REF!</v>
      </c>
      <c r="P9" s="340" t="e">
        <f>#REF!</f>
        <v>#REF!</v>
      </c>
      <c r="Q9" s="340" t="e">
        <f>#REF!</f>
        <v>#REF!</v>
      </c>
      <c r="S9" s="221" t="str">
        <f>DA!B10</f>
        <v>TOUPOUO CHAHAD</v>
      </c>
      <c r="T9" s="340" t="e">
        <f>#REF!</f>
        <v>#REF!</v>
      </c>
      <c r="U9" s="340" t="e">
        <f>#REF!</f>
        <v>#REF!</v>
      </c>
      <c r="V9" s="340" t="e">
        <f>#REF!</f>
        <v>#REF!</v>
      </c>
      <c r="W9" s="340" t="e">
        <f>#REF!</f>
        <v>#REF!</v>
      </c>
      <c r="X9" s="340" t="e">
        <f>#REF!</f>
        <v>#REF!</v>
      </c>
      <c r="Y9" s="340" t="e">
        <f>#REF!</f>
        <v>#REF!</v>
      </c>
      <c r="Z9" s="340" t="e">
        <f>#REF!</f>
        <v>#REF!</v>
      </c>
    </row>
    <row r="10" spans="1:26" x14ac:dyDescent="0.25">
      <c r="A10" t="e">
        <f>#REF!</f>
        <v>#REF!</v>
      </c>
      <c r="B10" s="340" t="e">
        <f>#REF!</f>
        <v>#REF!</v>
      </c>
      <c r="C10" s="340" t="e">
        <f>#REF!</f>
        <v>#REF!</v>
      </c>
      <c r="D10" s="340" t="e">
        <f>#REF!</f>
        <v>#REF!</v>
      </c>
      <c r="E10" s="340" t="e">
        <f>#REF!</f>
        <v>#REF!</v>
      </c>
      <c r="F10" s="340" t="e">
        <f>#REF!</f>
        <v>#REF!</v>
      </c>
      <c r="G10" s="340" t="e">
        <f>#REF!</f>
        <v>#REF!</v>
      </c>
      <c r="H10" s="340" t="e">
        <f>#REF!</f>
        <v>#REF!</v>
      </c>
      <c r="J10" t="e">
        <f>#REF!</f>
        <v>#REF!</v>
      </c>
      <c r="K10" s="340" t="e">
        <f>#REF!</f>
        <v>#REF!</v>
      </c>
      <c r="L10" s="340" t="e">
        <f>#REF!</f>
        <v>#REF!</v>
      </c>
      <c r="M10" s="340" t="e">
        <f>#REF!</f>
        <v>#REF!</v>
      </c>
      <c r="N10" s="340" t="e">
        <f>#REF!</f>
        <v>#REF!</v>
      </c>
      <c r="O10" s="340" t="e">
        <f>#REF!</f>
        <v>#REF!</v>
      </c>
      <c r="P10" s="340" t="e">
        <f>#REF!</f>
        <v>#REF!</v>
      </c>
      <c r="Q10" s="340" t="e">
        <f>#REF!</f>
        <v>#REF!</v>
      </c>
      <c r="S10" s="221" t="str">
        <f>DA!B11</f>
        <v>NGUEMESSI Manuella</v>
      </c>
      <c r="T10" s="340" t="e">
        <f>#REF!</f>
        <v>#REF!</v>
      </c>
      <c r="U10" s="340" t="e">
        <f>#REF!</f>
        <v>#REF!</v>
      </c>
      <c r="V10" s="340" t="e">
        <f>#REF!</f>
        <v>#REF!</v>
      </c>
      <c r="W10" s="340" t="e">
        <f>#REF!</f>
        <v>#REF!</v>
      </c>
      <c r="X10" s="340" t="e">
        <f>#REF!</f>
        <v>#REF!</v>
      </c>
      <c r="Y10" s="340" t="e">
        <f>#REF!</f>
        <v>#REF!</v>
      </c>
      <c r="Z10" s="340" t="e">
        <f>#REF!</f>
        <v>#REF!</v>
      </c>
    </row>
    <row r="11" spans="1:26" x14ac:dyDescent="0.25">
      <c r="A11" t="e">
        <f>#REF!</f>
        <v>#REF!</v>
      </c>
      <c r="B11" s="340" t="e">
        <f>#REF!</f>
        <v>#REF!</v>
      </c>
      <c r="C11" s="340" t="e">
        <f>#REF!</f>
        <v>#REF!</v>
      </c>
      <c r="D11" s="340" t="e">
        <f>#REF!</f>
        <v>#REF!</v>
      </c>
      <c r="E11" s="340" t="e">
        <f>#REF!</f>
        <v>#REF!</v>
      </c>
      <c r="F11" s="340" t="e">
        <f>#REF!</f>
        <v>#REF!</v>
      </c>
      <c r="G11" s="340" t="e">
        <f>#REF!</f>
        <v>#REF!</v>
      </c>
      <c r="H11" s="340" t="e">
        <f>#REF!</f>
        <v>#REF!</v>
      </c>
      <c r="J11" t="e">
        <f>#REF!</f>
        <v>#REF!</v>
      </c>
      <c r="K11" s="340" t="e">
        <f>#REF!</f>
        <v>#REF!</v>
      </c>
      <c r="L11" s="340" t="e">
        <f>#REF!</f>
        <v>#REF!</v>
      </c>
      <c r="M11" s="340" t="e">
        <f>#REF!</f>
        <v>#REF!</v>
      </c>
      <c r="N11" s="340" t="e">
        <f>#REF!</f>
        <v>#REF!</v>
      </c>
      <c r="O11" s="340" t="e">
        <f>#REF!</f>
        <v>#REF!</v>
      </c>
      <c r="P11" s="340" t="e">
        <f>#REF!</f>
        <v>#REF!</v>
      </c>
      <c r="Q11" s="340" t="e">
        <f>#REF!</f>
        <v>#REF!</v>
      </c>
      <c r="S11" s="221" t="str">
        <f>DA!B12</f>
        <v>KOMBOU Jose</v>
      </c>
      <c r="T11" s="340" t="e">
        <f>#REF!</f>
        <v>#REF!</v>
      </c>
      <c r="U11" s="340" t="e">
        <f>#REF!</f>
        <v>#REF!</v>
      </c>
      <c r="V11" s="340" t="e">
        <f>#REF!</f>
        <v>#REF!</v>
      </c>
      <c r="W11" s="340" t="e">
        <f>#REF!</f>
        <v>#REF!</v>
      </c>
      <c r="X11" s="340" t="e">
        <f>#REF!</f>
        <v>#REF!</v>
      </c>
      <c r="Y11" s="340" t="e">
        <f>#REF!</f>
        <v>#REF!</v>
      </c>
      <c r="Z11" s="340" t="e">
        <f>#REF!</f>
        <v>#REF!</v>
      </c>
    </row>
    <row r="12" spans="1:26" x14ac:dyDescent="0.25">
      <c r="A12" t="e">
        <f>#REF!</f>
        <v>#REF!</v>
      </c>
      <c r="B12" s="340" t="e">
        <f>#REF!</f>
        <v>#REF!</v>
      </c>
      <c r="C12" s="340" t="e">
        <f>#REF!</f>
        <v>#REF!</v>
      </c>
      <c r="D12" s="340" t="e">
        <f>#REF!</f>
        <v>#REF!</v>
      </c>
      <c r="E12" s="340" t="e">
        <f>#REF!</f>
        <v>#REF!</v>
      </c>
      <c r="F12" s="340" t="e">
        <f>#REF!</f>
        <v>#REF!</v>
      </c>
      <c r="G12" s="340" t="e">
        <f>#REF!</f>
        <v>#REF!</v>
      </c>
      <c r="H12" s="340" t="e">
        <f>#REF!</f>
        <v>#REF!</v>
      </c>
      <c r="J12" t="e">
        <f>#REF!</f>
        <v>#REF!</v>
      </c>
      <c r="K12" s="340" t="e">
        <f>#REF!</f>
        <v>#REF!</v>
      </c>
      <c r="L12" s="340" t="e">
        <f>#REF!</f>
        <v>#REF!</v>
      </c>
      <c r="M12" s="340" t="e">
        <f>#REF!</f>
        <v>#REF!</v>
      </c>
      <c r="N12" s="340" t="e">
        <f>#REF!</f>
        <v>#REF!</v>
      </c>
      <c r="O12" s="340" t="e">
        <f>#REF!</f>
        <v>#REF!</v>
      </c>
      <c r="P12" s="340" t="e">
        <f>#REF!</f>
        <v>#REF!</v>
      </c>
      <c r="Q12" s="340" t="e">
        <f>#REF!</f>
        <v>#REF!</v>
      </c>
      <c r="S12" s="221" t="str">
        <f>DA!B13</f>
        <v xml:space="preserve">MAMA EBODE BERNADETTE </v>
      </c>
      <c r="T12" s="340" t="e">
        <f>#REF!</f>
        <v>#REF!</v>
      </c>
      <c r="U12" s="340" t="e">
        <f>#REF!</f>
        <v>#REF!</v>
      </c>
      <c r="V12" s="340" t="e">
        <f>#REF!</f>
        <v>#REF!</v>
      </c>
      <c r="W12" s="340" t="e">
        <f>#REF!</f>
        <v>#REF!</v>
      </c>
      <c r="X12" s="340" t="e">
        <f>#REF!</f>
        <v>#REF!</v>
      </c>
      <c r="Y12" s="340" t="e">
        <f>#REF!</f>
        <v>#REF!</v>
      </c>
      <c r="Z12" s="340" t="e">
        <f>#REF!</f>
        <v>#REF!</v>
      </c>
    </row>
    <row r="13" spans="1:26" x14ac:dyDescent="0.25">
      <c r="A13" t="e">
        <f>#REF!</f>
        <v>#REF!</v>
      </c>
      <c r="B13" s="340" t="e">
        <f>#REF!</f>
        <v>#REF!</v>
      </c>
      <c r="C13" s="340" t="e">
        <f>#REF!</f>
        <v>#REF!</v>
      </c>
      <c r="D13" s="340" t="e">
        <f>#REF!</f>
        <v>#REF!</v>
      </c>
      <c r="E13" s="340" t="e">
        <f>#REF!</f>
        <v>#REF!</v>
      </c>
      <c r="F13" s="340" t="e">
        <f>#REF!</f>
        <v>#REF!</v>
      </c>
      <c r="G13" s="340" t="e">
        <f>#REF!</f>
        <v>#REF!</v>
      </c>
      <c r="H13" s="340" t="e">
        <f>#REF!</f>
        <v>#REF!</v>
      </c>
      <c r="J13" t="e">
        <f>#REF!</f>
        <v>#REF!</v>
      </c>
      <c r="K13" s="340" t="e">
        <f>#REF!</f>
        <v>#REF!</v>
      </c>
      <c r="L13" s="340" t="e">
        <f>#REF!</f>
        <v>#REF!</v>
      </c>
      <c r="M13" s="340" t="e">
        <f>#REF!</f>
        <v>#REF!</v>
      </c>
      <c r="N13" s="340" t="e">
        <f>#REF!</f>
        <v>#REF!</v>
      </c>
      <c r="O13" s="340" t="e">
        <f>#REF!</f>
        <v>#REF!</v>
      </c>
      <c r="P13" s="340" t="e">
        <f>#REF!</f>
        <v>#REF!</v>
      </c>
      <c r="Q13" s="340" t="e">
        <f>#REF!</f>
        <v>#REF!</v>
      </c>
      <c r="S13" s="221" t="str">
        <f>DA!B14</f>
        <v>MEBOUET KUATE ANNE PATRICIA</v>
      </c>
      <c r="T13" s="340" t="e">
        <f>#REF!</f>
        <v>#REF!</v>
      </c>
      <c r="U13" s="340" t="e">
        <f>#REF!</f>
        <v>#REF!</v>
      </c>
      <c r="V13" s="340" t="e">
        <f>#REF!</f>
        <v>#REF!</v>
      </c>
      <c r="W13" s="340" t="e">
        <f>#REF!</f>
        <v>#REF!</v>
      </c>
      <c r="X13" s="340" t="e">
        <f>#REF!</f>
        <v>#REF!</v>
      </c>
      <c r="Y13" s="340" t="e">
        <f>#REF!</f>
        <v>#REF!</v>
      </c>
      <c r="Z13" s="340" t="e">
        <f>#REF!</f>
        <v>#REF!</v>
      </c>
    </row>
    <row r="14" spans="1:26" x14ac:dyDescent="0.25">
      <c r="A14" t="e">
        <f>#REF!</f>
        <v>#REF!</v>
      </c>
      <c r="B14" s="340" t="e">
        <f>#REF!</f>
        <v>#REF!</v>
      </c>
      <c r="C14" s="340" t="e">
        <f>#REF!</f>
        <v>#REF!</v>
      </c>
      <c r="D14" s="340" t="e">
        <f>#REF!</f>
        <v>#REF!</v>
      </c>
      <c r="E14" s="340" t="e">
        <f>#REF!</f>
        <v>#REF!</v>
      </c>
      <c r="F14" s="340" t="e">
        <f>#REF!</f>
        <v>#REF!</v>
      </c>
      <c r="G14" s="340" t="e">
        <f>#REF!</f>
        <v>#REF!</v>
      </c>
      <c r="H14" s="340" t="e">
        <f>#REF!</f>
        <v>#REF!</v>
      </c>
      <c r="J14" t="e">
        <f>#REF!</f>
        <v>#REF!</v>
      </c>
      <c r="K14" s="340" t="e">
        <f>#REF!</f>
        <v>#REF!</v>
      </c>
      <c r="L14" s="340" t="e">
        <f>#REF!</f>
        <v>#REF!</v>
      </c>
      <c r="M14" s="340" t="e">
        <f>#REF!</f>
        <v>#REF!</v>
      </c>
      <c r="N14" s="340" t="e">
        <f>#REF!</f>
        <v>#REF!</v>
      </c>
      <c r="O14" s="340" t="e">
        <f>#REF!</f>
        <v>#REF!</v>
      </c>
      <c r="P14" s="340" t="e">
        <f>#REF!</f>
        <v>#REF!</v>
      </c>
      <c r="Q14" s="340" t="e">
        <f>#REF!</f>
        <v>#REF!</v>
      </c>
      <c r="S14" s="221" t="str">
        <f>DA!B15</f>
        <v>NGOUGOURE ALASA Aminatou</v>
      </c>
      <c r="T14" s="340" t="e">
        <f>#REF!</f>
        <v>#REF!</v>
      </c>
      <c r="U14" s="340" t="e">
        <f>#REF!</f>
        <v>#REF!</v>
      </c>
      <c r="V14" s="340" t="e">
        <f>#REF!</f>
        <v>#REF!</v>
      </c>
      <c r="W14" s="340" t="e">
        <f>#REF!</f>
        <v>#REF!</v>
      </c>
      <c r="X14" s="340" t="e">
        <f>#REF!</f>
        <v>#REF!</v>
      </c>
      <c r="Y14" s="340" t="e">
        <f>#REF!</f>
        <v>#REF!</v>
      </c>
      <c r="Z14" s="340" t="e">
        <f>#REF!</f>
        <v>#REF!</v>
      </c>
    </row>
    <row r="15" spans="1:26" x14ac:dyDescent="0.25">
      <c r="A15" t="e">
        <f>#REF!</f>
        <v>#REF!</v>
      </c>
      <c r="B15" s="340" t="e">
        <f>#REF!</f>
        <v>#REF!</v>
      </c>
      <c r="C15" s="340" t="e">
        <f>#REF!</f>
        <v>#REF!</v>
      </c>
      <c r="D15" s="340" t="e">
        <f>#REF!</f>
        <v>#REF!</v>
      </c>
      <c r="E15" s="340" t="e">
        <f>#REF!</f>
        <v>#REF!</v>
      </c>
      <c r="F15" s="340" t="e">
        <f>#REF!</f>
        <v>#REF!</v>
      </c>
      <c r="G15" s="340" t="e">
        <f>#REF!</f>
        <v>#REF!</v>
      </c>
      <c r="H15" s="340" t="e">
        <f>#REF!</f>
        <v>#REF!</v>
      </c>
      <c r="J15" t="e">
        <f>#REF!</f>
        <v>#REF!</v>
      </c>
      <c r="K15" s="340" t="e">
        <f>#REF!</f>
        <v>#REF!</v>
      </c>
      <c r="L15" s="340" t="e">
        <f>#REF!</f>
        <v>#REF!</v>
      </c>
      <c r="M15" s="340" t="e">
        <f>#REF!</f>
        <v>#REF!</v>
      </c>
      <c r="N15" s="340" t="e">
        <f>#REF!</f>
        <v>#REF!</v>
      </c>
      <c r="O15" s="340" t="e">
        <f>#REF!</f>
        <v>#REF!</v>
      </c>
      <c r="P15" s="340" t="e">
        <f>#REF!</f>
        <v>#REF!</v>
      </c>
      <c r="Q15" s="340" t="e">
        <f>#REF!</f>
        <v>#REF!</v>
      </c>
      <c r="S15" s="221" t="str">
        <f>DA!B16</f>
        <v>TEUKAM MBATKAM SYLVIE</v>
      </c>
      <c r="T15" s="340" t="e">
        <f>#REF!</f>
        <v>#REF!</v>
      </c>
      <c r="U15" s="340" t="e">
        <f>#REF!</f>
        <v>#REF!</v>
      </c>
      <c r="V15" s="340" t="e">
        <f>#REF!</f>
        <v>#REF!</v>
      </c>
      <c r="W15" s="340" t="e">
        <f>#REF!</f>
        <v>#REF!</v>
      </c>
      <c r="X15" s="340" t="e">
        <f>#REF!</f>
        <v>#REF!</v>
      </c>
      <c r="Y15" s="340" t="e">
        <f>#REF!</f>
        <v>#REF!</v>
      </c>
      <c r="Z15" s="340" t="e">
        <f>#REF!</f>
        <v>#REF!</v>
      </c>
    </row>
    <row r="16" spans="1:26" x14ac:dyDescent="0.25">
      <c r="A16" t="e">
        <f>#REF!</f>
        <v>#REF!</v>
      </c>
      <c r="B16" s="340" t="e">
        <f>#REF!</f>
        <v>#REF!</v>
      </c>
      <c r="C16" s="340" t="e">
        <f>#REF!</f>
        <v>#REF!</v>
      </c>
      <c r="D16" s="340" t="e">
        <f>#REF!</f>
        <v>#REF!</v>
      </c>
      <c r="E16" s="340" t="e">
        <f>#REF!</f>
        <v>#REF!</v>
      </c>
      <c r="F16" s="340" t="e">
        <f>#REF!</f>
        <v>#REF!</v>
      </c>
      <c r="G16" s="340" t="e">
        <f>#REF!</f>
        <v>#REF!</v>
      </c>
      <c r="H16" s="340" t="e">
        <f>#REF!</f>
        <v>#REF!</v>
      </c>
      <c r="J16" t="e">
        <f>#REF!</f>
        <v>#REF!</v>
      </c>
      <c r="K16" s="340" t="e">
        <f>#REF!</f>
        <v>#REF!</v>
      </c>
      <c r="L16" s="340" t="e">
        <f>#REF!</f>
        <v>#REF!</v>
      </c>
      <c r="M16" s="340" t="e">
        <f>#REF!</f>
        <v>#REF!</v>
      </c>
      <c r="N16" s="340" t="e">
        <f>#REF!</f>
        <v>#REF!</v>
      </c>
      <c r="O16" s="340" t="e">
        <f>#REF!</f>
        <v>#REF!</v>
      </c>
      <c r="P16" s="340" t="e">
        <f>#REF!</f>
        <v>#REF!</v>
      </c>
      <c r="Q16" s="340" t="e">
        <f>#REF!</f>
        <v>#REF!</v>
      </c>
      <c r="S16" s="221" t="str">
        <f>DA!B17</f>
        <v>GUEBU ESTHER CRISTELLE</v>
      </c>
      <c r="T16" s="340" t="e">
        <f>#REF!</f>
        <v>#REF!</v>
      </c>
      <c r="U16" s="340" t="e">
        <f>#REF!</f>
        <v>#REF!</v>
      </c>
      <c r="V16" s="340" t="e">
        <f>#REF!</f>
        <v>#REF!</v>
      </c>
      <c r="W16" s="340" t="e">
        <f>#REF!</f>
        <v>#REF!</v>
      </c>
      <c r="X16" s="340" t="e">
        <f>#REF!</f>
        <v>#REF!</v>
      </c>
      <c r="Y16" s="340" t="e">
        <f>#REF!</f>
        <v>#REF!</v>
      </c>
      <c r="Z16" s="340" t="e">
        <f>#REF!</f>
        <v>#REF!</v>
      </c>
    </row>
    <row r="17" spans="1:26" x14ac:dyDescent="0.25">
      <c r="A17" t="e">
        <f>#REF!</f>
        <v>#REF!</v>
      </c>
      <c r="B17" s="340" t="e">
        <f>#REF!</f>
        <v>#REF!</v>
      </c>
      <c r="C17" s="340" t="e">
        <f>#REF!</f>
        <v>#REF!</v>
      </c>
      <c r="D17" s="340" t="e">
        <f>#REF!</f>
        <v>#REF!</v>
      </c>
      <c r="E17" s="340" t="e">
        <f>#REF!</f>
        <v>#REF!</v>
      </c>
      <c r="F17" s="340" t="e">
        <f>#REF!</f>
        <v>#REF!</v>
      </c>
      <c r="G17" s="340" t="e">
        <f>#REF!</f>
        <v>#REF!</v>
      </c>
      <c r="H17" s="340" t="e">
        <f>#REF!</f>
        <v>#REF!</v>
      </c>
      <c r="J17" t="e">
        <f>#REF!</f>
        <v>#REF!</v>
      </c>
      <c r="K17" s="340" t="e">
        <f>#REF!</f>
        <v>#REF!</v>
      </c>
      <c r="L17" s="340" t="e">
        <f>#REF!</f>
        <v>#REF!</v>
      </c>
      <c r="M17" s="340" t="e">
        <f>#REF!</f>
        <v>#REF!</v>
      </c>
      <c r="N17" s="340" t="e">
        <f>#REF!</f>
        <v>#REF!</v>
      </c>
      <c r="O17" s="340" t="e">
        <f>#REF!</f>
        <v>#REF!</v>
      </c>
      <c r="P17" s="340" t="e">
        <f>#REF!</f>
        <v>#REF!</v>
      </c>
      <c r="Q17" s="340" t="e">
        <f>#REF!</f>
        <v>#REF!</v>
      </c>
      <c r="S17" s="221" t="str">
        <f>DA!B18</f>
        <v>NNOMO Frida</v>
      </c>
      <c r="T17" s="340" t="e">
        <f>#REF!</f>
        <v>#REF!</v>
      </c>
      <c r="U17" s="340" t="e">
        <f>#REF!</f>
        <v>#REF!</v>
      </c>
      <c r="V17" s="340" t="e">
        <f>#REF!</f>
        <v>#REF!</v>
      </c>
      <c r="W17" s="340" t="e">
        <f>#REF!</f>
        <v>#REF!</v>
      </c>
      <c r="X17" s="340" t="e">
        <f>#REF!</f>
        <v>#REF!</v>
      </c>
      <c r="Y17" s="340" t="e">
        <f>#REF!</f>
        <v>#REF!</v>
      </c>
      <c r="Z17" s="340" t="e">
        <f>#REF!</f>
        <v>#REF!</v>
      </c>
    </row>
    <row r="18" spans="1:26" x14ac:dyDescent="0.25">
      <c r="A18" t="e">
        <f>#REF!</f>
        <v>#REF!</v>
      </c>
      <c r="B18" s="340" t="e">
        <f>#REF!</f>
        <v>#REF!</v>
      </c>
      <c r="C18" s="340" t="e">
        <f>#REF!</f>
        <v>#REF!</v>
      </c>
      <c r="D18" s="340" t="e">
        <f>#REF!</f>
        <v>#REF!</v>
      </c>
      <c r="E18" s="340" t="e">
        <f>#REF!</f>
        <v>#REF!</v>
      </c>
      <c r="F18" s="340" t="e">
        <f>#REF!</f>
        <v>#REF!</v>
      </c>
      <c r="G18" s="340" t="e">
        <f>#REF!</f>
        <v>#REF!</v>
      </c>
      <c r="H18" s="340" t="e">
        <f>#REF!</f>
        <v>#REF!</v>
      </c>
      <c r="J18" t="e">
        <f>#REF!</f>
        <v>#REF!</v>
      </c>
      <c r="K18" s="340" t="e">
        <f>#REF!</f>
        <v>#REF!</v>
      </c>
      <c r="L18" s="340" t="e">
        <f>#REF!</f>
        <v>#REF!</v>
      </c>
      <c r="M18" s="340" t="e">
        <f>#REF!</f>
        <v>#REF!</v>
      </c>
      <c r="N18" s="340" t="e">
        <f>#REF!</f>
        <v>#REF!</v>
      </c>
      <c r="O18" s="340" t="e">
        <f>#REF!</f>
        <v>#REF!</v>
      </c>
      <c r="P18" s="340" t="e">
        <f>#REF!</f>
        <v>#REF!</v>
      </c>
      <c r="Q18" s="340" t="e">
        <f>#REF!</f>
        <v>#REF!</v>
      </c>
      <c r="S18" s="221" t="str">
        <f>DA!B19</f>
        <v>TAINGO, Chinaze</v>
      </c>
      <c r="T18" s="340" t="e">
        <f>#REF!</f>
        <v>#REF!</v>
      </c>
      <c r="U18" s="340" t="e">
        <f>#REF!</f>
        <v>#REF!</v>
      </c>
      <c r="V18" s="340" t="e">
        <f>#REF!</f>
        <v>#REF!</v>
      </c>
      <c r="W18" s="340" t="e">
        <f>#REF!</f>
        <v>#REF!</v>
      </c>
      <c r="X18" s="340" t="e">
        <f>#REF!</f>
        <v>#REF!</v>
      </c>
      <c r="Y18" s="340" t="e">
        <f>#REF!</f>
        <v>#REF!</v>
      </c>
      <c r="Z18" s="340" t="e">
        <f>#REF!</f>
        <v>#REF!</v>
      </c>
    </row>
    <row r="19" spans="1:26" x14ac:dyDescent="0.25">
      <c r="A19" t="e">
        <f>#REF!</f>
        <v>#REF!</v>
      </c>
      <c r="B19" s="340" t="e">
        <f>#REF!</f>
        <v>#REF!</v>
      </c>
      <c r="C19" s="340" t="e">
        <f>#REF!</f>
        <v>#REF!</v>
      </c>
      <c r="D19" s="340" t="e">
        <f>#REF!</f>
        <v>#REF!</v>
      </c>
      <c r="E19" s="340" t="e">
        <f>#REF!</f>
        <v>#REF!</v>
      </c>
      <c r="F19" s="340" t="e">
        <f>#REF!</f>
        <v>#REF!</v>
      </c>
      <c r="G19" s="340" t="e">
        <f>#REF!</f>
        <v>#REF!</v>
      </c>
      <c r="H19" s="340" t="e">
        <f>#REF!</f>
        <v>#REF!</v>
      </c>
      <c r="J19" t="e">
        <f>#REF!</f>
        <v>#REF!</v>
      </c>
      <c r="K19" s="340" t="e">
        <f>#REF!</f>
        <v>#REF!</v>
      </c>
      <c r="L19" s="340" t="e">
        <f>#REF!</f>
        <v>#REF!</v>
      </c>
      <c r="M19" s="340" t="e">
        <f>#REF!</f>
        <v>#REF!</v>
      </c>
      <c r="N19" s="340" t="e">
        <f>#REF!</f>
        <v>#REF!</v>
      </c>
      <c r="O19" s="340" t="e">
        <f>#REF!</f>
        <v>#REF!</v>
      </c>
      <c r="P19" s="340" t="e">
        <f>#REF!</f>
        <v>#REF!</v>
      </c>
      <c r="Q19" s="340" t="e">
        <f>#REF!</f>
        <v>#REF!</v>
      </c>
      <c r="S19" s="221" t="str">
        <f>DA!B20</f>
        <v>Germaine Merveille NGASSA MVOGO</v>
      </c>
      <c r="T19" s="340" t="e">
        <f>#REF!</f>
        <v>#REF!</v>
      </c>
      <c r="U19" s="340" t="e">
        <f>#REF!</f>
        <v>#REF!</v>
      </c>
      <c r="V19" s="340" t="e">
        <f>#REF!</f>
        <v>#REF!</v>
      </c>
      <c r="W19" s="340" t="e">
        <f>#REF!</f>
        <v>#REF!</v>
      </c>
      <c r="X19" s="340" t="e">
        <f>#REF!</f>
        <v>#REF!</v>
      </c>
      <c r="Y19" s="340" t="e">
        <f>#REF!</f>
        <v>#REF!</v>
      </c>
      <c r="Z19" s="340" t="e">
        <f>#REF!</f>
        <v>#REF!</v>
      </c>
    </row>
    <row r="20" spans="1:26" x14ac:dyDescent="0.25">
      <c r="A20" t="e">
        <f>#REF!</f>
        <v>#REF!</v>
      </c>
      <c r="B20" s="340" t="e">
        <f>#REF!</f>
        <v>#REF!</v>
      </c>
      <c r="C20" s="340" t="e">
        <f>#REF!</f>
        <v>#REF!</v>
      </c>
      <c r="D20" s="340" t="e">
        <f>#REF!</f>
        <v>#REF!</v>
      </c>
      <c r="E20" s="340" t="e">
        <f>#REF!</f>
        <v>#REF!</v>
      </c>
      <c r="F20" s="340" t="e">
        <f>#REF!</f>
        <v>#REF!</v>
      </c>
      <c r="G20" s="340" t="e">
        <f>#REF!</f>
        <v>#REF!</v>
      </c>
      <c r="H20" s="340" t="e">
        <f>#REF!</f>
        <v>#REF!</v>
      </c>
      <c r="J20" t="e">
        <f>#REF!</f>
        <v>#REF!</v>
      </c>
      <c r="K20" s="340" t="e">
        <f>#REF!</f>
        <v>#REF!</v>
      </c>
      <c r="L20" s="340" t="e">
        <f>#REF!</f>
        <v>#REF!</v>
      </c>
      <c r="M20" s="340" t="e">
        <f>#REF!</f>
        <v>#REF!</v>
      </c>
      <c r="N20" s="340" t="e">
        <f>#REF!</f>
        <v>#REF!</v>
      </c>
      <c r="O20" s="340" t="e">
        <f>#REF!</f>
        <v>#REF!</v>
      </c>
      <c r="P20" s="340" t="e">
        <f>#REF!</f>
        <v>#REF!</v>
      </c>
      <c r="Q20" s="340" t="e">
        <f>#REF!</f>
        <v>#REF!</v>
      </c>
      <c r="S20" s="221" t="str">
        <f>DA!B21</f>
        <v>GUIADEM MURIELLE SONIA</v>
      </c>
      <c r="T20" s="340" t="e">
        <f>#REF!</f>
        <v>#REF!</v>
      </c>
      <c r="U20" s="340" t="e">
        <f>#REF!</f>
        <v>#REF!</v>
      </c>
      <c r="V20" s="340" t="e">
        <f>#REF!</f>
        <v>#REF!</v>
      </c>
      <c r="W20" s="340" t="e">
        <f>#REF!</f>
        <v>#REF!</v>
      </c>
      <c r="X20" s="340" t="e">
        <f>#REF!</f>
        <v>#REF!</v>
      </c>
      <c r="Y20" s="340" t="e">
        <f>#REF!</f>
        <v>#REF!</v>
      </c>
      <c r="Z20" s="340" t="e">
        <f>#REF!</f>
        <v>#REF!</v>
      </c>
    </row>
    <row r="21" spans="1:26" x14ac:dyDescent="0.25">
      <c r="A21" t="e">
        <f>#REF!</f>
        <v>#REF!</v>
      </c>
      <c r="B21" s="340" t="e">
        <f>#REF!</f>
        <v>#REF!</v>
      </c>
      <c r="C21" s="340" t="e">
        <f>#REF!</f>
        <v>#REF!</v>
      </c>
      <c r="D21" s="340" t="e">
        <f>#REF!</f>
        <v>#REF!</v>
      </c>
      <c r="E21" s="340" t="e">
        <f>#REF!</f>
        <v>#REF!</v>
      </c>
      <c r="F21" s="340" t="e">
        <f>#REF!</f>
        <v>#REF!</v>
      </c>
      <c r="G21" s="340" t="e">
        <f>#REF!</f>
        <v>#REF!</v>
      </c>
      <c r="H21" s="340" t="e">
        <f>#REF!</f>
        <v>#REF!</v>
      </c>
      <c r="J21" t="e">
        <f>#REF!</f>
        <v>#REF!</v>
      </c>
      <c r="K21" s="340" t="e">
        <f>#REF!</f>
        <v>#REF!</v>
      </c>
      <c r="L21" s="340" t="e">
        <f>#REF!</f>
        <v>#REF!</v>
      </c>
      <c r="M21" s="340" t="e">
        <f>#REF!</f>
        <v>#REF!</v>
      </c>
      <c r="N21" s="340" t="e">
        <f>#REF!</f>
        <v>#REF!</v>
      </c>
      <c r="O21" s="340" t="e">
        <f>#REF!</f>
        <v>#REF!</v>
      </c>
      <c r="P21" s="340" t="e">
        <f>#REF!</f>
        <v>#REF!</v>
      </c>
      <c r="Q21" s="340" t="e">
        <f>#REF!</f>
        <v>#REF!</v>
      </c>
      <c r="S21" s="221" t="str">
        <f>DA!B22</f>
        <v>MVIE AHANDA ELIE SIMON PIERRE</v>
      </c>
      <c r="T21" s="340" t="e">
        <f>#REF!</f>
        <v>#REF!</v>
      </c>
      <c r="U21" s="340" t="e">
        <f>#REF!</f>
        <v>#REF!</v>
      </c>
      <c r="V21" s="340" t="e">
        <f>#REF!</f>
        <v>#REF!</v>
      </c>
      <c r="W21" s="340" t="e">
        <f>#REF!</f>
        <v>#REF!</v>
      </c>
      <c r="X21" s="340" t="e">
        <f>#REF!</f>
        <v>#REF!</v>
      </c>
      <c r="Y21" s="340" t="e">
        <f>#REF!</f>
        <v>#REF!</v>
      </c>
      <c r="Z21" s="340" t="e">
        <f>#REF!</f>
        <v>#REF!</v>
      </c>
    </row>
    <row r="22" spans="1:26" x14ac:dyDescent="0.25">
      <c r="A22" t="e">
        <f>#REF!</f>
        <v>#REF!</v>
      </c>
      <c r="B22" s="340" t="e">
        <f>#REF!</f>
        <v>#REF!</v>
      </c>
      <c r="C22" s="340" t="e">
        <f>#REF!</f>
        <v>#REF!</v>
      </c>
      <c r="D22" s="340" t="e">
        <f>#REF!</f>
        <v>#REF!</v>
      </c>
      <c r="E22" s="340" t="e">
        <f>#REF!</f>
        <v>#REF!</v>
      </c>
      <c r="F22" s="340" t="e">
        <f>#REF!</f>
        <v>#REF!</v>
      </c>
      <c r="G22" s="340" t="e">
        <f>#REF!</f>
        <v>#REF!</v>
      </c>
      <c r="H22" s="340" t="e">
        <f>#REF!</f>
        <v>#REF!</v>
      </c>
      <c r="J22" t="e">
        <f>#REF!</f>
        <v>#REF!</v>
      </c>
      <c r="K22" s="340" t="e">
        <f>#REF!</f>
        <v>#REF!</v>
      </c>
      <c r="L22" s="340" t="e">
        <f>#REF!</f>
        <v>#REF!</v>
      </c>
      <c r="M22" s="340" t="e">
        <f>#REF!</f>
        <v>#REF!</v>
      </c>
      <c r="N22" s="340" t="e">
        <f>#REF!</f>
        <v>#REF!</v>
      </c>
      <c r="O22" s="340" t="e">
        <f>#REF!</f>
        <v>#REF!</v>
      </c>
      <c r="P22" s="340" t="e">
        <f>#REF!</f>
        <v>#REF!</v>
      </c>
      <c r="Q22" s="340" t="e">
        <f>#REF!</f>
        <v>#REF!</v>
      </c>
      <c r="S22" s="221" t="str">
        <f>DA!B23</f>
        <v>NGUIMTSA Lauyick</v>
      </c>
      <c r="T22" s="340" t="e">
        <f>#REF!</f>
        <v>#REF!</v>
      </c>
      <c r="U22" s="340" t="e">
        <f>#REF!</f>
        <v>#REF!</v>
      </c>
      <c r="V22" s="340" t="e">
        <f>#REF!</f>
        <v>#REF!</v>
      </c>
      <c r="W22" s="340" t="e">
        <f>#REF!</f>
        <v>#REF!</v>
      </c>
      <c r="X22" s="340" t="e">
        <f>#REF!</f>
        <v>#REF!</v>
      </c>
      <c r="Y22" s="340" t="e">
        <f>#REF!</f>
        <v>#REF!</v>
      </c>
      <c r="Z22" s="340" t="e">
        <f>#REF!</f>
        <v>#REF!</v>
      </c>
    </row>
    <row r="23" spans="1:26" x14ac:dyDescent="0.25">
      <c r="A23" t="e">
        <f>#REF!</f>
        <v>#REF!</v>
      </c>
      <c r="B23" s="340" t="e">
        <f>#REF!</f>
        <v>#REF!</v>
      </c>
      <c r="C23" s="340" t="e">
        <f>#REF!</f>
        <v>#REF!</v>
      </c>
      <c r="D23" s="340" t="e">
        <f>#REF!</f>
        <v>#REF!</v>
      </c>
      <c r="E23" s="340" t="e">
        <f>#REF!</f>
        <v>#REF!</v>
      </c>
      <c r="F23" s="340" t="e">
        <f>#REF!</f>
        <v>#REF!</v>
      </c>
      <c r="G23" s="340" t="e">
        <f>#REF!</f>
        <v>#REF!</v>
      </c>
      <c r="H23" s="340" t="e">
        <f>#REF!</f>
        <v>#REF!</v>
      </c>
      <c r="J23" t="e">
        <f>#REF!</f>
        <v>#REF!</v>
      </c>
      <c r="K23" s="340" t="e">
        <f>#REF!</f>
        <v>#REF!</v>
      </c>
      <c r="L23" s="340" t="e">
        <f>#REF!</f>
        <v>#REF!</v>
      </c>
      <c r="M23" s="340" t="e">
        <f>#REF!</f>
        <v>#REF!</v>
      </c>
      <c r="N23" s="340" t="e">
        <f>#REF!</f>
        <v>#REF!</v>
      </c>
      <c r="O23" s="340" t="e">
        <f>#REF!</f>
        <v>#REF!</v>
      </c>
      <c r="P23" s="340" t="e">
        <f>#REF!</f>
        <v>#REF!</v>
      </c>
      <c r="Q23" s="340" t="e">
        <f>#REF!</f>
        <v>#REF!</v>
      </c>
      <c r="S23" s="221" t="str">
        <f>DA!B24</f>
        <v xml:space="preserve">DJOBOM VATSOU WILLIAM VICTOR </v>
      </c>
      <c r="T23" s="340" t="e">
        <f>#REF!</f>
        <v>#REF!</v>
      </c>
      <c r="U23" s="340" t="e">
        <f>#REF!</f>
        <v>#REF!</v>
      </c>
      <c r="V23" s="340" t="e">
        <f>#REF!</f>
        <v>#REF!</v>
      </c>
      <c r="W23" s="340" t="e">
        <f>#REF!</f>
        <v>#REF!</v>
      </c>
      <c r="X23" s="340" t="e">
        <f>#REF!</f>
        <v>#REF!</v>
      </c>
      <c r="Y23" s="340" t="e">
        <f>#REF!</f>
        <v>#REF!</v>
      </c>
      <c r="Z23" s="340" t="e">
        <f>#REF!</f>
        <v>#REF!</v>
      </c>
    </row>
    <row r="24" spans="1:26" x14ac:dyDescent="0.25">
      <c r="A24" t="e">
        <f>#REF!</f>
        <v>#REF!</v>
      </c>
      <c r="B24" s="340" t="e">
        <f>#REF!</f>
        <v>#REF!</v>
      </c>
      <c r="C24" s="340" t="e">
        <f>#REF!</f>
        <v>#REF!</v>
      </c>
      <c r="D24" s="340" t="e">
        <f>#REF!</f>
        <v>#REF!</v>
      </c>
      <c r="E24" s="340" t="e">
        <f>#REF!</f>
        <v>#REF!</v>
      </c>
      <c r="F24" s="340" t="e">
        <f>#REF!</f>
        <v>#REF!</v>
      </c>
      <c r="G24" s="340" t="e">
        <f>#REF!</f>
        <v>#REF!</v>
      </c>
      <c r="H24" s="340" t="e">
        <f>#REF!</f>
        <v>#REF!</v>
      </c>
      <c r="J24" t="e">
        <f>#REF!</f>
        <v>#REF!</v>
      </c>
      <c r="K24" s="340" t="e">
        <f>#REF!</f>
        <v>#REF!</v>
      </c>
      <c r="L24" s="340" t="e">
        <f>#REF!</f>
        <v>#REF!</v>
      </c>
      <c r="M24" s="340" t="e">
        <f>#REF!</f>
        <v>#REF!</v>
      </c>
      <c r="N24" s="340" t="e">
        <f>#REF!</f>
        <v>#REF!</v>
      </c>
      <c r="O24" s="340" t="e">
        <f>#REF!</f>
        <v>#REF!</v>
      </c>
      <c r="P24" s="340" t="e">
        <f>#REF!</f>
        <v>#REF!</v>
      </c>
      <c r="Q24" s="340" t="e">
        <f>#REF!</f>
        <v>#REF!</v>
      </c>
      <c r="S24" s="221" t="str">
        <f>DA!B25</f>
        <v>MBOLE ZO'OBO GAELLE</v>
      </c>
      <c r="T24" s="340" t="e">
        <f>#REF!</f>
        <v>#REF!</v>
      </c>
      <c r="U24" s="340" t="e">
        <f>#REF!</f>
        <v>#REF!</v>
      </c>
      <c r="V24" s="340" t="e">
        <f>#REF!</f>
        <v>#REF!</v>
      </c>
      <c r="W24" s="340" t="e">
        <f>#REF!</f>
        <v>#REF!</v>
      </c>
      <c r="X24" s="340" t="e">
        <f>#REF!</f>
        <v>#REF!</v>
      </c>
      <c r="Y24" s="340" t="e">
        <f>#REF!</f>
        <v>#REF!</v>
      </c>
      <c r="Z24" s="340" t="e">
        <f>#REF!</f>
        <v>#REF!</v>
      </c>
    </row>
    <row r="25" spans="1:26" x14ac:dyDescent="0.25">
      <c r="A25" t="e">
        <f>#REF!</f>
        <v>#REF!</v>
      </c>
      <c r="B25" s="340" t="e">
        <f>#REF!</f>
        <v>#REF!</v>
      </c>
      <c r="C25" s="340" t="e">
        <f>#REF!</f>
        <v>#REF!</v>
      </c>
      <c r="D25" s="340" t="e">
        <f>#REF!</f>
        <v>#REF!</v>
      </c>
      <c r="E25" s="340" t="e">
        <f>#REF!</f>
        <v>#REF!</v>
      </c>
      <c r="F25" s="340" t="e">
        <f>#REF!</f>
        <v>#REF!</v>
      </c>
      <c r="G25" s="340" t="e">
        <f>#REF!</f>
        <v>#REF!</v>
      </c>
      <c r="H25" s="340" t="e">
        <f>#REF!</f>
        <v>#REF!</v>
      </c>
      <c r="J25" t="e">
        <f>#REF!</f>
        <v>#REF!</v>
      </c>
      <c r="K25" s="340" t="e">
        <f>#REF!</f>
        <v>#REF!</v>
      </c>
      <c r="L25" s="340" t="e">
        <f>#REF!</f>
        <v>#REF!</v>
      </c>
      <c r="M25" s="340" t="e">
        <f>#REF!</f>
        <v>#REF!</v>
      </c>
      <c r="N25" s="340" t="e">
        <f>#REF!</f>
        <v>#REF!</v>
      </c>
      <c r="O25" s="340" t="e">
        <f>#REF!</f>
        <v>#REF!</v>
      </c>
      <c r="P25" s="340" t="e">
        <f>#REF!</f>
        <v>#REF!</v>
      </c>
      <c r="Q25" s="340" t="e">
        <f>#REF!</f>
        <v>#REF!</v>
      </c>
      <c r="S25" s="221" t="str">
        <f>DA!B26</f>
        <v>CORSOL MARIE MICHELLE</v>
      </c>
      <c r="T25" s="340" t="e">
        <f>#REF!</f>
        <v>#REF!</v>
      </c>
      <c r="U25" s="340" t="e">
        <f>#REF!</f>
        <v>#REF!</v>
      </c>
      <c r="V25" s="340" t="e">
        <f>#REF!</f>
        <v>#REF!</v>
      </c>
      <c r="W25" s="340" t="e">
        <f>#REF!</f>
        <v>#REF!</v>
      </c>
      <c r="X25" s="340" t="e">
        <f>#REF!</f>
        <v>#REF!</v>
      </c>
      <c r="Y25" s="340" t="e">
        <f>#REF!</f>
        <v>#REF!</v>
      </c>
      <c r="Z25" s="340" t="e">
        <f>#REF!</f>
        <v>#REF!</v>
      </c>
    </row>
    <row r="26" spans="1:26" x14ac:dyDescent="0.25">
      <c r="A26" t="e">
        <f>#REF!</f>
        <v>#REF!</v>
      </c>
      <c r="B26" s="340" t="e">
        <f>#REF!</f>
        <v>#REF!</v>
      </c>
      <c r="C26" s="340" t="e">
        <f>#REF!</f>
        <v>#REF!</v>
      </c>
      <c r="D26" s="340" t="e">
        <f>#REF!</f>
        <v>#REF!</v>
      </c>
      <c r="E26" s="340" t="e">
        <f>#REF!</f>
        <v>#REF!</v>
      </c>
      <c r="F26" s="340" t="e">
        <f>#REF!</f>
        <v>#REF!</v>
      </c>
      <c r="G26" s="340" t="e">
        <f>#REF!</f>
        <v>#REF!</v>
      </c>
      <c r="H26" s="340" t="e">
        <f>#REF!</f>
        <v>#REF!</v>
      </c>
      <c r="J26" t="e">
        <f>#REF!</f>
        <v>#REF!</v>
      </c>
      <c r="K26" s="340" t="e">
        <f>#REF!</f>
        <v>#REF!</v>
      </c>
      <c r="L26" s="340" t="e">
        <f>#REF!</f>
        <v>#REF!</v>
      </c>
      <c r="M26" s="340" t="e">
        <f>#REF!</f>
        <v>#REF!</v>
      </c>
      <c r="N26" s="340" t="e">
        <f>#REF!</f>
        <v>#REF!</v>
      </c>
      <c r="O26" s="340" t="e">
        <f>#REF!</f>
        <v>#REF!</v>
      </c>
      <c r="P26" s="340" t="e">
        <f>#REF!</f>
        <v>#REF!</v>
      </c>
      <c r="Q26" s="340" t="e">
        <f>#REF!</f>
        <v>#REF!</v>
      </c>
      <c r="S26" s="221" t="str">
        <f>DA!B27</f>
        <v>NGUE OND MARIE GRACE</v>
      </c>
      <c r="T26" s="340" t="e">
        <f>#REF!</f>
        <v>#REF!</v>
      </c>
      <c r="U26" s="340" t="e">
        <f>#REF!</f>
        <v>#REF!</v>
      </c>
      <c r="V26" s="340" t="e">
        <f>#REF!</f>
        <v>#REF!</v>
      </c>
      <c r="W26" s="340" t="e">
        <f>#REF!</f>
        <v>#REF!</v>
      </c>
      <c r="X26" s="340" t="e">
        <f>#REF!</f>
        <v>#REF!</v>
      </c>
      <c r="Y26" s="340" t="e">
        <f>#REF!</f>
        <v>#REF!</v>
      </c>
      <c r="Z26" s="340" t="e">
        <f>#REF!</f>
        <v>#REF!</v>
      </c>
    </row>
    <row r="27" spans="1:26" x14ac:dyDescent="0.25">
      <c r="A27" t="e">
        <f>#REF!</f>
        <v>#REF!</v>
      </c>
      <c r="B27" s="340" t="e">
        <f>#REF!</f>
        <v>#REF!</v>
      </c>
      <c r="C27" s="340" t="e">
        <f>#REF!</f>
        <v>#REF!</v>
      </c>
      <c r="D27" s="340" t="e">
        <f>#REF!</f>
        <v>#REF!</v>
      </c>
      <c r="E27" s="340" t="e">
        <f>#REF!</f>
        <v>#REF!</v>
      </c>
      <c r="F27" s="340" t="e">
        <f>#REF!</f>
        <v>#REF!</v>
      </c>
      <c r="G27" s="340" t="e">
        <f>#REF!</f>
        <v>#REF!</v>
      </c>
      <c r="H27" s="340" t="e">
        <f>#REF!</f>
        <v>#REF!</v>
      </c>
      <c r="J27" t="e">
        <f>#REF!</f>
        <v>#REF!</v>
      </c>
      <c r="K27" s="340" t="e">
        <f>#REF!</f>
        <v>#REF!</v>
      </c>
      <c r="L27" s="340" t="e">
        <f>#REF!</f>
        <v>#REF!</v>
      </c>
      <c r="M27" s="340" t="e">
        <f>#REF!</f>
        <v>#REF!</v>
      </c>
      <c r="N27" s="340" t="e">
        <f>#REF!</f>
        <v>#REF!</v>
      </c>
      <c r="O27" s="340" t="e">
        <f>#REF!</f>
        <v>#REF!</v>
      </c>
      <c r="P27" s="340" t="e">
        <f>#REF!</f>
        <v>#REF!</v>
      </c>
      <c r="Q27" s="340" t="e">
        <f>#REF!</f>
        <v>#REF!</v>
      </c>
      <c r="S27" s="221" t="str">
        <f>DA!B28</f>
        <v xml:space="preserve">NGONO NKOA Sonia Gernique </v>
      </c>
      <c r="T27" s="340" t="e">
        <f>#REF!</f>
        <v>#REF!</v>
      </c>
      <c r="U27" s="340" t="e">
        <f>#REF!</f>
        <v>#REF!</v>
      </c>
      <c r="V27" s="340" t="e">
        <f>#REF!</f>
        <v>#REF!</v>
      </c>
      <c r="W27" s="340" t="e">
        <f>#REF!</f>
        <v>#REF!</v>
      </c>
      <c r="X27" s="340" t="e">
        <f>#REF!</f>
        <v>#REF!</v>
      </c>
      <c r="Y27" s="340" t="e">
        <f>#REF!</f>
        <v>#REF!</v>
      </c>
      <c r="Z27" s="340" t="e">
        <f>#REF!</f>
        <v>#REF!</v>
      </c>
    </row>
    <row r="28" spans="1:26" x14ac:dyDescent="0.25">
      <c r="A28" t="e">
        <f>#REF!</f>
        <v>#REF!</v>
      </c>
      <c r="B28" s="340" t="e">
        <f>#REF!</f>
        <v>#REF!</v>
      </c>
      <c r="C28" s="340" t="e">
        <f>#REF!</f>
        <v>#REF!</v>
      </c>
      <c r="D28" s="340" t="e">
        <f>#REF!</f>
        <v>#REF!</v>
      </c>
      <c r="E28" s="340" t="e">
        <f>#REF!</f>
        <v>#REF!</v>
      </c>
      <c r="F28" s="340" t="e">
        <f>#REF!</f>
        <v>#REF!</v>
      </c>
      <c r="G28" s="340" t="e">
        <f>#REF!</f>
        <v>#REF!</v>
      </c>
      <c r="H28" s="340" t="e">
        <f>#REF!</f>
        <v>#REF!</v>
      </c>
      <c r="J28" t="e">
        <f>#REF!</f>
        <v>#REF!</v>
      </c>
      <c r="K28" s="340" t="e">
        <f>#REF!</f>
        <v>#REF!</v>
      </c>
      <c r="L28" s="340" t="e">
        <f>#REF!</f>
        <v>#REF!</v>
      </c>
      <c r="M28" s="340" t="e">
        <f>#REF!</f>
        <v>#REF!</v>
      </c>
      <c r="N28" s="340" t="e">
        <f>#REF!</f>
        <v>#REF!</v>
      </c>
      <c r="O28" s="340" t="e">
        <f>#REF!</f>
        <v>#REF!</v>
      </c>
      <c r="P28" s="340" t="e">
        <f>#REF!</f>
        <v>#REF!</v>
      </c>
      <c r="Q28" s="340" t="e">
        <f>#REF!</f>
        <v>#REF!</v>
      </c>
      <c r="S28" s="221" t="str">
        <f>DA!B29</f>
        <v>NKOUAMBIA Joel</v>
      </c>
      <c r="T28" s="340" t="e">
        <f>#REF!</f>
        <v>#REF!</v>
      </c>
      <c r="U28" s="340" t="e">
        <f>#REF!</f>
        <v>#REF!</v>
      </c>
      <c r="V28" s="340" t="e">
        <f>#REF!</f>
        <v>#REF!</v>
      </c>
      <c r="W28" s="340" t="e">
        <f>#REF!</f>
        <v>#REF!</v>
      </c>
      <c r="X28" s="340" t="e">
        <f>#REF!</f>
        <v>#REF!</v>
      </c>
      <c r="Y28" s="340" t="e">
        <f>#REF!</f>
        <v>#REF!</v>
      </c>
      <c r="Z28" s="340" t="e">
        <f>#REF!</f>
        <v>#REF!</v>
      </c>
    </row>
    <row r="29" spans="1:26" x14ac:dyDescent="0.25">
      <c r="A29" t="e">
        <f>#REF!</f>
        <v>#REF!</v>
      </c>
      <c r="B29" s="340" t="e">
        <f>#REF!</f>
        <v>#REF!</v>
      </c>
      <c r="C29" s="340" t="e">
        <f>#REF!</f>
        <v>#REF!</v>
      </c>
      <c r="D29" s="340" t="e">
        <f>#REF!</f>
        <v>#REF!</v>
      </c>
      <c r="E29" s="340" t="e">
        <f>#REF!</f>
        <v>#REF!</v>
      </c>
      <c r="F29" s="340" t="e">
        <f>#REF!</f>
        <v>#REF!</v>
      </c>
      <c r="G29" s="340" t="e">
        <f>#REF!</f>
        <v>#REF!</v>
      </c>
      <c r="H29" s="340" t="e">
        <f>#REF!</f>
        <v>#REF!</v>
      </c>
      <c r="J29" t="e">
        <f>#REF!</f>
        <v>#REF!</v>
      </c>
      <c r="K29" s="340" t="e">
        <f>#REF!</f>
        <v>#REF!</v>
      </c>
      <c r="L29" s="340" t="e">
        <f>#REF!</f>
        <v>#REF!</v>
      </c>
      <c r="M29" s="340" t="e">
        <f>#REF!</f>
        <v>#REF!</v>
      </c>
      <c r="N29" s="340" t="e">
        <f>#REF!</f>
        <v>#REF!</v>
      </c>
      <c r="O29" s="340" t="e">
        <f>#REF!</f>
        <v>#REF!</v>
      </c>
      <c r="P29" s="340" t="e">
        <f>#REF!</f>
        <v>#REF!</v>
      </c>
      <c r="Q29" s="340" t="e">
        <f>#REF!</f>
        <v>#REF!</v>
      </c>
      <c r="S29" s="221" t="str">
        <f>DA!B30</f>
        <v>NKOULOU ENYEGUE SAMIRA MAZARINE</v>
      </c>
      <c r="T29" s="340" t="e">
        <f>#REF!</f>
        <v>#REF!</v>
      </c>
      <c r="U29" s="340" t="e">
        <f>#REF!</f>
        <v>#REF!</v>
      </c>
      <c r="V29" s="340" t="e">
        <f>#REF!</f>
        <v>#REF!</v>
      </c>
      <c r="W29" s="340" t="e">
        <f>#REF!</f>
        <v>#REF!</v>
      </c>
      <c r="X29" s="340" t="e">
        <f>#REF!</f>
        <v>#REF!</v>
      </c>
      <c r="Y29" s="340" t="e">
        <f>#REF!</f>
        <v>#REF!</v>
      </c>
      <c r="Z29" s="340" t="e">
        <f>#REF!</f>
        <v>#REF!</v>
      </c>
    </row>
    <row r="30" spans="1:26" x14ac:dyDescent="0.25">
      <c r="A30" t="e">
        <f>#REF!</f>
        <v>#REF!</v>
      </c>
      <c r="B30" s="340" t="e">
        <f>#REF!</f>
        <v>#REF!</v>
      </c>
      <c r="C30" s="340" t="e">
        <f>#REF!</f>
        <v>#REF!</v>
      </c>
      <c r="D30" s="340" t="e">
        <f>#REF!</f>
        <v>#REF!</v>
      </c>
      <c r="E30" s="340" t="e">
        <f>#REF!</f>
        <v>#REF!</v>
      </c>
      <c r="F30" s="340" t="e">
        <f>#REF!</f>
        <v>#REF!</v>
      </c>
      <c r="G30" s="340" t="e">
        <f>#REF!</f>
        <v>#REF!</v>
      </c>
      <c r="H30" s="340" t="e">
        <f>#REF!</f>
        <v>#REF!</v>
      </c>
      <c r="J30" t="e">
        <f>#REF!</f>
        <v>#REF!</v>
      </c>
      <c r="K30" s="340" t="e">
        <f>#REF!</f>
        <v>#REF!</v>
      </c>
      <c r="L30" s="340" t="e">
        <f>#REF!</f>
        <v>#REF!</v>
      </c>
      <c r="M30" s="340" t="e">
        <f>#REF!</f>
        <v>#REF!</v>
      </c>
      <c r="N30" s="340" t="e">
        <f>#REF!</f>
        <v>#REF!</v>
      </c>
      <c r="O30" s="340" t="e">
        <f>#REF!</f>
        <v>#REF!</v>
      </c>
      <c r="P30" s="340" t="e">
        <f>#REF!</f>
        <v>#REF!</v>
      </c>
      <c r="Q30" s="340" t="e">
        <f>#REF!</f>
        <v>#REF!</v>
      </c>
      <c r="S30" s="221" t="str">
        <f>DA!B31</f>
        <v xml:space="preserve">NONO Michelle Dariah </v>
      </c>
      <c r="T30" s="340" t="e">
        <f>#REF!</f>
        <v>#REF!</v>
      </c>
      <c r="U30" s="340" t="e">
        <f>#REF!</f>
        <v>#REF!</v>
      </c>
      <c r="V30" s="340" t="e">
        <f>#REF!</f>
        <v>#REF!</v>
      </c>
      <c r="W30" s="340" t="e">
        <f>#REF!</f>
        <v>#REF!</v>
      </c>
      <c r="X30" s="340" t="e">
        <f>#REF!</f>
        <v>#REF!</v>
      </c>
      <c r="Y30" s="340" t="e">
        <f>#REF!</f>
        <v>#REF!</v>
      </c>
      <c r="Z30" s="340" t="e">
        <f>#REF!</f>
        <v>#REF!</v>
      </c>
    </row>
    <row r="31" spans="1:26" x14ac:dyDescent="0.25">
      <c r="A31" t="e">
        <f>#REF!</f>
        <v>#REF!</v>
      </c>
      <c r="B31" s="340" t="e">
        <f>#REF!</f>
        <v>#REF!</v>
      </c>
      <c r="C31" s="340" t="e">
        <f>#REF!</f>
        <v>#REF!</v>
      </c>
      <c r="D31" s="340" t="e">
        <f>#REF!</f>
        <v>#REF!</v>
      </c>
      <c r="E31" s="340" t="e">
        <f>#REF!</f>
        <v>#REF!</v>
      </c>
      <c r="F31" s="340" t="e">
        <f>#REF!</f>
        <v>#REF!</v>
      </c>
      <c r="G31" s="340" t="e">
        <f>#REF!</f>
        <v>#REF!</v>
      </c>
      <c r="H31" s="340" t="e">
        <f>#REF!</f>
        <v>#REF!</v>
      </c>
      <c r="J31" t="e">
        <f>#REF!</f>
        <v>#REF!</v>
      </c>
      <c r="K31" s="340" t="e">
        <f>#REF!</f>
        <v>#REF!</v>
      </c>
      <c r="L31" s="340" t="e">
        <f>#REF!</f>
        <v>#REF!</v>
      </c>
      <c r="M31" s="340" t="e">
        <f>#REF!</f>
        <v>#REF!</v>
      </c>
      <c r="N31" s="340" t="e">
        <f>#REF!</f>
        <v>#REF!</v>
      </c>
      <c r="O31" s="340" t="e">
        <f>#REF!</f>
        <v>#REF!</v>
      </c>
      <c r="P31" s="340" t="e">
        <f>#REF!</f>
        <v>#REF!</v>
      </c>
      <c r="Q31" s="340" t="e">
        <f>#REF!</f>
        <v>#REF!</v>
      </c>
      <c r="S31" s="221" t="str">
        <f>DA!B32</f>
        <v>DONFACK, MAMANFO BLANDINE</v>
      </c>
      <c r="T31" s="340" t="e">
        <f>#REF!</f>
        <v>#REF!</v>
      </c>
      <c r="U31" s="340" t="e">
        <f>#REF!</f>
        <v>#REF!</v>
      </c>
      <c r="V31" s="340" t="e">
        <f>#REF!</f>
        <v>#REF!</v>
      </c>
      <c r="W31" s="340" t="e">
        <f>#REF!</f>
        <v>#REF!</v>
      </c>
      <c r="X31" s="340" t="e">
        <f>#REF!</f>
        <v>#REF!</v>
      </c>
      <c r="Y31" s="340" t="e">
        <f>#REF!</f>
        <v>#REF!</v>
      </c>
      <c r="Z31" s="340" t="e">
        <f>#REF!</f>
        <v>#REF!</v>
      </c>
    </row>
    <row r="32" spans="1:26" x14ac:dyDescent="0.25">
      <c r="A32" t="e">
        <f>#REF!</f>
        <v>#REF!</v>
      </c>
      <c r="B32" s="340" t="e">
        <f>#REF!</f>
        <v>#REF!</v>
      </c>
      <c r="C32" s="340" t="e">
        <f>#REF!</f>
        <v>#REF!</v>
      </c>
      <c r="D32" s="340" t="e">
        <f>#REF!</f>
        <v>#REF!</v>
      </c>
      <c r="E32" s="340" t="e">
        <f>#REF!</f>
        <v>#REF!</v>
      </c>
      <c r="F32" s="340" t="e">
        <f>#REF!</f>
        <v>#REF!</v>
      </c>
      <c r="G32" s="340" t="e">
        <f>#REF!</f>
        <v>#REF!</v>
      </c>
      <c r="H32" s="340" t="e">
        <f>#REF!</f>
        <v>#REF!</v>
      </c>
      <c r="J32" t="e">
        <f>#REF!</f>
        <v>#REF!</v>
      </c>
      <c r="K32" s="340" t="e">
        <f>#REF!</f>
        <v>#REF!</v>
      </c>
      <c r="L32" s="340" t="e">
        <f>#REF!</f>
        <v>#REF!</v>
      </c>
      <c r="M32" s="340" t="e">
        <f>#REF!</f>
        <v>#REF!</v>
      </c>
      <c r="N32" s="340" t="e">
        <f>#REF!</f>
        <v>#REF!</v>
      </c>
      <c r="O32" s="340" t="e">
        <f>#REF!</f>
        <v>#REF!</v>
      </c>
      <c r="P32" s="340" t="e">
        <f>#REF!</f>
        <v>#REF!</v>
      </c>
      <c r="Q32" s="340" t="e">
        <f>#REF!</f>
        <v>#REF!</v>
      </c>
      <c r="S32" s="221" t="str">
        <f>DA!B33</f>
        <v>EYINGA AKAME VERANNE MERVEILLE SOLEIL</v>
      </c>
      <c r="T32" s="340" t="e">
        <f>#REF!</f>
        <v>#REF!</v>
      </c>
      <c r="U32" s="340" t="e">
        <f>#REF!</f>
        <v>#REF!</v>
      </c>
      <c r="V32" s="340" t="e">
        <f>#REF!</f>
        <v>#REF!</v>
      </c>
      <c r="W32" s="340" t="e">
        <f>#REF!</f>
        <v>#REF!</v>
      </c>
      <c r="X32" s="340" t="e">
        <f>#REF!</f>
        <v>#REF!</v>
      </c>
      <c r="Y32" s="340" t="e">
        <f>#REF!</f>
        <v>#REF!</v>
      </c>
      <c r="Z32" s="340" t="e">
        <f>#REF!</f>
        <v>#REF!</v>
      </c>
    </row>
    <row r="33" spans="1:26" x14ac:dyDescent="0.25">
      <c r="A33" t="e">
        <f>#REF!</f>
        <v>#REF!</v>
      </c>
      <c r="B33" s="340" t="e">
        <f>#REF!</f>
        <v>#REF!</v>
      </c>
      <c r="C33" s="340" t="e">
        <f>#REF!</f>
        <v>#REF!</v>
      </c>
      <c r="D33" s="340" t="e">
        <f>#REF!</f>
        <v>#REF!</v>
      </c>
      <c r="E33" s="340" t="e">
        <f>#REF!</f>
        <v>#REF!</v>
      </c>
      <c r="F33" s="340" t="e">
        <f>#REF!</f>
        <v>#REF!</v>
      </c>
      <c r="G33" s="340" t="e">
        <f>#REF!</f>
        <v>#REF!</v>
      </c>
      <c r="H33" s="340" t="e">
        <f>#REF!</f>
        <v>#REF!</v>
      </c>
      <c r="J33" t="e">
        <f>#REF!</f>
        <v>#REF!</v>
      </c>
      <c r="K33" s="340" t="e">
        <f>#REF!</f>
        <v>#REF!</v>
      </c>
      <c r="L33" s="340" t="e">
        <f>#REF!</f>
        <v>#REF!</v>
      </c>
      <c r="M33" s="340" t="e">
        <f>#REF!</f>
        <v>#REF!</v>
      </c>
      <c r="N33" s="340" t="e">
        <f>#REF!</f>
        <v>#REF!</v>
      </c>
      <c r="O33" s="340" t="e">
        <f>#REF!</f>
        <v>#REF!</v>
      </c>
      <c r="P33" s="340" t="e">
        <f>#REF!</f>
        <v>#REF!</v>
      </c>
      <c r="Q33" s="340" t="e">
        <f>#REF!</f>
        <v>#REF!</v>
      </c>
      <c r="S33" s="221" t="str">
        <f>DA!B34</f>
        <v>NANA SIME DIANE ASTRIDE</v>
      </c>
      <c r="T33" s="340" t="e">
        <f>#REF!</f>
        <v>#REF!</v>
      </c>
      <c r="U33" s="340" t="e">
        <f>#REF!</f>
        <v>#REF!</v>
      </c>
      <c r="V33" s="340" t="e">
        <f>#REF!</f>
        <v>#REF!</v>
      </c>
      <c r="W33" s="340" t="e">
        <f>#REF!</f>
        <v>#REF!</v>
      </c>
      <c r="X33" s="340" t="e">
        <f>#REF!</f>
        <v>#REF!</v>
      </c>
      <c r="Y33" s="340" t="e">
        <f>#REF!</f>
        <v>#REF!</v>
      </c>
      <c r="Z33" s="340" t="e">
        <f>#REF!</f>
        <v>#REF!</v>
      </c>
    </row>
    <row r="34" spans="1:26" x14ac:dyDescent="0.25">
      <c r="A34" t="e">
        <f>#REF!</f>
        <v>#REF!</v>
      </c>
      <c r="B34" s="340" t="e">
        <f>#REF!</f>
        <v>#REF!</v>
      </c>
      <c r="C34" s="340" t="e">
        <f>#REF!</f>
        <v>#REF!</v>
      </c>
      <c r="D34" s="340" t="e">
        <f>#REF!</f>
        <v>#REF!</v>
      </c>
      <c r="E34" s="340" t="e">
        <f>#REF!</f>
        <v>#REF!</v>
      </c>
      <c r="F34" s="340" t="e">
        <f>#REF!</f>
        <v>#REF!</v>
      </c>
      <c r="G34" s="340" t="e">
        <f>#REF!</f>
        <v>#REF!</v>
      </c>
      <c r="H34" s="340" t="e">
        <f>#REF!</f>
        <v>#REF!</v>
      </c>
      <c r="J34" t="e">
        <f>#REF!</f>
        <v>#REF!</v>
      </c>
      <c r="K34" s="340" t="e">
        <f>#REF!</f>
        <v>#REF!</v>
      </c>
      <c r="L34" s="340" t="e">
        <f>#REF!</f>
        <v>#REF!</v>
      </c>
      <c r="M34" s="340" t="e">
        <f>#REF!</f>
        <v>#REF!</v>
      </c>
      <c r="N34" s="340" t="e">
        <f>#REF!</f>
        <v>#REF!</v>
      </c>
      <c r="O34" s="340" t="e">
        <f>#REF!</f>
        <v>#REF!</v>
      </c>
      <c r="P34" s="340" t="e">
        <f>#REF!</f>
        <v>#REF!</v>
      </c>
      <c r="Q34" s="340" t="e">
        <f>#REF!</f>
        <v>#REF!</v>
      </c>
      <c r="S34" s="221" t="str">
        <f>DA!B35</f>
        <v>EKODO AKONO ARSENE MERCIER</v>
      </c>
      <c r="T34" s="340" t="e">
        <f>#REF!</f>
        <v>#REF!</v>
      </c>
      <c r="U34" s="340" t="e">
        <f>#REF!</f>
        <v>#REF!</v>
      </c>
      <c r="V34" s="340" t="e">
        <f>#REF!</f>
        <v>#REF!</v>
      </c>
      <c r="W34" s="340" t="e">
        <f>#REF!</f>
        <v>#REF!</v>
      </c>
      <c r="X34" s="340" t="e">
        <f>#REF!</f>
        <v>#REF!</v>
      </c>
      <c r="Y34" s="340" t="e">
        <f>#REF!</f>
        <v>#REF!</v>
      </c>
      <c r="Z34" s="340" t="e">
        <f>#REF!</f>
        <v>#REF!</v>
      </c>
    </row>
    <row r="35" spans="1:26" x14ac:dyDescent="0.25">
      <c r="A35" t="e">
        <f>#REF!</f>
        <v>#REF!</v>
      </c>
      <c r="B35" s="340" t="e">
        <f>#REF!</f>
        <v>#REF!</v>
      </c>
      <c r="C35" s="340" t="e">
        <f>#REF!</f>
        <v>#REF!</v>
      </c>
      <c r="D35" s="340" t="e">
        <f>#REF!</f>
        <v>#REF!</v>
      </c>
      <c r="E35" s="340" t="e">
        <f>#REF!</f>
        <v>#REF!</v>
      </c>
      <c r="F35" s="340" t="e">
        <f>#REF!</f>
        <v>#REF!</v>
      </c>
      <c r="G35" s="340" t="e">
        <f>#REF!</f>
        <v>#REF!</v>
      </c>
      <c r="H35" s="340" t="e">
        <f>#REF!</f>
        <v>#REF!</v>
      </c>
      <c r="J35" t="e">
        <f>#REF!</f>
        <v>#REF!</v>
      </c>
      <c r="K35" s="340" t="e">
        <f>#REF!</f>
        <v>#REF!</v>
      </c>
      <c r="L35" s="340" t="e">
        <f>#REF!</f>
        <v>#REF!</v>
      </c>
      <c r="M35" s="340" t="e">
        <f>#REF!</f>
        <v>#REF!</v>
      </c>
      <c r="N35" s="340" t="e">
        <f>#REF!</f>
        <v>#REF!</v>
      </c>
      <c r="O35" s="340" t="e">
        <f>#REF!</f>
        <v>#REF!</v>
      </c>
      <c r="P35" s="340" t="e">
        <f>#REF!</f>
        <v>#REF!</v>
      </c>
      <c r="Q35" s="340" t="e">
        <f>#REF!</f>
        <v>#REF!</v>
      </c>
      <c r="S35" s="221" t="str">
        <f>DA!B36</f>
        <v>SIMEU SIMPLICE JOSEPH</v>
      </c>
      <c r="T35" s="340" t="e">
        <f>#REF!</f>
        <v>#REF!</v>
      </c>
      <c r="U35" s="340" t="e">
        <f>#REF!</f>
        <v>#REF!</v>
      </c>
      <c r="V35" s="340" t="e">
        <f>#REF!</f>
        <v>#REF!</v>
      </c>
      <c r="W35" s="340" t="e">
        <f>#REF!</f>
        <v>#REF!</v>
      </c>
      <c r="X35" s="340" t="e">
        <f>#REF!</f>
        <v>#REF!</v>
      </c>
      <c r="Y35" s="340" t="e">
        <f>#REF!</f>
        <v>#REF!</v>
      </c>
      <c r="Z35" s="340" t="e">
        <f>#REF!</f>
        <v>#REF!</v>
      </c>
    </row>
    <row r="36" spans="1:26" x14ac:dyDescent="0.25">
      <c r="A36" t="e">
        <f>#REF!</f>
        <v>#REF!</v>
      </c>
      <c r="B36" s="340" t="e">
        <f>#REF!</f>
        <v>#REF!</v>
      </c>
      <c r="C36" s="340" t="e">
        <f>#REF!</f>
        <v>#REF!</v>
      </c>
      <c r="D36" s="340" t="e">
        <f>#REF!</f>
        <v>#REF!</v>
      </c>
      <c r="E36" s="340" t="e">
        <f>#REF!</f>
        <v>#REF!</v>
      </c>
      <c r="F36" s="340" t="e">
        <f>#REF!</f>
        <v>#REF!</v>
      </c>
      <c r="G36" s="340" t="e">
        <f>#REF!</f>
        <v>#REF!</v>
      </c>
      <c r="H36" s="340" t="e">
        <f>#REF!</f>
        <v>#REF!</v>
      </c>
      <c r="J36" t="e">
        <f>#REF!</f>
        <v>#REF!</v>
      </c>
      <c r="K36" s="340" t="e">
        <f>#REF!</f>
        <v>#REF!</v>
      </c>
      <c r="L36" s="340" t="e">
        <f>#REF!</f>
        <v>#REF!</v>
      </c>
      <c r="M36" s="340" t="e">
        <f>#REF!</f>
        <v>#REF!</v>
      </c>
      <c r="N36" s="340" t="e">
        <f>#REF!</f>
        <v>#REF!</v>
      </c>
      <c r="O36" s="340" t="e">
        <f>#REF!</f>
        <v>#REF!</v>
      </c>
      <c r="P36" s="340" t="e">
        <f>#REF!</f>
        <v>#REF!</v>
      </c>
      <c r="Q36" s="340" t="e">
        <f>#REF!</f>
        <v>#REF!</v>
      </c>
      <c r="S36" s="221">
        <f>DA!B37</f>
        <v>0</v>
      </c>
      <c r="T36" s="340" t="e">
        <f>#REF!</f>
        <v>#REF!</v>
      </c>
      <c r="U36" s="340" t="e">
        <f>#REF!</f>
        <v>#REF!</v>
      </c>
      <c r="V36" s="340" t="e">
        <f>#REF!</f>
        <v>#REF!</v>
      </c>
      <c r="W36" s="340" t="e">
        <f>#REF!</f>
        <v>#REF!</v>
      </c>
      <c r="X36" s="340" t="e">
        <f>#REF!</f>
        <v>#REF!</v>
      </c>
      <c r="Y36" s="340" t="e">
        <f>#REF!</f>
        <v>#REF!</v>
      </c>
      <c r="Z36" s="340" t="e">
        <f>#REF!</f>
        <v>#REF!</v>
      </c>
    </row>
    <row r="37" spans="1:26" x14ac:dyDescent="0.25">
      <c r="A37" t="e">
        <f>#REF!</f>
        <v>#REF!</v>
      </c>
      <c r="B37" s="340" t="e">
        <f>#REF!</f>
        <v>#REF!</v>
      </c>
      <c r="C37" s="340" t="e">
        <f>#REF!</f>
        <v>#REF!</v>
      </c>
      <c r="D37" s="340" t="e">
        <f>#REF!</f>
        <v>#REF!</v>
      </c>
      <c r="E37" s="340" t="e">
        <f>#REF!</f>
        <v>#REF!</v>
      </c>
      <c r="F37" s="340" t="e">
        <f>#REF!</f>
        <v>#REF!</v>
      </c>
      <c r="G37" s="340" t="e">
        <f>#REF!</f>
        <v>#REF!</v>
      </c>
      <c r="H37" s="340" t="e">
        <f>#REF!</f>
        <v>#REF!</v>
      </c>
      <c r="J37" t="e">
        <f>#REF!</f>
        <v>#REF!</v>
      </c>
      <c r="K37" s="340" t="e">
        <f>#REF!</f>
        <v>#REF!</v>
      </c>
      <c r="L37" s="340" t="e">
        <f>#REF!</f>
        <v>#REF!</v>
      </c>
      <c r="M37" s="340" t="e">
        <f>#REF!</f>
        <v>#REF!</v>
      </c>
      <c r="N37" s="340" t="e">
        <f>#REF!</f>
        <v>#REF!</v>
      </c>
      <c r="O37" s="340" t="e">
        <f>#REF!</f>
        <v>#REF!</v>
      </c>
      <c r="P37" s="340" t="e">
        <f>#REF!</f>
        <v>#REF!</v>
      </c>
      <c r="Q37" s="340" t="e">
        <f>#REF!</f>
        <v>#REF!</v>
      </c>
      <c r="S37" s="221">
        <f>DA!B38</f>
        <v>0</v>
      </c>
      <c r="T37" s="340" t="e">
        <f>#REF!</f>
        <v>#REF!</v>
      </c>
      <c r="U37" s="340" t="e">
        <f>#REF!</f>
        <v>#REF!</v>
      </c>
      <c r="V37" s="340" t="e">
        <f>#REF!</f>
        <v>#REF!</v>
      </c>
      <c r="W37" s="340" t="e">
        <f>#REF!</f>
        <v>#REF!</v>
      </c>
      <c r="X37" s="340" t="e">
        <f>#REF!</f>
        <v>#REF!</v>
      </c>
      <c r="Y37" s="340" t="e">
        <f>#REF!</f>
        <v>#REF!</v>
      </c>
      <c r="Z37" s="340" t="e">
        <f>#REF!</f>
        <v>#REF!</v>
      </c>
    </row>
    <row r="38" spans="1:26" x14ac:dyDescent="0.25">
      <c r="A38" t="e">
        <f>#REF!</f>
        <v>#REF!</v>
      </c>
      <c r="B38" s="340" t="e">
        <f>#REF!</f>
        <v>#REF!</v>
      </c>
      <c r="C38" s="340" t="e">
        <f>#REF!</f>
        <v>#REF!</v>
      </c>
      <c r="D38" s="340" t="e">
        <f>#REF!</f>
        <v>#REF!</v>
      </c>
      <c r="E38" s="340" t="e">
        <f>#REF!</f>
        <v>#REF!</v>
      </c>
      <c r="F38" s="340" t="e">
        <f>#REF!</f>
        <v>#REF!</v>
      </c>
      <c r="G38" s="340" t="e">
        <f>#REF!</f>
        <v>#REF!</v>
      </c>
      <c r="H38" s="340" t="e">
        <f>#REF!</f>
        <v>#REF!</v>
      </c>
      <c r="J38" t="e">
        <f>#REF!</f>
        <v>#REF!</v>
      </c>
      <c r="K38" s="340" t="e">
        <f>#REF!</f>
        <v>#REF!</v>
      </c>
      <c r="L38" s="340" t="e">
        <f>#REF!</f>
        <v>#REF!</v>
      </c>
      <c r="M38" s="340" t="e">
        <f>#REF!</f>
        <v>#REF!</v>
      </c>
      <c r="N38" s="340" t="e">
        <f>#REF!</f>
        <v>#REF!</v>
      </c>
      <c r="O38" s="340" t="e">
        <f>#REF!</f>
        <v>#REF!</v>
      </c>
      <c r="P38" s="340" t="e">
        <f>#REF!</f>
        <v>#REF!</v>
      </c>
      <c r="Q38" s="340" t="e">
        <f>#REF!</f>
        <v>#REF!</v>
      </c>
      <c r="S38" s="221">
        <f>DA!B39</f>
        <v>0</v>
      </c>
      <c r="T38" s="340" t="e">
        <f>#REF!</f>
        <v>#REF!</v>
      </c>
      <c r="U38" s="340" t="e">
        <f>#REF!</f>
        <v>#REF!</v>
      </c>
      <c r="V38" s="340" t="e">
        <f>#REF!</f>
        <v>#REF!</v>
      </c>
      <c r="W38" s="340" t="e">
        <f>#REF!</f>
        <v>#REF!</v>
      </c>
      <c r="X38" s="340" t="e">
        <f>#REF!</f>
        <v>#REF!</v>
      </c>
      <c r="Y38" s="340" t="e">
        <f>#REF!</f>
        <v>#REF!</v>
      </c>
      <c r="Z38" s="340" t="e">
        <f>#REF!</f>
        <v>#REF!</v>
      </c>
    </row>
    <row r="39" spans="1:26" x14ac:dyDescent="0.25">
      <c r="A39" t="e">
        <f>#REF!</f>
        <v>#REF!</v>
      </c>
      <c r="B39" s="340" t="e">
        <f>#REF!</f>
        <v>#REF!</v>
      </c>
      <c r="C39" s="340" t="e">
        <f>#REF!</f>
        <v>#REF!</v>
      </c>
      <c r="D39" s="340" t="e">
        <f>#REF!</f>
        <v>#REF!</v>
      </c>
      <c r="E39" s="340" t="e">
        <f>#REF!</f>
        <v>#REF!</v>
      </c>
      <c r="F39" s="340" t="e">
        <f>#REF!</f>
        <v>#REF!</v>
      </c>
      <c r="G39" s="340" t="e">
        <f>#REF!</f>
        <v>#REF!</v>
      </c>
      <c r="H39" s="340" t="e">
        <f>#REF!</f>
        <v>#REF!</v>
      </c>
      <c r="J39" t="e">
        <f>#REF!</f>
        <v>#REF!</v>
      </c>
      <c r="K39" s="340" t="e">
        <f>#REF!</f>
        <v>#REF!</v>
      </c>
      <c r="L39" s="340" t="e">
        <f>#REF!</f>
        <v>#REF!</v>
      </c>
      <c r="M39" s="340" t="e">
        <f>#REF!</f>
        <v>#REF!</v>
      </c>
      <c r="N39" s="340" t="e">
        <f>#REF!</f>
        <v>#REF!</v>
      </c>
      <c r="O39" s="340" t="e">
        <f>#REF!</f>
        <v>#REF!</v>
      </c>
      <c r="P39" s="340" t="e">
        <f>#REF!</f>
        <v>#REF!</v>
      </c>
      <c r="Q39" s="340" t="e">
        <f>#REF!</f>
        <v>#REF!</v>
      </c>
      <c r="S39" s="221">
        <f>DA!B40</f>
        <v>0</v>
      </c>
      <c r="T39" s="340" t="e">
        <f>#REF!</f>
        <v>#REF!</v>
      </c>
      <c r="U39" s="340" t="e">
        <f>#REF!</f>
        <v>#REF!</v>
      </c>
      <c r="V39" s="340" t="e">
        <f>#REF!</f>
        <v>#REF!</v>
      </c>
      <c r="W39" s="340" t="e">
        <f>#REF!</f>
        <v>#REF!</v>
      </c>
      <c r="X39" s="340" t="e">
        <f>#REF!</f>
        <v>#REF!</v>
      </c>
      <c r="Y39" s="340" t="e">
        <f>#REF!</f>
        <v>#REF!</v>
      </c>
      <c r="Z39" s="340" t="e">
        <f>#REF!</f>
        <v>#REF!</v>
      </c>
    </row>
    <row r="40" spans="1:26" x14ac:dyDescent="0.25">
      <c r="A40" t="e">
        <f>#REF!</f>
        <v>#REF!</v>
      </c>
      <c r="B40" s="340" t="e">
        <f>#REF!</f>
        <v>#REF!</v>
      </c>
      <c r="C40" s="340" t="e">
        <f>#REF!</f>
        <v>#REF!</v>
      </c>
      <c r="D40" s="340" t="e">
        <f>#REF!</f>
        <v>#REF!</v>
      </c>
      <c r="E40" s="340" t="e">
        <f>#REF!</f>
        <v>#REF!</v>
      </c>
      <c r="F40" s="340" t="e">
        <f>#REF!</f>
        <v>#REF!</v>
      </c>
      <c r="G40" s="340" t="e">
        <f>#REF!</f>
        <v>#REF!</v>
      </c>
      <c r="H40" s="340" t="e">
        <f>#REF!</f>
        <v>#REF!</v>
      </c>
      <c r="J40" t="e">
        <f>#REF!</f>
        <v>#REF!</v>
      </c>
      <c r="K40" s="340" t="e">
        <f>#REF!</f>
        <v>#REF!</v>
      </c>
      <c r="L40" s="340" t="e">
        <f>#REF!</f>
        <v>#REF!</v>
      </c>
      <c r="M40" s="340" t="e">
        <f>#REF!</f>
        <v>#REF!</v>
      </c>
      <c r="N40" s="340" t="e">
        <f>#REF!</f>
        <v>#REF!</v>
      </c>
      <c r="O40" s="340" t="e">
        <f>#REF!</f>
        <v>#REF!</v>
      </c>
      <c r="P40" s="340" t="e">
        <f>#REF!</f>
        <v>#REF!</v>
      </c>
      <c r="Q40" s="340" t="e">
        <f>#REF!</f>
        <v>#REF!</v>
      </c>
      <c r="S40" s="221">
        <f>DA!B41</f>
        <v>8.1428571428571423</v>
      </c>
      <c r="T40" s="340" t="e">
        <f>#REF!</f>
        <v>#REF!</v>
      </c>
      <c r="U40" s="340" t="e">
        <f>#REF!</f>
        <v>#REF!</v>
      </c>
      <c r="V40" s="340" t="e">
        <f>#REF!</f>
        <v>#REF!</v>
      </c>
      <c r="W40" s="340" t="e">
        <f>#REF!</f>
        <v>#REF!</v>
      </c>
      <c r="X40" s="340" t="e">
        <f>#REF!</f>
        <v>#REF!</v>
      </c>
      <c r="Y40" s="340" t="e">
        <f>#REF!</f>
        <v>#REF!</v>
      </c>
      <c r="Z40" s="340" t="e">
        <f>#REF!</f>
        <v>#REF!</v>
      </c>
    </row>
    <row r="41" spans="1:26" x14ac:dyDescent="0.25">
      <c r="A41" t="e">
        <f>#REF!</f>
        <v>#REF!</v>
      </c>
      <c r="B41" s="340" t="e">
        <f>#REF!</f>
        <v>#REF!</v>
      </c>
      <c r="C41" s="340" t="e">
        <f>#REF!</f>
        <v>#REF!</v>
      </c>
      <c r="D41" s="340" t="e">
        <f>#REF!</f>
        <v>#REF!</v>
      </c>
      <c r="E41" s="340" t="e">
        <f>#REF!</f>
        <v>#REF!</v>
      </c>
      <c r="F41" s="340" t="e">
        <f>#REF!</f>
        <v>#REF!</v>
      </c>
      <c r="G41" s="340" t="e">
        <f>#REF!</f>
        <v>#REF!</v>
      </c>
      <c r="H41" s="340" t="e">
        <f>#REF!</f>
        <v>#REF!</v>
      </c>
      <c r="J41" t="e">
        <f>#REF!</f>
        <v>#REF!</v>
      </c>
      <c r="K41" s="340" t="e">
        <f>#REF!</f>
        <v>#REF!</v>
      </c>
      <c r="L41" s="340" t="e">
        <f>#REF!</f>
        <v>#REF!</v>
      </c>
      <c r="M41" s="340" t="e">
        <f>#REF!</f>
        <v>#REF!</v>
      </c>
      <c r="N41" s="340" t="e">
        <f>#REF!</f>
        <v>#REF!</v>
      </c>
      <c r="O41" s="340" t="e">
        <f>#REF!</f>
        <v>#REF!</v>
      </c>
      <c r="P41" s="340" t="e">
        <f>#REF!</f>
        <v>#REF!</v>
      </c>
      <c r="Q41" s="340" t="e">
        <f>#REF!</f>
        <v>#REF!</v>
      </c>
      <c r="S41" s="221">
        <f>DA!B42</f>
        <v>0.14285714285714285</v>
      </c>
      <c r="T41" s="340" t="e">
        <f>#REF!</f>
        <v>#REF!</v>
      </c>
      <c r="U41" s="340" t="e">
        <f>#REF!</f>
        <v>#REF!</v>
      </c>
      <c r="V41" s="340" t="e">
        <f>#REF!</f>
        <v>#REF!</v>
      </c>
      <c r="W41" s="340" t="e">
        <f>#REF!</f>
        <v>#REF!</v>
      </c>
      <c r="X41" s="340" t="e">
        <f>#REF!</f>
        <v>#REF!</v>
      </c>
      <c r="Y41" s="340" t="e">
        <f>#REF!</f>
        <v>#REF!</v>
      </c>
      <c r="Z41" s="340" t="e">
        <f>#REF!</f>
        <v>#REF!</v>
      </c>
    </row>
    <row r="42" spans="1:26" x14ac:dyDescent="0.25">
      <c r="A42" t="e">
        <f>#REF!</f>
        <v>#REF!</v>
      </c>
      <c r="B42" s="340" t="e">
        <f>#REF!</f>
        <v>#REF!</v>
      </c>
      <c r="C42" s="340" t="e">
        <f>#REF!</f>
        <v>#REF!</v>
      </c>
      <c r="D42" s="340" t="e">
        <f>#REF!</f>
        <v>#REF!</v>
      </c>
      <c r="E42" s="340" t="e">
        <f>#REF!</f>
        <v>#REF!</v>
      </c>
      <c r="F42" s="340" t="e">
        <f>#REF!</f>
        <v>#REF!</v>
      </c>
      <c r="G42" s="340" t="e">
        <f>#REF!</f>
        <v>#REF!</v>
      </c>
      <c r="H42" s="340" t="e">
        <f>#REF!</f>
        <v>#REF!</v>
      </c>
      <c r="J42" t="e">
        <f>#REF!</f>
        <v>#REF!</v>
      </c>
      <c r="K42" s="340" t="e">
        <f>#REF!</f>
        <v>#REF!</v>
      </c>
      <c r="L42" s="340" t="e">
        <f>#REF!</f>
        <v>#REF!</v>
      </c>
      <c r="M42" s="340" t="e">
        <f>#REF!</f>
        <v>#REF!</v>
      </c>
      <c r="N42" s="340" t="e">
        <f>#REF!</f>
        <v>#REF!</v>
      </c>
      <c r="O42" s="340" t="e">
        <f>#REF!</f>
        <v>#REF!</v>
      </c>
      <c r="P42" s="340" t="e">
        <f>#REF!</f>
        <v>#REF!</v>
      </c>
      <c r="Q42" s="340" t="e">
        <f>#REF!</f>
        <v>#REF!</v>
      </c>
      <c r="S42" s="221">
        <f>DA!B43</f>
        <v>1.4285714285714286</v>
      </c>
      <c r="T42" s="340" t="e">
        <f>#REF!</f>
        <v>#REF!</v>
      </c>
      <c r="U42" s="340" t="e">
        <f>#REF!</f>
        <v>#REF!</v>
      </c>
      <c r="V42" s="340" t="e">
        <f>#REF!</f>
        <v>#REF!</v>
      </c>
      <c r="W42" s="340" t="e">
        <f>#REF!</f>
        <v>#REF!</v>
      </c>
      <c r="X42" s="340" t="e">
        <f>#REF!</f>
        <v>#REF!</v>
      </c>
      <c r="Y42" s="340" t="e">
        <f>#REF!</f>
        <v>#REF!</v>
      </c>
      <c r="Z42" s="340" t="e">
        <f>#REF!</f>
        <v>#REF!</v>
      </c>
    </row>
    <row r="43" spans="1:26" x14ac:dyDescent="0.25">
      <c r="A43" t="e">
        <f>#REF!</f>
        <v>#REF!</v>
      </c>
      <c r="B43" s="340" t="e">
        <f>#REF!</f>
        <v>#REF!</v>
      </c>
      <c r="C43" s="340" t="e">
        <f>#REF!</f>
        <v>#REF!</v>
      </c>
      <c r="D43" s="340" t="e">
        <f>#REF!</f>
        <v>#REF!</v>
      </c>
      <c r="E43" s="340" t="e">
        <f>#REF!</f>
        <v>#REF!</v>
      </c>
      <c r="F43" s="340" t="e">
        <f>#REF!</f>
        <v>#REF!</v>
      </c>
      <c r="G43" s="340" t="e">
        <f>#REF!</f>
        <v>#REF!</v>
      </c>
      <c r="H43" s="340" t="e">
        <f>#REF!</f>
        <v>#REF!</v>
      </c>
      <c r="J43" t="e">
        <f>#REF!</f>
        <v>#REF!</v>
      </c>
      <c r="K43" s="340" t="e">
        <f>#REF!</f>
        <v>#REF!</v>
      </c>
      <c r="L43" s="340" t="e">
        <f>#REF!</f>
        <v>#REF!</v>
      </c>
      <c r="M43" s="340" t="e">
        <f>#REF!</f>
        <v>#REF!</v>
      </c>
      <c r="N43" s="340" t="e">
        <f>#REF!</f>
        <v>#REF!</v>
      </c>
      <c r="O43" s="340" t="e">
        <f>#REF!</f>
        <v>#REF!</v>
      </c>
      <c r="P43" s="340" t="e">
        <f>#REF!</f>
        <v>#REF!</v>
      </c>
      <c r="Q43" s="340" t="e">
        <f>#REF!</f>
        <v>#REF!</v>
      </c>
      <c r="S43" s="221">
        <f>DA!B44</f>
        <v>2.7142857142857144</v>
      </c>
      <c r="T43" s="340" t="e">
        <f>#REF!</f>
        <v>#REF!</v>
      </c>
      <c r="U43" s="340" t="e">
        <f>#REF!</f>
        <v>#REF!</v>
      </c>
      <c r="V43" s="340" t="e">
        <f>#REF!</f>
        <v>#REF!</v>
      </c>
      <c r="W43" s="340" t="e">
        <f>#REF!</f>
        <v>#REF!</v>
      </c>
      <c r="X43" s="340" t="e">
        <f>#REF!</f>
        <v>#REF!</v>
      </c>
      <c r="Y43" s="340" t="e">
        <f>#REF!</f>
        <v>#REF!</v>
      </c>
      <c r="Z43" s="340" t="e">
        <f>#REF!</f>
        <v>#REF!</v>
      </c>
    </row>
    <row r="44" spans="1:26" x14ac:dyDescent="0.25">
      <c r="A44" t="e">
        <f>#REF!</f>
        <v>#REF!</v>
      </c>
      <c r="B44" s="340" t="e">
        <f>#REF!</f>
        <v>#REF!</v>
      </c>
      <c r="C44" s="340" t="e">
        <f>#REF!</f>
        <v>#REF!</v>
      </c>
      <c r="D44" s="340" t="e">
        <f>#REF!</f>
        <v>#REF!</v>
      </c>
      <c r="E44" s="340" t="e">
        <f>#REF!</f>
        <v>#REF!</v>
      </c>
      <c r="F44" s="340" t="e">
        <f>#REF!</f>
        <v>#REF!</v>
      </c>
      <c r="G44" s="340" t="e">
        <f>#REF!</f>
        <v>#REF!</v>
      </c>
      <c r="H44" s="340" t="e">
        <f>#REF!</f>
        <v>#REF!</v>
      </c>
      <c r="J44" t="e">
        <f>#REF!</f>
        <v>#REF!</v>
      </c>
      <c r="K44" s="340" t="e">
        <f>#REF!</f>
        <v>#REF!</v>
      </c>
      <c r="L44" s="340" t="e">
        <f>#REF!</f>
        <v>#REF!</v>
      </c>
      <c r="M44" s="340" t="e">
        <f>#REF!</f>
        <v>#REF!</v>
      </c>
      <c r="N44" s="340" t="e">
        <f>#REF!</f>
        <v>#REF!</v>
      </c>
      <c r="O44" s="340" t="e">
        <f>#REF!</f>
        <v>#REF!</v>
      </c>
      <c r="P44" s="340" t="e">
        <f>#REF!</f>
        <v>#REF!</v>
      </c>
      <c r="Q44" s="340" t="e">
        <f>#REF!</f>
        <v>#REF!</v>
      </c>
      <c r="S44" s="221">
        <f>DA!B45</f>
        <v>1.8571428571428572</v>
      </c>
      <c r="T44" s="340" t="e">
        <f>#REF!</f>
        <v>#REF!</v>
      </c>
      <c r="U44" s="340" t="e">
        <f>#REF!</f>
        <v>#REF!</v>
      </c>
      <c r="V44" s="340" t="e">
        <f>#REF!</f>
        <v>#REF!</v>
      </c>
      <c r="W44" s="340" t="e">
        <f>#REF!</f>
        <v>#REF!</v>
      </c>
      <c r="X44" s="340" t="e">
        <f>#REF!</f>
        <v>#REF!</v>
      </c>
      <c r="Y44" s="340" t="e">
        <f>#REF!</f>
        <v>#REF!</v>
      </c>
      <c r="Z44" s="340" t="e">
        <f>#REF!</f>
        <v>#REF!</v>
      </c>
    </row>
    <row r="45" spans="1:26" x14ac:dyDescent="0.25">
      <c r="A45" t="e">
        <f>#REF!</f>
        <v>#REF!</v>
      </c>
      <c r="B45" s="340" t="e">
        <f>#REF!</f>
        <v>#REF!</v>
      </c>
      <c r="C45" s="340" t="e">
        <f>#REF!</f>
        <v>#REF!</v>
      </c>
      <c r="D45" s="340" t="e">
        <f>#REF!</f>
        <v>#REF!</v>
      </c>
      <c r="E45" s="340" t="e">
        <f>#REF!</f>
        <v>#REF!</v>
      </c>
      <c r="F45" s="340" t="e">
        <f>#REF!</f>
        <v>#REF!</v>
      </c>
      <c r="G45" s="340" t="e">
        <f>#REF!</f>
        <v>#REF!</v>
      </c>
      <c r="H45" s="340" t="e">
        <f>#REF!</f>
        <v>#REF!</v>
      </c>
      <c r="J45" t="e">
        <f>#REF!</f>
        <v>#REF!</v>
      </c>
      <c r="K45" s="340" t="e">
        <f>#REF!</f>
        <v>#REF!</v>
      </c>
      <c r="L45" s="340" t="e">
        <f>#REF!</f>
        <v>#REF!</v>
      </c>
      <c r="M45" s="340" t="e">
        <f>#REF!</f>
        <v>#REF!</v>
      </c>
      <c r="N45" s="340" t="e">
        <f>#REF!</f>
        <v>#REF!</v>
      </c>
      <c r="O45" s="340" t="e">
        <f>#REF!</f>
        <v>#REF!</v>
      </c>
      <c r="P45" s="340" t="e">
        <f>#REF!</f>
        <v>#REF!</v>
      </c>
      <c r="Q45" s="340" t="e">
        <f>#REF!</f>
        <v>#REF!</v>
      </c>
      <c r="S45" s="221">
        <f>DA!B46</f>
        <v>2.8571428571428572</v>
      </c>
      <c r="T45" s="340" t="e">
        <f>#REF!</f>
        <v>#REF!</v>
      </c>
      <c r="U45" s="340" t="e">
        <f>#REF!</f>
        <v>#REF!</v>
      </c>
      <c r="V45" s="340" t="e">
        <f>#REF!</f>
        <v>#REF!</v>
      </c>
      <c r="W45" s="340" t="e">
        <f>#REF!</f>
        <v>#REF!</v>
      </c>
      <c r="X45" s="340" t="e">
        <f>#REF!</f>
        <v>#REF!</v>
      </c>
      <c r="Y45" s="340" t="e">
        <f>#REF!</f>
        <v>#REF!</v>
      </c>
      <c r="Z45" s="340" t="e">
        <f>#REF!</f>
        <v>#REF!</v>
      </c>
    </row>
    <row r="46" spans="1:26" x14ac:dyDescent="0.25">
      <c r="A46" t="e">
        <f>#REF!</f>
        <v>#REF!</v>
      </c>
      <c r="B46" s="340" t="e">
        <f>#REF!</f>
        <v>#REF!</v>
      </c>
      <c r="C46" s="340" t="e">
        <f>#REF!</f>
        <v>#REF!</v>
      </c>
      <c r="D46" s="340" t="e">
        <f>#REF!</f>
        <v>#REF!</v>
      </c>
      <c r="E46" s="340" t="e">
        <f>#REF!</f>
        <v>#REF!</v>
      </c>
      <c r="F46" s="340" t="e">
        <f>#REF!</f>
        <v>#REF!</v>
      </c>
      <c r="G46" s="340" t="e">
        <f>#REF!</f>
        <v>#REF!</v>
      </c>
      <c r="H46" s="340" t="e">
        <f>#REF!</f>
        <v>#REF!</v>
      </c>
      <c r="J46" t="e">
        <f>#REF!</f>
        <v>#REF!</v>
      </c>
      <c r="K46" s="340" t="e">
        <f>#REF!</f>
        <v>#REF!</v>
      </c>
      <c r="L46" s="340" t="e">
        <f>#REF!</f>
        <v>#REF!</v>
      </c>
      <c r="M46" s="340" t="e">
        <f>#REF!</f>
        <v>#REF!</v>
      </c>
      <c r="N46" s="340" t="e">
        <f>#REF!</f>
        <v>#REF!</v>
      </c>
      <c r="O46" s="340" t="e">
        <f>#REF!</f>
        <v>#REF!</v>
      </c>
      <c r="P46" s="340" t="e">
        <f>#REF!</f>
        <v>#REF!</v>
      </c>
      <c r="Q46" s="340" t="e">
        <f>#REF!</f>
        <v>#REF!</v>
      </c>
      <c r="S46" s="221">
        <f>DA!B47</f>
        <v>0</v>
      </c>
      <c r="T46" s="340" t="e">
        <f>#REF!</f>
        <v>#REF!</v>
      </c>
      <c r="U46" s="340" t="e">
        <f>#REF!</f>
        <v>#REF!</v>
      </c>
      <c r="V46" s="340" t="e">
        <f>#REF!</f>
        <v>#REF!</v>
      </c>
      <c r="W46" s="340" t="e">
        <f>#REF!</f>
        <v>#REF!</v>
      </c>
      <c r="X46" s="340" t="e">
        <f>#REF!</f>
        <v>#REF!</v>
      </c>
      <c r="Y46" s="340" t="e">
        <f>#REF!</f>
        <v>#REF!</v>
      </c>
      <c r="Z46" s="340" t="e">
        <f>#REF!</f>
        <v>#REF!</v>
      </c>
    </row>
    <row r="47" spans="1:26" x14ac:dyDescent="0.25">
      <c r="A47" t="e">
        <f>#REF!</f>
        <v>#REF!</v>
      </c>
      <c r="B47" s="340" t="e">
        <f>#REF!</f>
        <v>#REF!</v>
      </c>
      <c r="C47" s="340" t="e">
        <f>#REF!</f>
        <v>#REF!</v>
      </c>
      <c r="D47" s="340" t="e">
        <f>#REF!</f>
        <v>#REF!</v>
      </c>
      <c r="E47" s="340" t="e">
        <f>#REF!</f>
        <v>#REF!</v>
      </c>
      <c r="F47" s="340" t="e">
        <f>#REF!</f>
        <v>#REF!</v>
      </c>
      <c r="G47" s="340" t="e">
        <f>#REF!</f>
        <v>#REF!</v>
      </c>
      <c r="H47" s="340" t="e">
        <f>#REF!</f>
        <v>#REF!</v>
      </c>
      <c r="J47" t="e">
        <f>#REF!</f>
        <v>#REF!</v>
      </c>
      <c r="K47" s="340" t="e">
        <f>#REF!</f>
        <v>#REF!</v>
      </c>
      <c r="L47" s="340" t="e">
        <f>#REF!</f>
        <v>#REF!</v>
      </c>
      <c r="M47" s="340" t="e">
        <f>#REF!</f>
        <v>#REF!</v>
      </c>
      <c r="N47" s="340" t="e">
        <f>#REF!</f>
        <v>#REF!</v>
      </c>
      <c r="O47" s="340" t="e">
        <f>#REF!</f>
        <v>#REF!</v>
      </c>
      <c r="P47" s="340" t="e">
        <f>#REF!</f>
        <v>#REF!</v>
      </c>
      <c r="Q47" s="340" t="e">
        <f>#REF!</f>
        <v>#REF!</v>
      </c>
      <c r="S47" s="221">
        <f>DA!B48</f>
        <v>0</v>
      </c>
      <c r="T47" s="340" t="e">
        <f>#REF!</f>
        <v>#REF!</v>
      </c>
      <c r="U47" s="340" t="e">
        <f>#REF!</f>
        <v>#REF!</v>
      </c>
      <c r="V47" s="340" t="e">
        <f>#REF!</f>
        <v>#REF!</v>
      </c>
      <c r="W47" s="340" t="e">
        <f>#REF!</f>
        <v>#REF!</v>
      </c>
      <c r="X47" s="340" t="e">
        <f>#REF!</f>
        <v>#REF!</v>
      </c>
      <c r="Y47" s="340" t="e">
        <f>#REF!</f>
        <v>#REF!</v>
      </c>
      <c r="Z47" s="340" t="e">
        <f>#REF!</f>
        <v>#REF!</v>
      </c>
    </row>
    <row r="48" spans="1:26" x14ac:dyDescent="0.25">
      <c r="A48" t="e">
        <f>#REF!</f>
        <v>#REF!</v>
      </c>
      <c r="B48" s="340" t="e">
        <f>#REF!</f>
        <v>#REF!</v>
      </c>
      <c r="C48" s="340" t="e">
        <f>#REF!</f>
        <v>#REF!</v>
      </c>
      <c r="D48" s="340" t="e">
        <f>#REF!</f>
        <v>#REF!</v>
      </c>
      <c r="E48" s="340" t="e">
        <f>#REF!</f>
        <v>#REF!</v>
      </c>
      <c r="F48" s="340" t="e">
        <f>#REF!</f>
        <v>#REF!</v>
      </c>
      <c r="G48" s="340" t="e">
        <f>#REF!</f>
        <v>#REF!</v>
      </c>
      <c r="H48" s="340" t="e">
        <f>#REF!</f>
        <v>#REF!</v>
      </c>
      <c r="J48" t="e">
        <f>#REF!</f>
        <v>#REF!</v>
      </c>
      <c r="K48" s="340" t="e">
        <f>#REF!</f>
        <v>#REF!</v>
      </c>
      <c r="L48" s="340" t="e">
        <f>#REF!</f>
        <v>#REF!</v>
      </c>
      <c r="M48" s="340" t="e">
        <f>#REF!</f>
        <v>#REF!</v>
      </c>
      <c r="N48" s="340" t="e">
        <f>#REF!</f>
        <v>#REF!</v>
      </c>
      <c r="O48" s="340" t="e">
        <f>#REF!</f>
        <v>#REF!</v>
      </c>
      <c r="P48" s="340" t="e">
        <f>#REF!</f>
        <v>#REF!</v>
      </c>
      <c r="Q48" s="340" t="e">
        <f>#REF!</f>
        <v>#REF!</v>
      </c>
      <c r="S48" s="221">
        <f>DA!B49</f>
        <v>7.5714285714285712</v>
      </c>
      <c r="T48" s="340" t="e">
        <f>#REF!</f>
        <v>#REF!</v>
      </c>
      <c r="U48" s="340" t="e">
        <f>#REF!</f>
        <v>#REF!</v>
      </c>
      <c r="V48" s="340" t="e">
        <f>#REF!</f>
        <v>#REF!</v>
      </c>
      <c r="W48" s="340" t="e">
        <f>#REF!</f>
        <v>#REF!</v>
      </c>
      <c r="X48" s="340" t="e">
        <f>#REF!</f>
        <v>#REF!</v>
      </c>
      <c r="Y48" s="340" t="e">
        <f>#REF!</f>
        <v>#REF!</v>
      </c>
      <c r="Z48" s="340" t="e">
        <f>#REF!</f>
        <v>#REF!</v>
      </c>
    </row>
    <row r="49" spans="1:26" x14ac:dyDescent="0.25">
      <c r="A49" t="e">
        <f>#REF!</f>
        <v>#REF!</v>
      </c>
      <c r="B49" s="340" t="e">
        <f>#REF!</f>
        <v>#REF!</v>
      </c>
      <c r="C49" s="340" t="e">
        <f>#REF!</f>
        <v>#REF!</v>
      </c>
      <c r="D49" s="340" t="e">
        <f>#REF!</f>
        <v>#REF!</v>
      </c>
      <c r="E49" s="340" t="e">
        <f>#REF!</f>
        <v>#REF!</v>
      </c>
      <c r="F49" s="340" t="e">
        <f>#REF!</f>
        <v>#REF!</v>
      </c>
      <c r="G49" s="340" t="e">
        <f>#REF!</f>
        <v>#REF!</v>
      </c>
      <c r="H49" s="340" t="e">
        <f>#REF!</f>
        <v>#REF!</v>
      </c>
      <c r="J49" t="e">
        <f>#REF!</f>
        <v>#REF!</v>
      </c>
      <c r="K49" s="340" t="e">
        <f>#REF!</f>
        <v>#REF!</v>
      </c>
      <c r="L49" s="340" t="e">
        <f>#REF!</f>
        <v>#REF!</v>
      </c>
      <c r="M49" s="340" t="e">
        <f>#REF!</f>
        <v>#REF!</v>
      </c>
      <c r="N49" s="340" t="e">
        <f>#REF!</f>
        <v>#REF!</v>
      </c>
      <c r="O49" s="340" t="e">
        <f>#REF!</f>
        <v>#REF!</v>
      </c>
      <c r="P49" s="340" t="e">
        <f>#REF!</f>
        <v>#REF!</v>
      </c>
      <c r="Q49" s="340" t="e">
        <f>#REF!</f>
        <v>#REF!</v>
      </c>
      <c r="S49" s="221">
        <f>DA!B50</f>
        <v>1.2857142857142858</v>
      </c>
      <c r="T49" s="340" t="e">
        <f>#REF!</f>
        <v>#REF!</v>
      </c>
      <c r="U49" s="340" t="e">
        <f>#REF!</f>
        <v>#REF!</v>
      </c>
      <c r="V49" s="340" t="e">
        <f>#REF!</f>
        <v>#REF!</v>
      </c>
      <c r="W49" s="340" t="e">
        <f>#REF!</f>
        <v>#REF!</v>
      </c>
      <c r="X49" s="340" t="e">
        <f>#REF!</f>
        <v>#REF!</v>
      </c>
      <c r="Y49" s="340" t="e">
        <f>#REF!</f>
        <v>#REF!</v>
      </c>
      <c r="Z49" s="340" t="e">
        <f>#REF!</f>
        <v>#REF!</v>
      </c>
    </row>
    <row r="50" spans="1:26" x14ac:dyDescent="0.25">
      <c r="A50" t="e">
        <f>#REF!</f>
        <v>#REF!</v>
      </c>
      <c r="B50" s="340" t="e">
        <f>#REF!</f>
        <v>#REF!</v>
      </c>
      <c r="C50" s="340" t="e">
        <f>#REF!</f>
        <v>#REF!</v>
      </c>
      <c r="D50" s="340" t="e">
        <f>#REF!</f>
        <v>#REF!</v>
      </c>
      <c r="E50" s="340" t="e">
        <f>#REF!</f>
        <v>#REF!</v>
      </c>
      <c r="F50" s="340" t="e">
        <f>#REF!</f>
        <v>#REF!</v>
      </c>
      <c r="G50" s="340" t="e">
        <f>#REF!</f>
        <v>#REF!</v>
      </c>
      <c r="H50" s="340" t="e">
        <f>#REF!</f>
        <v>#REF!</v>
      </c>
      <c r="J50" t="e">
        <f>#REF!</f>
        <v>#REF!</v>
      </c>
      <c r="K50" s="340" t="e">
        <f>#REF!</f>
        <v>#REF!</v>
      </c>
      <c r="L50" s="340" t="e">
        <f>#REF!</f>
        <v>#REF!</v>
      </c>
      <c r="M50" s="340" t="e">
        <f>#REF!</f>
        <v>#REF!</v>
      </c>
      <c r="N50" s="340" t="e">
        <f>#REF!</f>
        <v>#REF!</v>
      </c>
      <c r="O50" s="340" t="e">
        <f>#REF!</f>
        <v>#REF!</v>
      </c>
      <c r="P50" s="340" t="e">
        <f>#REF!</f>
        <v>#REF!</v>
      </c>
      <c r="Q50" s="340" t="e">
        <f>#REF!</f>
        <v>#REF!</v>
      </c>
      <c r="S50" s="221">
        <f>DA!B51</f>
        <v>0</v>
      </c>
      <c r="T50" s="340" t="e">
        <f>#REF!</f>
        <v>#REF!</v>
      </c>
      <c r="U50" s="340" t="e">
        <f>#REF!</f>
        <v>#REF!</v>
      </c>
      <c r="V50" s="340" t="e">
        <f>#REF!</f>
        <v>#REF!</v>
      </c>
      <c r="W50" s="340" t="e">
        <f>#REF!</f>
        <v>#REF!</v>
      </c>
      <c r="X50" s="340" t="e">
        <f>#REF!</f>
        <v>#REF!</v>
      </c>
      <c r="Y50" s="340" t="e">
        <f>#REF!</f>
        <v>#REF!</v>
      </c>
      <c r="Z50" s="340" t="e">
        <f>#REF!</f>
        <v>#REF!</v>
      </c>
    </row>
    <row r="51" spans="1:26" x14ac:dyDescent="0.25">
      <c r="A51" t="e">
        <f>#REF!</f>
        <v>#REF!</v>
      </c>
      <c r="B51" s="340" t="e">
        <f>#REF!</f>
        <v>#REF!</v>
      </c>
      <c r="C51" s="340" t="e">
        <f>#REF!</f>
        <v>#REF!</v>
      </c>
      <c r="D51" s="340" t="e">
        <f>#REF!</f>
        <v>#REF!</v>
      </c>
      <c r="E51" s="340" t="e">
        <f>#REF!</f>
        <v>#REF!</v>
      </c>
      <c r="F51" s="340" t="e">
        <f>#REF!</f>
        <v>#REF!</v>
      </c>
      <c r="G51" s="340" t="e">
        <f>#REF!</f>
        <v>#REF!</v>
      </c>
      <c r="H51" s="340" t="e">
        <f>#REF!</f>
        <v>#REF!</v>
      </c>
      <c r="J51" t="e">
        <f>#REF!</f>
        <v>#REF!</v>
      </c>
      <c r="K51" s="340" t="e">
        <f>#REF!</f>
        <v>#REF!</v>
      </c>
      <c r="L51" s="340" t="e">
        <f>#REF!</f>
        <v>#REF!</v>
      </c>
      <c r="M51" s="340" t="e">
        <f>#REF!</f>
        <v>#REF!</v>
      </c>
      <c r="N51" s="340" t="e">
        <f>#REF!</f>
        <v>#REF!</v>
      </c>
      <c r="O51" s="340" t="e">
        <f>#REF!</f>
        <v>#REF!</v>
      </c>
      <c r="P51" s="340" t="e">
        <f>#REF!</f>
        <v>#REF!</v>
      </c>
      <c r="Q51" s="340" t="e">
        <f>#REF!</f>
        <v>#REF!</v>
      </c>
      <c r="S51" s="221">
        <f>DA!B52</f>
        <v>0</v>
      </c>
      <c r="T51" s="340" t="e">
        <f>#REF!</f>
        <v>#REF!</v>
      </c>
      <c r="U51" s="340" t="e">
        <f>#REF!</f>
        <v>#REF!</v>
      </c>
      <c r="V51" s="340" t="e">
        <f>#REF!</f>
        <v>#REF!</v>
      </c>
      <c r="W51" s="340" t="e">
        <f>#REF!</f>
        <v>#REF!</v>
      </c>
      <c r="X51" s="340" t="e">
        <f>#REF!</f>
        <v>#REF!</v>
      </c>
      <c r="Y51" s="340" t="e">
        <f>#REF!</f>
        <v>#REF!</v>
      </c>
      <c r="Z51" s="340" t="e">
        <f>#REF!</f>
        <v>#REF!</v>
      </c>
    </row>
    <row r="52" spans="1:26" x14ac:dyDescent="0.25">
      <c r="A52" t="e">
        <f>#REF!</f>
        <v>#REF!</v>
      </c>
      <c r="B52" s="340" t="e">
        <f>#REF!</f>
        <v>#REF!</v>
      </c>
      <c r="C52" s="340" t="e">
        <f>#REF!</f>
        <v>#REF!</v>
      </c>
      <c r="D52" s="340" t="e">
        <f>#REF!</f>
        <v>#REF!</v>
      </c>
      <c r="E52" s="340" t="e">
        <f>#REF!</f>
        <v>#REF!</v>
      </c>
      <c r="F52" s="340" t="e">
        <f>#REF!</f>
        <v>#REF!</v>
      </c>
      <c r="G52" s="340" t="e">
        <f>#REF!</f>
        <v>#REF!</v>
      </c>
      <c r="H52" s="340" t="e">
        <f>#REF!</f>
        <v>#REF!</v>
      </c>
      <c r="J52" t="e">
        <f>#REF!</f>
        <v>#REF!</v>
      </c>
      <c r="K52" s="340" t="e">
        <f>#REF!</f>
        <v>#REF!</v>
      </c>
      <c r="L52" s="340" t="e">
        <f>#REF!</f>
        <v>#REF!</v>
      </c>
      <c r="M52" s="340" t="e">
        <f>#REF!</f>
        <v>#REF!</v>
      </c>
      <c r="N52" s="340" t="e">
        <f>#REF!</f>
        <v>#REF!</v>
      </c>
      <c r="O52" s="340" t="e">
        <f>#REF!</f>
        <v>#REF!</v>
      </c>
      <c r="P52" s="340" t="e">
        <f>#REF!</f>
        <v>#REF!</v>
      </c>
      <c r="Q52" s="340" t="e">
        <f>#REF!</f>
        <v>#REF!</v>
      </c>
      <c r="S52" s="221">
        <f>DA!B53</f>
        <v>0</v>
      </c>
      <c r="T52" s="340" t="e">
        <f>#REF!</f>
        <v>#REF!</v>
      </c>
      <c r="U52" s="340" t="e">
        <f>#REF!</f>
        <v>#REF!</v>
      </c>
      <c r="V52" s="340" t="e">
        <f>#REF!</f>
        <v>#REF!</v>
      </c>
      <c r="W52" s="340" t="e">
        <f>#REF!</f>
        <v>#REF!</v>
      </c>
      <c r="X52" s="340" t="e">
        <f>#REF!</f>
        <v>#REF!</v>
      </c>
      <c r="Y52" s="340" t="e">
        <f>#REF!</f>
        <v>#REF!</v>
      </c>
      <c r="Z52" s="340" t="e">
        <f>#REF!</f>
        <v>#REF!</v>
      </c>
    </row>
    <row r="53" spans="1:26" x14ac:dyDescent="0.25">
      <c r="A53" t="e">
        <f>#REF!</f>
        <v>#REF!</v>
      </c>
      <c r="B53" s="340" t="e">
        <f>#REF!</f>
        <v>#REF!</v>
      </c>
      <c r="C53" s="340" t="e">
        <f>#REF!</f>
        <v>#REF!</v>
      </c>
      <c r="D53" s="340" t="e">
        <f>#REF!</f>
        <v>#REF!</v>
      </c>
      <c r="E53" s="340" t="e">
        <f>#REF!</f>
        <v>#REF!</v>
      </c>
      <c r="F53" s="340" t="e">
        <f>#REF!</f>
        <v>#REF!</v>
      </c>
      <c r="G53" s="340" t="e">
        <f>#REF!</f>
        <v>#REF!</v>
      </c>
      <c r="H53" s="340" t="e">
        <f>#REF!</f>
        <v>#REF!</v>
      </c>
      <c r="J53" t="e">
        <f>#REF!</f>
        <v>#REF!</v>
      </c>
      <c r="K53" s="340" t="e">
        <f>#REF!</f>
        <v>#REF!</v>
      </c>
      <c r="L53" s="340" t="e">
        <f>#REF!</f>
        <v>#REF!</v>
      </c>
      <c r="M53" s="340" t="e">
        <f>#REF!</f>
        <v>#REF!</v>
      </c>
      <c r="N53" s="340" t="e">
        <f>#REF!</f>
        <v>#REF!</v>
      </c>
      <c r="O53" s="340" t="e">
        <f>#REF!</f>
        <v>#REF!</v>
      </c>
      <c r="P53" s="340" t="e">
        <f>#REF!</f>
        <v>#REF!</v>
      </c>
      <c r="Q53" s="340" t="e">
        <f>#REF!</f>
        <v>#REF!</v>
      </c>
      <c r="S53" s="221">
        <f>DA!B54</f>
        <v>0</v>
      </c>
      <c r="T53" s="340" t="e">
        <f>#REF!</f>
        <v>#REF!</v>
      </c>
      <c r="U53" s="340" t="e">
        <f>#REF!</f>
        <v>#REF!</v>
      </c>
      <c r="V53" s="340" t="e">
        <f>#REF!</f>
        <v>#REF!</v>
      </c>
      <c r="W53" s="340" t="e">
        <f>#REF!</f>
        <v>#REF!</v>
      </c>
      <c r="X53" s="340" t="e">
        <f>#REF!</f>
        <v>#REF!</v>
      </c>
      <c r="Y53" s="340" t="e">
        <f>#REF!</f>
        <v>#REF!</v>
      </c>
      <c r="Z53" s="340" t="e">
        <f>#REF!</f>
        <v>#REF!</v>
      </c>
    </row>
    <row r="54" spans="1:26" x14ac:dyDescent="0.25">
      <c r="A54" t="e">
        <f>#REF!</f>
        <v>#REF!</v>
      </c>
      <c r="B54" s="340" t="e">
        <f>#REF!</f>
        <v>#REF!</v>
      </c>
      <c r="C54" s="340" t="e">
        <f>#REF!</f>
        <v>#REF!</v>
      </c>
      <c r="D54" s="340" t="e">
        <f>#REF!</f>
        <v>#REF!</v>
      </c>
      <c r="E54" s="340" t="e">
        <f>#REF!</f>
        <v>#REF!</v>
      </c>
      <c r="F54" s="340" t="e">
        <f>#REF!</f>
        <v>#REF!</v>
      </c>
      <c r="G54" s="340" t="e">
        <f>#REF!</f>
        <v>#REF!</v>
      </c>
      <c r="H54" s="340" t="e">
        <f>#REF!</f>
        <v>#REF!</v>
      </c>
      <c r="J54" t="e">
        <f>#REF!</f>
        <v>#REF!</v>
      </c>
      <c r="K54" s="340" t="e">
        <f>#REF!</f>
        <v>#REF!</v>
      </c>
      <c r="L54" s="340" t="e">
        <f>#REF!</f>
        <v>#REF!</v>
      </c>
      <c r="M54" s="340" t="e">
        <f>#REF!</f>
        <v>#REF!</v>
      </c>
      <c r="N54" s="340" t="e">
        <f>#REF!</f>
        <v>#REF!</v>
      </c>
      <c r="O54" s="340" t="e">
        <f>#REF!</f>
        <v>#REF!</v>
      </c>
      <c r="P54" s="340" t="e">
        <f>#REF!</f>
        <v>#REF!</v>
      </c>
      <c r="Q54" s="340" t="e">
        <f>#REF!</f>
        <v>#REF!</v>
      </c>
      <c r="S54" s="221">
        <f>DA!B55</f>
        <v>6.9999999999999973</v>
      </c>
      <c r="T54" s="340" t="e">
        <f>#REF!</f>
        <v>#REF!</v>
      </c>
      <c r="U54" s="340" t="e">
        <f>#REF!</f>
        <v>#REF!</v>
      </c>
      <c r="V54" s="340" t="e">
        <f>#REF!</f>
        <v>#REF!</v>
      </c>
      <c r="W54" s="340" t="e">
        <f>#REF!</f>
        <v>#REF!</v>
      </c>
      <c r="X54" s="340" t="e">
        <f>#REF!</f>
        <v>#REF!</v>
      </c>
      <c r="Y54" s="340" t="e">
        <f>#REF!</f>
        <v>#REF!</v>
      </c>
      <c r="Z54" s="340" t="e">
        <f>#REF!</f>
        <v>#REF!</v>
      </c>
    </row>
    <row r="55" spans="1:26" x14ac:dyDescent="0.25">
      <c r="A55" t="e">
        <f>#REF!</f>
        <v>#REF!</v>
      </c>
      <c r="B55" s="340" t="e">
        <f>#REF!</f>
        <v>#REF!</v>
      </c>
      <c r="C55" s="340" t="e">
        <f>#REF!</f>
        <v>#REF!</v>
      </c>
      <c r="D55" s="340" t="e">
        <f>#REF!</f>
        <v>#REF!</v>
      </c>
      <c r="E55" s="340" t="e">
        <f>#REF!</f>
        <v>#REF!</v>
      </c>
      <c r="F55" s="340" t="e">
        <f>#REF!</f>
        <v>#REF!</v>
      </c>
      <c r="G55" s="340" t="e">
        <f>#REF!</f>
        <v>#REF!</v>
      </c>
      <c r="H55" s="340" t="e">
        <f>#REF!</f>
        <v>#REF!</v>
      </c>
      <c r="J55" t="e">
        <f>#REF!</f>
        <v>#REF!</v>
      </c>
      <c r="K55" s="340" t="e">
        <f>#REF!</f>
        <v>#REF!</v>
      </c>
      <c r="L55" s="340" t="e">
        <f>#REF!</f>
        <v>#REF!</v>
      </c>
      <c r="M55" s="340" t="e">
        <f>#REF!</f>
        <v>#REF!</v>
      </c>
      <c r="N55" s="340" t="e">
        <f>#REF!</f>
        <v>#REF!</v>
      </c>
      <c r="O55" s="340" t="e">
        <f>#REF!</f>
        <v>#REF!</v>
      </c>
      <c r="P55" s="340" t="e">
        <f>#REF!</f>
        <v>#REF!</v>
      </c>
      <c r="Q55" s="340" t="e">
        <f>#REF!</f>
        <v>#REF!</v>
      </c>
      <c r="S55" s="221">
        <f>DA!B56</f>
        <v>7.1666666666666643</v>
      </c>
      <c r="T55" s="340" t="e">
        <f>#REF!</f>
        <v>#REF!</v>
      </c>
      <c r="U55" s="340" t="e">
        <f>#REF!</f>
        <v>#REF!</v>
      </c>
      <c r="V55" s="340" t="e">
        <f>#REF!</f>
        <v>#REF!</v>
      </c>
      <c r="W55" s="340" t="e">
        <f>#REF!</f>
        <v>#REF!</v>
      </c>
      <c r="X55" s="340" t="e">
        <f>#REF!</f>
        <v>#REF!</v>
      </c>
      <c r="Y55" s="340" t="e">
        <f>#REF!</f>
        <v>#REF!</v>
      </c>
      <c r="Z55" s="340" t="e">
        <f>#REF!</f>
        <v>#REF!</v>
      </c>
    </row>
    <row r="56" spans="1:26" x14ac:dyDescent="0.25">
      <c r="A56" t="e">
        <f>#REF!</f>
        <v>#REF!</v>
      </c>
      <c r="B56" s="340" t="e">
        <f>#REF!</f>
        <v>#REF!</v>
      </c>
      <c r="C56" s="340" t="e">
        <f>#REF!</f>
        <v>#REF!</v>
      </c>
      <c r="D56" s="340" t="e">
        <f>#REF!</f>
        <v>#REF!</v>
      </c>
      <c r="E56" s="340" t="e">
        <f>#REF!</f>
        <v>#REF!</v>
      </c>
      <c r="F56" s="340" t="e">
        <f>#REF!</f>
        <v>#REF!</v>
      </c>
      <c r="G56" s="340" t="e">
        <f>#REF!</f>
        <v>#REF!</v>
      </c>
      <c r="H56" s="340" t="e">
        <f>#REF!</f>
        <v>#REF!</v>
      </c>
      <c r="J56" t="e">
        <f>#REF!</f>
        <v>#REF!</v>
      </c>
      <c r="K56" s="340" t="e">
        <f>#REF!</f>
        <v>#REF!</v>
      </c>
      <c r="L56" s="340" t="e">
        <f>#REF!</f>
        <v>#REF!</v>
      </c>
      <c r="M56" s="340" t="e">
        <f>#REF!</f>
        <v>#REF!</v>
      </c>
      <c r="N56" s="340" t="e">
        <f>#REF!</f>
        <v>#REF!</v>
      </c>
      <c r="O56" s="340" t="e">
        <f>#REF!</f>
        <v>#REF!</v>
      </c>
      <c r="P56" s="340" t="e">
        <f>#REF!</f>
        <v>#REF!</v>
      </c>
      <c r="Q56" s="340" t="e">
        <f>#REF!</f>
        <v>#REF!</v>
      </c>
      <c r="S56" s="221">
        <f>DA!B57</f>
        <v>7.6249999999999973</v>
      </c>
      <c r="T56" s="340" t="e">
        <f>#REF!</f>
        <v>#REF!</v>
      </c>
      <c r="U56" s="340" t="e">
        <f>#REF!</f>
        <v>#REF!</v>
      </c>
      <c r="V56" s="340" t="e">
        <f>#REF!</f>
        <v>#REF!</v>
      </c>
      <c r="W56" s="340" t="e">
        <f>#REF!</f>
        <v>#REF!</v>
      </c>
      <c r="X56" s="340" t="e">
        <f>#REF!</f>
        <v>#REF!</v>
      </c>
      <c r="Y56" s="340" t="e">
        <f>#REF!</f>
        <v>#REF!</v>
      </c>
      <c r="Z56" s="340" t="e">
        <f>#REF!</f>
        <v>#REF!</v>
      </c>
    </row>
    <row r="57" spans="1:26" x14ac:dyDescent="0.25">
      <c r="A57" t="e">
        <f>#REF!</f>
        <v>#REF!</v>
      </c>
      <c r="B57" s="340" t="e">
        <f>#REF!</f>
        <v>#REF!</v>
      </c>
      <c r="C57" s="340" t="e">
        <f>#REF!</f>
        <v>#REF!</v>
      </c>
      <c r="D57" s="340" t="e">
        <f>#REF!</f>
        <v>#REF!</v>
      </c>
      <c r="E57" s="340" t="e">
        <f>#REF!</f>
        <v>#REF!</v>
      </c>
      <c r="F57" s="340" t="e">
        <f>#REF!</f>
        <v>#REF!</v>
      </c>
      <c r="G57" s="340" t="e">
        <f>#REF!</f>
        <v>#REF!</v>
      </c>
      <c r="H57" s="340" t="e">
        <f>#REF!</f>
        <v>#REF!</v>
      </c>
      <c r="J57" t="e">
        <f>#REF!</f>
        <v>#REF!</v>
      </c>
      <c r="K57" s="340" t="e">
        <f>#REF!</f>
        <v>#REF!</v>
      </c>
      <c r="L57" s="340" t="e">
        <f>#REF!</f>
        <v>#REF!</v>
      </c>
      <c r="M57" s="340" t="e">
        <f>#REF!</f>
        <v>#REF!</v>
      </c>
      <c r="N57" s="340" t="e">
        <f>#REF!</f>
        <v>#REF!</v>
      </c>
      <c r="O57" s="340" t="e">
        <f>#REF!</f>
        <v>#REF!</v>
      </c>
      <c r="P57" s="340" t="e">
        <f>#REF!</f>
        <v>#REF!</v>
      </c>
      <c r="Q57" s="340" t="e">
        <f>#REF!</f>
        <v>#REF!</v>
      </c>
      <c r="S57" s="221">
        <f>DA!B58</f>
        <v>6.9583333333333313</v>
      </c>
      <c r="T57" s="340" t="e">
        <f>#REF!</f>
        <v>#REF!</v>
      </c>
      <c r="U57" s="340" t="e">
        <f>#REF!</f>
        <v>#REF!</v>
      </c>
      <c r="V57" s="340" t="e">
        <f>#REF!</f>
        <v>#REF!</v>
      </c>
      <c r="W57" s="340" t="e">
        <f>#REF!</f>
        <v>#REF!</v>
      </c>
      <c r="X57" s="340" t="e">
        <f>#REF!</f>
        <v>#REF!</v>
      </c>
      <c r="Y57" s="340" t="e">
        <f>#REF!</f>
        <v>#REF!</v>
      </c>
      <c r="Z57" s="340" t="e">
        <f>#REF!</f>
        <v>#REF!</v>
      </c>
    </row>
    <row r="58" spans="1:26" x14ac:dyDescent="0.25">
      <c r="A58" t="e">
        <f>#REF!</f>
        <v>#REF!</v>
      </c>
      <c r="B58" s="340" t="e">
        <f>#REF!</f>
        <v>#REF!</v>
      </c>
      <c r="C58" s="340" t="e">
        <f>#REF!</f>
        <v>#REF!</v>
      </c>
      <c r="D58" s="340" t="e">
        <f>#REF!</f>
        <v>#REF!</v>
      </c>
      <c r="E58" s="340" t="e">
        <f>#REF!</f>
        <v>#REF!</v>
      </c>
      <c r="F58" s="340" t="e">
        <f>#REF!</f>
        <v>#REF!</v>
      </c>
      <c r="G58" s="340" t="e">
        <f>#REF!</f>
        <v>#REF!</v>
      </c>
      <c r="H58" s="340" t="e">
        <f>#REF!</f>
        <v>#REF!</v>
      </c>
      <c r="J58" t="e">
        <f>#REF!</f>
        <v>#REF!</v>
      </c>
      <c r="K58" s="340" t="e">
        <f>#REF!</f>
        <v>#REF!</v>
      </c>
      <c r="L58" s="340" t="e">
        <f>#REF!</f>
        <v>#REF!</v>
      </c>
      <c r="M58" s="340" t="e">
        <f>#REF!</f>
        <v>#REF!</v>
      </c>
      <c r="N58" s="340" t="e">
        <f>#REF!</f>
        <v>#REF!</v>
      </c>
      <c r="O58" s="340" t="e">
        <f>#REF!</f>
        <v>#REF!</v>
      </c>
      <c r="P58" s="340" t="e">
        <f>#REF!</f>
        <v>#REF!</v>
      </c>
      <c r="Q58" s="340" t="e">
        <f>#REF!</f>
        <v>#REF!</v>
      </c>
      <c r="S58" s="221">
        <f>DA!B59</f>
        <v>6.4166666666666652</v>
      </c>
      <c r="T58" s="340" t="e">
        <f>#REF!</f>
        <v>#REF!</v>
      </c>
      <c r="U58" s="340" t="e">
        <f>#REF!</f>
        <v>#REF!</v>
      </c>
      <c r="V58" s="340" t="e">
        <f>#REF!</f>
        <v>#REF!</v>
      </c>
      <c r="W58" s="340" t="e">
        <f>#REF!</f>
        <v>#REF!</v>
      </c>
      <c r="X58" s="340" t="e">
        <f>#REF!</f>
        <v>#REF!</v>
      </c>
      <c r="Y58" s="340" t="e">
        <f>#REF!</f>
        <v>#REF!</v>
      </c>
      <c r="Z58" s="340" t="e">
        <f>#REF!</f>
        <v>#REF!</v>
      </c>
    </row>
    <row r="59" spans="1:26" x14ac:dyDescent="0.25">
      <c r="A59" t="e">
        <f>#REF!</f>
        <v>#REF!</v>
      </c>
      <c r="B59" s="340" t="e">
        <f>#REF!</f>
        <v>#REF!</v>
      </c>
      <c r="C59" s="340" t="e">
        <f>#REF!</f>
        <v>#REF!</v>
      </c>
      <c r="D59" s="340" t="e">
        <f>#REF!</f>
        <v>#REF!</v>
      </c>
      <c r="E59" s="340" t="e">
        <f>#REF!</f>
        <v>#REF!</v>
      </c>
      <c r="F59" s="340" t="e">
        <f>#REF!</f>
        <v>#REF!</v>
      </c>
      <c r="G59" s="340" t="e">
        <f>#REF!</f>
        <v>#REF!</v>
      </c>
      <c r="H59" s="340" t="e">
        <f>#REF!</f>
        <v>#REF!</v>
      </c>
      <c r="J59" t="e">
        <f>#REF!</f>
        <v>#REF!</v>
      </c>
      <c r="K59" s="340" t="e">
        <f>#REF!</f>
        <v>#REF!</v>
      </c>
      <c r="L59" s="340" t="e">
        <f>#REF!</f>
        <v>#REF!</v>
      </c>
      <c r="M59" s="340" t="e">
        <f>#REF!</f>
        <v>#REF!</v>
      </c>
      <c r="N59" s="340" t="e">
        <f>#REF!</f>
        <v>#REF!</v>
      </c>
      <c r="O59" s="340" t="e">
        <f>#REF!</f>
        <v>#REF!</v>
      </c>
      <c r="P59" s="340" t="e">
        <f>#REF!</f>
        <v>#REF!</v>
      </c>
      <c r="Q59" s="340" t="e">
        <f>#REF!</f>
        <v>#REF!</v>
      </c>
      <c r="S59" s="221">
        <f>DA!B60</f>
        <v>6.8333333333333313</v>
      </c>
      <c r="T59" s="340" t="e">
        <f>#REF!</f>
        <v>#REF!</v>
      </c>
      <c r="U59" s="340" t="e">
        <f>#REF!</f>
        <v>#REF!</v>
      </c>
      <c r="V59" s="340" t="e">
        <f>#REF!</f>
        <v>#REF!</v>
      </c>
      <c r="W59" s="340" t="e">
        <f>#REF!</f>
        <v>#REF!</v>
      </c>
      <c r="X59" s="340" t="e">
        <f>#REF!</f>
        <v>#REF!</v>
      </c>
      <c r="Y59" s="340" t="e">
        <f>#REF!</f>
        <v>#REF!</v>
      </c>
      <c r="Z59" s="340" t="e">
        <f>#REF!</f>
        <v>#REF!</v>
      </c>
    </row>
    <row r="60" spans="1:26" x14ac:dyDescent="0.25">
      <c r="A60" t="e">
        <f>#REF!</f>
        <v>#REF!</v>
      </c>
      <c r="B60" s="340" t="e">
        <f>#REF!</f>
        <v>#REF!</v>
      </c>
      <c r="C60" s="340" t="e">
        <f>#REF!</f>
        <v>#REF!</v>
      </c>
      <c r="D60" s="340" t="e">
        <f>#REF!</f>
        <v>#REF!</v>
      </c>
      <c r="E60" s="340" t="e">
        <f>#REF!</f>
        <v>#REF!</v>
      </c>
      <c r="F60" s="340" t="e">
        <f>#REF!</f>
        <v>#REF!</v>
      </c>
      <c r="G60" s="340" t="e">
        <f>#REF!</f>
        <v>#REF!</v>
      </c>
      <c r="H60" s="340" t="e">
        <f>#REF!</f>
        <v>#REF!</v>
      </c>
      <c r="J60" t="e">
        <f>#REF!</f>
        <v>#REF!</v>
      </c>
      <c r="K60" s="340" t="e">
        <f>#REF!</f>
        <v>#REF!</v>
      </c>
      <c r="L60" s="340" t="e">
        <f>#REF!</f>
        <v>#REF!</v>
      </c>
      <c r="M60" s="340" t="e">
        <f>#REF!</f>
        <v>#REF!</v>
      </c>
      <c r="N60" s="340" t="e">
        <f>#REF!</f>
        <v>#REF!</v>
      </c>
      <c r="O60" s="340" t="e">
        <f>#REF!</f>
        <v>#REF!</v>
      </c>
      <c r="P60" s="340" t="e">
        <f>#REF!</f>
        <v>#REF!</v>
      </c>
      <c r="Q60" s="340" t="e">
        <f>#REF!</f>
        <v>#REF!</v>
      </c>
      <c r="S60" s="221">
        <f>DA!B61</f>
        <v>6.7916666666666643</v>
      </c>
      <c r="T60" s="340" t="e">
        <f>#REF!</f>
        <v>#REF!</v>
      </c>
      <c r="U60" s="340" t="e">
        <f>#REF!</f>
        <v>#REF!</v>
      </c>
      <c r="V60" s="340" t="e">
        <f>#REF!</f>
        <v>#REF!</v>
      </c>
      <c r="W60" s="340" t="e">
        <f>#REF!</f>
        <v>#REF!</v>
      </c>
      <c r="X60" s="340" t="e">
        <f>#REF!</f>
        <v>#REF!</v>
      </c>
      <c r="Y60" s="340" t="e">
        <f>#REF!</f>
        <v>#REF!</v>
      </c>
      <c r="Z60" s="340" t="e">
        <f>#REF!</f>
        <v>#REF!</v>
      </c>
    </row>
    <row r="61" spans="1:26" x14ac:dyDescent="0.25">
      <c r="A61" t="e">
        <f>#REF!</f>
        <v>#REF!</v>
      </c>
      <c r="B61" s="340" t="e">
        <f>#REF!</f>
        <v>#REF!</v>
      </c>
      <c r="C61" s="340" t="e">
        <f>#REF!</f>
        <v>#REF!</v>
      </c>
      <c r="D61" s="340" t="e">
        <f>#REF!</f>
        <v>#REF!</v>
      </c>
      <c r="E61" s="340" t="e">
        <f>#REF!</f>
        <v>#REF!</v>
      </c>
      <c r="F61" s="340" t="e">
        <f>#REF!</f>
        <v>#REF!</v>
      </c>
      <c r="G61" s="340" t="e">
        <f>#REF!</f>
        <v>#REF!</v>
      </c>
      <c r="H61" s="340" t="e">
        <f>#REF!</f>
        <v>#REF!</v>
      </c>
      <c r="J61" t="e">
        <f>#REF!</f>
        <v>#REF!</v>
      </c>
      <c r="K61" s="340" t="e">
        <f>#REF!</f>
        <v>#REF!</v>
      </c>
      <c r="L61" s="340" t="e">
        <f>#REF!</f>
        <v>#REF!</v>
      </c>
      <c r="M61" s="340" t="e">
        <f>#REF!</f>
        <v>#REF!</v>
      </c>
      <c r="N61" s="340" t="e">
        <f>#REF!</f>
        <v>#REF!</v>
      </c>
      <c r="O61" s="340" t="e">
        <f>#REF!</f>
        <v>#REF!</v>
      </c>
      <c r="P61" s="340" t="e">
        <f>#REF!</f>
        <v>#REF!</v>
      </c>
      <c r="Q61" s="340" t="e">
        <f>#REF!</f>
        <v>#REF!</v>
      </c>
      <c r="S61" s="221">
        <f>DA!B62</f>
        <v>0</v>
      </c>
      <c r="T61" s="340" t="e">
        <f>#REF!</f>
        <v>#REF!</v>
      </c>
      <c r="U61" s="340" t="e">
        <f>#REF!</f>
        <v>#REF!</v>
      </c>
      <c r="V61" s="340" t="e">
        <f>#REF!</f>
        <v>#REF!</v>
      </c>
      <c r="W61" s="340" t="e">
        <f>#REF!</f>
        <v>#REF!</v>
      </c>
      <c r="X61" s="340" t="e">
        <f>#REF!</f>
        <v>#REF!</v>
      </c>
      <c r="Y61" s="340" t="e">
        <f>#REF!</f>
        <v>#REF!</v>
      </c>
      <c r="Z61" s="340" t="e">
        <f>#REF!</f>
        <v>#REF!</v>
      </c>
    </row>
    <row r="62" spans="1:26" x14ac:dyDescent="0.25">
      <c r="A62" t="e">
        <f>#REF!</f>
        <v>#REF!</v>
      </c>
      <c r="B62" s="340" t="e">
        <f>#REF!</f>
        <v>#REF!</v>
      </c>
      <c r="C62" s="340" t="e">
        <f>#REF!</f>
        <v>#REF!</v>
      </c>
      <c r="D62" s="340" t="e">
        <f>#REF!</f>
        <v>#REF!</v>
      </c>
      <c r="E62" s="340" t="e">
        <f>#REF!</f>
        <v>#REF!</v>
      </c>
      <c r="F62" s="340" t="e">
        <f>#REF!</f>
        <v>#REF!</v>
      </c>
      <c r="G62" s="340" t="e">
        <f>#REF!</f>
        <v>#REF!</v>
      </c>
      <c r="H62" s="340" t="e">
        <f>#REF!</f>
        <v>#REF!</v>
      </c>
      <c r="J62" t="e">
        <f>#REF!</f>
        <v>#REF!</v>
      </c>
      <c r="K62" s="340" t="e">
        <f>#REF!</f>
        <v>#REF!</v>
      </c>
      <c r="L62" s="340" t="e">
        <f>#REF!</f>
        <v>#REF!</v>
      </c>
      <c r="M62" s="340" t="e">
        <f>#REF!</f>
        <v>#REF!</v>
      </c>
      <c r="N62" s="340" t="e">
        <f>#REF!</f>
        <v>#REF!</v>
      </c>
      <c r="O62" s="340" t="e">
        <f>#REF!</f>
        <v>#REF!</v>
      </c>
      <c r="P62" s="340" t="e">
        <f>#REF!</f>
        <v>#REF!</v>
      </c>
      <c r="Q62" s="340" t="e">
        <f>#REF!</f>
        <v>#REF!</v>
      </c>
      <c r="S62" s="221">
        <f>DA!B63</f>
        <v>0</v>
      </c>
      <c r="T62" s="340" t="e">
        <f>#REF!</f>
        <v>#REF!</v>
      </c>
      <c r="U62" s="340" t="e">
        <f>#REF!</f>
        <v>#REF!</v>
      </c>
      <c r="V62" s="340" t="e">
        <f>#REF!</f>
        <v>#REF!</v>
      </c>
      <c r="W62" s="340" t="e">
        <f>#REF!</f>
        <v>#REF!</v>
      </c>
      <c r="X62" s="340" t="e">
        <f>#REF!</f>
        <v>#REF!</v>
      </c>
      <c r="Y62" s="340" t="e">
        <f>#REF!</f>
        <v>#REF!</v>
      </c>
      <c r="Z62" s="340" t="e">
        <f>#REF!</f>
        <v>#REF!</v>
      </c>
    </row>
    <row r="63" spans="1:26" x14ac:dyDescent="0.25">
      <c r="A63" t="e">
        <f>#REF!</f>
        <v>#REF!</v>
      </c>
      <c r="B63" s="340" t="e">
        <f>#REF!</f>
        <v>#REF!</v>
      </c>
      <c r="C63" s="340" t="e">
        <f>#REF!</f>
        <v>#REF!</v>
      </c>
      <c r="D63" s="340" t="e">
        <f>#REF!</f>
        <v>#REF!</v>
      </c>
      <c r="E63" s="340" t="e">
        <f>#REF!</f>
        <v>#REF!</v>
      </c>
      <c r="F63" s="340" t="e">
        <f>#REF!</f>
        <v>#REF!</v>
      </c>
      <c r="G63" s="340" t="e">
        <f>#REF!</f>
        <v>#REF!</v>
      </c>
      <c r="H63" s="340" t="e">
        <f>#REF!</f>
        <v>#REF!</v>
      </c>
      <c r="J63" t="e">
        <f>#REF!</f>
        <v>#REF!</v>
      </c>
      <c r="K63" s="340" t="e">
        <f>#REF!</f>
        <v>#REF!</v>
      </c>
      <c r="L63" s="340" t="e">
        <f>#REF!</f>
        <v>#REF!</v>
      </c>
      <c r="M63" s="340" t="e">
        <f>#REF!</f>
        <v>#REF!</v>
      </c>
      <c r="N63" s="340" t="e">
        <f>#REF!</f>
        <v>#REF!</v>
      </c>
      <c r="O63" s="340" t="e">
        <f>#REF!</f>
        <v>#REF!</v>
      </c>
      <c r="P63" s="340" t="e">
        <f>#REF!</f>
        <v>#REF!</v>
      </c>
      <c r="Q63" s="340" t="e">
        <f>#REF!</f>
        <v>#REF!</v>
      </c>
      <c r="S63" s="221">
        <f>DA!B64</f>
        <v>3.583333333333333</v>
      </c>
      <c r="T63" s="340" t="e">
        <f>#REF!</f>
        <v>#REF!</v>
      </c>
      <c r="U63" s="340" t="e">
        <f>#REF!</f>
        <v>#REF!</v>
      </c>
      <c r="V63" s="340" t="e">
        <f>#REF!</f>
        <v>#REF!</v>
      </c>
      <c r="W63" s="340" t="e">
        <f>#REF!</f>
        <v>#REF!</v>
      </c>
      <c r="X63" s="340" t="e">
        <f>#REF!</f>
        <v>#REF!</v>
      </c>
      <c r="Y63" s="340" t="e">
        <f>#REF!</f>
        <v>#REF!</v>
      </c>
      <c r="Z63" s="340" t="e">
        <f>#REF!</f>
        <v>#REF!</v>
      </c>
    </row>
    <row r="64" spans="1:26" x14ac:dyDescent="0.25">
      <c r="A64" t="e">
        <f>#REF!</f>
        <v>#REF!</v>
      </c>
      <c r="B64" s="340" t="e">
        <f>#REF!</f>
        <v>#REF!</v>
      </c>
      <c r="C64" s="340" t="e">
        <f>#REF!</f>
        <v>#REF!</v>
      </c>
      <c r="D64" s="340" t="e">
        <f>#REF!</f>
        <v>#REF!</v>
      </c>
      <c r="E64" s="340" t="e">
        <f>#REF!</f>
        <v>#REF!</v>
      </c>
      <c r="F64" s="340" t="e">
        <f>#REF!</f>
        <v>#REF!</v>
      </c>
      <c r="G64" s="340" t="e">
        <f>#REF!</f>
        <v>#REF!</v>
      </c>
      <c r="H64" s="340" t="e">
        <f>#REF!</f>
        <v>#REF!</v>
      </c>
      <c r="J64" t="e">
        <f>#REF!</f>
        <v>#REF!</v>
      </c>
      <c r="K64" s="340" t="e">
        <f>#REF!</f>
        <v>#REF!</v>
      </c>
      <c r="L64" s="340" t="e">
        <f>#REF!</f>
        <v>#REF!</v>
      </c>
      <c r="M64" s="340" t="e">
        <f>#REF!</f>
        <v>#REF!</v>
      </c>
      <c r="N64" s="340" t="e">
        <f>#REF!</f>
        <v>#REF!</v>
      </c>
      <c r="O64" s="340" t="e">
        <f>#REF!</f>
        <v>#REF!</v>
      </c>
      <c r="P64" s="340" t="e">
        <f>#REF!</f>
        <v>#REF!</v>
      </c>
      <c r="Q64" s="340" t="e">
        <f>#REF!</f>
        <v>#REF!</v>
      </c>
      <c r="S64" s="221">
        <f>DA!B65</f>
        <v>4.2499999999999991</v>
      </c>
      <c r="T64" s="340" t="e">
        <f>#REF!</f>
        <v>#REF!</v>
      </c>
      <c r="U64" s="340" t="e">
        <f>#REF!</f>
        <v>#REF!</v>
      </c>
      <c r="V64" s="340" t="e">
        <f>#REF!</f>
        <v>#REF!</v>
      </c>
      <c r="W64" s="340" t="e">
        <f>#REF!</f>
        <v>#REF!</v>
      </c>
      <c r="X64" s="340" t="e">
        <f>#REF!</f>
        <v>#REF!</v>
      </c>
      <c r="Y64" s="340" t="e">
        <f>#REF!</f>
        <v>#REF!</v>
      </c>
      <c r="Z64" s="340" t="e">
        <f>#REF!</f>
        <v>#REF!</v>
      </c>
    </row>
    <row r="65" spans="1:26" x14ac:dyDescent="0.25">
      <c r="A65" t="e">
        <f>#REF!</f>
        <v>#REF!</v>
      </c>
      <c r="B65" s="340" t="e">
        <f>#REF!</f>
        <v>#REF!</v>
      </c>
      <c r="C65" s="340" t="e">
        <f>#REF!</f>
        <v>#REF!</v>
      </c>
      <c r="D65" s="340" t="e">
        <f>#REF!</f>
        <v>#REF!</v>
      </c>
      <c r="E65" s="340" t="e">
        <f>#REF!</f>
        <v>#REF!</v>
      </c>
      <c r="F65" s="340" t="e">
        <f>#REF!</f>
        <v>#REF!</v>
      </c>
      <c r="G65" s="340" t="e">
        <f>#REF!</f>
        <v>#REF!</v>
      </c>
      <c r="H65" s="340" t="e">
        <f>#REF!</f>
        <v>#REF!</v>
      </c>
      <c r="J65" t="e">
        <f>#REF!</f>
        <v>#REF!</v>
      </c>
      <c r="K65" s="340" t="e">
        <f>#REF!</f>
        <v>#REF!</v>
      </c>
      <c r="L65" s="340" t="e">
        <f>#REF!</f>
        <v>#REF!</v>
      </c>
      <c r="M65" s="340" t="e">
        <f>#REF!</f>
        <v>#REF!</v>
      </c>
      <c r="N65" s="340" t="e">
        <f>#REF!</f>
        <v>#REF!</v>
      </c>
      <c r="O65" s="340" t="e">
        <f>#REF!</f>
        <v>#REF!</v>
      </c>
      <c r="P65" s="340" t="e">
        <f>#REF!</f>
        <v>#REF!</v>
      </c>
      <c r="Q65" s="340" t="e">
        <f>#REF!</f>
        <v>#REF!</v>
      </c>
      <c r="S65" s="221">
        <f>DA!B66</f>
        <v>5.2499999999999991</v>
      </c>
      <c r="T65" s="340" t="e">
        <f>#REF!</f>
        <v>#REF!</v>
      </c>
      <c r="U65" s="340" t="e">
        <f>#REF!</f>
        <v>#REF!</v>
      </c>
      <c r="V65" s="340" t="e">
        <f>#REF!</f>
        <v>#REF!</v>
      </c>
      <c r="W65" s="340" t="e">
        <f>#REF!</f>
        <v>#REF!</v>
      </c>
      <c r="X65" s="340" t="e">
        <f>#REF!</f>
        <v>#REF!</v>
      </c>
      <c r="Y65" s="340" t="e">
        <f>#REF!</f>
        <v>#REF!</v>
      </c>
      <c r="Z65" s="340" t="e">
        <f>#REF!</f>
        <v>#REF!</v>
      </c>
    </row>
    <row r="66" spans="1:26" x14ac:dyDescent="0.25">
      <c r="A66" t="e">
        <f>#REF!</f>
        <v>#REF!</v>
      </c>
      <c r="B66" s="340" t="e">
        <f>#REF!</f>
        <v>#REF!</v>
      </c>
      <c r="C66" s="340" t="e">
        <f>#REF!</f>
        <v>#REF!</v>
      </c>
      <c r="D66" s="340" t="e">
        <f>#REF!</f>
        <v>#REF!</v>
      </c>
      <c r="E66" s="340" t="e">
        <f>#REF!</f>
        <v>#REF!</v>
      </c>
      <c r="F66" s="340" t="e">
        <f>#REF!</f>
        <v>#REF!</v>
      </c>
      <c r="G66" s="340" t="e">
        <f>#REF!</f>
        <v>#REF!</v>
      </c>
      <c r="H66" s="340" t="e">
        <f>#REF!</f>
        <v>#REF!</v>
      </c>
      <c r="J66" t="e">
        <f>#REF!</f>
        <v>#REF!</v>
      </c>
      <c r="K66" s="340" t="e">
        <f>#REF!</f>
        <v>#REF!</v>
      </c>
      <c r="L66" s="340" t="e">
        <f>#REF!</f>
        <v>#REF!</v>
      </c>
      <c r="M66" s="340" t="e">
        <f>#REF!</f>
        <v>#REF!</v>
      </c>
      <c r="N66" s="340" t="e">
        <f>#REF!</f>
        <v>#REF!</v>
      </c>
      <c r="O66" s="340" t="e">
        <f>#REF!</f>
        <v>#REF!</v>
      </c>
      <c r="P66" s="340" t="e">
        <f>#REF!</f>
        <v>#REF!</v>
      </c>
      <c r="Q66" s="340" t="e">
        <f>#REF!</f>
        <v>#REF!</v>
      </c>
      <c r="S66" s="221">
        <f>DA!B67</f>
        <v>5.2499999999999991</v>
      </c>
      <c r="T66" s="340" t="e">
        <f>#REF!</f>
        <v>#REF!</v>
      </c>
      <c r="U66" s="340" t="e">
        <f>#REF!</f>
        <v>#REF!</v>
      </c>
      <c r="V66" s="340" t="e">
        <f>#REF!</f>
        <v>#REF!</v>
      </c>
      <c r="W66" s="340" t="e">
        <f>#REF!</f>
        <v>#REF!</v>
      </c>
      <c r="X66" s="340" t="e">
        <f>#REF!</f>
        <v>#REF!</v>
      </c>
      <c r="Y66" s="340" t="e">
        <f>#REF!</f>
        <v>#REF!</v>
      </c>
      <c r="Z66" s="340" t="e">
        <f>#REF!</f>
        <v>#REF!</v>
      </c>
    </row>
    <row r="67" spans="1:26" x14ac:dyDescent="0.25">
      <c r="A67" t="e">
        <f>#REF!</f>
        <v>#REF!</v>
      </c>
      <c r="B67" s="340" t="e">
        <f>#REF!</f>
        <v>#REF!</v>
      </c>
      <c r="C67" s="340" t="e">
        <f>#REF!</f>
        <v>#REF!</v>
      </c>
      <c r="D67" s="340" t="e">
        <f>#REF!</f>
        <v>#REF!</v>
      </c>
      <c r="E67" s="340" t="e">
        <f>#REF!</f>
        <v>#REF!</v>
      </c>
      <c r="F67" s="340" t="e">
        <f>#REF!</f>
        <v>#REF!</v>
      </c>
      <c r="G67" s="340" t="e">
        <f>#REF!</f>
        <v>#REF!</v>
      </c>
      <c r="H67" s="340" t="e">
        <f>#REF!</f>
        <v>#REF!</v>
      </c>
      <c r="J67" t="e">
        <f>#REF!</f>
        <v>#REF!</v>
      </c>
      <c r="K67" s="340" t="e">
        <f>#REF!</f>
        <v>#REF!</v>
      </c>
      <c r="L67" s="340" t="e">
        <f>#REF!</f>
        <v>#REF!</v>
      </c>
      <c r="M67" s="340" t="e">
        <f>#REF!</f>
        <v>#REF!</v>
      </c>
      <c r="N67" s="340" t="e">
        <f>#REF!</f>
        <v>#REF!</v>
      </c>
      <c r="O67" s="340" t="e">
        <f>#REF!</f>
        <v>#REF!</v>
      </c>
      <c r="P67" s="340" t="e">
        <f>#REF!</f>
        <v>#REF!</v>
      </c>
      <c r="Q67" s="340" t="e">
        <f>#REF!</f>
        <v>#REF!</v>
      </c>
      <c r="S67" s="221">
        <f>DA!B68</f>
        <v>5.2499999999999991</v>
      </c>
      <c r="T67" s="340" t="e">
        <f>#REF!</f>
        <v>#REF!</v>
      </c>
      <c r="U67" s="340" t="e">
        <f>#REF!</f>
        <v>#REF!</v>
      </c>
      <c r="V67" s="340" t="e">
        <f>#REF!</f>
        <v>#REF!</v>
      </c>
      <c r="W67" s="340" t="e">
        <f>#REF!</f>
        <v>#REF!</v>
      </c>
      <c r="X67" s="340" t="e">
        <f>#REF!</f>
        <v>#REF!</v>
      </c>
      <c r="Y67" s="340" t="e">
        <f>#REF!</f>
        <v>#REF!</v>
      </c>
      <c r="Z67" s="340" t="e">
        <f>#REF!</f>
        <v>#REF!</v>
      </c>
    </row>
    <row r="68" spans="1:26" x14ac:dyDescent="0.25">
      <c r="A68" t="e">
        <f>#REF!</f>
        <v>#REF!</v>
      </c>
      <c r="B68" s="340" t="e">
        <f>#REF!</f>
        <v>#REF!</v>
      </c>
      <c r="C68" s="340" t="e">
        <f>#REF!</f>
        <v>#REF!</v>
      </c>
      <c r="D68" s="340" t="e">
        <f>#REF!</f>
        <v>#REF!</v>
      </c>
      <c r="E68" s="340" t="e">
        <f>#REF!</f>
        <v>#REF!</v>
      </c>
      <c r="F68" s="340" t="e">
        <f>#REF!</f>
        <v>#REF!</v>
      </c>
      <c r="G68" s="340" t="e">
        <f>#REF!</f>
        <v>#REF!</v>
      </c>
      <c r="H68" s="340" t="e">
        <f>#REF!</f>
        <v>#REF!</v>
      </c>
      <c r="J68" t="e">
        <f>#REF!</f>
        <v>#REF!</v>
      </c>
      <c r="K68" s="340" t="e">
        <f>#REF!</f>
        <v>#REF!</v>
      </c>
      <c r="L68" s="340" t="e">
        <f>#REF!</f>
        <v>#REF!</v>
      </c>
      <c r="M68" s="340" t="e">
        <f>#REF!</f>
        <v>#REF!</v>
      </c>
      <c r="N68" s="340" t="e">
        <f>#REF!</f>
        <v>#REF!</v>
      </c>
      <c r="O68" s="340" t="e">
        <f>#REF!</f>
        <v>#REF!</v>
      </c>
      <c r="P68" s="340" t="e">
        <f>#REF!</f>
        <v>#REF!</v>
      </c>
      <c r="Q68" s="340" t="e">
        <f>#REF!</f>
        <v>#REF!</v>
      </c>
      <c r="S68" s="221">
        <f>DA!B69</f>
        <v>4.6666666666666652</v>
      </c>
      <c r="T68" s="340" t="e">
        <f>#REF!</f>
        <v>#REF!</v>
      </c>
      <c r="U68" s="340" t="e">
        <f>#REF!</f>
        <v>#REF!</v>
      </c>
      <c r="V68" s="340" t="e">
        <f>#REF!</f>
        <v>#REF!</v>
      </c>
      <c r="W68" s="340" t="e">
        <f>#REF!</f>
        <v>#REF!</v>
      </c>
      <c r="X68" s="340" t="e">
        <f>#REF!</f>
        <v>#REF!</v>
      </c>
      <c r="Y68" s="340" t="e">
        <f>#REF!</f>
        <v>#REF!</v>
      </c>
      <c r="Z68" s="340" t="e">
        <f>#REF!</f>
        <v>#REF!</v>
      </c>
    </row>
    <row r="69" spans="1:26" x14ac:dyDescent="0.25">
      <c r="A69" t="e">
        <f>#REF!</f>
        <v>#REF!</v>
      </c>
      <c r="B69" s="340" t="e">
        <f>#REF!</f>
        <v>#REF!</v>
      </c>
      <c r="C69" s="340" t="e">
        <f>#REF!</f>
        <v>#REF!</v>
      </c>
      <c r="D69" s="340" t="e">
        <f>#REF!</f>
        <v>#REF!</v>
      </c>
      <c r="E69" s="340" t="e">
        <f>#REF!</f>
        <v>#REF!</v>
      </c>
      <c r="F69" s="340" t="e">
        <f>#REF!</f>
        <v>#REF!</v>
      </c>
      <c r="G69" s="340" t="e">
        <f>#REF!</f>
        <v>#REF!</v>
      </c>
      <c r="H69" s="340" t="e">
        <f>#REF!</f>
        <v>#REF!</v>
      </c>
      <c r="J69" t="e">
        <f>#REF!</f>
        <v>#REF!</v>
      </c>
      <c r="K69" s="340" t="e">
        <f>#REF!</f>
        <v>#REF!</v>
      </c>
      <c r="L69" s="340" t="e">
        <f>#REF!</f>
        <v>#REF!</v>
      </c>
      <c r="M69" s="340" t="e">
        <f>#REF!</f>
        <v>#REF!</v>
      </c>
      <c r="N69" s="340" t="e">
        <f>#REF!</f>
        <v>#REF!</v>
      </c>
      <c r="O69" s="340" t="e">
        <f>#REF!</f>
        <v>#REF!</v>
      </c>
      <c r="P69" s="340" t="e">
        <f>#REF!</f>
        <v>#REF!</v>
      </c>
      <c r="Q69" s="340" t="e">
        <f>#REF!</f>
        <v>#REF!</v>
      </c>
      <c r="S69" s="221">
        <f>DA!B70</f>
        <v>5.3333333333333313</v>
      </c>
      <c r="T69" s="340" t="e">
        <f>#REF!</f>
        <v>#REF!</v>
      </c>
      <c r="U69" s="340" t="e">
        <f>#REF!</f>
        <v>#REF!</v>
      </c>
      <c r="V69" s="340" t="e">
        <f>#REF!</f>
        <v>#REF!</v>
      </c>
      <c r="W69" s="340" t="e">
        <f>#REF!</f>
        <v>#REF!</v>
      </c>
      <c r="X69" s="340" t="e">
        <f>#REF!</f>
        <v>#REF!</v>
      </c>
      <c r="Y69" s="340" t="e">
        <f>#REF!</f>
        <v>#REF!</v>
      </c>
      <c r="Z69" s="340" t="e">
        <f>#REF!</f>
        <v>#REF!</v>
      </c>
    </row>
    <row r="70" spans="1:26" x14ac:dyDescent="0.25">
      <c r="A70" t="e">
        <f>#REF!</f>
        <v>#REF!</v>
      </c>
      <c r="B70" s="340" t="e">
        <f>#REF!</f>
        <v>#REF!</v>
      </c>
      <c r="C70" s="340" t="e">
        <f>#REF!</f>
        <v>#REF!</v>
      </c>
      <c r="D70" s="340" t="e">
        <f>#REF!</f>
        <v>#REF!</v>
      </c>
      <c r="E70" s="340" t="e">
        <f>#REF!</f>
        <v>#REF!</v>
      </c>
      <c r="F70" s="340" t="e">
        <f>#REF!</f>
        <v>#REF!</v>
      </c>
      <c r="G70" s="340" t="e">
        <f>#REF!</f>
        <v>#REF!</v>
      </c>
      <c r="H70" s="340" t="e">
        <f>#REF!</f>
        <v>#REF!</v>
      </c>
      <c r="J70" t="e">
        <f>#REF!</f>
        <v>#REF!</v>
      </c>
      <c r="K70" s="340" t="e">
        <f>#REF!</f>
        <v>#REF!</v>
      </c>
      <c r="L70" s="340" t="e">
        <f>#REF!</f>
        <v>#REF!</v>
      </c>
      <c r="M70" s="340" t="e">
        <f>#REF!</f>
        <v>#REF!</v>
      </c>
      <c r="N70" s="340" t="e">
        <f>#REF!</f>
        <v>#REF!</v>
      </c>
      <c r="O70" s="340" t="e">
        <f>#REF!</f>
        <v>#REF!</v>
      </c>
      <c r="P70" s="340" t="e">
        <f>#REF!</f>
        <v>#REF!</v>
      </c>
      <c r="Q70" s="340" t="e">
        <f>#REF!</f>
        <v>#REF!</v>
      </c>
      <c r="S70" s="221">
        <f>DA!B71</f>
        <v>0</v>
      </c>
      <c r="T70" s="340" t="e">
        <f>#REF!</f>
        <v>#REF!</v>
      </c>
      <c r="U70" s="340" t="e">
        <f>#REF!</f>
        <v>#REF!</v>
      </c>
      <c r="V70" s="340" t="e">
        <f>#REF!</f>
        <v>#REF!</v>
      </c>
      <c r="W70" s="340" t="e">
        <f>#REF!</f>
        <v>#REF!</v>
      </c>
      <c r="X70" s="340" t="e">
        <f>#REF!</f>
        <v>#REF!</v>
      </c>
      <c r="Y70" s="340" t="e">
        <f>#REF!</f>
        <v>#REF!</v>
      </c>
      <c r="Z70" s="340" t="e">
        <f>#REF!</f>
        <v>#REF!</v>
      </c>
    </row>
    <row r="71" spans="1:26" x14ac:dyDescent="0.25">
      <c r="A71" t="e">
        <f>#REF!</f>
        <v>#REF!</v>
      </c>
      <c r="B71" s="340" t="e">
        <f>#REF!</f>
        <v>#REF!</v>
      </c>
      <c r="C71" s="340" t="e">
        <f>#REF!</f>
        <v>#REF!</v>
      </c>
      <c r="D71" s="340" t="e">
        <f>#REF!</f>
        <v>#REF!</v>
      </c>
      <c r="E71" s="340" t="e">
        <f>#REF!</f>
        <v>#REF!</v>
      </c>
      <c r="F71" s="340" t="e">
        <f>#REF!</f>
        <v>#REF!</v>
      </c>
      <c r="G71" s="340" t="e">
        <f>#REF!</f>
        <v>#REF!</v>
      </c>
      <c r="H71" s="340" t="e">
        <f>#REF!</f>
        <v>#REF!</v>
      </c>
      <c r="J71" t="e">
        <f>#REF!</f>
        <v>#REF!</v>
      </c>
      <c r="K71" s="340" t="e">
        <f>#REF!</f>
        <v>#REF!</v>
      </c>
      <c r="L71" s="340" t="e">
        <f>#REF!</f>
        <v>#REF!</v>
      </c>
      <c r="M71" s="340" t="e">
        <f>#REF!</f>
        <v>#REF!</v>
      </c>
      <c r="N71" s="340" t="e">
        <f>#REF!</f>
        <v>#REF!</v>
      </c>
      <c r="O71" s="340" t="e">
        <f>#REF!</f>
        <v>#REF!</v>
      </c>
      <c r="P71" s="340" t="e">
        <f>#REF!</f>
        <v>#REF!</v>
      </c>
      <c r="Q71" s="340" t="e">
        <f>#REF!</f>
        <v>#REF!</v>
      </c>
      <c r="S71" s="221">
        <f>DA!B72</f>
        <v>0</v>
      </c>
      <c r="T71" s="340" t="e">
        <f>#REF!</f>
        <v>#REF!</v>
      </c>
      <c r="U71" s="340" t="e">
        <f>#REF!</f>
        <v>#REF!</v>
      </c>
      <c r="V71" s="340" t="e">
        <f>#REF!</f>
        <v>#REF!</v>
      </c>
      <c r="W71" s="340" t="e">
        <f>#REF!</f>
        <v>#REF!</v>
      </c>
      <c r="X71" s="340" t="e">
        <f>#REF!</f>
        <v>#REF!</v>
      </c>
      <c r="Y71" s="340" t="e">
        <f>#REF!</f>
        <v>#REF!</v>
      </c>
      <c r="Z71" s="340" t="e">
        <f>#REF!</f>
        <v>#REF!</v>
      </c>
    </row>
    <row r="72" spans="1:26" x14ac:dyDescent="0.25">
      <c r="A72" t="e">
        <f>#REF!</f>
        <v>#REF!</v>
      </c>
      <c r="B72" s="340" t="e">
        <f>#REF!</f>
        <v>#REF!</v>
      </c>
      <c r="C72" s="340" t="e">
        <f>#REF!</f>
        <v>#REF!</v>
      </c>
      <c r="D72" s="340" t="e">
        <f>#REF!</f>
        <v>#REF!</v>
      </c>
      <c r="E72" s="340" t="e">
        <f>#REF!</f>
        <v>#REF!</v>
      </c>
      <c r="F72" s="340" t="e">
        <f>#REF!</f>
        <v>#REF!</v>
      </c>
      <c r="G72" s="340" t="e">
        <f>#REF!</f>
        <v>#REF!</v>
      </c>
      <c r="H72" s="340" t="e">
        <f>#REF!</f>
        <v>#REF!</v>
      </c>
      <c r="J72" t="e">
        <f>#REF!</f>
        <v>#REF!</v>
      </c>
      <c r="K72" s="340" t="e">
        <f>#REF!</f>
        <v>#REF!</v>
      </c>
      <c r="L72" s="340" t="e">
        <f>#REF!</f>
        <v>#REF!</v>
      </c>
      <c r="M72" s="340" t="e">
        <f>#REF!</f>
        <v>#REF!</v>
      </c>
      <c r="N72" s="340" t="e">
        <f>#REF!</f>
        <v>#REF!</v>
      </c>
      <c r="O72" s="340" t="e">
        <f>#REF!</f>
        <v>#REF!</v>
      </c>
      <c r="P72" s="340" t="e">
        <f>#REF!</f>
        <v>#REF!</v>
      </c>
      <c r="Q72" s="340" t="e">
        <f>#REF!</f>
        <v>#REF!</v>
      </c>
      <c r="S72" s="221">
        <f>DA!B73</f>
        <v>0</v>
      </c>
      <c r="T72" s="340" t="e">
        <f>#REF!</f>
        <v>#REF!</v>
      </c>
      <c r="U72" s="340" t="e">
        <f>#REF!</f>
        <v>#REF!</v>
      </c>
      <c r="V72" s="340" t="e">
        <f>#REF!</f>
        <v>#REF!</v>
      </c>
      <c r="W72" s="340" t="e">
        <f>#REF!</f>
        <v>#REF!</v>
      </c>
      <c r="X72" s="340" t="e">
        <f>#REF!</f>
        <v>#REF!</v>
      </c>
      <c r="Y72" s="340" t="e">
        <f>#REF!</f>
        <v>#REF!</v>
      </c>
      <c r="Z72" s="340" t="e">
        <f>#REF!</f>
        <v>#REF!</v>
      </c>
    </row>
    <row r="73" spans="1:26" x14ac:dyDescent="0.25">
      <c r="A73" t="e">
        <f>#REF!</f>
        <v>#REF!</v>
      </c>
      <c r="B73" s="340" t="e">
        <f>#REF!</f>
        <v>#REF!</v>
      </c>
      <c r="C73" s="340" t="e">
        <f>#REF!</f>
        <v>#REF!</v>
      </c>
      <c r="D73" s="340" t="e">
        <f>#REF!</f>
        <v>#REF!</v>
      </c>
      <c r="E73" s="340" t="e">
        <f>#REF!</f>
        <v>#REF!</v>
      </c>
      <c r="F73" s="340" t="e">
        <f>#REF!</f>
        <v>#REF!</v>
      </c>
      <c r="G73" s="340" t="e">
        <f>#REF!</f>
        <v>#REF!</v>
      </c>
      <c r="H73" s="340" t="e">
        <f>#REF!</f>
        <v>#REF!</v>
      </c>
      <c r="J73" t="e">
        <f>#REF!</f>
        <v>#REF!</v>
      </c>
      <c r="K73" s="340" t="e">
        <f>#REF!</f>
        <v>#REF!</v>
      </c>
      <c r="L73" s="340" t="e">
        <f>#REF!</f>
        <v>#REF!</v>
      </c>
      <c r="M73" s="340" t="e">
        <f>#REF!</f>
        <v>#REF!</v>
      </c>
      <c r="N73" s="340" t="e">
        <f>#REF!</f>
        <v>#REF!</v>
      </c>
      <c r="O73" s="340" t="e">
        <f>#REF!</f>
        <v>#REF!</v>
      </c>
      <c r="P73" s="340" t="e">
        <f>#REF!</f>
        <v>#REF!</v>
      </c>
      <c r="Q73" s="340" t="e">
        <f>#REF!</f>
        <v>#REF!</v>
      </c>
      <c r="S73" s="221">
        <f>DA!B74</f>
        <v>0</v>
      </c>
      <c r="T73" s="340" t="e">
        <f>#REF!</f>
        <v>#REF!</v>
      </c>
      <c r="U73" s="340" t="e">
        <f>#REF!</f>
        <v>#REF!</v>
      </c>
      <c r="V73" s="340" t="e">
        <f>#REF!</f>
        <v>#REF!</v>
      </c>
      <c r="W73" s="340" t="e">
        <f>#REF!</f>
        <v>#REF!</v>
      </c>
      <c r="X73" s="340" t="e">
        <f>#REF!</f>
        <v>#REF!</v>
      </c>
      <c r="Y73" s="340" t="e">
        <f>#REF!</f>
        <v>#REF!</v>
      </c>
      <c r="Z73" s="340" t="e">
        <f>#REF!</f>
        <v>#REF!</v>
      </c>
    </row>
    <row r="74" spans="1:26" x14ac:dyDescent="0.25">
      <c r="A74" t="e">
        <f>#REF!</f>
        <v>#REF!</v>
      </c>
      <c r="B74" s="340" t="e">
        <f>#REF!</f>
        <v>#REF!</v>
      </c>
      <c r="C74" s="340" t="e">
        <f>#REF!</f>
        <v>#REF!</v>
      </c>
      <c r="D74" s="340" t="e">
        <f>#REF!</f>
        <v>#REF!</v>
      </c>
      <c r="E74" s="340" t="e">
        <f>#REF!</f>
        <v>#REF!</v>
      </c>
      <c r="F74" s="340" t="e">
        <f>#REF!</f>
        <v>#REF!</v>
      </c>
      <c r="G74" s="340" t="e">
        <f>#REF!</f>
        <v>#REF!</v>
      </c>
      <c r="H74" s="340" t="e">
        <f>#REF!</f>
        <v>#REF!</v>
      </c>
      <c r="J74" t="e">
        <f>#REF!</f>
        <v>#REF!</v>
      </c>
      <c r="K74" s="340" t="e">
        <f>#REF!</f>
        <v>#REF!</v>
      </c>
      <c r="L74" s="340" t="e">
        <f>#REF!</f>
        <v>#REF!</v>
      </c>
      <c r="M74" s="340" t="e">
        <f>#REF!</f>
        <v>#REF!</v>
      </c>
      <c r="N74" s="340" t="e">
        <f>#REF!</f>
        <v>#REF!</v>
      </c>
      <c r="O74" s="340" t="e">
        <f>#REF!</f>
        <v>#REF!</v>
      </c>
      <c r="P74" s="340" t="e">
        <f>#REF!</f>
        <v>#REF!</v>
      </c>
      <c r="Q74" s="340" t="e">
        <f>#REF!</f>
        <v>#REF!</v>
      </c>
      <c r="S74" s="221">
        <f>DA!B75</f>
        <v>0</v>
      </c>
      <c r="T74" s="340" t="e">
        <f>#REF!</f>
        <v>#REF!</v>
      </c>
      <c r="U74" s="340" t="e">
        <f>#REF!</f>
        <v>#REF!</v>
      </c>
      <c r="V74" s="340" t="e">
        <f>#REF!</f>
        <v>#REF!</v>
      </c>
      <c r="W74" s="340" t="e">
        <f>#REF!</f>
        <v>#REF!</v>
      </c>
      <c r="X74" s="340" t="e">
        <f>#REF!</f>
        <v>#REF!</v>
      </c>
      <c r="Y74" s="340" t="e">
        <f>#REF!</f>
        <v>#REF!</v>
      </c>
      <c r="Z74" s="340" t="e">
        <f>#REF!</f>
        <v>#REF!</v>
      </c>
    </row>
    <row r="75" spans="1:26" x14ac:dyDescent="0.25">
      <c r="A75" t="e">
        <f>#REF!</f>
        <v>#REF!</v>
      </c>
      <c r="B75" s="340" t="e">
        <f>#REF!</f>
        <v>#REF!</v>
      </c>
      <c r="C75" s="340" t="e">
        <f>#REF!</f>
        <v>#REF!</v>
      </c>
      <c r="D75" s="340" t="e">
        <f>#REF!</f>
        <v>#REF!</v>
      </c>
      <c r="E75" s="340" t="e">
        <f>#REF!</f>
        <v>#REF!</v>
      </c>
      <c r="F75" s="340" t="e">
        <f>#REF!</f>
        <v>#REF!</v>
      </c>
      <c r="G75" s="340" t="e">
        <f>#REF!</f>
        <v>#REF!</v>
      </c>
      <c r="H75" s="340" t="e">
        <f>#REF!</f>
        <v>#REF!</v>
      </c>
      <c r="J75" t="e">
        <f>#REF!</f>
        <v>#REF!</v>
      </c>
      <c r="K75" s="340" t="e">
        <f>#REF!</f>
        <v>#REF!</v>
      </c>
      <c r="L75" s="340" t="e">
        <f>#REF!</f>
        <v>#REF!</v>
      </c>
      <c r="M75" s="340" t="e">
        <f>#REF!</f>
        <v>#REF!</v>
      </c>
      <c r="N75" s="340" t="e">
        <f>#REF!</f>
        <v>#REF!</v>
      </c>
      <c r="O75" s="340" t="e">
        <f>#REF!</f>
        <v>#REF!</v>
      </c>
      <c r="P75" s="340" t="e">
        <f>#REF!</f>
        <v>#REF!</v>
      </c>
      <c r="Q75" s="340" t="e">
        <f>#REF!</f>
        <v>#REF!</v>
      </c>
      <c r="S75" s="221">
        <f>DA!B76</f>
        <v>0</v>
      </c>
      <c r="T75" s="340" t="e">
        <f>#REF!</f>
        <v>#REF!</v>
      </c>
      <c r="U75" s="340" t="e">
        <f>#REF!</f>
        <v>#REF!</v>
      </c>
      <c r="V75" s="340" t="e">
        <f>#REF!</f>
        <v>#REF!</v>
      </c>
      <c r="W75" s="340" t="e">
        <f>#REF!</f>
        <v>#REF!</v>
      </c>
      <c r="X75" s="340" t="e">
        <f>#REF!</f>
        <v>#REF!</v>
      </c>
      <c r="Y75" s="340" t="e">
        <f>#REF!</f>
        <v>#REF!</v>
      </c>
      <c r="Z75" s="340" t="e">
        <f>#REF!</f>
        <v>#REF!</v>
      </c>
    </row>
    <row r="76" spans="1:26" x14ac:dyDescent="0.25">
      <c r="A76" t="e">
        <f>#REF!</f>
        <v>#REF!</v>
      </c>
      <c r="B76" s="340" t="e">
        <f>#REF!</f>
        <v>#REF!</v>
      </c>
      <c r="C76" s="340" t="e">
        <f>#REF!</f>
        <v>#REF!</v>
      </c>
      <c r="D76" s="340" t="e">
        <f>#REF!</f>
        <v>#REF!</v>
      </c>
      <c r="E76" s="340" t="e">
        <f>#REF!</f>
        <v>#REF!</v>
      </c>
      <c r="F76" s="340" t="e">
        <f>#REF!</f>
        <v>#REF!</v>
      </c>
      <c r="G76" s="340" t="e">
        <f>#REF!</f>
        <v>#REF!</v>
      </c>
      <c r="H76" s="340" t="e">
        <f>#REF!</f>
        <v>#REF!</v>
      </c>
      <c r="J76" t="e">
        <f>#REF!</f>
        <v>#REF!</v>
      </c>
      <c r="K76" s="340" t="e">
        <f>#REF!</f>
        <v>#REF!</v>
      </c>
      <c r="L76" s="340" t="e">
        <f>#REF!</f>
        <v>#REF!</v>
      </c>
      <c r="M76" s="340" t="e">
        <f>#REF!</f>
        <v>#REF!</v>
      </c>
      <c r="N76" s="340" t="e">
        <f>#REF!</f>
        <v>#REF!</v>
      </c>
      <c r="O76" s="340" t="e">
        <f>#REF!</f>
        <v>#REF!</v>
      </c>
      <c r="P76" s="340" t="e">
        <f>#REF!</f>
        <v>#REF!</v>
      </c>
      <c r="Q76" s="340" t="e">
        <f>#REF!</f>
        <v>#REF!</v>
      </c>
      <c r="S76" s="221">
        <f>DA!B77</f>
        <v>0</v>
      </c>
      <c r="T76" s="340" t="e">
        <f>#REF!</f>
        <v>#REF!</v>
      </c>
      <c r="U76" s="340" t="e">
        <f>#REF!</f>
        <v>#REF!</v>
      </c>
      <c r="V76" s="340" t="e">
        <f>#REF!</f>
        <v>#REF!</v>
      </c>
      <c r="W76" s="340" t="e">
        <f>#REF!</f>
        <v>#REF!</v>
      </c>
      <c r="X76" s="340" t="e">
        <f>#REF!</f>
        <v>#REF!</v>
      </c>
      <c r="Y76" s="340" t="e">
        <f>#REF!</f>
        <v>#REF!</v>
      </c>
      <c r="Z76" s="340" t="e">
        <f>#REF!</f>
        <v>#REF!</v>
      </c>
    </row>
    <row r="77" spans="1:26" x14ac:dyDescent="0.25">
      <c r="A77" t="e">
        <f>#REF!</f>
        <v>#REF!</v>
      </c>
      <c r="B77" s="340" t="e">
        <f>#REF!</f>
        <v>#REF!</v>
      </c>
      <c r="C77" s="340" t="e">
        <f>#REF!</f>
        <v>#REF!</v>
      </c>
      <c r="D77" s="340" t="e">
        <f>#REF!</f>
        <v>#REF!</v>
      </c>
      <c r="E77" s="340" t="e">
        <f>#REF!</f>
        <v>#REF!</v>
      </c>
      <c r="F77" s="340" t="e">
        <f>#REF!</f>
        <v>#REF!</v>
      </c>
      <c r="G77" s="340" t="e">
        <f>#REF!</f>
        <v>#REF!</v>
      </c>
      <c r="H77" s="340" t="e">
        <f>#REF!</f>
        <v>#REF!</v>
      </c>
      <c r="J77" t="e">
        <f>#REF!</f>
        <v>#REF!</v>
      </c>
      <c r="K77" s="340" t="e">
        <f>#REF!</f>
        <v>#REF!</v>
      </c>
      <c r="L77" s="340" t="e">
        <f>#REF!</f>
        <v>#REF!</v>
      </c>
      <c r="M77" s="340" t="e">
        <f>#REF!</f>
        <v>#REF!</v>
      </c>
      <c r="N77" s="340" t="e">
        <f>#REF!</f>
        <v>#REF!</v>
      </c>
      <c r="O77" s="340" t="e">
        <f>#REF!</f>
        <v>#REF!</v>
      </c>
      <c r="P77" s="340" t="e">
        <f>#REF!</f>
        <v>#REF!</v>
      </c>
      <c r="Q77" s="340" t="e">
        <f>#REF!</f>
        <v>#REF!</v>
      </c>
      <c r="S77" s="221">
        <f>DA!B78</f>
        <v>0</v>
      </c>
      <c r="T77" s="340" t="e">
        <f>#REF!</f>
        <v>#REF!</v>
      </c>
      <c r="U77" s="340" t="e">
        <f>#REF!</f>
        <v>#REF!</v>
      </c>
      <c r="V77" s="340" t="e">
        <f>#REF!</f>
        <v>#REF!</v>
      </c>
      <c r="W77" s="340" t="e">
        <f>#REF!</f>
        <v>#REF!</v>
      </c>
      <c r="X77" s="340" t="e">
        <f>#REF!</f>
        <v>#REF!</v>
      </c>
      <c r="Y77" s="340" t="e">
        <f>#REF!</f>
        <v>#REF!</v>
      </c>
      <c r="Z77" s="340" t="e">
        <f>#REF!</f>
        <v>#REF!</v>
      </c>
    </row>
    <row r="78" spans="1:26" x14ac:dyDescent="0.25">
      <c r="A78" t="e">
        <f>#REF!</f>
        <v>#REF!</v>
      </c>
      <c r="B78" s="340" t="e">
        <f>#REF!</f>
        <v>#REF!</v>
      </c>
      <c r="C78" s="340" t="e">
        <f>#REF!</f>
        <v>#REF!</v>
      </c>
      <c r="D78" s="340" t="e">
        <f>#REF!</f>
        <v>#REF!</v>
      </c>
      <c r="E78" s="340" t="e">
        <f>#REF!</f>
        <v>#REF!</v>
      </c>
      <c r="F78" s="340" t="e">
        <f>#REF!</f>
        <v>#REF!</v>
      </c>
      <c r="G78" s="340" t="e">
        <f>#REF!</f>
        <v>#REF!</v>
      </c>
      <c r="H78" s="340" t="e">
        <f>#REF!</f>
        <v>#REF!</v>
      </c>
      <c r="J78" t="e">
        <f>#REF!</f>
        <v>#REF!</v>
      </c>
      <c r="K78" s="340" t="e">
        <f>#REF!</f>
        <v>#REF!</v>
      </c>
      <c r="L78" s="340" t="e">
        <f>#REF!</f>
        <v>#REF!</v>
      </c>
      <c r="M78" s="340" t="e">
        <f>#REF!</f>
        <v>#REF!</v>
      </c>
      <c r="N78" s="340" t="e">
        <f>#REF!</f>
        <v>#REF!</v>
      </c>
      <c r="O78" s="340" t="e">
        <f>#REF!</f>
        <v>#REF!</v>
      </c>
      <c r="P78" s="340" t="e">
        <f>#REF!</f>
        <v>#REF!</v>
      </c>
      <c r="Q78" s="340" t="e">
        <f>#REF!</f>
        <v>#REF!</v>
      </c>
      <c r="S78" s="221">
        <f>DA!B79</f>
        <v>0</v>
      </c>
      <c r="T78" s="340" t="e">
        <f>#REF!</f>
        <v>#REF!</v>
      </c>
      <c r="U78" s="340" t="e">
        <f>#REF!</f>
        <v>#REF!</v>
      </c>
      <c r="V78" s="340" t="e">
        <f>#REF!</f>
        <v>#REF!</v>
      </c>
      <c r="W78" s="340" t="e">
        <f>#REF!</f>
        <v>#REF!</v>
      </c>
      <c r="X78" s="340" t="e">
        <f>#REF!</f>
        <v>#REF!</v>
      </c>
      <c r="Y78" s="340" t="e">
        <f>#REF!</f>
        <v>#REF!</v>
      </c>
      <c r="Z78" s="340" t="e">
        <f>#REF!</f>
        <v>#REF!</v>
      </c>
    </row>
    <row r="79" spans="1:26" x14ac:dyDescent="0.25">
      <c r="A79" t="e">
        <f>#REF!</f>
        <v>#REF!</v>
      </c>
      <c r="B79" s="340" t="e">
        <f>#REF!</f>
        <v>#REF!</v>
      </c>
      <c r="C79" s="340" t="e">
        <f>#REF!</f>
        <v>#REF!</v>
      </c>
      <c r="D79" s="340" t="e">
        <f>#REF!</f>
        <v>#REF!</v>
      </c>
      <c r="E79" s="340" t="e">
        <f>#REF!</f>
        <v>#REF!</v>
      </c>
      <c r="F79" s="340" t="e">
        <f>#REF!</f>
        <v>#REF!</v>
      </c>
      <c r="G79" s="340" t="e">
        <f>#REF!</f>
        <v>#REF!</v>
      </c>
      <c r="H79" s="340" t="e">
        <f>#REF!</f>
        <v>#REF!</v>
      </c>
      <c r="J79" t="e">
        <f>#REF!</f>
        <v>#REF!</v>
      </c>
      <c r="K79" s="340" t="e">
        <f>#REF!</f>
        <v>#REF!</v>
      </c>
      <c r="L79" s="340" t="e">
        <f>#REF!</f>
        <v>#REF!</v>
      </c>
      <c r="M79" s="340" t="e">
        <f>#REF!</f>
        <v>#REF!</v>
      </c>
      <c r="N79" s="340" t="e">
        <f>#REF!</f>
        <v>#REF!</v>
      </c>
      <c r="O79" s="340" t="e">
        <f>#REF!</f>
        <v>#REF!</v>
      </c>
      <c r="P79" s="340" t="e">
        <f>#REF!</f>
        <v>#REF!</v>
      </c>
      <c r="Q79" s="340" t="e">
        <f>#REF!</f>
        <v>#REF!</v>
      </c>
      <c r="S79" s="221">
        <f>DA!B80</f>
        <v>0</v>
      </c>
      <c r="T79" s="340" t="e">
        <f>#REF!</f>
        <v>#REF!</v>
      </c>
      <c r="U79" s="340" t="e">
        <f>#REF!</f>
        <v>#REF!</v>
      </c>
      <c r="V79" s="340" t="e">
        <f>#REF!</f>
        <v>#REF!</v>
      </c>
      <c r="W79" s="340" t="e">
        <f>#REF!</f>
        <v>#REF!</v>
      </c>
      <c r="X79" s="340" t="e">
        <f>#REF!</f>
        <v>#REF!</v>
      </c>
      <c r="Y79" s="340" t="e">
        <f>#REF!</f>
        <v>#REF!</v>
      </c>
      <c r="Z79" s="340" t="e">
        <f>#REF!</f>
        <v>#REF!</v>
      </c>
    </row>
    <row r="80" spans="1:26" x14ac:dyDescent="0.25">
      <c r="A80" t="e">
        <f>#REF!</f>
        <v>#REF!</v>
      </c>
      <c r="B80" s="340" t="e">
        <f>#REF!</f>
        <v>#REF!</v>
      </c>
      <c r="C80" s="340" t="e">
        <f>#REF!</f>
        <v>#REF!</v>
      </c>
      <c r="D80" s="340" t="e">
        <f>#REF!</f>
        <v>#REF!</v>
      </c>
      <c r="E80" s="340" t="e">
        <f>#REF!</f>
        <v>#REF!</v>
      </c>
      <c r="F80" s="340" t="e">
        <f>#REF!</f>
        <v>#REF!</v>
      </c>
      <c r="G80" s="340" t="e">
        <f>#REF!</f>
        <v>#REF!</v>
      </c>
      <c r="H80" s="340" t="e">
        <f>#REF!</f>
        <v>#REF!</v>
      </c>
      <c r="J80" t="e">
        <f>#REF!</f>
        <v>#REF!</v>
      </c>
      <c r="K80" s="340" t="e">
        <f>#REF!</f>
        <v>#REF!</v>
      </c>
      <c r="L80" s="340" t="e">
        <f>#REF!</f>
        <v>#REF!</v>
      </c>
      <c r="M80" s="340" t="e">
        <f>#REF!</f>
        <v>#REF!</v>
      </c>
      <c r="N80" s="340" t="e">
        <f>#REF!</f>
        <v>#REF!</v>
      </c>
      <c r="O80" s="340" t="e">
        <f>#REF!</f>
        <v>#REF!</v>
      </c>
      <c r="P80" s="340" t="e">
        <f>#REF!</f>
        <v>#REF!</v>
      </c>
      <c r="Q80" s="340" t="e">
        <f>#REF!</f>
        <v>#REF!</v>
      </c>
      <c r="S80" s="221">
        <f>DA!B81</f>
        <v>0</v>
      </c>
      <c r="T80" s="340" t="e">
        <f>#REF!</f>
        <v>#REF!</v>
      </c>
      <c r="U80" s="340" t="e">
        <f>#REF!</f>
        <v>#REF!</v>
      </c>
      <c r="V80" s="340" t="e">
        <f>#REF!</f>
        <v>#REF!</v>
      </c>
      <c r="W80" s="340" t="e">
        <f>#REF!</f>
        <v>#REF!</v>
      </c>
      <c r="X80" s="340" t="e">
        <f>#REF!</f>
        <v>#REF!</v>
      </c>
      <c r="Y80" s="340" t="e">
        <f>#REF!</f>
        <v>#REF!</v>
      </c>
      <c r="Z80" s="340" t="e">
        <f>#REF!</f>
        <v>#REF!</v>
      </c>
    </row>
    <row r="81" spans="1:26" x14ac:dyDescent="0.25">
      <c r="A81" t="e">
        <f>#REF!</f>
        <v>#REF!</v>
      </c>
      <c r="B81" s="340" t="e">
        <f>#REF!</f>
        <v>#REF!</v>
      </c>
      <c r="C81" s="340" t="e">
        <f>#REF!</f>
        <v>#REF!</v>
      </c>
      <c r="D81" s="340" t="e">
        <f>#REF!</f>
        <v>#REF!</v>
      </c>
      <c r="E81" s="340" t="e">
        <f>#REF!</f>
        <v>#REF!</v>
      </c>
      <c r="F81" s="340" t="e">
        <f>#REF!</f>
        <v>#REF!</v>
      </c>
      <c r="G81" s="340" t="e">
        <f>#REF!</f>
        <v>#REF!</v>
      </c>
      <c r="H81" s="340" t="e">
        <f>#REF!</f>
        <v>#REF!</v>
      </c>
      <c r="J81" t="e">
        <f>#REF!</f>
        <v>#REF!</v>
      </c>
      <c r="K81" s="340" t="e">
        <f>#REF!</f>
        <v>#REF!</v>
      </c>
      <c r="L81" s="340" t="e">
        <f>#REF!</f>
        <v>#REF!</v>
      </c>
      <c r="M81" s="340" t="e">
        <f>#REF!</f>
        <v>#REF!</v>
      </c>
      <c r="N81" s="340" t="e">
        <f>#REF!</f>
        <v>#REF!</v>
      </c>
      <c r="O81" s="340" t="e">
        <f>#REF!</f>
        <v>#REF!</v>
      </c>
      <c r="P81" s="340" t="e">
        <f>#REF!</f>
        <v>#REF!</v>
      </c>
      <c r="Q81" s="340" t="e">
        <f>#REF!</f>
        <v>#REF!</v>
      </c>
      <c r="S81" s="221">
        <f>DA!B82</f>
        <v>0</v>
      </c>
      <c r="T81" s="340" t="e">
        <f>#REF!</f>
        <v>#REF!</v>
      </c>
      <c r="U81" s="340" t="e">
        <f>#REF!</f>
        <v>#REF!</v>
      </c>
      <c r="V81" s="340" t="e">
        <f>#REF!</f>
        <v>#REF!</v>
      </c>
      <c r="W81" s="340" t="e">
        <f>#REF!</f>
        <v>#REF!</v>
      </c>
      <c r="X81" s="340" t="e">
        <f>#REF!</f>
        <v>#REF!</v>
      </c>
      <c r="Y81" s="340" t="e">
        <f>#REF!</f>
        <v>#REF!</v>
      </c>
      <c r="Z81" s="340" t="e">
        <f>#REF!</f>
        <v>#REF!</v>
      </c>
    </row>
    <row r="82" spans="1:26" x14ac:dyDescent="0.25">
      <c r="A82" t="e">
        <f>#REF!</f>
        <v>#REF!</v>
      </c>
      <c r="B82" s="340" t="e">
        <f>#REF!</f>
        <v>#REF!</v>
      </c>
      <c r="C82" s="340" t="e">
        <f>#REF!</f>
        <v>#REF!</v>
      </c>
      <c r="D82" s="340" t="e">
        <f>#REF!</f>
        <v>#REF!</v>
      </c>
      <c r="E82" s="340" t="e">
        <f>#REF!</f>
        <v>#REF!</v>
      </c>
      <c r="F82" s="340" t="e">
        <f>#REF!</f>
        <v>#REF!</v>
      </c>
      <c r="G82" s="340" t="e">
        <f>#REF!</f>
        <v>#REF!</v>
      </c>
      <c r="H82" s="340" t="e">
        <f>#REF!</f>
        <v>#REF!</v>
      </c>
      <c r="J82" t="e">
        <f>#REF!</f>
        <v>#REF!</v>
      </c>
      <c r="K82" s="340" t="e">
        <f>#REF!</f>
        <v>#REF!</v>
      </c>
      <c r="L82" s="340" t="e">
        <f>#REF!</f>
        <v>#REF!</v>
      </c>
      <c r="M82" s="340" t="e">
        <f>#REF!</f>
        <v>#REF!</v>
      </c>
      <c r="N82" s="340" t="e">
        <f>#REF!</f>
        <v>#REF!</v>
      </c>
      <c r="O82" s="340" t="e">
        <f>#REF!</f>
        <v>#REF!</v>
      </c>
      <c r="P82" s="340" t="e">
        <f>#REF!</f>
        <v>#REF!</v>
      </c>
      <c r="Q82" s="340" t="e">
        <f>#REF!</f>
        <v>#REF!</v>
      </c>
      <c r="S82" s="221">
        <f>DA!B83</f>
        <v>0</v>
      </c>
      <c r="T82" s="340" t="e">
        <f>#REF!</f>
        <v>#REF!</v>
      </c>
      <c r="U82" s="340" t="e">
        <f>#REF!</f>
        <v>#REF!</v>
      </c>
      <c r="V82" s="340" t="e">
        <f>#REF!</f>
        <v>#REF!</v>
      </c>
      <c r="W82" s="340" t="e">
        <f>#REF!</f>
        <v>#REF!</v>
      </c>
      <c r="X82" s="340" t="e">
        <f>#REF!</f>
        <v>#REF!</v>
      </c>
      <c r="Y82" s="340" t="e">
        <f>#REF!</f>
        <v>#REF!</v>
      </c>
      <c r="Z82" s="340" t="e">
        <f>#REF!</f>
        <v>#REF!</v>
      </c>
    </row>
    <row r="83" spans="1:26" x14ac:dyDescent="0.25">
      <c r="A83" t="e">
        <f>#REF!</f>
        <v>#REF!</v>
      </c>
      <c r="B83" s="340" t="e">
        <f>#REF!</f>
        <v>#REF!</v>
      </c>
      <c r="C83" s="340" t="e">
        <f>#REF!</f>
        <v>#REF!</v>
      </c>
      <c r="D83" s="340" t="e">
        <f>#REF!</f>
        <v>#REF!</v>
      </c>
      <c r="E83" s="340" t="e">
        <f>#REF!</f>
        <v>#REF!</v>
      </c>
      <c r="F83" s="340" t="e">
        <f>#REF!</f>
        <v>#REF!</v>
      </c>
      <c r="G83" s="340" t="e">
        <f>#REF!</f>
        <v>#REF!</v>
      </c>
      <c r="H83" s="340" t="e">
        <f>#REF!</f>
        <v>#REF!</v>
      </c>
      <c r="J83" t="e">
        <f>#REF!</f>
        <v>#REF!</v>
      </c>
      <c r="K83" s="340" t="e">
        <f>#REF!</f>
        <v>#REF!</v>
      </c>
      <c r="L83" s="340" t="e">
        <f>#REF!</f>
        <v>#REF!</v>
      </c>
      <c r="M83" s="340" t="e">
        <f>#REF!</f>
        <v>#REF!</v>
      </c>
      <c r="N83" s="340" t="e">
        <f>#REF!</f>
        <v>#REF!</v>
      </c>
      <c r="O83" s="340" t="e">
        <f>#REF!</f>
        <v>#REF!</v>
      </c>
      <c r="P83" s="340" t="e">
        <f>#REF!</f>
        <v>#REF!</v>
      </c>
      <c r="Q83" s="340" t="e">
        <f>#REF!</f>
        <v>#REF!</v>
      </c>
      <c r="S83" s="221">
        <f>DA!B84</f>
        <v>0</v>
      </c>
      <c r="T83" s="340" t="e">
        <f>#REF!</f>
        <v>#REF!</v>
      </c>
      <c r="U83" s="340" t="e">
        <f>#REF!</f>
        <v>#REF!</v>
      </c>
      <c r="V83" s="340" t="e">
        <f>#REF!</f>
        <v>#REF!</v>
      </c>
      <c r="W83" s="340" t="e">
        <f>#REF!</f>
        <v>#REF!</v>
      </c>
      <c r="X83" s="340" t="e">
        <f>#REF!</f>
        <v>#REF!</v>
      </c>
      <c r="Y83" s="340" t="e">
        <f>#REF!</f>
        <v>#REF!</v>
      </c>
      <c r="Z83" s="340" t="e">
        <f>#REF!</f>
        <v>#REF!</v>
      </c>
    </row>
    <row r="84" spans="1:26" x14ac:dyDescent="0.25">
      <c r="A84" t="e">
        <f>#REF!</f>
        <v>#REF!</v>
      </c>
      <c r="B84" s="340" t="e">
        <f>#REF!</f>
        <v>#REF!</v>
      </c>
      <c r="C84" s="340" t="e">
        <f>#REF!</f>
        <v>#REF!</v>
      </c>
      <c r="D84" s="340" t="e">
        <f>#REF!</f>
        <v>#REF!</v>
      </c>
      <c r="E84" s="340" t="e">
        <f>#REF!</f>
        <v>#REF!</v>
      </c>
      <c r="F84" s="340" t="e">
        <f>#REF!</f>
        <v>#REF!</v>
      </c>
      <c r="G84" s="340" t="e">
        <f>#REF!</f>
        <v>#REF!</v>
      </c>
      <c r="H84" s="340" t="e">
        <f>#REF!</f>
        <v>#REF!</v>
      </c>
      <c r="J84" t="e">
        <f>#REF!</f>
        <v>#REF!</v>
      </c>
      <c r="K84" s="340" t="e">
        <f>#REF!</f>
        <v>#REF!</v>
      </c>
      <c r="L84" s="340" t="e">
        <f>#REF!</f>
        <v>#REF!</v>
      </c>
      <c r="M84" s="340" t="e">
        <f>#REF!</f>
        <v>#REF!</v>
      </c>
      <c r="N84" s="340" t="e">
        <f>#REF!</f>
        <v>#REF!</v>
      </c>
      <c r="O84" s="340" t="e">
        <f>#REF!</f>
        <v>#REF!</v>
      </c>
      <c r="P84" s="340" t="e">
        <f>#REF!</f>
        <v>#REF!</v>
      </c>
      <c r="Q84" s="340" t="e">
        <f>#REF!</f>
        <v>#REF!</v>
      </c>
      <c r="S84" s="221">
        <f>DA!B85</f>
        <v>0</v>
      </c>
      <c r="T84" s="340" t="e">
        <f>#REF!</f>
        <v>#REF!</v>
      </c>
      <c r="U84" s="340" t="e">
        <f>#REF!</f>
        <v>#REF!</v>
      </c>
      <c r="V84" s="340" t="e">
        <f>#REF!</f>
        <v>#REF!</v>
      </c>
      <c r="W84" s="340" t="e">
        <f>#REF!</f>
        <v>#REF!</v>
      </c>
      <c r="X84" s="340" t="e">
        <f>#REF!</f>
        <v>#REF!</v>
      </c>
      <c r="Y84" s="340" t="e">
        <f>#REF!</f>
        <v>#REF!</v>
      </c>
      <c r="Z84" s="340" t="e">
        <f>#REF!</f>
        <v>#REF!</v>
      </c>
    </row>
    <row r="85" spans="1:26" x14ac:dyDescent="0.25">
      <c r="A85" t="e">
        <f>#REF!</f>
        <v>#REF!</v>
      </c>
      <c r="B85" s="340" t="e">
        <f>#REF!</f>
        <v>#REF!</v>
      </c>
      <c r="C85" s="340" t="e">
        <f>#REF!</f>
        <v>#REF!</v>
      </c>
      <c r="D85" s="340" t="e">
        <f>#REF!</f>
        <v>#REF!</v>
      </c>
      <c r="E85" s="340" t="e">
        <f>#REF!</f>
        <v>#REF!</v>
      </c>
      <c r="F85" s="340" t="e">
        <f>#REF!</f>
        <v>#REF!</v>
      </c>
      <c r="G85" s="340" t="e">
        <f>#REF!</f>
        <v>#REF!</v>
      </c>
      <c r="H85" s="340" t="e">
        <f>#REF!</f>
        <v>#REF!</v>
      </c>
      <c r="J85" t="e">
        <f>#REF!</f>
        <v>#REF!</v>
      </c>
      <c r="K85" s="340" t="e">
        <f>#REF!</f>
        <v>#REF!</v>
      </c>
      <c r="L85" s="340" t="e">
        <f>#REF!</f>
        <v>#REF!</v>
      </c>
      <c r="M85" s="340" t="e">
        <f>#REF!</f>
        <v>#REF!</v>
      </c>
      <c r="N85" s="340" t="e">
        <f>#REF!</f>
        <v>#REF!</v>
      </c>
      <c r="O85" s="340" t="e">
        <f>#REF!</f>
        <v>#REF!</v>
      </c>
      <c r="P85" s="340" t="e">
        <f>#REF!</f>
        <v>#REF!</v>
      </c>
      <c r="Q85" s="340" t="e">
        <f>#REF!</f>
        <v>#REF!</v>
      </c>
      <c r="S85" s="221">
        <f>DA!B86</f>
        <v>0</v>
      </c>
      <c r="T85" s="340" t="e">
        <f>#REF!</f>
        <v>#REF!</v>
      </c>
      <c r="U85" s="340" t="e">
        <f>#REF!</f>
        <v>#REF!</v>
      </c>
      <c r="V85" s="340" t="e">
        <f>#REF!</f>
        <v>#REF!</v>
      </c>
      <c r="W85" s="340" t="e">
        <f>#REF!</f>
        <v>#REF!</v>
      </c>
      <c r="X85" s="340" t="e">
        <f>#REF!</f>
        <v>#REF!</v>
      </c>
      <c r="Y85" s="340" t="e">
        <f>#REF!</f>
        <v>#REF!</v>
      </c>
      <c r="Z85" s="340" t="e">
        <f>#REF!</f>
        <v>#REF!</v>
      </c>
    </row>
    <row r="86" spans="1:26" x14ac:dyDescent="0.25">
      <c r="A86" t="e">
        <f>#REF!</f>
        <v>#REF!</v>
      </c>
      <c r="B86" s="340" t="e">
        <f>#REF!</f>
        <v>#REF!</v>
      </c>
      <c r="C86" s="340" t="e">
        <f>#REF!</f>
        <v>#REF!</v>
      </c>
      <c r="D86" s="340" t="e">
        <f>#REF!</f>
        <v>#REF!</v>
      </c>
      <c r="E86" s="340" t="e">
        <f>#REF!</f>
        <v>#REF!</v>
      </c>
      <c r="F86" s="340" t="e">
        <f>#REF!</f>
        <v>#REF!</v>
      </c>
      <c r="G86" s="340" t="e">
        <f>#REF!</f>
        <v>#REF!</v>
      </c>
      <c r="H86" s="340" t="e">
        <f>#REF!</f>
        <v>#REF!</v>
      </c>
      <c r="J86" t="e">
        <f>#REF!</f>
        <v>#REF!</v>
      </c>
      <c r="K86" s="340" t="e">
        <f>#REF!</f>
        <v>#REF!</v>
      </c>
      <c r="L86" s="340" t="e">
        <f>#REF!</f>
        <v>#REF!</v>
      </c>
      <c r="M86" s="340" t="e">
        <f>#REF!</f>
        <v>#REF!</v>
      </c>
      <c r="N86" s="340" t="e">
        <f>#REF!</f>
        <v>#REF!</v>
      </c>
      <c r="O86" s="340" t="e">
        <f>#REF!</f>
        <v>#REF!</v>
      </c>
      <c r="P86" s="340" t="e">
        <f>#REF!</f>
        <v>#REF!</v>
      </c>
      <c r="Q86" s="340" t="e">
        <f>#REF!</f>
        <v>#REF!</v>
      </c>
      <c r="S86" s="221">
        <f>DA!B87</f>
        <v>0</v>
      </c>
      <c r="T86" s="340" t="e">
        <f>#REF!</f>
        <v>#REF!</v>
      </c>
      <c r="U86" s="340" t="e">
        <f>#REF!</f>
        <v>#REF!</v>
      </c>
      <c r="V86" s="340" t="e">
        <f>#REF!</f>
        <v>#REF!</v>
      </c>
      <c r="W86" s="340" t="e">
        <f>#REF!</f>
        <v>#REF!</v>
      </c>
      <c r="X86" s="340" t="e">
        <f>#REF!</f>
        <v>#REF!</v>
      </c>
      <c r="Y86" s="340" t="e">
        <f>#REF!</f>
        <v>#REF!</v>
      </c>
      <c r="Z86" s="340" t="e">
        <f>#REF!</f>
        <v>#REF!</v>
      </c>
    </row>
    <row r="87" spans="1:26" x14ac:dyDescent="0.25">
      <c r="A87" t="e">
        <f>#REF!</f>
        <v>#REF!</v>
      </c>
      <c r="B87" s="340" t="e">
        <f>#REF!</f>
        <v>#REF!</v>
      </c>
      <c r="C87" s="340" t="e">
        <f>#REF!</f>
        <v>#REF!</v>
      </c>
      <c r="D87" s="340" t="e">
        <f>#REF!</f>
        <v>#REF!</v>
      </c>
      <c r="E87" s="340" t="e">
        <f>#REF!</f>
        <v>#REF!</v>
      </c>
      <c r="F87" s="340" t="e">
        <f>#REF!</f>
        <v>#REF!</v>
      </c>
      <c r="G87" s="340" t="e">
        <f>#REF!</f>
        <v>#REF!</v>
      </c>
      <c r="H87" s="340" t="e">
        <f>#REF!</f>
        <v>#REF!</v>
      </c>
      <c r="J87" t="e">
        <f>#REF!</f>
        <v>#REF!</v>
      </c>
      <c r="K87" s="340" t="e">
        <f>#REF!</f>
        <v>#REF!</v>
      </c>
      <c r="L87" s="340" t="e">
        <f>#REF!</f>
        <v>#REF!</v>
      </c>
      <c r="M87" s="340" t="e">
        <f>#REF!</f>
        <v>#REF!</v>
      </c>
      <c r="N87" s="340" t="e">
        <f>#REF!</f>
        <v>#REF!</v>
      </c>
      <c r="O87" s="340" t="e">
        <f>#REF!</f>
        <v>#REF!</v>
      </c>
      <c r="P87" s="340" t="e">
        <f>#REF!</f>
        <v>#REF!</v>
      </c>
      <c r="Q87" s="340" t="e">
        <f>#REF!</f>
        <v>#REF!</v>
      </c>
      <c r="S87" s="221">
        <f>DA!B88</f>
        <v>0</v>
      </c>
      <c r="T87" s="340" t="e">
        <f>#REF!</f>
        <v>#REF!</v>
      </c>
      <c r="U87" s="340" t="e">
        <f>#REF!</f>
        <v>#REF!</v>
      </c>
      <c r="V87" s="340" t="e">
        <f>#REF!</f>
        <v>#REF!</v>
      </c>
      <c r="W87" s="340" t="e">
        <f>#REF!</f>
        <v>#REF!</v>
      </c>
      <c r="X87" s="340" t="e">
        <f>#REF!</f>
        <v>#REF!</v>
      </c>
      <c r="Y87" s="340" t="e">
        <f>#REF!</f>
        <v>#REF!</v>
      </c>
      <c r="Z87" s="340" t="e">
        <f>#REF!</f>
        <v>#REF!</v>
      </c>
    </row>
    <row r="88" spans="1:26" x14ac:dyDescent="0.25">
      <c r="A88" t="e">
        <f>#REF!</f>
        <v>#REF!</v>
      </c>
      <c r="B88" s="340" t="e">
        <f>#REF!</f>
        <v>#REF!</v>
      </c>
      <c r="C88" s="340" t="e">
        <f>#REF!</f>
        <v>#REF!</v>
      </c>
      <c r="D88" s="340" t="e">
        <f>#REF!</f>
        <v>#REF!</v>
      </c>
      <c r="E88" s="340" t="e">
        <f>#REF!</f>
        <v>#REF!</v>
      </c>
      <c r="F88" s="340" t="e">
        <f>#REF!</f>
        <v>#REF!</v>
      </c>
      <c r="G88" s="340" t="e">
        <f>#REF!</f>
        <v>#REF!</v>
      </c>
      <c r="H88" s="340" t="e">
        <f>#REF!</f>
        <v>#REF!</v>
      </c>
      <c r="J88" t="e">
        <f>#REF!</f>
        <v>#REF!</v>
      </c>
      <c r="K88" s="340" t="e">
        <f>#REF!</f>
        <v>#REF!</v>
      </c>
      <c r="L88" s="340" t="e">
        <f>#REF!</f>
        <v>#REF!</v>
      </c>
      <c r="M88" s="340" t="e">
        <f>#REF!</f>
        <v>#REF!</v>
      </c>
      <c r="N88" s="340" t="e">
        <f>#REF!</f>
        <v>#REF!</v>
      </c>
      <c r="O88" s="340" t="e">
        <f>#REF!</f>
        <v>#REF!</v>
      </c>
      <c r="P88" s="340" t="e">
        <f>#REF!</f>
        <v>#REF!</v>
      </c>
      <c r="Q88" s="340" t="e">
        <f>#REF!</f>
        <v>#REF!</v>
      </c>
      <c r="S88" s="221">
        <f>DA!B89</f>
        <v>0</v>
      </c>
      <c r="T88" s="340" t="e">
        <f>#REF!</f>
        <v>#REF!</v>
      </c>
      <c r="U88" s="340" t="e">
        <f>#REF!</f>
        <v>#REF!</v>
      </c>
      <c r="V88" s="340" t="e">
        <f>#REF!</f>
        <v>#REF!</v>
      </c>
      <c r="W88" s="340" t="e">
        <f>#REF!</f>
        <v>#REF!</v>
      </c>
      <c r="X88" s="340" t="e">
        <f>#REF!</f>
        <v>#REF!</v>
      </c>
      <c r="Y88" s="340" t="e">
        <f>#REF!</f>
        <v>#REF!</v>
      </c>
      <c r="Z88" s="340" t="e">
        <f>#REF!</f>
        <v>#REF!</v>
      </c>
    </row>
    <row r="89" spans="1:26" x14ac:dyDescent="0.25">
      <c r="A89" t="e">
        <f>#REF!</f>
        <v>#REF!</v>
      </c>
      <c r="B89" s="340" t="e">
        <f>#REF!</f>
        <v>#REF!</v>
      </c>
      <c r="C89" s="340" t="e">
        <f>#REF!</f>
        <v>#REF!</v>
      </c>
      <c r="D89" s="340" t="e">
        <f>#REF!</f>
        <v>#REF!</v>
      </c>
      <c r="E89" s="340" t="e">
        <f>#REF!</f>
        <v>#REF!</v>
      </c>
      <c r="F89" s="340" t="e">
        <f>#REF!</f>
        <v>#REF!</v>
      </c>
      <c r="G89" s="340" t="e">
        <f>#REF!</f>
        <v>#REF!</v>
      </c>
      <c r="H89" s="340" t="e">
        <f>#REF!</f>
        <v>#REF!</v>
      </c>
      <c r="J89" t="e">
        <f>#REF!</f>
        <v>#REF!</v>
      </c>
      <c r="K89" s="340" t="e">
        <f>#REF!</f>
        <v>#REF!</v>
      </c>
      <c r="L89" s="340" t="e">
        <f>#REF!</f>
        <v>#REF!</v>
      </c>
      <c r="M89" s="340" t="e">
        <f>#REF!</f>
        <v>#REF!</v>
      </c>
      <c r="N89" s="340" t="e">
        <f>#REF!</f>
        <v>#REF!</v>
      </c>
      <c r="O89" s="340" t="e">
        <f>#REF!</f>
        <v>#REF!</v>
      </c>
      <c r="P89" s="340" t="e">
        <f>#REF!</f>
        <v>#REF!</v>
      </c>
      <c r="Q89" s="340" t="e">
        <f>#REF!</f>
        <v>#REF!</v>
      </c>
      <c r="S89" s="221">
        <f>DA!B90</f>
        <v>0</v>
      </c>
      <c r="T89" s="340" t="e">
        <f>#REF!</f>
        <v>#REF!</v>
      </c>
      <c r="U89" s="340" t="e">
        <f>#REF!</f>
        <v>#REF!</v>
      </c>
      <c r="V89" s="340" t="e">
        <f>#REF!</f>
        <v>#REF!</v>
      </c>
      <c r="W89" s="340" t="e">
        <f>#REF!</f>
        <v>#REF!</v>
      </c>
      <c r="X89" s="340" t="e">
        <f>#REF!</f>
        <v>#REF!</v>
      </c>
      <c r="Y89" s="340" t="e">
        <f>#REF!</f>
        <v>#REF!</v>
      </c>
      <c r="Z89" s="340" t="e">
        <f>#REF!</f>
        <v>#REF!</v>
      </c>
    </row>
    <row r="90" spans="1:26" x14ac:dyDescent="0.25">
      <c r="A90" t="e">
        <f>#REF!</f>
        <v>#REF!</v>
      </c>
      <c r="B90" s="340" t="e">
        <f>#REF!</f>
        <v>#REF!</v>
      </c>
      <c r="C90" s="340" t="e">
        <f>#REF!</f>
        <v>#REF!</v>
      </c>
      <c r="D90" s="340" t="e">
        <f>#REF!</f>
        <v>#REF!</v>
      </c>
      <c r="E90" s="340" t="e">
        <f>#REF!</f>
        <v>#REF!</v>
      </c>
      <c r="F90" s="340" t="e">
        <f>#REF!</f>
        <v>#REF!</v>
      </c>
      <c r="G90" s="340" t="e">
        <f>#REF!</f>
        <v>#REF!</v>
      </c>
      <c r="H90" s="340" t="e">
        <f>#REF!</f>
        <v>#REF!</v>
      </c>
      <c r="J90" t="e">
        <f>#REF!</f>
        <v>#REF!</v>
      </c>
      <c r="K90" s="340" t="e">
        <f>#REF!</f>
        <v>#REF!</v>
      </c>
      <c r="L90" s="340" t="e">
        <f>#REF!</f>
        <v>#REF!</v>
      </c>
      <c r="M90" s="340" t="e">
        <f>#REF!</f>
        <v>#REF!</v>
      </c>
      <c r="N90" s="340" t="e">
        <f>#REF!</f>
        <v>#REF!</v>
      </c>
      <c r="O90" s="340" t="e">
        <f>#REF!</f>
        <v>#REF!</v>
      </c>
      <c r="P90" s="340" t="e">
        <f>#REF!</f>
        <v>#REF!</v>
      </c>
      <c r="Q90" s="340" t="e">
        <f>#REF!</f>
        <v>#REF!</v>
      </c>
      <c r="S90" s="221">
        <f>DA!B91</f>
        <v>0</v>
      </c>
      <c r="T90" s="340" t="e">
        <f>#REF!</f>
        <v>#REF!</v>
      </c>
      <c r="U90" s="340" t="e">
        <f>#REF!</f>
        <v>#REF!</v>
      </c>
      <c r="V90" s="340" t="e">
        <f>#REF!</f>
        <v>#REF!</v>
      </c>
      <c r="W90" s="340" t="e">
        <f>#REF!</f>
        <v>#REF!</v>
      </c>
      <c r="X90" s="340" t="e">
        <f>#REF!</f>
        <v>#REF!</v>
      </c>
      <c r="Y90" s="340" t="e">
        <f>#REF!</f>
        <v>#REF!</v>
      </c>
      <c r="Z90" s="340" t="e">
        <f>#REF!</f>
        <v>#REF!</v>
      </c>
    </row>
    <row r="91" spans="1:26" x14ac:dyDescent="0.25">
      <c r="A91" t="e">
        <f>#REF!</f>
        <v>#REF!</v>
      </c>
      <c r="B91" s="340" t="e">
        <f>#REF!</f>
        <v>#REF!</v>
      </c>
      <c r="C91" s="340" t="e">
        <f>#REF!</f>
        <v>#REF!</v>
      </c>
      <c r="D91" s="340" t="e">
        <f>#REF!</f>
        <v>#REF!</v>
      </c>
      <c r="E91" s="340" t="e">
        <f>#REF!</f>
        <v>#REF!</v>
      </c>
      <c r="F91" s="340" t="e">
        <f>#REF!</f>
        <v>#REF!</v>
      </c>
      <c r="G91" s="340" t="e">
        <f>#REF!</f>
        <v>#REF!</v>
      </c>
      <c r="H91" s="340" t="e">
        <f>#REF!</f>
        <v>#REF!</v>
      </c>
      <c r="J91" t="e">
        <f>#REF!</f>
        <v>#REF!</v>
      </c>
      <c r="K91" s="340" t="e">
        <f>#REF!</f>
        <v>#REF!</v>
      </c>
      <c r="L91" s="340" t="e">
        <f>#REF!</f>
        <v>#REF!</v>
      </c>
      <c r="M91" s="340" t="e">
        <f>#REF!</f>
        <v>#REF!</v>
      </c>
      <c r="N91" s="340" t="e">
        <f>#REF!</f>
        <v>#REF!</v>
      </c>
      <c r="O91" s="340" t="e">
        <f>#REF!</f>
        <v>#REF!</v>
      </c>
      <c r="P91" s="340" t="e">
        <f>#REF!</f>
        <v>#REF!</v>
      </c>
      <c r="Q91" s="340" t="e">
        <f>#REF!</f>
        <v>#REF!</v>
      </c>
      <c r="S91" s="221">
        <f>DA!B92</f>
        <v>0</v>
      </c>
      <c r="T91" s="340" t="e">
        <f>#REF!</f>
        <v>#REF!</v>
      </c>
      <c r="U91" s="340" t="e">
        <f>#REF!</f>
        <v>#REF!</v>
      </c>
      <c r="V91" s="340" t="e">
        <f>#REF!</f>
        <v>#REF!</v>
      </c>
      <c r="W91" s="340" t="e">
        <f>#REF!</f>
        <v>#REF!</v>
      </c>
      <c r="X91" s="340" t="e">
        <f>#REF!</f>
        <v>#REF!</v>
      </c>
      <c r="Y91" s="340" t="e">
        <f>#REF!</f>
        <v>#REF!</v>
      </c>
      <c r="Z91" s="340" t="e">
        <f>#REF!</f>
        <v>#REF!</v>
      </c>
    </row>
    <row r="92" spans="1:26" x14ac:dyDescent="0.25">
      <c r="A92" t="e">
        <f>#REF!</f>
        <v>#REF!</v>
      </c>
      <c r="B92" s="340" t="e">
        <f>#REF!</f>
        <v>#REF!</v>
      </c>
      <c r="C92" s="340" t="e">
        <f>#REF!</f>
        <v>#REF!</v>
      </c>
      <c r="D92" s="340" t="e">
        <f>#REF!</f>
        <v>#REF!</v>
      </c>
      <c r="E92" s="340" t="e">
        <f>#REF!</f>
        <v>#REF!</v>
      </c>
      <c r="F92" s="340" t="e">
        <f>#REF!</f>
        <v>#REF!</v>
      </c>
      <c r="G92" s="340" t="e">
        <f>#REF!</f>
        <v>#REF!</v>
      </c>
      <c r="H92" s="340" t="e">
        <f>#REF!</f>
        <v>#REF!</v>
      </c>
      <c r="J92" t="e">
        <f>#REF!</f>
        <v>#REF!</v>
      </c>
      <c r="K92" s="340" t="e">
        <f>#REF!</f>
        <v>#REF!</v>
      </c>
      <c r="L92" s="340" t="e">
        <f>#REF!</f>
        <v>#REF!</v>
      </c>
      <c r="M92" s="340" t="e">
        <f>#REF!</f>
        <v>#REF!</v>
      </c>
      <c r="N92" s="340" t="e">
        <f>#REF!</f>
        <v>#REF!</v>
      </c>
      <c r="O92" s="340" t="e">
        <f>#REF!</f>
        <v>#REF!</v>
      </c>
      <c r="P92" s="340" t="e">
        <f>#REF!</f>
        <v>#REF!</v>
      </c>
      <c r="Q92" s="340" t="e">
        <f>#REF!</f>
        <v>#REF!</v>
      </c>
      <c r="S92" s="221">
        <f>DA!B93</f>
        <v>0</v>
      </c>
      <c r="T92" s="340" t="e">
        <f>#REF!</f>
        <v>#REF!</v>
      </c>
      <c r="U92" s="340" t="e">
        <f>#REF!</f>
        <v>#REF!</v>
      </c>
      <c r="V92" s="340" t="e">
        <f>#REF!</f>
        <v>#REF!</v>
      </c>
      <c r="W92" s="340" t="e">
        <f>#REF!</f>
        <v>#REF!</v>
      </c>
      <c r="X92" s="340" t="e">
        <f>#REF!</f>
        <v>#REF!</v>
      </c>
      <c r="Y92" s="340" t="e">
        <f>#REF!</f>
        <v>#REF!</v>
      </c>
      <c r="Z92" s="340" t="e">
        <f>#REF!</f>
        <v>#REF!</v>
      </c>
    </row>
    <row r="93" spans="1:26" x14ac:dyDescent="0.25">
      <c r="A93" t="e">
        <f>#REF!</f>
        <v>#REF!</v>
      </c>
      <c r="B93" s="340" t="e">
        <f>#REF!</f>
        <v>#REF!</v>
      </c>
      <c r="C93" s="340" t="e">
        <f>#REF!</f>
        <v>#REF!</v>
      </c>
      <c r="D93" s="340" t="e">
        <f>#REF!</f>
        <v>#REF!</v>
      </c>
      <c r="E93" s="340" t="e">
        <f>#REF!</f>
        <v>#REF!</v>
      </c>
      <c r="F93" s="340" t="e">
        <f>#REF!</f>
        <v>#REF!</v>
      </c>
      <c r="G93" s="340" t="e">
        <f>#REF!</f>
        <v>#REF!</v>
      </c>
      <c r="H93" s="340" t="e">
        <f>#REF!</f>
        <v>#REF!</v>
      </c>
      <c r="J93" t="e">
        <f>#REF!</f>
        <v>#REF!</v>
      </c>
      <c r="K93" s="340" t="e">
        <f>#REF!</f>
        <v>#REF!</v>
      </c>
      <c r="L93" s="340" t="e">
        <f>#REF!</f>
        <v>#REF!</v>
      </c>
      <c r="M93" s="340" t="e">
        <f>#REF!</f>
        <v>#REF!</v>
      </c>
      <c r="N93" s="340" t="e">
        <f>#REF!</f>
        <v>#REF!</v>
      </c>
      <c r="O93" s="340" t="e">
        <f>#REF!</f>
        <v>#REF!</v>
      </c>
      <c r="P93" s="340" t="e">
        <f>#REF!</f>
        <v>#REF!</v>
      </c>
      <c r="Q93" s="340" t="e">
        <f>#REF!</f>
        <v>#REF!</v>
      </c>
      <c r="S93" s="221">
        <f>DA!B94</f>
        <v>0</v>
      </c>
      <c r="T93" s="340" t="e">
        <f>#REF!</f>
        <v>#REF!</v>
      </c>
      <c r="U93" s="340" t="e">
        <f>#REF!</f>
        <v>#REF!</v>
      </c>
      <c r="V93" s="340" t="e">
        <f>#REF!</f>
        <v>#REF!</v>
      </c>
      <c r="W93" s="340" t="e">
        <f>#REF!</f>
        <v>#REF!</v>
      </c>
      <c r="X93" s="340" t="e">
        <f>#REF!</f>
        <v>#REF!</v>
      </c>
      <c r="Y93" s="340" t="e">
        <f>#REF!</f>
        <v>#REF!</v>
      </c>
      <c r="Z93" s="340" t="e">
        <f>#REF!</f>
        <v>#REF!</v>
      </c>
    </row>
    <row r="94" spans="1:26" x14ac:dyDescent="0.25">
      <c r="A94" t="e">
        <f>#REF!</f>
        <v>#REF!</v>
      </c>
      <c r="B94" s="340" t="e">
        <f>#REF!</f>
        <v>#REF!</v>
      </c>
      <c r="C94" s="340" t="e">
        <f>#REF!</f>
        <v>#REF!</v>
      </c>
      <c r="D94" s="340" t="e">
        <f>#REF!</f>
        <v>#REF!</v>
      </c>
      <c r="E94" s="340" t="e">
        <f>#REF!</f>
        <v>#REF!</v>
      </c>
      <c r="F94" s="340" t="e">
        <f>#REF!</f>
        <v>#REF!</v>
      </c>
      <c r="G94" s="340" t="e">
        <f>#REF!</f>
        <v>#REF!</v>
      </c>
      <c r="H94" s="340" t="e">
        <f>#REF!</f>
        <v>#REF!</v>
      </c>
      <c r="J94" t="e">
        <f>#REF!</f>
        <v>#REF!</v>
      </c>
      <c r="K94" s="340" t="e">
        <f>#REF!</f>
        <v>#REF!</v>
      </c>
      <c r="L94" s="340" t="e">
        <f>#REF!</f>
        <v>#REF!</v>
      </c>
      <c r="M94" s="340" t="e">
        <f>#REF!</f>
        <v>#REF!</v>
      </c>
      <c r="N94" s="340" t="e">
        <f>#REF!</f>
        <v>#REF!</v>
      </c>
      <c r="O94" s="340" t="e">
        <f>#REF!</f>
        <v>#REF!</v>
      </c>
      <c r="P94" s="340" t="e">
        <f>#REF!</f>
        <v>#REF!</v>
      </c>
      <c r="Q94" s="340" t="e">
        <f>#REF!</f>
        <v>#REF!</v>
      </c>
      <c r="S94" s="221">
        <f>DA!B95</f>
        <v>0</v>
      </c>
      <c r="T94" s="340" t="e">
        <f>#REF!</f>
        <v>#REF!</v>
      </c>
      <c r="U94" s="340" t="e">
        <f>#REF!</f>
        <v>#REF!</v>
      </c>
      <c r="V94" s="340" t="e">
        <f>#REF!</f>
        <v>#REF!</v>
      </c>
      <c r="W94" s="340" t="e">
        <f>#REF!</f>
        <v>#REF!</v>
      </c>
      <c r="X94" s="340" t="e">
        <f>#REF!</f>
        <v>#REF!</v>
      </c>
      <c r="Y94" s="340" t="e">
        <f>#REF!</f>
        <v>#REF!</v>
      </c>
      <c r="Z94" s="340" t="e">
        <f>#REF!</f>
        <v>#REF!</v>
      </c>
    </row>
    <row r="95" spans="1:26" x14ac:dyDescent="0.25">
      <c r="A95" t="e">
        <f>#REF!</f>
        <v>#REF!</v>
      </c>
      <c r="B95" s="340" t="e">
        <f>#REF!</f>
        <v>#REF!</v>
      </c>
      <c r="C95" s="340" t="e">
        <f>#REF!</f>
        <v>#REF!</v>
      </c>
      <c r="D95" s="340" t="e">
        <f>#REF!</f>
        <v>#REF!</v>
      </c>
      <c r="E95" s="340" t="e">
        <f>#REF!</f>
        <v>#REF!</v>
      </c>
      <c r="F95" s="340" t="e">
        <f>#REF!</f>
        <v>#REF!</v>
      </c>
      <c r="G95" s="340" t="e">
        <f>#REF!</f>
        <v>#REF!</v>
      </c>
      <c r="H95" s="340" t="e">
        <f>#REF!</f>
        <v>#REF!</v>
      </c>
      <c r="J95" t="e">
        <f>#REF!</f>
        <v>#REF!</v>
      </c>
      <c r="K95" s="340" t="e">
        <f>#REF!</f>
        <v>#REF!</v>
      </c>
      <c r="L95" s="340" t="e">
        <f>#REF!</f>
        <v>#REF!</v>
      </c>
      <c r="M95" s="340" t="e">
        <f>#REF!</f>
        <v>#REF!</v>
      </c>
      <c r="N95" s="340" t="e">
        <f>#REF!</f>
        <v>#REF!</v>
      </c>
      <c r="O95" s="340" t="e">
        <f>#REF!</f>
        <v>#REF!</v>
      </c>
      <c r="P95" s="340" t="e">
        <f>#REF!</f>
        <v>#REF!</v>
      </c>
      <c r="Q95" s="340" t="e">
        <f>#REF!</f>
        <v>#REF!</v>
      </c>
      <c r="S95" s="221">
        <f>DA!B96</f>
        <v>0</v>
      </c>
      <c r="T95" s="340" t="e">
        <f>#REF!</f>
        <v>#REF!</v>
      </c>
      <c r="U95" s="340" t="e">
        <f>#REF!</f>
        <v>#REF!</v>
      </c>
      <c r="V95" s="340" t="e">
        <f>#REF!</f>
        <v>#REF!</v>
      </c>
      <c r="W95" s="340" t="e">
        <f>#REF!</f>
        <v>#REF!</v>
      </c>
      <c r="X95" s="340" t="e">
        <f>#REF!</f>
        <v>#REF!</v>
      </c>
      <c r="Y95" s="340" t="e">
        <f>#REF!</f>
        <v>#REF!</v>
      </c>
      <c r="Z95" s="340" t="e">
        <f>#REF!</f>
        <v>#REF!</v>
      </c>
    </row>
    <row r="96" spans="1:26" x14ac:dyDescent="0.25">
      <c r="A96" t="e">
        <f>#REF!</f>
        <v>#REF!</v>
      </c>
      <c r="B96" s="340" t="e">
        <f>#REF!</f>
        <v>#REF!</v>
      </c>
      <c r="C96" s="340" t="e">
        <f>#REF!</f>
        <v>#REF!</v>
      </c>
      <c r="D96" s="340" t="e">
        <f>#REF!</f>
        <v>#REF!</v>
      </c>
      <c r="E96" s="340" t="e">
        <f>#REF!</f>
        <v>#REF!</v>
      </c>
      <c r="F96" s="340" t="e">
        <f>#REF!</f>
        <v>#REF!</v>
      </c>
      <c r="G96" s="340" t="e">
        <f>#REF!</f>
        <v>#REF!</v>
      </c>
      <c r="H96" s="340" t="e">
        <f>#REF!</f>
        <v>#REF!</v>
      </c>
      <c r="J96" t="e">
        <f>#REF!</f>
        <v>#REF!</v>
      </c>
      <c r="K96" s="340" t="e">
        <f>#REF!</f>
        <v>#REF!</v>
      </c>
      <c r="L96" s="340" t="e">
        <f>#REF!</f>
        <v>#REF!</v>
      </c>
      <c r="M96" s="340" t="e">
        <f>#REF!</f>
        <v>#REF!</v>
      </c>
      <c r="N96" s="340" t="e">
        <f>#REF!</f>
        <v>#REF!</v>
      </c>
      <c r="O96" s="340" t="e">
        <f>#REF!</f>
        <v>#REF!</v>
      </c>
      <c r="P96" s="340" t="e">
        <f>#REF!</f>
        <v>#REF!</v>
      </c>
      <c r="Q96" s="340" t="e">
        <f>#REF!</f>
        <v>#REF!</v>
      </c>
      <c r="S96" s="221">
        <f>DA!B97</f>
        <v>0</v>
      </c>
      <c r="T96" s="340" t="e">
        <f>#REF!</f>
        <v>#REF!</v>
      </c>
      <c r="U96" s="340" t="e">
        <f>#REF!</f>
        <v>#REF!</v>
      </c>
      <c r="V96" s="340" t="e">
        <f>#REF!</f>
        <v>#REF!</v>
      </c>
      <c r="W96" s="340" t="e">
        <f>#REF!</f>
        <v>#REF!</v>
      </c>
      <c r="X96" s="340" t="e">
        <f>#REF!</f>
        <v>#REF!</v>
      </c>
      <c r="Y96" s="340" t="e">
        <f>#REF!</f>
        <v>#REF!</v>
      </c>
      <c r="Z96" s="340" t="e">
        <f>#REF!</f>
        <v>#REF!</v>
      </c>
    </row>
    <row r="97" spans="1:26" x14ac:dyDescent="0.25">
      <c r="A97" t="e">
        <f>#REF!</f>
        <v>#REF!</v>
      </c>
      <c r="B97" s="340" t="e">
        <f>#REF!</f>
        <v>#REF!</v>
      </c>
      <c r="C97" s="340" t="e">
        <f>#REF!</f>
        <v>#REF!</v>
      </c>
      <c r="D97" s="340" t="e">
        <f>#REF!</f>
        <v>#REF!</v>
      </c>
      <c r="E97" s="340" t="e">
        <f>#REF!</f>
        <v>#REF!</v>
      </c>
      <c r="F97" s="340" t="e">
        <f>#REF!</f>
        <v>#REF!</v>
      </c>
      <c r="G97" s="340" t="e">
        <f>#REF!</f>
        <v>#REF!</v>
      </c>
      <c r="H97" s="340" t="e">
        <f>#REF!</f>
        <v>#REF!</v>
      </c>
      <c r="J97" t="e">
        <f>#REF!</f>
        <v>#REF!</v>
      </c>
      <c r="K97" s="340" t="e">
        <f>#REF!</f>
        <v>#REF!</v>
      </c>
      <c r="L97" s="340" t="e">
        <f>#REF!</f>
        <v>#REF!</v>
      </c>
      <c r="M97" s="340" t="e">
        <f>#REF!</f>
        <v>#REF!</v>
      </c>
      <c r="N97" s="340" t="e">
        <f>#REF!</f>
        <v>#REF!</v>
      </c>
      <c r="O97" s="340" t="e">
        <f>#REF!</f>
        <v>#REF!</v>
      </c>
      <c r="P97" s="340" t="e">
        <f>#REF!</f>
        <v>#REF!</v>
      </c>
      <c r="Q97" s="340" t="e">
        <f>#REF!</f>
        <v>#REF!</v>
      </c>
      <c r="S97" s="221">
        <f>DA!B98</f>
        <v>0</v>
      </c>
      <c r="T97" s="340" t="e">
        <f>#REF!</f>
        <v>#REF!</v>
      </c>
      <c r="U97" s="340" t="e">
        <f>#REF!</f>
        <v>#REF!</v>
      </c>
      <c r="V97" s="340" t="e">
        <f>#REF!</f>
        <v>#REF!</v>
      </c>
      <c r="W97" s="340" t="e">
        <f>#REF!</f>
        <v>#REF!</v>
      </c>
      <c r="X97" s="340" t="e">
        <f>#REF!</f>
        <v>#REF!</v>
      </c>
      <c r="Y97" s="340" t="e">
        <f>#REF!</f>
        <v>#REF!</v>
      </c>
      <c r="Z97" s="340" t="e">
        <f>#REF!</f>
        <v>#REF!</v>
      </c>
    </row>
    <row r="98" spans="1:26" x14ac:dyDescent="0.25">
      <c r="A98" t="e">
        <f>#REF!</f>
        <v>#REF!</v>
      </c>
      <c r="B98" s="340" t="e">
        <f>#REF!</f>
        <v>#REF!</v>
      </c>
      <c r="C98" s="340" t="e">
        <f>#REF!</f>
        <v>#REF!</v>
      </c>
      <c r="D98" s="340" t="e">
        <f>#REF!</f>
        <v>#REF!</v>
      </c>
      <c r="E98" s="340" t="e">
        <f>#REF!</f>
        <v>#REF!</v>
      </c>
      <c r="F98" s="340" t="e">
        <f>#REF!</f>
        <v>#REF!</v>
      </c>
      <c r="G98" s="340" t="e">
        <f>#REF!</f>
        <v>#REF!</v>
      </c>
      <c r="H98" s="340" t="e">
        <f>#REF!</f>
        <v>#REF!</v>
      </c>
      <c r="J98" t="e">
        <f>#REF!</f>
        <v>#REF!</v>
      </c>
      <c r="K98" s="340" t="e">
        <f>#REF!</f>
        <v>#REF!</v>
      </c>
      <c r="L98" s="340" t="e">
        <f>#REF!</f>
        <v>#REF!</v>
      </c>
      <c r="M98" s="340" t="e">
        <f>#REF!</f>
        <v>#REF!</v>
      </c>
      <c r="N98" s="340" t="e">
        <f>#REF!</f>
        <v>#REF!</v>
      </c>
      <c r="O98" s="340" t="e">
        <f>#REF!</f>
        <v>#REF!</v>
      </c>
      <c r="P98" s="340" t="e">
        <f>#REF!</f>
        <v>#REF!</v>
      </c>
      <c r="Q98" s="340" t="e">
        <f>#REF!</f>
        <v>#REF!</v>
      </c>
      <c r="S98" s="221">
        <f>DA!B99</f>
        <v>0</v>
      </c>
      <c r="T98" s="340" t="e">
        <f>#REF!</f>
        <v>#REF!</v>
      </c>
      <c r="U98" s="340" t="e">
        <f>#REF!</f>
        <v>#REF!</v>
      </c>
      <c r="V98" s="340" t="e">
        <f>#REF!</f>
        <v>#REF!</v>
      </c>
      <c r="W98" s="340" t="e">
        <f>#REF!</f>
        <v>#REF!</v>
      </c>
      <c r="X98" s="340" t="e">
        <f>#REF!</f>
        <v>#REF!</v>
      </c>
      <c r="Y98" s="340" t="e">
        <f>#REF!</f>
        <v>#REF!</v>
      </c>
      <c r="Z98" s="340" t="e">
        <f>#REF!</f>
        <v>#REF!</v>
      </c>
    </row>
    <row r="99" spans="1:26" x14ac:dyDescent="0.25">
      <c r="A99" t="e">
        <f>#REF!</f>
        <v>#REF!</v>
      </c>
      <c r="B99" s="340" t="e">
        <f>#REF!</f>
        <v>#REF!</v>
      </c>
      <c r="C99" s="340" t="e">
        <f>#REF!</f>
        <v>#REF!</v>
      </c>
      <c r="D99" s="340" t="e">
        <f>#REF!</f>
        <v>#REF!</v>
      </c>
      <c r="E99" s="340" t="e">
        <f>#REF!</f>
        <v>#REF!</v>
      </c>
      <c r="F99" s="340" t="e">
        <f>#REF!</f>
        <v>#REF!</v>
      </c>
      <c r="G99" s="340" t="e">
        <f>#REF!</f>
        <v>#REF!</v>
      </c>
      <c r="H99" s="340" t="e">
        <f>#REF!</f>
        <v>#REF!</v>
      </c>
      <c r="J99" t="e">
        <f>#REF!</f>
        <v>#REF!</v>
      </c>
      <c r="K99" s="340" t="e">
        <f>#REF!</f>
        <v>#REF!</v>
      </c>
      <c r="L99" s="340" t="e">
        <f>#REF!</f>
        <v>#REF!</v>
      </c>
      <c r="M99" s="340" t="e">
        <f>#REF!</f>
        <v>#REF!</v>
      </c>
      <c r="N99" s="340" t="e">
        <f>#REF!</f>
        <v>#REF!</v>
      </c>
      <c r="O99" s="340" t="e">
        <f>#REF!</f>
        <v>#REF!</v>
      </c>
      <c r="P99" s="340" t="e">
        <f>#REF!</f>
        <v>#REF!</v>
      </c>
      <c r="Q99" s="340" t="e">
        <f>#REF!</f>
        <v>#REF!</v>
      </c>
      <c r="S99" s="221">
        <f>DA!B100</f>
        <v>0</v>
      </c>
      <c r="T99" s="340" t="e">
        <f>#REF!</f>
        <v>#REF!</v>
      </c>
      <c r="U99" s="340" t="e">
        <f>#REF!</f>
        <v>#REF!</v>
      </c>
      <c r="V99" s="340" t="e">
        <f>#REF!</f>
        <v>#REF!</v>
      </c>
      <c r="W99" s="340" t="e">
        <f>#REF!</f>
        <v>#REF!</v>
      </c>
      <c r="X99" s="340" t="e">
        <f>#REF!</f>
        <v>#REF!</v>
      </c>
      <c r="Y99" s="340" t="e">
        <f>#REF!</f>
        <v>#REF!</v>
      </c>
      <c r="Z99" s="340" t="e">
        <f>#REF!</f>
        <v>#REF!</v>
      </c>
    </row>
    <row r="100" spans="1:26" x14ac:dyDescent="0.25">
      <c r="A100" t="e">
        <f>#REF!</f>
        <v>#REF!</v>
      </c>
      <c r="B100" s="340" t="e">
        <f>#REF!</f>
        <v>#REF!</v>
      </c>
      <c r="C100" s="340" t="e">
        <f>#REF!</f>
        <v>#REF!</v>
      </c>
      <c r="D100" s="340" t="e">
        <f>#REF!</f>
        <v>#REF!</v>
      </c>
      <c r="E100" s="340" t="e">
        <f>#REF!</f>
        <v>#REF!</v>
      </c>
      <c r="F100" s="340" t="e">
        <f>#REF!</f>
        <v>#REF!</v>
      </c>
      <c r="G100" s="340" t="e">
        <f>#REF!</f>
        <v>#REF!</v>
      </c>
      <c r="H100" s="340" t="e">
        <f>#REF!</f>
        <v>#REF!</v>
      </c>
      <c r="J100" t="e">
        <f>#REF!</f>
        <v>#REF!</v>
      </c>
      <c r="K100" s="340" t="e">
        <f>#REF!</f>
        <v>#REF!</v>
      </c>
      <c r="L100" s="340" t="e">
        <f>#REF!</f>
        <v>#REF!</v>
      </c>
      <c r="M100" s="340" t="e">
        <f>#REF!</f>
        <v>#REF!</v>
      </c>
      <c r="N100" s="340" t="e">
        <f>#REF!</f>
        <v>#REF!</v>
      </c>
      <c r="O100" s="340" t="e">
        <f>#REF!</f>
        <v>#REF!</v>
      </c>
      <c r="P100" s="340" t="e">
        <f>#REF!</f>
        <v>#REF!</v>
      </c>
      <c r="Q100" s="340" t="e">
        <f>#REF!</f>
        <v>#REF!</v>
      </c>
      <c r="S100" s="221">
        <f>DA!B101</f>
        <v>0</v>
      </c>
      <c r="T100" s="340" t="e">
        <f>#REF!</f>
        <v>#REF!</v>
      </c>
      <c r="U100" s="340" t="e">
        <f>#REF!</f>
        <v>#REF!</v>
      </c>
      <c r="V100" s="340" t="e">
        <f>#REF!</f>
        <v>#REF!</v>
      </c>
      <c r="W100" s="340" t="e">
        <f>#REF!</f>
        <v>#REF!</v>
      </c>
      <c r="X100" s="340" t="e">
        <f>#REF!</f>
        <v>#REF!</v>
      </c>
      <c r="Y100" s="340" t="e">
        <f>#REF!</f>
        <v>#REF!</v>
      </c>
      <c r="Z100" s="340" t="e">
        <f>#REF!</f>
        <v>#REF!</v>
      </c>
    </row>
    <row r="101" spans="1:26" x14ac:dyDescent="0.25">
      <c r="A101" t="e">
        <f>#REF!</f>
        <v>#REF!</v>
      </c>
      <c r="B101" s="340" t="e">
        <f>#REF!</f>
        <v>#REF!</v>
      </c>
      <c r="C101" s="340" t="e">
        <f>#REF!</f>
        <v>#REF!</v>
      </c>
      <c r="D101" s="340" t="e">
        <f>#REF!</f>
        <v>#REF!</v>
      </c>
      <c r="E101" s="340" t="e">
        <f>#REF!</f>
        <v>#REF!</v>
      </c>
      <c r="F101" s="340" t="e">
        <f>#REF!</f>
        <v>#REF!</v>
      </c>
      <c r="G101" s="340" t="e">
        <f>#REF!</f>
        <v>#REF!</v>
      </c>
      <c r="H101" s="340" t="e">
        <f>#REF!</f>
        <v>#REF!</v>
      </c>
      <c r="J101" t="e">
        <f>#REF!</f>
        <v>#REF!</v>
      </c>
      <c r="K101" s="340" t="e">
        <f>#REF!</f>
        <v>#REF!</v>
      </c>
      <c r="L101" s="340" t="e">
        <f>#REF!</f>
        <v>#REF!</v>
      </c>
      <c r="M101" s="340" t="e">
        <f>#REF!</f>
        <v>#REF!</v>
      </c>
      <c r="N101" s="340" t="e">
        <f>#REF!</f>
        <v>#REF!</v>
      </c>
      <c r="O101" s="340" t="e">
        <f>#REF!</f>
        <v>#REF!</v>
      </c>
      <c r="P101" s="340" t="e">
        <f>#REF!</f>
        <v>#REF!</v>
      </c>
      <c r="Q101" s="340" t="e">
        <f>#REF!</f>
        <v>#REF!</v>
      </c>
      <c r="S101" s="221">
        <f>DA!B102</f>
        <v>0</v>
      </c>
      <c r="T101" s="340" t="e">
        <f>#REF!</f>
        <v>#REF!</v>
      </c>
      <c r="U101" s="340" t="e">
        <f>#REF!</f>
        <v>#REF!</v>
      </c>
      <c r="V101" s="340" t="e">
        <f>#REF!</f>
        <v>#REF!</v>
      </c>
      <c r="W101" s="340" t="e">
        <f>#REF!</f>
        <v>#REF!</v>
      </c>
      <c r="X101" s="340" t="e">
        <f>#REF!</f>
        <v>#REF!</v>
      </c>
      <c r="Y101" s="340" t="e">
        <f>#REF!</f>
        <v>#REF!</v>
      </c>
      <c r="Z101" s="340" t="e">
        <f>#REF!</f>
        <v>#REF!</v>
      </c>
    </row>
    <row r="102" spans="1:26" x14ac:dyDescent="0.25">
      <c r="A102" t="e">
        <f>#REF!</f>
        <v>#REF!</v>
      </c>
      <c r="B102" s="340" t="e">
        <f>#REF!</f>
        <v>#REF!</v>
      </c>
      <c r="C102" s="340" t="e">
        <f>#REF!</f>
        <v>#REF!</v>
      </c>
      <c r="D102" s="340" t="e">
        <f>#REF!</f>
        <v>#REF!</v>
      </c>
      <c r="E102" s="340" t="e">
        <f>#REF!</f>
        <v>#REF!</v>
      </c>
      <c r="F102" s="340" t="e">
        <f>#REF!</f>
        <v>#REF!</v>
      </c>
      <c r="G102" s="340" t="e">
        <f>#REF!</f>
        <v>#REF!</v>
      </c>
      <c r="H102" s="340" t="e">
        <f>#REF!</f>
        <v>#REF!</v>
      </c>
      <c r="J102" t="e">
        <f>#REF!</f>
        <v>#REF!</v>
      </c>
      <c r="K102" s="340" t="e">
        <f>#REF!</f>
        <v>#REF!</v>
      </c>
      <c r="L102" s="340" t="e">
        <f>#REF!</f>
        <v>#REF!</v>
      </c>
      <c r="M102" s="340" t="e">
        <f>#REF!</f>
        <v>#REF!</v>
      </c>
      <c r="N102" s="340" t="e">
        <f>#REF!</f>
        <v>#REF!</v>
      </c>
      <c r="O102" s="340" t="e">
        <f>#REF!</f>
        <v>#REF!</v>
      </c>
      <c r="P102" s="340" t="e">
        <f>#REF!</f>
        <v>#REF!</v>
      </c>
      <c r="Q102" s="340" t="e">
        <f>#REF!</f>
        <v>#REF!</v>
      </c>
      <c r="S102" s="221">
        <f>DA!B103</f>
        <v>0</v>
      </c>
      <c r="T102" s="340" t="e">
        <f>#REF!</f>
        <v>#REF!</v>
      </c>
      <c r="U102" s="340" t="e">
        <f>#REF!</f>
        <v>#REF!</v>
      </c>
      <c r="V102" s="340" t="e">
        <f>#REF!</f>
        <v>#REF!</v>
      </c>
      <c r="W102" s="340" t="e">
        <f>#REF!</f>
        <v>#REF!</v>
      </c>
      <c r="X102" s="340" t="e">
        <f>#REF!</f>
        <v>#REF!</v>
      </c>
      <c r="Y102" s="340" t="e">
        <f>#REF!</f>
        <v>#REF!</v>
      </c>
      <c r="Z102" s="340" t="e">
        <f>#REF!</f>
        <v>#REF!</v>
      </c>
    </row>
    <row r="103" spans="1:26" x14ac:dyDescent="0.25">
      <c r="A103" t="e">
        <f>#REF!</f>
        <v>#REF!</v>
      </c>
      <c r="B103" s="340" t="e">
        <f>#REF!</f>
        <v>#REF!</v>
      </c>
      <c r="C103" s="340" t="e">
        <f>#REF!</f>
        <v>#REF!</v>
      </c>
      <c r="D103" s="340" t="e">
        <f>#REF!</f>
        <v>#REF!</v>
      </c>
      <c r="E103" s="340" t="e">
        <f>#REF!</f>
        <v>#REF!</v>
      </c>
      <c r="F103" s="340" t="e">
        <f>#REF!</f>
        <v>#REF!</v>
      </c>
      <c r="G103" s="340" t="e">
        <f>#REF!</f>
        <v>#REF!</v>
      </c>
      <c r="H103" s="340" t="e">
        <f>#REF!</f>
        <v>#REF!</v>
      </c>
      <c r="J103" t="e">
        <f>#REF!</f>
        <v>#REF!</v>
      </c>
      <c r="K103" s="340" t="e">
        <f>#REF!</f>
        <v>#REF!</v>
      </c>
      <c r="L103" s="340" t="e">
        <f>#REF!</f>
        <v>#REF!</v>
      </c>
      <c r="M103" s="340" t="e">
        <f>#REF!</f>
        <v>#REF!</v>
      </c>
      <c r="N103" s="340" t="e">
        <f>#REF!</f>
        <v>#REF!</v>
      </c>
      <c r="O103" s="340" t="e">
        <f>#REF!</f>
        <v>#REF!</v>
      </c>
      <c r="P103" s="340" t="e">
        <f>#REF!</f>
        <v>#REF!</v>
      </c>
      <c r="Q103" s="340" t="e">
        <f>#REF!</f>
        <v>#REF!</v>
      </c>
      <c r="S103" s="221">
        <f>DA!B104</f>
        <v>0</v>
      </c>
      <c r="T103" s="340" t="e">
        <f>#REF!</f>
        <v>#REF!</v>
      </c>
      <c r="U103" s="340" t="e">
        <f>#REF!</f>
        <v>#REF!</v>
      </c>
      <c r="V103" s="340" t="e">
        <f>#REF!</f>
        <v>#REF!</v>
      </c>
      <c r="W103" s="340" t="e">
        <f>#REF!</f>
        <v>#REF!</v>
      </c>
      <c r="X103" s="340" t="e">
        <f>#REF!</f>
        <v>#REF!</v>
      </c>
      <c r="Y103" s="340" t="e">
        <f>#REF!</f>
        <v>#REF!</v>
      </c>
      <c r="Z103" s="340" t="e">
        <f>#REF!</f>
        <v>#REF!</v>
      </c>
    </row>
    <row r="104" spans="1:26" x14ac:dyDescent="0.25">
      <c r="A104" t="e">
        <f>#REF!</f>
        <v>#REF!</v>
      </c>
      <c r="B104" s="340" t="e">
        <f>#REF!</f>
        <v>#REF!</v>
      </c>
      <c r="C104" s="340" t="e">
        <f>#REF!</f>
        <v>#REF!</v>
      </c>
      <c r="D104" s="340" t="e">
        <f>#REF!</f>
        <v>#REF!</v>
      </c>
      <c r="E104" s="340" t="e">
        <f>#REF!</f>
        <v>#REF!</v>
      </c>
      <c r="F104" s="340" t="e">
        <f>#REF!</f>
        <v>#REF!</v>
      </c>
      <c r="G104" s="340" t="e">
        <f>#REF!</f>
        <v>#REF!</v>
      </c>
      <c r="H104" s="340" t="e">
        <f>#REF!</f>
        <v>#REF!</v>
      </c>
      <c r="J104" t="e">
        <f>#REF!</f>
        <v>#REF!</v>
      </c>
      <c r="K104" s="340" t="e">
        <f>#REF!</f>
        <v>#REF!</v>
      </c>
      <c r="L104" s="340" t="e">
        <f>#REF!</f>
        <v>#REF!</v>
      </c>
      <c r="M104" s="340" t="e">
        <f>#REF!</f>
        <v>#REF!</v>
      </c>
      <c r="N104" s="340" t="e">
        <f>#REF!</f>
        <v>#REF!</v>
      </c>
      <c r="O104" s="340" t="e">
        <f>#REF!</f>
        <v>#REF!</v>
      </c>
      <c r="P104" s="340" t="e">
        <f>#REF!</f>
        <v>#REF!</v>
      </c>
      <c r="Q104" s="340" t="e">
        <f>#REF!</f>
        <v>#REF!</v>
      </c>
      <c r="S104" s="221">
        <f>DA!B105</f>
        <v>0</v>
      </c>
      <c r="T104" s="340" t="e">
        <f>#REF!</f>
        <v>#REF!</v>
      </c>
      <c r="U104" s="340" t="e">
        <f>#REF!</f>
        <v>#REF!</v>
      </c>
      <c r="V104" s="340" t="e">
        <f>#REF!</f>
        <v>#REF!</v>
      </c>
      <c r="W104" s="340" t="e">
        <f>#REF!</f>
        <v>#REF!</v>
      </c>
      <c r="X104" s="340" t="e">
        <f>#REF!</f>
        <v>#REF!</v>
      </c>
      <c r="Y104" s="340" t="e">
        <f>#REF!</f>
        <v>#REF!</v>
      </c>
      <c r="Z104" s="340" t="e">
        <f>#REF!</f>
        <v>#REF!</v>
      </c>
    </row>
    <row r="105" spans="1:26" x14ac:dyDescent="0.25">
      <c r="A105" t="e">
        <f>#REF!</f>
        <v>#REF!</v>
      </c>
      <c r="B105" s="340" t="e">
        <f>#REF!</f>
        <v>#REF!</v>
      </c>
      <c r="C105" s="340" t="e">
        <f>#REF!</f>
        <v>#REF!</v>
      </c>
      <c r="D105" s="340" t="e">
        <f>#REF!</f>
        <v>#REF!</v>
      </c>
      <c r="E105" s="340" t="e">
        <f>#REF!</f>
        <v>#REF!</v>
      </c>
      <c r="F105" s="340" t="e">
        <f>#REF!</f>
        <v>#REF!</v>
      </c>
      <c r="G105" s="340" t="e">
        <f>#REF!</f>
        <v>#REF!</v>
      </c>
      <c r="H105" s="340" t="e">
        <f>#REF!</f>
        <v>#REF!</v>
      </c>
      <c r="J105" t="e">
        <f>#REF!</f>
        <v>#REF!</v>
      </c>
      <c r="K105" s="340" t="e">
        <f>#REF!</f>
        <v>#REF!</v>
      </c>
      <c r="L105" s="340" t="e">
        <f>#REF!</f>
        <v>#REF!</v>
      </c>
      <c r="M105" s="340" t="e">
        <f>#REF!</f>
        <v>#REF!</v>
      </c>
      <c r="N105" s="340" t="e">
        <f>#REF!</f>
        <v>#REF!</v>
      </c>
      <c r="O105" s="340" t="e">
        <f>#REF!</f>
        <v>#REF!</v>
      </c>
      <c r="P105" s="340" t="e">
        <f>#REF!</f>
        <v>#REF!</v>
      </c>
      <c r="Q105" s="340" t="e">
        <f>#REF!</f>
        <v>#REF!</v>
      </c>
      <c r="S105" s="221">
        <f>DA!B106</f>
        <v>0</v>
      </c>
      <c r="T105" s="340" t="e">
        <f>#REF!</f>
        <v>#REF!</v>
      </c>
      <c r="U105" s="340" t="e">
        <f>#REF!</f>
        <v>#REF!</v>
      </c>
      <c r="V105" s="340" t="e">
        <f>#REF!</f>
        <v>#REF!</v>
      </c>
      <c r="W105" s="340" t="e">
        <f>#REF!</f>
        <v>#REF!</v>
      </c>
      <c r="X105" s="340" t="e">
        <f>#REF!</f>
        <v>#REF!</v>
      </c>
      <c r="Y105" s="340" t="e">
        <f>#REF!</f>
        <v>#REF!</v>
      </c>
      <c r="Z105" s="340" t="e">
        <f>#REF!</f>
        <v>#REF!</v>
      </c>
    </row>
    <row r="106" spans="1:26" x14ac:dyDescent="0.25">
      <c r="A106" t="e">
        <f>#REF!</f>
        <v>#REF!</v>
      </c>
      <c r="B106" s="340" t="e">
        <f>#REF!</f>
        <v>#REF!</v>
      </c>
      <c r="C106" s="340" t="e">
        <f>#REF!</f>
        <v>#REF!</v>
      </c>
      <c r="D106" s="340" t="e">
        <f>#REF!</f>
        <v>#REF!</v>
      </c>
      <c r="E106" s="340" t="e">
        <f>#REF!</f>
        <v>#REF!</v>
      </c>
      <c r="F106" s="340" t="e">
        <f>#REF!</f>
        <v>#REF!</v>
      </c>
      <c r="G106" s="340" t="e">
        <f>#REF!</f>
        <v>#REF!</v>
      </c>
      <c r="H106" s="340" t="e">
        <f>#REF!</f>
        <v>#REF!</v>
      </c>
      <c r="J106" t="e">
        <f>#REF!</f>
        <v>#REF!</v>
      </c>
      <c r="K106" s="340" t="e">
        <f>#REF!</f>
        <v>#REF!</v>
      </c>
      <c r="L106" s="340" t="e">
        <f>#REF!</f>
        <v>#REF!</v>
      </c>
      <c r="M106" s="340" t="e">
        <f>#REF!</f>
        <v>#REF!</v>
      </c>
      <c r="N106" s="340" t="e">
        <f>#REF!</f>
        <v>#REF!</v>
      </c>
      <c r="O106" s="340" t="e">
        <f>#REF!</f>
        <v>#REF!</v>
      </c>
      <c r="P106" s="340" t="e">
        <f>#REF!</f>
        <v>#REF!</v>
      </c>
      <c r="Q106" s="340" t="e">
        <f>#REF!</f>
        <v>#REF!</v>
      </c>
      <c r="S106" s="221">
        <f>DA!B107</f>
        <v>0</v>
      </c>
      <c r="T106" s="340" t="e">
        <f>#REF!</f>
        <v>#REF!</v>
      </c>
      <c r="U106" s="340" t="e">
        <f>#REF!</f>
        <v>#REF!</v>
      </c>
      <c r="V106" s="340" t="e">
        <f>#REF!</f>
        <v>#REF!</v>
      </c>
      <c r="W106" s="340" t="e">
        <f>#REF!</f>
        <v>#REF!</v>
      </c>
      <c r="X106" s="340" t="e">
        <f>#REF!</f>
        <v>#REF!</v>
      </c>
      <c r="Y106" s="340" t="e">
        <f>#REF!</f>
        <v>#REF!</v>
      </c>
      <c r="Z106" s="340" t="e">
        <f>#REF!</f>
        <v>#REF!</v>
      </c>
    </row>
    <row r="107" spans="1:26" x14ac:dyDescent="0.25">
      <c r="A107" t="e">
        <f>#REF!</f>
        <v>#REF!</v>
      </c>
      <c r="B107" s="340" t="e">
        <f>#REF!</f>
        <v>#REF!</v>
      </c>
      <c r="C107" s="340" t="e">
        <f>#REF!</f>
        <v>#REF!</v>
      </c>
      <c r="D107" s="340" t="e">
        <f>#REF!</f>
        <v>#REF!</v>
      </c>
      <c r="E107" s="340" t="e">
        <f>#REF!</f>
        <v>#REF!</v>
      </c>
      <c r="F107" s="340" t="e">
        <f>#REF!</f>
        <v>#REF!</v>
      </c>
      <c r="G107" s="340" t="e">
        <f>#REF!</f>
        <v>#REF!</v>
      </c>
      <c r="H107" s="340" t="e">
        <f>#REF!</f>
        <v>#REF!</v>
      </c>
      <c r="J107" t="e">
        <f>#REF!</f>
        <v>#REF!</v>
      </c>
      <c r="K107" s="340" t="e">
        <f>#REF!</f>
        <v>#REF!</v>
      </c>
      <c r="L107" s="340" t="e">
        <f>#REF!</f>
        <v>#REF!</v>
      </c>
      <c r="M107" s="340" t="e">
        <f>#REF!</f>
        <v>#REF!</v>
      </c>
      <c r="N107" s="340" t="e">
        <f>#REF!</f>
        <v>#REF!</v>
      </c>
      <c r="O107" s="340" t="e">
        <f>#REF!</f>
        <v>#REF!</v>
      </c>
      <c r="P107" s="340" t="e">
        <f>#REF!</f>
        <v>#REF!</v>
      </c>
      <c r="Q107" s="340" t="e">
        <f>#REF!</f>
        <v>#REF!</v>
      </c>
      <c r="S107" s="221">
        <f>DA!B108</f>
        <v>0</v>
      </c>
      <c r="T107" s="340" t="e">
        <f>#REF!</f>
        <v>#REF!</v>
      </c>
      <c r="U107" s="340" t="e">
        <f>#REF!</f>
        <v>#REF!</v>
      </c>
      <c r="V107" s="340" t="e">
        <f>#REF!</f>
        <v>#REF!</v>
      </c>
      <c r="W107" s="340" t="e">
        <f>#REF!</f>
        <v>#REF!</v>
      </c>
      <c r="X107" s="340" t="e">
        <f>#REF!</f>
        <v>#REF!</v>
      </c>
      <c r="Y107" s="340" t="e">
        <f>#REF!</f>
        <v>#REF!</v>
      </c>
      <c r="Z107" s="340" t="e">
        <f>#REF!</f>
        <v>#REF!</v>
      </c>
    </row>
    <row r="108" spans="1:26" x14ac:dyDescent="0.25">
      <c r="A108" t="e">
        <f>#REF!</f>
        <v>#REF!</v>
      </c>
      <c r="B108" s="340" t="e">
        <f>#REF!</f>
        <v>#REF!</v>
      </c>
      <c r="C108" s="340" t="e">
        <f>#REF!</f>
        <v>#REF!</v>
      </c>
      <c r="D108" s="340" t="e">
        <f>#REF!</f>
        <v>#REF!</v>
      </c>
      <c r="E108" s="340" t="e">
        <f>#REF!</f>
        <v>#REF!</v>
      </c>
      <c r="F108" s="340" t="e">
        <f>#REF!</f>
        <v>#REF!</v>
      </c>
      <c r="G108" s="340" t="e">
        <f>#REF!</f>
        <v>#REF!</v>
      </c>
      <c r="H108" s="340" t="e">
        <f>#REF!</f>
        <v>#REF!</v>
      </c>
      <c r="J108" t="e">
        <f>#REF!</f>
        <v>#REF!</v>
      </c>
      <c r="K108" s="340" t="e">
        <f>#REF!</f>
        <v>#REF!</v>
      </c>
      <c r="L108" s="340" t="e">
        <f>#REF!</f>
        <v>#REF!</v>
      </c>
      <c r="M108" s="340" t="e">
        <f>#REF!</f>
        <v>#REF!</v>
      </c>
      <c r="N108" s="340" t="e">
        <f>#REF!</f>
        <v>#REF!</v>
      </c>
      <c r="O108" s="340" t="e">
        <f>#REF!</f>
        <v>#REF!</v>
      </c>
      <c r="P108" s="340" t="e">
        <f>#REF!</f>
        <v>#REF!</v>
      </c>
      <c r="Q108" s="340" t="e">
        <f>#REF!</f>
        <v>#REF!</v>
      </c>
      <c r="S108" s="221">
        <f>DA!B109</f>
        <v>0</v>
      </c>
      <c r="T108" s="340" t="e">
        <f>#REF!</f>
        <v>#REF!</v>
      </c>
      <c r="U108" s="340" t="e">
        <f>#REF!</f>
        <v>#REF!</v>
      </c>
      <c r="V108" s="340" t="e">
        <f>#REF!</f>
        <v>#REF!</v>
      </c>
      <c r="W108" s="340" t="e">
        <f>#REF!</f>
        <v>#REF!</v>
      </c>
      <c r="X108" s="340" t="e">
        <f>#REF!</f>
        <v>#REF!</v>
      </c>
      <c r="Y108" s="340" t="e">
        <f>#REF!</f>
        <v>#REF!</v>
      </c>
      <c r="Z108" s="340" t="e">
        <f>#REF!</f>
        <v>#REF!</v>
      </c>
    </row>
    <row r="109" spans="1:26" x14ac:dyDescent="0.25">
      <c r="A109" t="e">
        <f>#REF!</f>
        <v>#REF!</v>
      </c>
      <c r="B109" s="340" t="e">
        <f>#REF!</f>
        <v>#REF!</v>
      </c>
      <c r="C109" s="340" t="e">
        <f>#REF!</f>
        <v>#REF!</v>
      </c>
      <c r="D109" s="340" t="e">
        <f>#REF!</f>
        <v>#REF!</v>
      </c>
      <c r="E109" s="340" t="e">
        <f>#REF!</f>
        <v>#REF!</v>
      </c>
      <c r="F109" s="340" t="e">
        <f>#REF!</f>
        <v>#REF!</v>
      </c>
      <c r="G109" s="340" t="e">
        <f>#REF!</f>
        <v>#REF!</v>
      </c>
      <c r="H109" s="340" t="e">
        <f>#REF!</f>
        <v>#REF!</v>
      </c>
      <c r="J109" t="e">
        <f>#REF!</f>
        <v>#REF!</v>
      </c>
      <c r="K109" s="340" t="e">
        <f>#REF!</f>
        <v>#REF!</v>
      </c>
      <c r="L109" s="340" t="e">
        <f>#REF!</f>
        <v>#REF!</v>
      </c>
      <c r="M109" s="340" t="e">
        <f>#REF!</f>
        <v>#REF!</v>
      </c>
      <c r="N109" s="340" t="e">
        <f>#REF!</f>
        <v>#REF!</v>
      </c>
      <c r="O109" s="340" t="e">
        <f>#REF!</f>
        <v>#REF!</v>
      </c>
      <c r="P109" s="340" t="e">
        <f>#REF!</f>
        <v>#REF!</v>
      </c>
      <c r="Q109" s="340" t="e">
        <f>#REF!</f>
        <v>#REF!</v>
      </c>
      <c r="S109" s="221">
        <f>DA!B110</f>
        <v>0</v>
      </c>
      <c r="T109" s="340" t="e">
        <f>#REF!</f>
        <v>#REF!</v>
      </c>
      <c r="U109" s="340" t="e">
        <f>#REF!</f>
        <v>#REF!</v>
      </c>
      <c r="V109" s="340" t="e">
        <f>#REF!</f>
        <v>#REF!</v>
      </c>
      <c r="W109" s="340" t="e">
        <f>#REF!</f>
        <v>#REF!</v>
      </c>
      <c r="X109" s="340" t="e">
        <f>#REF!</f>
        <v>#REF!</v>
      </c>
      <c r="Y109" s="340" t="e">
        <f>#REF!</f>
        <v>#REF!</v>
      </c>
      <c r="Z109" s="340" t="e">
        <f>#REF!</f>
        <v>#REF!</v>
      </c>
    </row>
    <row r="110" spans="1:26" x14ac:dyDescent="0.25">
      <c r="A110" t="e">
        <f>#REF!</f>
        <v>#REF!</v>
      </c>
      <c r="B110" s="340" t="e">
        <f>#REF!</f>
        <v>#REF!</v>
      </c>
      <c r="C110" s="340" t="e">
        <f>#REF!</f>
        <v>#REF!</v>
      </c>
      <c r="D110" s="340" t="e">
        <f>#REF!</f>
        <v>#REF!</v>
      </c>
      <c r="E110" s="340" t="e">
        <f>#REF!</f>
        <v>#REF!</v>
      </c>
      <c r="F110" s="340" t="e">
        <f>#REF!</f>
        <v>#REF!</v>
      </c>
      <c r="G110" s="340" t="e">
        <f>#REF!</f>
        <v>#REF!</v>
      </c>
      <c r="H110" s="340" t="e">
        <f>#REF!</f>
        <v>#REF!</v>
      </c>
      <c r="J110" t="e">
        <f>#REF!</f>
        <v>#REF!</v>
      </c>
      <c r="K110" s="340" t="e">
        <f>#REF!</f>
        <v>#REF!</v>
      </c>
      <c r="L110" s="340" t="e">
        <f>#REF!</f>
        <v>#REF!</v>
      </c>
      <c r="M110" s="340" t="e">
        <f>#REF!</f>
        <v>#REF!</v>
      </c>
      <c r="N110" s="340" t="e">
        <f>#REF!</f>
        <v>#REF!</v>
      </c>
      <c r="O110" s="340" t="e">
        <f>#REF!</f>
        <v>#REF!</v>
      </c>
      <c r="P110" s="340" t="e">
        <f>#REF!</f>
        <v>#REF!</v>
      </c>
      <c r="Q110" s="340" t="e">
        <f>#REF!</f>
        <v>#REF!</v>
      </c>
      <c r="S110" s="221">
        <f>DA!B111</f>
        <v>0</v>
      </c>
      <c r="T110" s="340" t="e">
        <f>#REF!</f>
        <v>#REF!</v>
      </c>
      <c r="U110" s="340" t="e">
        <f>#REF!</f>
        <v>#REF!</v>
      </c>
      <c r="V110" s="340" t="e">
        <f>#REF!</f>
        <v>#REF!</v>
      </c>
      <c r="W110" s="340" t="e">
        <f>#REF!</f>
        <v>#REF!</v>
      </c>
      <c r="X110" s="340" t="e">
        <f>#REF!</f>
        <v>#REF!</v>
      </c>
      <c r="Y110" s="340" t="e">
        <f>#REF!</f>
        <v>#REF!</v>
      </c>
      <c r="Z110" s="340" t="e">
        <f>#REF!</f>
        <v>#REF!</v>
      </c>
    </row>
    <row r="111" spans="1:26" x14ac:dyDescent="0.25">
      <c r="A111" t="e">
        <f>#REF!</f>
        <v>#REF!</v>
      </c>
      <c r="B111" s="340" t="e">
        <f>#REF!</f>
        <v>#REF!</v>
      </c>
      <c r="C111" s="340" t="e">
        <f>#REF!</f>
        <v>#REF!</v>
      </c>
      <c r="D111" s="340" t="e">
        <f>#REF!</f>
        <v>#REF!</v>
      </c>
      <c r="E111" s="340" t="e">
        <f>#REF!</f>
        <v>#REF!</v>
      </c>
      <c r="F111" s="340" t="e">
        <f>#REF!</f>
        <v>#REF!</v>
      </c>
      <c r="G111" s="340" t="e">
        <f>#REF!</f>
        <v>#REF!</v>
      </c>
      <c r="H111" s="340" t="e">
        <f>#REF!</f>
        <v>#REF!</v>
      </c>
      <c r="J111" t="e">
        <f>#REF!</f>
        <v>#REF!</v>
      </c>
      <c r="K111" s="340" t="e">
        <f>#REF!</f>
        <v>#REF!</v>
      </c>
      <c r="L111" s="340" t="e">
        <f>#REF!</f>
        <v>#REF!</v>
      </c>
      <c r="M111" s="340" t="e">
        <f>#REF!</f>
        <v>#REF!</v>
      </c>
      <c r="N111" s="340" t="e">
        <f>#REF!</f>
        <v>#REF!</v>
      </c>
      <c r="O111" s="340" t="e">
        <f>#REF!</f>
        <v>#REF!</v>
      </c>
      <c r="P111" s="340" t="e">
        <f>#REF!</f>
        <v>#REF!</v>
      </c>
      <c r="Q111" s="340" t="e">
        <f>#REF!</f>
        <v>#REF!</v>
      </c>
      <c r="S111" s="221">
        <f>DA!B112</f>
        <v>0</v>
      </c>
      <c r="T111" s="340" t="e">
        <f>#REF!</f>
        <v>#REF!</v>
      </c>
      <c r="U111" s="340" t="e">
        <f>#REF!</f>
        <v>#REF!</v>
      </c>
      <c r="V111" s="340" t="e">
        <f>#REF!</f>
        <v>#REF!</v>
      </c>
      <c r="W111" s="340" t="e">
        <f>#REF!</f>
        <v>#REF!</v>
      </c>
      <c r="X111" s="340" t="e">
        <f>#REF!</f>
        <v>#REF!</v>
      </c>
      <c r="Y111" s="340" t="e">
        <f>#REF!</f>
        <v>#REF!</v>
      </c>
      <c r="Z111" s="340" t="e">
        <f>#REF!</f>
        <v>#REF!</v>
      </c>
    </row>
    <row r="112" spans="1:26" x14ac:dyDescent="0.25">
      <c r="A112" t="e">
        <f>#REF!</f>
        <v>#REF!</v>
      </c>
      <c r="B112" s="340" t="e">
        <f>#REF!</f>
        <v>#REF!</v>
      </c>
      <c r="C112" s="340" t="e">
        <f>#REF!</f>
        <v>#REF!</v>
      </c>
      <c r="D112" s="340" t="e">
        <f>#REF!</f>
        <v>#REF!</v>
      </c>
      <c r="E112" s="340" t="e">
        <f>#REF!</f>
        <v>#REF!</v>
      </c>
      <c r="F112" s="340" t="e">
        <f>#REF!</f>
        <v>#REF!</v>
      </c>
      <c r="G112" s="340" t="e">
        <f>#REF!</f>
        <v>#REF!</v>
      </c>
      <c r="H112" s="340" t="e">
        <f>#REF!</f>
        <v>#REF!</v>
      </c>
      <c r="J112" t="e">
        <f>#REF!</f>
        <v>#REF!</v>
      </c>
      <c r="K112" s="340" t="e">
        <f>#REF!</f>
        <v>#REF!</v>
      </c>
      <c r="L112" s="340" t="e">
        <f>#REF!</f>
        <v>#REF!</v>
      </c>
      <c r="M112" s="340" t="e">
        <f>#REF!</f>
        <v>#REF!</v>
      </c>
      <c r="N112" s="340" t="e">
        <f>#REF!</f>
        <v>#REF!</v>
      </c>
      <c r="O112" s="340" t="e">
        <f>#REF!</f>
        <v>#REF!</v>
      </c>
      <c r="P112" s="340" t="e">
        <f>#REF!</f>
        <v>#REF!</v>
      </c>
      <c r="Q112" s="340" t="e">
        <f>#REF!</f>
        <v>#REF!</v>
      </c>
      <c r="S112" s="221">
        <f>DA!B113</f>
        <v>0</v>
      </c>
      <c r="T112" s="340" t="e">
        <f>#REF!</f>
        <v>#REF!</v>
      </c>
      <c r="U112" s="340" t="e">
        <f>#REF!</f>
        <v>#REF!</v>
      </c>
      <c r="V112" s="340" t="e">
        <f>#REF!</f>
        <v>#REF!</v>
      </c>
      <c r="W112" s="340" t="e">
        <f>#REF!</f>
        <v>#REF!</v>
      </c>
      <c r="X112" s="340" t="e">
        <f>#REF!</f>
        <v>#REF!</v>
      </c>
      <c r="Y112" s="340" t="e">
        <f>#REF!</f>
        <v>#REF!</v>
      </c>
      <c r="Z112" s="340" t="e">
        <f>#REF!</f>
        <v>#REF!</v>
      </c>
    </row>
    <row r="113" spans="1:26" x14ac:dyDescent="0.25">
      <c r="A113" t="e">
        <f>#REF!</f>
        <v>#REF!</v>
      </c>
      <c r="B113" s="340" t="e">
        <f>#REF!</f>
        <v>#REF!</v>
      </c>
      <c r="C113" s="340" t="e">
        <f>#REF!</f>
        <v>#REF!</v>
      </c>
      <c r="D113" s="340" t="e">
        <f>#REF!</f>
        <v>#REF!</v>
      </c>
      <c r="E113" s="340" t="e">
        <f>#REF!</f>
        <v>#REF!</v>
      </c>
      <c r="F113" s="340" t="e">
        <f>#REF!</f>
        <v>#REF!</v>
      </c>
      <c r="G113" s="340" t="e">
        <f>#REF!</f>
        <v>#REF!</v>
      </c>
      <c r="H113" s="340" t="e">
        <f>#REF!</f>
        <v>#REF!</v>
      </c>
      <c r="J113" t="e">
        <f>#REF!</f>
        <v>#REF!</v>
      </c>
      <c r="K113" s="340" t="e">
        <f>#REF!</f>
        <v>#REF!</v>
      </c>
      <c r="L113" s="340" t="e">
        <f>#REF!</f>
        <v>#REF!</v>
      </c>
      <c r="M113" s="340" t="e">
        <f>#REF!</f>
        <v>#REF!</v>
      </c>
      <c r="N113" s="340" t="e">
        <f>#REF!</f>
        <v>#REF!</v>
      </c>
      <c r="O113" s="340" t="e">
        <f>#REF!</f>
        <v>#REF!</v>
      </c>
      <c r="P113" s="340" t="e">
        <f>#REF!</f>
        <v>#REF!</v>
      </c>
      <c r="Q113" s="340" t="e">
        <f>#REF!</f>
        <v>#REF!</v>
      </c>
      <c r="S113" s="221">
        <f>DA!B114</f>
        <v>0</v>
      </c>
      <c r="T113" s="340" t="e">
        <f>#REF!</f>
        <v>#REF!</v>
      </c>
      <c r="U113" s="340" t="e">
        <f>#REF!</f>
        <v>#REF!</v>
      </c>
      <c r="V113" s="340" t="e">
        <f>#REF!</f>
        <v>#REF!</v>
      </c>
      <c r="W113" s="340" t="e">
        <f>#REF!</f>
        <v>#REF!</v>
      </c>
      <c r="X113" s="340" t="e">
        <f>#REF!</f>
        <v>#REF!</v>
      </c>
      <c r="Y113" s="340" t="e">
        <f>#REF!</f>
        <v>#REF!</v>
      </c>
      <c r="Z113" s="340" t="e">
        <f>#REF!</f>
        <v>#REF!</v>
      </c>
    </row>
    <row r="114" spans="1:26" x14ac:dyDescent="0.25">
      <c r="A114" t="e">
        <f>#REF!</f>
        <v>#REF!</v>
      </c>
      <c r="B114" s="340" t="e">
        <f>#REF!</f>
        <v>#REF!</v>
      </c>
      <c r="C114" s="340" t="e">
        <f>#REF!</f>
        <v>#REF!</v>
      </c>
      <c r="D114" s="340" t="e">
        <f>#REF!</f>
        <v>#REF!</v>
      </c>
      <c r="E114" s="340" t="e">
        <f>#REF!</f>
        <v>#REF!</v>
      </c>
      <c r="F114" s="340" t="e">
        <f>#REF!</f>
        <v>#REF!</v>
      </c>
      <c r="G114" s="340" t="e">
        <f>#REF!</f>
        <v>#REF!</v>
      </c>
      <c r="H114" s="340" t="e">
        <f>#REF!</f>
        <v>#REF!</v>
      </c>
      <c r="J114" t="e">
        <f>#REF!</f>
        <v>#REF!</v>
      </c>
      <c r="K114" s="340" t="e">
        <f>#REF!</f>
        <v>#REF!</v>
      </c>
      <c r="L114" s="340" t="e">
        <f>#REF!</f>
        <v>#REF!</v>
      </c>
      <c r="M114" s="340" t="e">
        <f>#REF!</f>
        <v>#REF!</v>
      </c>
      <c r="N114" s="340" t="e">
        <f>#REF!</f>
        <v>#REF!</v>
      </c>
      <c r="O114" s="340" t="e">
        <f>#REF!</f>
        <v>#REF!</v>
      </c>
      <c r="P114" s="340" t="e">
        <f>#REF!</f>
        <v>#REF!</v>
      </c>
      <c r="Q114" s="340" t="e">
        <f>#REF!</f>
        <v>#REF!</v>
      </c>
      <c r="S114" s="221">
        <f>DA!B115</f>
        <v>0</v>
      </c>
      <c r="T114" s="340" t="e">
        <f>#REF!</f>
        <v>#REF!</v>
      </c>
      <c r="U114" s="340" t="e">
        <f>#REF!</f>
        <v>#REF!</v>
      </c>
      <c r="V114" s="340" t="e">
        <f>#REF!</f>
        <v>#REF!</v>
      </c>
      <c r="W114" s="340" t="e">
        <f>#REF!</f>
        <v>#REF!</v>
      </c>
      <c r="X114" s="340" t="e">
        <f>#REF!</f>
        <v>#REF!</v>
      </c>
      <c r="Y114" s="340" t="e">
        <f>#REF!</f>
        <v>#REF!</v>
      </c>
      <c r="Z114" s="340" t="e">
        <f>#REF!</f>
        <v>#REF!</v>
      </c>
    </row>
    <row r="115" spans="1:26" x14ac:dyDescent="0.25">
      <c r="A115" t="e">
        <f>#REF!</f>
        <v>#REF!</v>
      </c>
      <c r="B115" s="340" t="e">
        <f>#REF!</f>
        <v>#REF!</v>
      </c>
      <c r="C115" s="340" t="e">
        <f>#REF!</f>
        <v>#REF!</v>
      </c>
      <c r="D115" s="340" t="e">
        <f>#REF!</f>
        <v>#REF!</v>
      </c>
      <c r="E115" s="340" t="e">
        <f>#REF!</f>
        <v>#REF!</v>
      </c>
      <c r="F115" s="340" t="e">
        <f>#REF!</f>
        <v>#REF!</v>
      </c>
      <c r="G115" s="340" t="e">
        <f>#REF!</f>
        <v>#REF!</v>
      </c>
      <c r="H115" s="340" t="e">
        <f>#REF!</f>
        <v>#REF!</v>
      </c>
      <c r="J115" t="e">
        <f>#REF!</f>
        <v>#REF!</v>
      </c>
      <c r="K115" s="340" t="e">
        <f>#REF!</f>
        <v>#REF!</v>
      </c>
      <c r="L115" s="340" t="e">
        <f>#REF!</f>
        <v>#REF!</v>
      </c>
      <c r="M115" s="340" t="e">
        <f>#REF!</f>
        <v>#REF!</v>
      </c>
      <c r="N115" s="340" t="e">
        <f>#REF!</f>
        <v>#REF!</v>
      </c>
      <c r="O115" s="340" t="e">
        <f>#REF!</f>
        <v>#REF!</v>
      </c>
      <c r="P115" s="340" t="e">
        <f>#REF!</f>
        <v>#REF!</v>
      </c>
      <c r="Q115" s="340" t="e">
        <f>#REF!</f>
        <v>#REF!</v>
      </c>
      <c r="S115" s="221">
        <f>DA!B116</f>
        <v>0</v>
      </c>
      <c r="T115" s="340" t="e">
        <f>#REF!</f>
        <v>#REF!</v>
      </c>
      <c r="U115" s="340" t="e">
        <f>#REF!</f>
        <v>#REF!</v>
      </c>
      <c r="V115" s="340" t="e">
        <f>#REF!</f>
        <v>#REF!</v>
      </c>
      <c r="W115" s="340" t="e">
        <f>#REF!</f>
        <v>#REF!</v>
      </c>
      <c r="X115" s="340" t="e">
        <f>#REF!</f>
        <v>#REF!</v>
      </c>
      <c r="Y115" s="340" t="e">
        <f>#REF!</f>
        <v>#REF!</v>
      </c>
      <c r="Z115" s="340" t="e">
        <f>#REF!</f>
        <v>#REF!</v>
      </c>
    </row>
    <row r="116" spans="1:26" x14ac:dyDescent="0.25">
      <c r="A116" t="e">
        <f>#REF!</f>
        <v>#REF!</v>
      </c>
      <c r="B116" s="340" t="e">
        <f>#REF!</f>
        <v>#REF!</v>
      </c>
      <c r="C116" s="340" t="e">
        <f>#REF!</f>
        <v>#REF!</v>
      </c>
      <c r="D116" s="340" t="e">
        <f>#REF!</f>
        <v>#REF!</v>
      </c>
      <c r="E116" s="340" t="e">
        <f>#REF!</f>
        <v>#REF!</v>
      </c>
      <c r="F116" s="340" t="e">
        <f>#REF!</f>
        <v>#REF!</v>
      </c>
      <c r="G116" s="340" t="e">
        <f>#REF!</f>
        <v>#REF!</v>
      </c>
      <c r="H116" s="340" t="e">
        <f>#REF!</f>
        <v>#REF!</v>
      </c>
      <c r="J116" t="e">
        <f>#REF!</f>
        <v>#REF!</v>
      </c>
      <c r="K116" s="340" t="e">
        <f>#REF!</f>
        <v>#REF!</v>
      </c>
      <c r="L116" s="340" t="e">
        <f>#REF!</f>
        <v>#REF!</v>
      </c>
      <c r="M116" s="340" t="e">
        <f>#REF!</f>
        <v>#REF!</v>
      </c>
      <c r="N116" s="340" t="e">
        <f>#REF!</f>
        <v>#REF!</v>
      </c>
      <c r="O116" s="340" t="e">
        <f>#REF!</f>
        <v>#REF!</v>
      </c>
      <c r="P116" s="340" t="e">
        <f>#REF!</f>
        <v>#REF!</v>
      </c>
      <c r="Q116" s="340" t="e">
        <f>#REF!</f>
        <v>#REF!</v>
      </c>
      <c r="S116" s="221">
        <f>DA!B117</f>
        <v>0</v>
      </c>
      <c r="T116" s="340" t="e">
        <f>#REF!</f>
        <v>#REF!</v>
      </c>
      <c r="U116" s="340" t="e">
        <f>#REF!</f>
        <v>#REF!</v>
      </c>
      <c r="V116" s="340" t="e">
        <f>#REF!</f>
        <v>#REF!</v>
      </c>
      <c r="W116" s="340" t="e">
        <f>#REF!</f>
        <v>#REF!</v>
      </c>
      <c r="X116" s="340" t="e">
        <f>#REF!</f>
        <v>#REF!</v>
      </c>
      <c r="Y116" s="340" t="e">
        <f>#REF!</f>
        <v>#REF!</v>
      </c>
      <c r="Z116" s="340" t="e">
        <f>#REF!</f>
        <v>#REF!</v>
      </c>
    </row>
    <row r="117" spans="1:26" x14ac:dyDescent="0.25">
      <c r="A117" t="e">
        <f>#REF!</f>
        <v>#REF!</v>
      </c>
      <c r="B117" s="340" t="e">
        <f>#REF!</f>
        <v>#REF!</v>
      </c>
      <c r="C117" s="340" t="e">
        <f>#REF!</f>
        <v>#REF!</v>
      </c>
      <c r="D117" s="340" t="e">
        <f>#REF!</f>
        <v>#REF!</v>
      </c>
      <c r="E117" s="340" t="e">
        <f>#REF!</f>
        <v>#REF!</v>
      </c>
      <c r="F117" s="340" t="e">
        <f>#REF!</f>
        <v>#REF!</v>
      </c>
      <c r="G117" s="340" t="e">
        <f>#REF!</f>
        <v>#REF!</v>
      </c>
      <c r="H117" s="340" t="e">
        <f>#REF!</f>
        <v>#REF!</v>
      </c>
      <c r="J117" t="e">
        <f>#REF!</f>
        <v>#REF!</v>
      </c>
      <c r="K117" s="340" t="e">
        <f>#REF!</f>
        <v>#REF!</v>
      </c>
      <c r="L117" s="340" t="e">
        <f>#REF!</f>
        <v>#REF!</v>
      </c>
      <c r="M117" s="340" t="e">
        <f>#REF!</f>
        <v>#REF!</v>
      </c>
      <c r="N117" s="340" t="e">
        <f>#REF!</f>
        <v>#REF!</v>
      </c>
      <c r="O117" s="340" t="e">
        <f>#REF!</f>
        <v>#REF!</v>
      </c>
      <c r="P117" s="340" t="e">
        <f>#REF!</f>
        <v>#REF!</v>
      </c>
      <c r="Q117" s="340" t="e">
        <f>#REF!</f>
        <v>#REF!</v>
      </c>
      <c r="S117" s="221">
        <f>DA!B118</f>
        <v>0</v>
      </c>
      <c r="T117" s="340" t="e">
        <f>#REF!</f>
        <v>#REF!</v>
      </c>
      <c r="U117" s="340" t="e">
        <f>#REF!</f>
        <v>#REF!</v>
      </c>
      <c r="V117" s="340" t="e">
        <f>#REF!</f>
        <v>#REF!</v>
      </c>
      <c r="W117" s="340" t="e">
        <f>#REF!</f>
        <v>#REF!</v>
      </c>
      <c r="X117" s="340" t="e">
        <f>#REF!</f>
        <v>#REF!</v>
      </c>
      <c r="Y117" s="340" t="e">
        <f>#REF!</f>
        <v>#REF!</v>
      </c>
      <c r="Z117" s="340" t="e">
        <f>#REF!</f>
        <v>#REF!</v>
      </c>
    </row>
    <row r="118" spans="1:26" x14ac:dyDescent="0.25">
      <c r="A118" t="e">
        <f>#REF!</f>
        <v>#REF!</v>
      </c>
      <c r="B118" s="340" t="e">
        <f>#REF!</f>
        <v>#REF!</v>
      </c>
      <c r="C118" s="340" t="e">
        <f>#REF!</f>
        <v>#REF!</v>
      </c>
      <c r="D118" s="340" t="e">
        <f>#REF!</f>
        <v>#REF!</v>
      </c>
      <c r="E118" s="340" t="e">
        <f>#REF!</f>
        <v>#REF!</v>
      </c>
      <c r="F118" s="340" t="e">
        <f>#REF!</f>
        <v>#REF!</v>
      </c>
      <c r="G118" s="340" t="e">
        <f>#REF!</f>
        <v>#REF!</v>
      </c>
      <c r="H118" s="340" t="e">
        <f>#REF!</f>
        <v>#REF!</v>
      </c>
      <c r="J118" t="e">
        <f>#REF!</f>
        <v>#REF!</v>
      </c>
      <c r="K118" s="340" t="e">
        <f>#REF!</f>
        <v>#REF!</v>
      </c>
      <c r="L118" s="340" t="e">
        <f>#REF!</f>
        <v>#REF!</v>
      </c>
      <c r="M118" s="340" t="e">
        <f>#REF!</f>
        <v>#REF!</v>
      </c>
      <c r="N118" s="340" t="e">
        <f>#REF!</f>
        <v>#REF!</v>
      </c>
      <c r="O118" s="340" t="e">
        <f>#REF!</f>
        <v>#REF!</v>
      </c>
      <c r="P118" s="340" t="e">
        <f>#REF!</f>
        <v>#REF!</v>
      </c>
      <c r="Q118" s="340" t="e">
        <f>#REF!</f>
        <v>#REF!</v>
      </c>
      <c r="S118" s="221">
        <f>DA!B119</f>
        <v>0</v>
      </c>
      <c r="T118" s="340" t="e">
        <f>#REF!</f>
        <v>#REF!</v>
      </c>
      <c r="U118" s="340" t="e">
        <f>#REF!</f>
        <v>#REF!</v>
      </c>
      <c r="V118" s="340" t="e">
        <f>#REF!</f>
        <v>#REF!</v>
      </c>
      <c r="W118" s="340" t="e">
        <f>#REF!</f>
        <v>#REF!</v>
      </c>
      <c r="X118" s="340" t="e">
        <f>#REF!</f>
        <v>#REF!</v>
      </c>
      <c r="Y118" s="340" t="e">
        <f>#REF!</f>
        <v>#REF!</v>
      </c>
      <c r="Z118" s="340" t="e">
        <f>#REF!</f>
        <v>#REF!</v>
      </c>
    </row>
    <row r="119" spans="1:26" x14ac:dyDescent="0.25">
      <c r="A119" t="e">
        <f>#REF!</f>
        <v>#REF!</v>
      </c>
      <c r="B119" s="340" t="e">
        <f>#REF!</f>
        <v>#REF!</v>
      </c>
      <c r="C119" s="340" t="e">
        <f>#REF!</f>
        <v>#REF!</v>
      </c>
      <c r="D119" s="340" t="e">
        <f>#REF!</f>
        <v>#REF!</v>
      </c>
      <c r="E119" s="340" t="e">
        <f>#REF!</f>
        <v>#REF!</v>
      </c>
      <c r="F119" s="340" t="e">
        <f>#REF!</f>
        <v>#REF!</v>
      </c>
      <c r="G119" s="340" t="e">
        <f>#REF!</f>
        <v>#REF!</v>
      </c>
      <c r="H119" s="340" t="e">
        <f>#REF!</f>
        <v>#REF!</v>
      </c>
      <c r="J119" t="e">
        <f>#REF!</f>
        <v>#REF!</v>
      </c>
      <c r="K119" s="340" t="e">
        <f>#REF!</f>
        <v>#REF!</v>
      </c>
      <c r="L119" s="340" t="e">
        <f>#REF!</f>
        <v>#REF!</v>
      </c>
      <c r="M119" s="340" t="e">
        <f>#REF!</f>
        <v>#REF!</v>
      </c>
      <c r="N119" s="340" t="e">
        <f>#REF!</f>
        <v>#REF!</v>
      </c>
      <c r="O119" s="340" t="e">
        <f>#REF!</f>
        <v>#REF!</v>
      </c>
      <c r="P119" s="340" t="e">
        <f>#REF!</f>
        <v>#REF!</v>
      </c>
      <c r="Q119" s="340" t="e">
        <f>#REF!</f>
        <v>#REF!</v>
      </c>
      <c r="S119" s="221">
        <f>DA!B120</f>
        <v>0</v>
      </c>
      <c r="T119" s="340" t="e">
        <f>#REF!</f>
        <v>#REF!</v>
      </c>
      <c r="U119" s="340" t="e">
        <f>#REF!</f>
        <v>#REF!</v>
      </c>
      <c r="V119" s="340" t="e">
        <f>#REF!</f>
        <v>#REF!</v>
      </c>
      <c r="W119" s="340" t="e">
        <f>#REF!</f>
        <v>#REF!</v>
      </c>
      <c r="X119" s="340" t="e">
        <f>#REF!</f>
        <v>#REF!</v>
      </c>
      <c r="Y119" s="340" t="e">
        <f>#REF!</f>
        <v>#REF!</v>
      </c>
      <c r="Z119" s="340" t="e">
        <f>#REF!</f>
        <v>#REF!</v>
      </c>
    </row>
    <row r="120" spans="1:26" x14ac:dyDescent="0.25">
      <c r="A120" t="e">
        <f>#REF!</f>
        <v>#REF!</v>
      </c>
      <c r="B120" s="340" t="e">
        <f>#REF!</f>
        <v>#REF!</v>
      </c>
      <c r="C120" s="340" t="e">
        <f>#REF!</f>
        <v>#REF!</v>
      </c>
      <c r="D120" s="340" t="e">
        <f>#REF!</f>
        <v>#REF!</v>
      </c>
      <c r="E120" s="340" t="e">
        <f>#REF!</f>
        <v>#REF!</v>
      </c>
      <c r="F120" s="340" t="e">
        <f>#REF!</f>
        <v>#REF!</v>
      </c>
      <c r="G120" s="340" t="e">
        <f>#REF!</f>
        <v>#REF!</v>
      </c>
      <c r="H120" s="340" t="e">
        <f>#REF!</f>
        <v>#REF!</v>
      </c>
      <c r="J120" t="e">
        <f>#REF!</f>
        <v>#REF!</v>
      </c>
      <c r="K120" s="340" t="e">
        <f>#REF!</f>
        <v>#REF!</v>
      </c>
      <c r="L120" s="340" t="e">
        <f>#REF!</f>
        <v>#REF!</v>
      </c>
      <c r="M120" s="340" t="e">
        <f>#REF!</f>
        <v>#REF!</v>
      </c>
      <c r="N120" s="340" t="e">
        <f>#REF!</f>
        <v>#REF!</v>
      </c>
      <c r="O120" s="340" t="e">
        <f>#REF!</f>
        <v>#REF!</v>
      </c>
      <c r="P120" s="340" t="e">
        <f>#REF!</f>
        <v>#REF!</v>
      </c>
      <c r="Q120" s="340" t="e">
        <f>#REF!</f>
        <v>#REF!</v>
      </c>
      <c r="S120" s="221">
        <f>DA!B121</f>
        <v>0</v>
      </c>
      <c r="T120" s="340" t="e">
        <f>#REF!</f>
        <v>#REF!</v>
      </c>
      <c r="U120" s="340" t="e">
        <f>#REF!</f>
        <v>#REF!</v>
      </c>
      <c r="V120" s="340" t="e">
        <f>#REF!</f>
        <v>#REF!</v>
      </c>
      <c r="W120" s="340" t="e">
        <f>#REF!</f>
        <v>#REF!</v>
      </c>
      <c r="X120" s="340" t="e">
        <f>#REF!</f>
        <v>#REF!</v>
      </c>
      <c r="Y120" s="340" t="e">
        <f>#REF!</f>
        <v>#REF!</v>
      </c>
      <c r="Z120" s="340" t="e">
        <f>#REF!</f>
        <v>#REF!</v>
      </c>
    </row>
    <row r="121" spans="1:26" x14ac:dyDescent="0.25">
      <c r="A121" t="e">
        <f>#REF!</f>
        <v>#REF!</v>
      </c>
      <c r="B121" s="340" t="e">
        <f>#REF!</f>
        <v>#REF!</v>
      </c>
      <c r="C121" s="340" t="e">
        <f>#REF!</f>
        <v>#REF!</v>
      </c>
      <c r="D121" s="340" t="e">
        <f>#REF!</f>
        <v>#REF!</v>
      </c>
      <c r="E121" s="340" t="e">
        <f>#REF!</f>
        <v>#REF!</v>
      </c>
      <c r="F121" s="340" t="e">
        <f>#REF!</f>
        <v>#REF!</v>
      </c>
      <c r="G121" s="340" t="e">
        <f>#REF!</f>
        <v>#REF!</v>
      </c>
      <c r="H121" s="340" t="e">
        <f>#REF!</f>
        <v>#REF!</v>
      </c>
      <c r="J121" t="e">
        <f>#REF!</f>
        <v>#REF!</v>
      </c>
      <c r="K121" s="340" t="e">
        <f>#REF!</f>
        <v>#REF!</v>
      </c>
      <c r="L121" s="340" t="e">
        <f>#REF!</f>
        <v>#REF!</v>
      </c>
      <c r="M121" s="340" t="e">
        <f>#REF!</f>
        <v>#REF!</v>
      </c>
      <c r="N121" s="340" t="e">
        <f>#REF!</f>
        <v>#REF!</v>
      </c>
      <c r="O121" s="340" t="e">
        <f>#REF!</f>
        <v>#REF!</v>
      </c>
      <c r="P121" s="340" t="e">
        <f>#REF!</f>
        <v>#REF!</v>
      </c>
      <c r="Q121" s="340" t="e">
        <f>#REF!</f>
        <v>#REF!</v>
      </c>
      <c r="S121" s="221">
        <f>DA!B122</f>
        <v>0</v>
      </c>
      <c r="T121" s="340" t="e">
        <f>#REF!</f>
        <v>#REF!</v>
      </c>
      <c r="U121" s="340" t="e">
        <f>#REF!</f>
        <v>#REF!</v>
      </c>
      <c r="V121" s="340" t="e">
        <f>#REF!</f>
        <v>#REF!</v>
      </c>
      <c r="W121" s="340" t="e">
        <f>#REF!</f>
        <v>#REF!</v>
      </c>
      <c r="X121" s="340" t="e">
        <f>#REF!</f>
        <v>#REF!</v>
      </c>
      <c r="Y121" s="340" t="e">
        <f>#REF!</f>
        <v>#REF!</v>
      </c>
      <c r="Z121" s="340" t="e">
        <f>#REF!</f>
        <v>#REF!</v>
      </c>
    </row>
    <row r="122" spans="1:26" x14ac:dyDescent="0.25">
      <c r="A122" t="e">
        <f>#REF!</f>
        <v>#REF!</v>
      </c>
      <c r="B122" s="340" t="e">
        <f>#REF!</f>
        <v>#REF!</v>
      </c>
      <c r="C122" s="340" t="e">
        <f>#REF!</f>
        <v>#REF!</v>
      </c>
      <c r="D122" s="340" t="e">
        <f>#REF!</f>
        <v>#REF!</v>
      </c>
      <c r="E122" s="340" t="e">
        <f>#REF!</f>
        <v>#REF!</v>
      </c>
      <c r="F122" s="340" t="e">
        <f>#REF!</f>
        <v>#REF!</v>
      </c>
      <c r="G122" s="340" t="e">
        <f>#REF!</f>
        <v>#REF!</v>
      </c>
      <c r="H122" s="340" t="e">
        <f>#REF!</f>
        <v>#REF!</v>
      </c>
      <c r="J122" t="e">
        <f>#REF!</f>
        <v>#REF!</v>
      </c>
      <c r="K122" s="340" t="e">
        <f>#REF!</f>
        <v>#REF!</v>
      </c>
      <c r="L122" s="340" t="e">
        <f>#REF!</f>
        <v>#REF!</v>
      </c>
      <c r="M122" s="340" t="e">
        <f>#REF!</f>
        <v>#REF!</v>
      </c>
      <c r="N122" s="340" t="e">
        <f>#REF!</f>
        <v>#REF!</v>
      </c>
      <c r="O122" s="340" t="e">
        <f>#REF!</f>
        <v>#REF!</v>
      </c>
      <c r="P122" s="340" t="e">
        <f>#REF!</f>
        <v>#REF!</v>
      </c>
      <c r="Q122" s="340" t="e">
        <f>#REF!</f>
        <v>#REF!</v>
      </c>
      <c r="S122" s="221">
        <f>DA!B123</f>
        <v>0</v>
      </c>
      <c r="T122" s="340" t="e">
        <f>#REF!</f>
        <v>#REF!</v>
      </c>
      <c r="U122" s="340" t="e">
        <f>#REF!</f>
        <v>#REF!</v>
      </c>
      <c r="V122" s="340" t="e">
        <f>#REF!</f>
        <v>#REF!</v>
      </c>
      <c r="W122" s="340" t="e">
        <f>#REF!</f>
        <v>#REF!</v>
      </c>
      <c r="X122" s="340" t="e">
        <f>#REF!</f>
        <v>#REF!</v>
      </c>
      <c r="Y122" s="340" t="e">
        <f>#REF!</f>
        <v>#REF!</v>
      </c>
      <c r="Z122" s="340" t="e">
        <f>#REF!</f>
        <v>#REF!</v>
      </c>
    </row>
    <row r="123" spans="1:26" x14ac:dyDescent="0.25">
      <c r="A123" t="e">
        <f>#REF!</f>
        <v>#REF!</v>
      </c>
      <c r="B123" s="340" t="e">
        <f>#REF!</f>
        <v>#REF!</v>
      </c>
      <c r="C123" s="340" t="e">
        <f>#REF!</f>
        <v>#REF!</v>
      </c>
      <c r="D123" s="340" t="e">
        <f>#REF!</f>
        <v>#REF!</v>
      </c>
      <c r="E123" s="340" t="e">
        <f>#REF!</f>
        <v>#REF!</v>
      </c>
      <c r="F123" s="340" t="e">
        <f>#REF!</f>
        <v>#REF!</v>
      </c>
      <c r="G123" s="340" t="e">
        <f>#REF!</f>
        <v>#REF!</v>
      </c>
      <c r="H123" s="340" t="e">
        <f>#REF!</f>
        <v>#REF!</v>
      </c>
      <c r="J123" t="e">
        <f>#REF!</f>
        <v>#REF!</v>
      </c>
      <c r="K123" s="340" t="e">
        <f>#REF!</f>
        <v>#REF!</v>
      </c>
      <c r="L123" s="340" t="e">
        <f>#REF!</f>
        <v>#REF!</v>
      </c>
      <c r="M123" s="340" t="e">
        <f>#REF!</f>
        <v>#REF!</v>
      </c>
      <c r="N123" s="340" t="e">
        <f>#REF!</f>
        <v>#REF!</v>
      </c>
      <c r="O123" s="340" t="e">
        <f>#REF!</f>
        <v>#REF!</v>
      </c>
      <c r="P123" s="340" t="e">
        <f>#REF!</f>
        <v>#REF!</v>
      </c>
      <c r="Q123" s="340" t="e">
        <f>#REF!</f>
        <v>#REF!</v>
      </c>
      <c r="S123" s="221">
        <f>DA!B124</f>
        <v>0</v>
      </c>
      <c r="T123" s="340" t="e">
        <f>#REF!</f>
        <v>#REF!</v>
      </c>
      <c r="U123" s="340" t="e">
        <f>#REF!</f>
        <v>#REF!</v>
      </c>
      <c r="V123" s="340" t="e">
        <f>#REF!</f>
        <v>#REF!</v>
      </c>
      <c r="W123" s="340" t="e">
        <f>#REF!</f>
        <v>#REF!</v>
      </c>
      <c r="X123" s="340" t="e">
        <f>#REF!</f>
        <v>#REF!</v>
      </c>
      <c r="Y123" s="340" t="e">
        <f>#REF!</f>
        <v>#REF!</v>
      </c>
      <c r="Z123" s="340" t="e">
        <f>#REF!</f>
        <v>#REF!</v>
      </c>
    </row>
    <row r="124" spans="1:26" x14ac:dyDescent="0.25">
      <c r="A124" t="e">
        <f>#REF!</f>
        <v>#REF!</v>
      </c>
      <c r="B124" s="340" t="e">
        <f>#REF!</f>
        <v>#REF!</v>
      </c>
      <c r="C124" s="340" t="e">
        <f>#REF!</f>
        <v>#REF!</v>
      </c>
      <c r="D124" s="340" t="e">
        <f>#REF!</f>
        <v>#REF!</v>
      </c>
      <c r="E124" s="340" t="e">
        <f>#REF!</f>
        <v>#REF!</v>
      </c>
      <c r="F124" s="340" t="e">
        <f>#REF!</f>
        <v>#REF!</v>
      </c>
      <c r="G124" s="340" t="e">
        <f>#REF!</f>
        <v>#REF!</v>
      </c>
      <c r="H124" s="340" t="e">
        <f>#REF!</f>
        <v>#REF!</v>
      </c>
      <c r="J124" t="e">
        <f>#REF!</f>
        <v>#REF!</v>
      </c>
      <c r="K124" s="340" t="e">
        <f>#REF!</f>
        <v>#REF!</v>
      </c>
      <c r="L124" s="340" t="e">
        <f>#REF!</f>
        <v>#REF!</v>
      </c>
      <c r="M124" s="340" t="e">
        <f>#REF!</f>
        <v>#REF!</v>
      </c>
      <c r="N124" s="340" t="e">
        <f>#REF!</f>
        <v>#REF!</v>
      </c>
      <c r="O124" s="340" t="e">
        <f>#REF!</f>
        <v>#REF!</v>
      </c>
      <c r="P124" s="340" t="e">
        <f>#REF!</f>
        <v>#REF!</v>
      </c>
      <c r="Q124" s="340" t="e">
        <f>#REF!</f>
        <v>#REF!</v>
      </c>
      <c r="S124" s="221">
        <f>DA!B125</f>
        <v>0</v>
      </c>
      <c r="T124" s="340" t="e">
        <f>#REF!</f>
        <v>#REF!</v>
      </c>
      <c r="U124" s="340" t="e">
        <f>#REF!</f>
        <v>#REF!</v>
      </c>
      <c r="V124" s="340" t="e">
        <f>#REF!</f>
        <v>#REF!</v>
      </c>
      <c r="W124" s="340" t="e">
        <f>#REF!</f>
        <v>#REF!</v>
      </c>
      <c r="X124" s="340" t="e">
        <f>#REF!</f>
        <v>#REF!</v>
      </c>
      <c r="Y124" s="340" t="e">
        <f>#REF!</f>
        <v>#REF!</v>
      </c>
      <c r="Z124" s="340" t="e">
        <f>#REF!</f>
        <v>#REF!</v>
      </c>
    </row>
    <row r="125" spans="1:26" x14ac:dyDescent="0.25">
      <c r="A125" t="e">
        <f>#REF!</f>
        <v>#REF!</v>
      </c>
      <c r="B125" s="340" t="e">
        <f>#REF!</f>
        <v>#REF!</v>
      </c>
      <c r="C125" s="340" t="e">
        <f>#REF!</f>
        <v>#REF!</v>
      </c>
      <c r="D125" s="340" t="e">
        <f>#REF!</f>
        <v>#REF!</v>
      </c>
      <c r="E125" s="340" t="e">
        <f>#REF!</f>
        <v>#REF!</v>
      </c>
      <c r="F125" s="340" t="e">
        <f>#REF!</f>
        <v>#REF!</v>
      </c>
      <c r="G125" s="340" t="e">
        <f>#REF!</f>
        <v>#REF!</v>
      </c>
      <c r="H125" s="340" t="e">
        <f>#REF!</f>
        <v>#REF!</v>
      </c>
      <c r="J125" t="e">
        <f>#REF!</f>
        <v>#REF!</v>
      </c>
      <c r="K125" s="340" t="e">
        <f>#REF!</f>
        <v>#REF!</v>
      </c>
      <c r="L125" s="340" t="e">
        <f>#REF!</f>
        <v>#REF!</v>
      </c>
      <c r="M125" s="340" t="e">
        <f>#REF!</f>
        <v>#REF!</v>
      </c>
      <c r="N125" s="340" t="e">
        <f>#REF!</f>
        <v>#REF!</v>
      </c>
      <c r="O125" s="340" t="e">
        <f>#REF!</f>
        <v>#REF!</v>
      </c>
      <c r="P125" s="340" t="e">
        <f>#REF!</f>
        <v>#REF!</v>
      </c>
      <c r="Q125" s="340" t="e">
        <f>#REF!</f>
        <v>#REF!</v>
      </c>
      <c r="S125" s="221">
        <f>DA!B126</f>
        <v>0</v>
      </c>
      <c r="T125" s="340" t="e">
        <f>#REF!</f>
        <v>#REF!</v>
      </c>
      <c r="U125" s="340" t="e">
        <f>#REF!</f>
        <v>#REF!</v>
      </c>
      <c r="V125" s="340" t="e">
        <f>#REF!</f>
        <v>#REF!</v>
      </c>
      <c r="W125" s="340" t="e">
        <f>#REF!</f>
        <v>#REF!</v>
      </c>
      <c r="X125" s="340" t="e">
        <f>#REF!</f>
        <v>#REF!</v>
      </c>
      <c r="Y125" s="340" t="e">
        <f>#REF!</f>
        <v>#REF!</v>
      </c>
      <c r="Z125" s="340" t="e">
        <f>#REF!</f>
        <v>#REF!</v>
      </c>
    </row>
    <row r="126" spans="1:26" x14ac:dyDescent="0.25">
      <c r="A126" t="e">
        <f>#REF!</f>
        <v>#REF!</v>
      </c>
      <c r="B126" s="340" t="e">
        <f>#REF!</f>
        <v>#REF!</v>
      </c>
      <c r="C126" s="340" t="e">
        <f>#REF!</f>
        <v>#REF!</v>
      </c>
      <c r="D126" s="340" t="e">
        <f>#REF!</f>
        <v>#REF!</v>
      </c>
      <c r="E126" s="340" t="e">
        <f>#REF!</f>
        <v>#REF!</v>
      </c>
      <c r="F126" s="340" t="e">
        <f>#REF!</f>
        <v>#REF!</v>
      </c>
      <c r="G126" s="340" t="e">
        <f>#REF!</f>
        <v>#REF!</v>
      </c>
      <c r="H126" s="340" t="e">
        <f>#REF!</f>
        <v>#REF!</v>
      </c>
      <c r="J126" t="e">
        <f>#REF!</f>
        <v>#REF!</v>
      </c>
      <c r="K126" s="340" t="e">
        <f>#REF!</f>
        <v>#REF!</v>
      </c>
      <c r="L126" s="340" t="e">
        <f>#REF!</f>
        <v>#REF!</v>
      </c>
      <c r="M126" s="340" t="e">
        <f>#REF!</f>
        <v>#REF!</v>
      </c>
      <c r="N126" s="340" t="e">
        <f>#REF!</f>
        <v>#REF!</v>
      </c>
      <c r="O126" s="340" t="e">
        <f>#REF!</f>
        <v>#REF!</v>
      </c>
      <c r="P126" s="340" t="e">
        <f>#REF!</f>
        <v>#REF!</v>
      </c>
      <c r="Q126" s="340" t="e">
        <f>#REF!</f>
        <v>#REF!</v>
      </c>
      <c r="S126" s="221">
        <f>DA!B127</f>
        <v>0</v>
      </c>
      <c r="T126" s="340" t="e">
        <f>#REF!</f>
        <v>#REF!</v>
      </c>
      <c r="U126" s="340" t="e">
        <f>#REF!</f>
        <v>#REF!</v>
      </c>
      <c r="V126" s="340" t="e">
        <f>#REF!</f>
        <v>#REF!</v>
      </c>
      <c r="W126" s="340" t="e">
        <f>#REF!</f>
        <v>#REF!</v>
      </c>
      <c r="X126" s="340" t="e">
        <f>#REF!</f>
        <v>#REF!</v>
      </c>
      <c r="Y126" s="340" t="e">
        <f>#REF!</f>
        <v>#REF!</v>
      </c>
      <c r="Z126" s="340" t="e">
        <f>#REF!</f>
        <v>#REF!</v>
      </c>
    </row>
    <row r="127" spans="1:26" x14ac:dyDescent="0.25">
      <c r="A127" t="e">
        <f>#REF!</f>
        <v>#REF!</v>
      </c>
      <c r="B127" s="340" t="e">
        <f>#REF!</f>
        <v>#REF!</v>
      </c>
      <c r="C127" s="340" t="e">
        <f>#REF!</f>
        <v>#REF!</v>
      </c>
      <c r="D127" s="340" t="e">
        <f>#REF!</f>
        <v>#REF!</v>
      </c>
      <c r="E127" s="340" t="e">
        <f>#REF!</f>
        <v>#REF!</v>
      </c>
      <c r="F127" s="340" t="e">
        <f>#REF!</f>
        <v>#REF!</v>
      </c>
      <c r="G127" s="340" t="e">
        <f>#REF!</f>
        <v>#REF!</v>
      </c>
      <c r="H127" s="340" t="e">
        <f>#REF!</f>
        <v>#REF!</v>
      </c>
      <c r="J127" t="e">
        <f>#REF!</f>
        <v>#REF!</v>
      </c>
      <c r="K127" s="340" t="e">
        <f>#REF!</f>
        <v>#REF!</v>
      </c>
      <c r="L127" s="340" t="e">
        <f>#REF!</f>
        <v>#REF!</v>
      </c>
      <c r="M127" s="340" t="e">
        <f>#REF!</f>
        <v>#REF!</v>
      </c>
      <c r="N127" s="340" t="e">
        <f>#REF!</f>
        <v>#REF!</v>
      </c>
      <c r="O127" s="340" t="e">
        <f>#REF!</f>
        <v>#REF!</v>
      </c>
      <c r="P127" s="340" t="e">
        <f>#REF!</f>
        <v>#REF!</v>
      </c>
      <c r="Q127" s="340" t="e">
        <f>#REF!</f>
        <v>#REF!</v>
      </c>
      <c r="S127" s="221">
        <f>DA!B128</f>
        <v>0</v>
      </c>
      <c r="T127" s="340" t="e">
        <f>#REF!</f>
        <v>#REF!</v>
      </c>
      <c r="U127" s="340" t="e">
        <f>#REF!</f>
        <v>#REF!</v>
      </c>
      <c r="V127" s="340" t="e">
        <f>#REF!</f>
        <v>#REF!</v>
      </c>
      <c r="W127" s="340" t="e">
        <f>#REF!</f>
        <v>#REF!</v>
      </c>
      <c r="X127" s="340" t="e">
        <f>#REF!</f>
        <v>#REF!</v>
      </c>
      <c r="Y127" s="340" t="e">
        <f>#REF!</f>
        <v>#REF!</v>
      </c>
      <c r="Z127" s="340" t="e">
        <f>#REF!</f>
        <v>#REF!</v>
      </c>
    </row>
    <row r="128" spans="1:26" x14ac:dyDescent="0.25">
      <c r="A128" t="e">
        <f>#REF!</f>
        <v>#REF!</v>
      </c>
      <c r="B128" s="340" t="e">
        <f>#REF!</f>
        <v>#REF!</v>
      </c>
      <c r="C128" s="340" t="e">
        <f>#REF!</f>
        <v>#REF!</v>
      </c>
      <c r="D128" s="340" t="e">
        <f>#REF!</f>
        <v>#REF!</v>
      </c>
      <c r="E128" s="340" t="e">
        <f>#REF!</f>
        <v>#REF!</v>
      </c>
      <c r="F128" s="340" t="e">
        <f>#REF!</f>
        <v>#REF!</v>
      </c>
      <c r="G128" s="340" t="e">
        <f>#REF!</f>
        <v>#REF!</v>
      </c>
      <c r="H128" s="340" t="e">
        <f>#REF!</f>
        <v>#REF!</v>
      </c>
      <c r="J128" t="e">
        <f>#REF!</f>
        <v>#REF!</v>
      </c>
      <c r="K128" s="340" t="e">
        <f>#REF!</f>
        <v>#REF!</v>
      </c>
      <c r="L128" s="340" t="e">
        <f>#REF!</f>
        <v>#REF!</v>
      </c>
      <c r="M128" s="340" t="e">
        <f>#REF!</f>
        <v>#REF!</v>
      </c>
      <c r="N128" s="340" t="e">
        <f>#REF!</f>
        <v>#REF!</v>
      </c>
      <c r="O128" s="340" t="e">
        <f>#REF!</f>
        <v>#REF!</v>
      </c>
      <c r="P128" s="340" t="e">
        <f>#REF!</f>
        <v>#REF!</v>
      </c>
      <c r="Q128" s="340" t="e">
        <f>#REF!</f>
        <v>#REF!</v>
      </c>
      <c r="S128" s="221">
        <f>DA!B129</f>
        <v>0</v>
      </c>
      <c r="T128" s="340" t="e">
        <f>#REF!</f>
        <v>#REF!</v>
      </c>
      <c r="U128" s="340" t="e">
        <f>#REF!</f>
        <v>#REF!</v>
      </c>
      <c r="V128" s="340" t="e">
        <f>#REF!</f>
        <v>#REF!</v>
      </c>
      <c r="W128" s="340" t="e">
        <f>#REF!</f>
        <v>#REF!</v>
      </c>
      <c r="X128" s="340" t="e">
        <f>#REF!</f>
        <v>#REF!</v>
      </c>
      <c r="Y128" s="340" t="e">
        <f>#REF!</f>
        <v>#REF!</v>
      </c>
      <c r="Z128" s="340" t="e">
        <f>#REF!</f>
        <v>#REF!</v>
      </c>
    </row>
    <row r="129" spans="1:26" x14ac:dyDescent="0.25">
      <c r="A129" t="e">
        <f>#REF!</f>
        <v>#REF!</v>
      </c>
      <c r="B129" s="340" t="e">
        <f>#REF!</f>
        <v>#REF!</v>
      </c>
      <c r="C129" s="340" t="e">
        <f>#REF!</f>
        <v>#REF!</v>
      </c>
      <c r="D129" s="340" t="e">
        <f>#REF!</f>
        <v>#REF!</v>
      </c>
      <c r="E129" s="340" t="e">
        <f>#REF!</f>
        <v>#REF!</v>
      </c>
      <c r="F129" s="340" t="e">
        <f>#REF!</f>
        <v>#REF!</v>
      </c>
      <c r="G129" s="340" t="e">
        <f>#REF!</f>
        <v>#REF!</v>
      </c>
      <c r="H129" s="340" t="e">
        <f>#REF!</f>
        <v>#REF!</v>
      </c>
      <c r="J129" t="e">
        <f>#REF!</f>
        <v>#REF!</v>
      </c>
      <c r="K129" s="340" t="e">
        <f>#REF!</f>
        <v>#REF!</v>
      </c>
      <c r="L129" s="340" t="e">
        <f>#REF!</f>
        <v>#REF!</v>
      </c>
      <c r="M129" s="340" t="e">
        <f>#REF!</f>
        <v>#REF!</v>
      </c>
      <c r="N129" s="340" t="e">
        <f>#REF!</f>
        <v>#REF!</v>
      </c>
      <c r="O129" s="340" t="e">
        <f>#REF!</f>
        <v>#REF!</v>
      </c>
      <c r="P129" s="340" t="e">
        <f>#REF!</f>
        <v>#REF!</v>
      </c>
      <c r="Q129" s="340" t="e">
        <f>#REF!</f>
        <v>#REF!</v>
      </c>
      <c r="S129" s="221">
        <f>DA!B130</f>
        <v>0</v>
      </c>
      <c r="T129" s="340" t="e">
        <f>#REF!</f>
        <v>#REF!</v>
      </c>
      <c r="U129" s="340" t="e">
        <f>#REF!</f>
        <v>#REF!</v>
      </c>
      <c r="V129" s="340" t="e">
        <f>#REF!</f>
        <v>#REF!</v>
      </c>
      <c r="W129" s="340" t="e">
        <f>#REF!</f>
        <v>#REF!</v>
      </c>
      <c r="X129" s="340" t="e">
        <f>#REF!</f>
        <v>#REF!</v>
      </c>
      <c r="Y129" s="340" t="e">
        <f>#REF!</f>
        <v>#REF!</v>
      </c>
      <c r="Z129" s="340" t="e">
        <f>#REF!</f>
        <v>#REF!</v>
      </c>
    </row>
    <row r="130" spans="1:26" x14ac:dyDescent="0.25">
      <c r="A130" t="e">
        <f>#REF!</f>
        <v>#REF!</v>
      </c>
      <c r="B130" s="340" t="e">
        <f>#REF!</f>
        <v>#REF!</v>
      </c>
      <c r="C130" s="340" t="e">
        <f>#REF!</f>
        <v>#REF!</v>
      </c>
      <c r="D130" s="340" t="e">
        <f>#REF!</f>
        <v>#REF!</v>
      </c>
      <c r="E130" s="340" t="e">
        <f>#REF!</f>
        <v>#REF!</v>
      </c>
      <c r="F130" s="340" t="e">
        <f>#REF!</f>
        <v>#REF!</v>
      </c>
      <c r="G130" s="340" t="e">
        <f>#REF!</f>
        <v>#REF!</v>
      </c>
      <c r="H130" s="340" t="e">
        <f>#REF!</f>
        <v>#REF!</v>
      </c>
      <c r="J130" t="e">
        <f>#REF!</f>
        <v>#REF!</v>
      </c>
      <c r="K130" s="340" t="e">
        <f>#REF!</f>
        <v>#REF!</v>
      </c>
      <c r="L130" s="340" t="e">
        <f>#REF!</f>
        <v>#REF!</v>
      </c>
      <c r="M130" s="340" t="e">
        <f>#REF!</f>
        <v>#REF!</v>
      </c>
      <c r="N130" s="340" t="e">
        <f>#REF!</f>
        <v>#REF!</v>
      </c>
      <c r="O130" s="340" t="e">
        <f>#REF!</f>
        <v>#REF!</v>
      </c>
      <c r="P130" s="340" t="e">
        <f>#REF!</f>
        <v>#REF!</v>
      </c>
      <c r="Q130" s="340" t="e">
        <f>#REF!</f>
        <v>#REF!</v>
      </c>
      <c r="S130" s="221">
        <f>DA!B131</f>
        <v>0</v>
      </c>
      <c r="T130" s="340" t="e">
        <f>#REF!</f>
        <v>#REF!</v>
      </c>
      <c r="U130" s="340" t="e">
        <f>#REF!</f>
        <v>#REF!</v>
      </c>
      <c r="V130" s="340" t="e">
        <f>#REF!</f>
        <v>#REF!</v>
      </c>
      <c r="W130" s="340" t="e">
        <f>#REF!</f>
        <v>#REF!</v>
      </c>
      <c r="X130" s="340" t="e">
        <f>#REF!</f>
        <v>#REF!</v>
      </c>
      <c r="Y130" s="340" t="e">
        <f>#REF!</f>
        <v>#REF!</v>
      </c>
      <c r="Z130" s="340" t="e">
        <f>#REF!</f>
        <v>#REF!</v>
      </c>
    </row>
    <row r="131" spans="1:26" x14ac:dyDescent="0.25">
      <c r="A131" t="e">
        <f>#REF!</f>
        <v>#REF!</v>
      </c>
      <c r="B131" s="340" t="e">
        <f>#REF!</f>
        <v>#REF!</v>
      </c>
      <c r="C131" s="340" t="e">
        <f>#REF!</f>
        <v>#REF!</v>
      </c>
      <c r="D131" s="340" t="e">
        <f>#REF!</f>
        <v>#REF!</v>
      </c>
      <c r="E131" s="340" t="e">
        <f>#REF!</f>
        <v>#REF!</v>
      </c>
      <c r="F131" s="340" t="e">
        <f>#REF!</f>
        <v>#REF!</v>
      </c>
      <c r="G131" s="340" t="e">
        <f>#REF!</f>
        <v>#REF!</v>
      </c>
      <c r="H131" s="340" t="e">
        <f>#REF!</f>
        <v>#REF!</v>
      </c>
      <c r="J131" t="e">
        <f>#REF!</f>
        <v>#REF!</v>
      </c>
      <c r="K131" s="340" t="e">
        <f>#REF!</f>
        <v>#REF!</v>
      </c>
      <c r="L131" s="340" t="e">
        <f>#REF!</f>
        <v>#REF!</v>
      </c>
      <c r="M131" s="340" t="e">
        <f>#REF!</f>
        <v>#REF!</v>
      </c>
      <c r="N131" s="340" t="e">
        <f>#REF!</f>
        <v>#REF!</v>
      </c>
      <c r="O131" s="340" t="e">
        <f>#REF!</f>
        <v>#REF!</v>
      </c>
      <c r="P131" s="340" t="e">
        <f>#REF!</f>
        <v>#REF!</v>
      </c>
      <c r="Q131" s="340" t="e">
        <f>#REF!</f>
        <v>#REF!</v>
      </c>
      <c r="S131" s="221">
        <f>DA!B132</f>
        <v>0</v>
      </c>
      <c r="T131" s="340" t="e">
        <f>#REF!</f>
        <v>#REF!</v>
      </c>
      <c r="U131" s="340" t="e">
        <f>#REF!</f>
        <v>#REF!</v>
      </c>
      <c r="V131" s="340" t="e">
        <f>#REF!</f>
        <v>#REF!</v>
      </c>
      <c r="W131" s="340" t="e">
        <f>#REF!</f>
        <v>#REF!</v>
      </c>
      <c r="X131" s="340" t="e">
        <f>#REF!</f>
        <v>#REF!</v>
      </c>
      <c r="Y131" s="340" t="e">
        <f>#REF!</f>
        <v>#REF!</v>
      </c>
      <c r="Z131" s="340" t="e">
        <f>#REF!</f>
        <v>#REF!</v>
      </c>
    </row>
    <row r="132" spans="1:26" x14ac:dyDescent="0.25">
      <c r="A132" t="e">
        <f>#REF!</f>
        <v>#REF!</v>
      </c>
      <c r="B132" s="340" t="e">
        <f>#REF!</f>
        <v>#REF!</v>
      </c>
      <c r="C132" s="340" t="e">
        <f>#REF!</f>
        <v>#REF!</v>
      </c>
      <c r="D132" s="340" t="e">
        <f>#REF!</f>
        <v>#REF!</v>
      </c>
      <c r="E132" s="340" t="e">
        <f>#REF!</f>
        <v>#REF!</v>
      </c>
      <c r="F132" s="340" t="e">
        <f>#REF!</f>
        <v>#REF!</v>
      </c>
      <c r="G132" s="340" t="e">
        <f>#REF!</f>
        <v>#REF!</v>
      </c>
      <c r="H132" s="340" t="e">
        <f>#REF!</f>
        <v>#REF!</v>
      </c>
      <c r="J132" t="e">
        <f>#REF!</f>
        <v>#REF!</v>
      </c>
      <c r="K132" s="340" t="e">
        <f>#REF!</f>
        <v>#REF!</v>
      </c>
      <c r="L132" s="340" t="e">
        <f>#REF!</f>
        <v>#REF!</v>
      </c>
      <c r="M132" s="340" t="e">
        <f>#REF!</f>
        <v>#REF!</v>
      </c>
      <c r="N132" s="340" t="e">
        <f>#REF!</f>
        <v>#REF!</v>
      </c>
      <c r="O132" s="340" t="e">
        <f>#REF!</f>
        <v>#REF!</v>
      </c>
      <c r="P132" s="340" t="e">
        <f>#REF!</f>
        <v>#REF!</v>
      </c>
      <c r="Q132" s="340" t="e">
        <f>#REF!</f>
        <v>#REF!</v>
      </c>
      <c r="S132" s="221">
        <f>DA!B133</f>
        <v>0</v>
      </c>
      <c r="T132" s="340" t="e">
        <f>#REF!</f>
        <v>#REF!</v>
      </c>
      <c r="U132" s="340" t="e">
        <f>#REF!</f>
        <v>#REF!</v>
      </c>
      <c r="V132" s="340" t="e">
        <f>#REF!</f>
        <v>#REF!</v>
      </c>
      <c r="W132" s="340" t="e">
        <f>#REF!</f>
        <v>#REF!</v>
      </c>
      <c r="X132" s="340" t="e">
        <f>#REF!</f>
        <v>#REF!</v>
      </c>
      <c r="Y132" s="340" t="e">
        <f>#REF!</f>
        <v>#REF!</v>
      </c>
      <c r="Z132" s="340" t="e">
        <f>#REF!</f>
        <v>#REF!</v>
      </c>
    </row>
    <row r="133" spans="1:26" x14ac:dyDescent="0.25">
      <c r="A133" t="e">
        <f>#REF!</f>
        <v>#REF!</v>
      </c>
      <c r="B133" s="340" t="e">
        <f>#REF!</f>
        <v>#REF!</v>
      </c>
      <c r="C133" s="340" t="e">
        <f>#REF!</f>
        <v>#REF!</v>
      </c>
      <c r="D133" s="340" t="e">
        <f>#REF!</f>
        <v>#REF!</v>
      </c>
      <c r="E133" s="340" t="e">
        <f>#REF!</f>
        <v>#REF!</v>
      </c>
      <c r="F133" s="340" t="e">
        <f>#REF!</f>
        <v>#REF!</v>
      </c>
      <c r="G133" s="340" t="e">
        <f>#REF!</f>
        <v>#REF!</v>
      </c>
      <c r="H133" s="340" t="e">
        <f>#REF!</f>
        <v>#REF!</v>
      </c>
      <c r="J133" t="e">
        <f>#REF!</f>
        <v>#REF!</v>
      </c>
      <c r="K133" s="340" t="e">
        <f>#REF!</f>
        <v>#REF!</v>
      </c>
      <c r="L133" s="340" t="e">
        <f>#REF!</f>
        <v>#REF!</v>
      </c>
      <c r="M133" s="340" t="e">
        <f>#REF!</f>
        <v>#REF!</v>
      </c>
      <c r="N133" s="340" t="e">
        <f>#REF!</f>
        <v>#REF!</v>
      </c>
      <c r="O133" s="340" t="e">
        <f>#REF!</f>
        <v>#REF!</v>
      </c>
      <c r="P133" s="340" t="e">
        <f>#REF!</f>
        <v>#REF!</v>
      </c>
      <c r="Q133" s="340" t="e">
        <f>#REF!</f>
        <v>#REF!</v>
      </c>
      <c r="S133" s="221">
        <f>DA!B134</f>
        <v>0</v>
      </c>
      <c r="T133" s="340" t="e">
        <f>#REF!</f>
        <v>#REF!</v>
      </c>
      <c r="U133" s="340" t="e">
        <f>#REF!</f>
        <v>#REF!</v>
      </c>
      <c r="V133" s="340" t="e">
        <f>#REF!</f>
        <v>#REF!</v>
      </c>
      <c r="W133" s="340" t="e">
        <f>#REF!</f>
        <v>#REF!</v>
      </c>
      <c r="X133" s="340" t="e">
        <f>#REF!</f>
        <v>#REF!</v>
      </c>
      <c r="Y133" s="340" t="e">
        <f>#REF!</f>
        <v>#REF!</v>
      </c>
      <c r="Z133" s="340" t="e">
        <f>#REF!</f>
        <v>#REF!</v>
      </c>
    </row>
    <row r="134" spans="1:26" x14ac:dyDescent="0.25">
      <c r="A134" t="e">
        <f>#REF!</f>
        <v>#REF!</v>
      </c>
      <c r="B134" s="340" t="e">
        <f>#REF!</f>
        <v>#REF!</v>
      </c>
      <c r="C134" s="340" t="e">
        <f>#REF!</f>
        <v>#REF!</v>
      </c>
      <c r="D134" s="340" t="e">
        <f>#REF!</f>
        <v>#REF!</v>
      </c>
      <c r="E134" s="340" t="e">
        <f>#REF!</f>
        <v>#REF!</v>
      </c>
      <c r="F134" s="340" t="e">
        <f>#REF!</f>
        <v>#REF!</v>
      </c>
      <c r="G134" s="340" t="e">
        <f>#REF!</f>
        <v>#REF!</v>
      </c>
      <c r="H134" s="340" t="e">
        <f>#REF!</f>
        <v>#REF!</v>
      </c>
      <c r="J134" t="e">
        <f>#REF!</f>
        <v>#REF!</v>
      </c>
      <c r="K134" s="340" t="e">
        <f>#REF!</f>
        <v>#REF!</v>
      </c>
      <c r="L134" s="340" t="e">
        <f>#REF!</f>
        <v>#REF!</v>
      </c>
      <c r="M134" s="340" t="e">
        <f>#REF!</f>
        <v>#REF!</v>
      </c>
      <c r="N134" s="340" t="e">
        <f>#REF!</f>
        <v>#REF!</v>
      </c>
      <c r="O134" s="340" t="e">
        <f>#REF!</f>
        <v>#REF!</v>
      </c>
      <c r="P134" s="340" t="e">
        <f>#REF!</f>
        <v>#REF!</v>
      </c>
      <c r="Q134" s="340" t="e">
        <f>#REF!</f>
        <v>#REF!</v>
      </c>
      <c r="S134" s="221">
        <f>DA!B135</f>
        <v>0</v>
      </c>
      <c r="T134" s="340" t="e">
        <f>#REF!</f>
        <v>#REF!</v>
      </c>
      <c r="U134" s="340" t="e">
        <f>#REF!</f>
        <v>#REF!</v>
      </c>
      <c r="V134" s="340" t="e">
        <f>#REF!</f>
        <v>#REF!</v>
      </c>
      <c r="W134" s="340" t="e">
        <f>#REF!</f>
        <v>#REF!</v>
      </c>
      <c r="X134" s="340" t="e">
        <f>#REF!</f>
        <v>#REF!</v>
      </c>
      <c r="Y134" s="340" t="e">
        <f>#REF!</f>
        <v>#REF!</v>
      </c>
      <c r="Z134" s="340" t="e">
        <f>#REF!</f>
        <v>#REF!</v>
      </c>
    </row>
    <row r="135" spans="1:26" x14ac:dyDescent="0.25">
      <c r="A135" t="e">
        <f>#REF!</f>
        <v>#REF!</v>
      </c>
      <c r="B135" s="340" t="e">
        <f>#REF!</f>
        <v>#REF!</v>
      </c>
      <c r="C135" s="340" t="e">
        <f>#REF!</f>
        <v>#REF!</v>
      </c>
      <c r="D135" s="340" t="e">
        <f>#REF!</f>
        <v>#REF!</v>
      </c>
      <c r="E135" s="340" t="e">
        <f>#REF!</f>
        <v>#REF!</v>
      </c>
      <c r="F135" s="340" t="e">
        <f>#REF!</f>
        <v>#REF!</v>
      </c>
      <c r="G135" s="340" t="e">
        <f>#REF!</f>
        <v>#REF!</v>
      </c>
      <c r="H135" s="340" t="e">
        <f>#REF!</f>
        <v>#REF!</v>
      </c>
      <c r="J135" t="e">
        <f>#REF!</f>
        <v>#REF!</v>
      </c>
      <c r="K135" s="340" t="e">
        <f>#REF!</f>
        <v>#REF!</v>
      </c>
      <c r="L135" s="340" t="e">
        <f>#REF!</f>
        <v>#REF!</v>
      </c>
      <c r="M135" s="340" t="e">
        <f>#REF!</f>
        <v>#REF!</v>
      </c>
      <c r="N135" s="340" t="e">
        <f>#REF!</f>
        <v>#REF!</v>
      </c>
      <c r="O135" s="340" t="e">
        <f>#REF!</f>
        <v>#REF!</v>
      </c>
      <c r="P135" s="340" t="e">
        <f>#REF!</f>
        <v>#REF!</v>
      </c>
      <c r="Q135" s="340" t="e">
        <f>#REF!</f>
        <v>#REF!</v>
      </c>
      <c r="S135" s="221">
        <f>DA!B136</f>
        <v>0</v>
      </c>
      <c r="T135" s="340" t="e">
        <f>#REF!</f>
        <v>#REF!</v>
      </c>
      <c r="U135" s="340" t="e">
        <f>#REF!</f>
        <v>#REF!</v>
      </c>
      <c r="V135" s="340" t="e">
        <f>#REF!</f>
        <v>#REF!</v>
      </c>
      <c r="W135" s="340" t="e">
        <f>#REF!</f>
        <v>#REF!</v>
      </c>
      <c r="X135" s="340" t="e">
        <f>#REF!</f>
        <v>#REF!</v>
      </c>
      <c r="Y135" s="340" t="e">
        <f>#REF!</f>
        <v>#REF!</v>
      </c>
      <c r="Z135" s="340" t="e">
        <f>#REF!</f>
        <v>#REF!</v>
      </c>
    </row>
    <row r="136" spans="1:26" x14ac:dyDescent="0.25">
      <c r="A136" t="e">
        <f>#REF!</f>
        <v>#REF!</v>
      </c>
      <c r="B136" s="340" t="e">
        <f>#REF!</f>
        <v>#REF!</v>
      </c>
      <c r="C136" s="340" t="e">
        <f>#REF!</f>
        <v>#REF!</v>
      </c>
      <c r="D136" s="340" t="e">
        <f>#REF!</f>
        <v>#REF!</v>
      </c>
      <c r="E136" s="340" t="e">
        <f>#REF!</f>
        <v>#REF!</v>
      </c>
      <c r="F136" s="340" t="e">
        <f>#REF!</f>
        <v>#REF!</v>
      </c>
      <c r="G136" s="340" t="e">
        <f>#REF!</f>
        <v>#REF!</v>
      </c>
      <c r="H136" s="340" t="e">
        <f>#REF!</f>
        <v>#REF!</v>
      </c>
      <c r="J136" t="e">
        <f>#REF!</f>
        <v>#REF!</v>
      </c>
      <c r="K136" s="340" t="e">
        <f>#REF!</f>
        <v>#REF!</v>
      </c>
      <c r="L136" s="340" t="e">
        <f>#REF!</f>
        <v>#REF!</v>
      </c>
      <c r="M136" s="340" t="e">
        <f>#REF!</f>
        <v>#REF!</v>
      </c>
      <c r="N136" s="340" t="e">
        <f>#REF!</f>
        <v>#REF!</v>
      </c>
      <c r="O136" s="340" t="e">
        <f>#REF!</f>
        <v>#REF!</v>
      </c>
      <c r="P136" s="340" t="e">
        <f>#REF!</f>
        <v>#REF!</v>
      </c>
      <c r="Q136" s="340" t="e">
        <f>#REF!</f>
        <v>#REF!</v>
      </c>
      <c r="S136" s="221">
        <f>DA!B137</f>
        <v>0</v>
      </c>
      <c r="T136" s="340" t="e">
        <f>#REF!</f>
        <v>#REF!</v>
      </c>
      <c r="U136" s="340" t="e">
        <f>#REF!</f>
        <v>#REF!</v>
      </c>
      <c r="V136" s="340" t="e">
        <f>#REF!</f>
        <v>#REF!</v>
      </c>
      <c r="W136" s="340" t="e">
        <f>#REF!</f>
        <v>#REF!</v>
      </c>
      <c r="X136" s="340" t="e">
        <f>#REF!</f>
        <v>#REF!</v>
      </c>
      <c r="Y136" s="340" t="e">
        <f>#REF!</f>
        <v>#REF!</v>
      </c>
      <c r="Z136" s="340" t="e">
        <f>#REF!</f>
        <v>#REF!</v>
      </c>
    </row>
    <row r="137" spans="1:26" x14ac:dyDescent="0.25">
      <c r="A137" t="e">
        <f>#REF!</f>
        <v>#REF!</v>
      </c>
      <c r="B137" s="340" t="e">
        <f>#REF!</f>
        <v>#REF!</v>
      </c>
      <c r="C137" s="340" t="e">
        <f>#REF!</f>
        <v>#REF!</v>
      </c>
      <c r="D137" s="340" t="e">
        <f>#REF!</f>
        <v>#REF!</v>
      </c>
      <c r="E137" s="340" t="e">
        <f>#REF!</f>
        <v>#REF!</v>
      </c>
      <c r="F137" s="340" t="e">
        <f>#REF!</f>
        <v>#REF!</v>
      </c>
      <c r="G137" s="340" t="e">
        <f>#REF!</f>
        <v>#REF!</v>
      </c>
      <c r="H137" s="340" t="e">
        <f>#REF!</f>
        <v>#REF!</v>
      </c>
      <c r="J137" t="e">
        <f>#REF!</f>
        <v>#REF!</v>
      </c>
      <c r="K137" s="340" t="e">
        <f>#REF!</f>
        <v>#REF!</v>
      </c>
      <c r="L137" s="340" t="e">
        <f>#REF!</f>
        <v>#REF!</v>
      </c>
      <c r="M137" s="340" t="e">
        <f>#REF!</f>
        <v>#REF!</v>
      </c>
      <c r="N137" s="340" t="e">
        <f>#REF!</f>
        <v>#REF!</v>
      </c>
      <c r="O137" s="340" t="e">
        <f>#REF!</f>
        <v>#REF!</v>
      </c>
      <c r="P137" s="340" t="e">
        <f>#REF!</f>
        <v>#REF!</v>
      </c>
      <c r="Q137" s="340" t="e">
        <f>#REF!</f>
        <v>#REF!</v>
      </c>
      <c r="S137" s="221">
        <f>DA!B138</f>
        <v>0</v>
      </c>
      <c r="T137" s="340" t="e">
        <f>#REF!</f>
        <v>#REF!</v>
      </c>
      <c r="U137" s="340" t="e">
        <f>#REF!</f>
        <v>#REF!</v>
      </c>
      <c r="V137" s="340" t="e">
        <f>#REF!</f>
        <v>#REF!</v>
      </c>
      <c r="W137" s="340" t="e">
        <f>#REF!</f>
        <v>#REF!</v>
      </c>
      <c r="X137" s="340" t="e">
        <f>#REF!</f>
        <v>#REF!</v>
      </c>
      <c r="Y137" s="340" t="e">
        <f>#REF!</f>
        <v>#REF!</v>
      </c>
      <c r="Z137" s="340" t="e">
        <f>#REF!</f>
        <v>#REF!</v>
      </c>
    </row>
    <row r="138" spans="1:26" x14ac:dyDescent="0.25">
      <c r="A138" t="e">
        <f>#REF!</f>
        <v>#REF!</v>
      </c>
      <c r="B138" s="340" t="e">
        <f>#REF!</f>
        <v>#REF!</v>
      </c>
      <c r="C138" s="340" t="e">
        <f>#REF!</f>
        <v>#REF!</v>
      </c>
      <c r="D138" s="340" t="e">
        <f>#REF!</f>
        <v>#REF!</v>
      </c>
      <c r="E138" s="340" t="e">
        <f>#REF!</f>
        <v>#REF!</v>
      </c>
      <c r="F138" s="340" t="e">
        <f>#REF!</f>
        <v>#REF!</v>
      </c>
      <c r="G138" s="340" t="e">
        <f>#REF!</f>
        <v>#REF!</v>
      </c>
      <c r="H138" s="340" t="e">
        <f>#REF!</f>
        <v>#REF!</v>
      </c>
      <c r="J138" t="e">
        <f>#REF!</f>
        <v>#REF!</v>
      </c>
      <c r="K138" s="340" t="e">
        <f>#REF!</f>
        <v>#REF!</v>
      </c>
      <c r="L138" s="340" t="e">
        <f>#REF!</f>
        <v>#REF!</v>
      </c>
      <c r="M138" s="340" t="e">
        <f>#REF!</f>
        <v>#REF!</v>
      </c>
      <c r="N138" s="340" t="e">
        <f>#REF!</f>
        <v>#REF!</v>
      </c>
      <c r="O138" s="340" t="e">
        <f>#REF!</f>
        <v>#REF!</v>
      </c>
      <c r="P138" s="340" t="e">
        <f>#REF!</f>
        <v>#REF!</v>
      </c>
      <c r="Q138" s="340" t="e">
        <f>#REF!</f>
        <v>#REF!</v>
      </c>
      <c r="S138" s="221">
        <f>DA!B139</f>
        <v>0</v>
      </c>
      <c r="T138" s="340" t="e">
        <f>#REF!</f>
        <v>#REF!</v>
      </c>
      <c r="U138" s="340" t="e">
        <f>#REF!</f>
        <v>#REF!</v>
      </c>
      <c r="V138" s="340" t="e">
        <f>#REF!</f>
        <v>#REF!</v>
      </c>
      <c r="W138" s="340" t="e">
        <f>#REF!</f>
        <v>#REF!</v>
      </c>
      <c r="X138" s="340" t="e">
        <f>#REF!</f>
        <v>#REF!</v>
      </c>
      <c r="Y138" s="340" t="e">
        <f>#REF!</f>
        <v>#REF!</v>
      </c>
      <c r="Z138" s="340" t="e">
        <f>#REF!</f>
        <v>#REF!</v>
      </c>
    </row>
    <row r="139" spans="1:26" x14ac:dyDescent="0.25">
      <c r="A139" t="e">
        <f>#REF!</f>
        <v>#REF!</v>
      </c>
      <c r="B139" s="340" t="e">
        <f>#REF!</f>
        <v>#REF!</v>
      </c>
      <c r="C139" s="340" t="e">
        <f>#REF!</f>
        <v>#REF!</v>
      </c>
      <c r="D139" s="340" t="e">
        <f>#REF!</f>
        <v>#REF!</v>
      </c>
      <c r="E139" s="340" t="e">
        <f>#REF!</f>
        <v>#REF!</v>
      </c>
      <c r="F139" s="340" t="e">
        <f>#REF!</f>
        <v>#REF!</v>
      </c>
      <c r="G139" s="340" t="e">
        <f>#REF!</f>
        <v>#REF!</v>
      </c>
      <c r="H139" s="340" t="e">
        <f>#REF!</f>
        <v>#REF!</v>
      </c>
      <c r="J139" t="e">
        <f>#REF!</f>
        <v>#REF!</v>
      </c>
      <c r="K139" s="340" t="e">
        <f>#REF!</f>
        <v>#REF!</v>
      </c>
      <c r="L139" s="340" t="e">
        <f>#REF!</f>
        <v>#REF!</v>
      </c>
      <c r="M139" s="340" t="e">
        <f>#REF!</f>
        <v>#REF!</v>
      </c>
      <c r="N139" s="340" t="e">
        <f>#REF!</f>
        <v>#REF!</v>
      </c>
      <c r="O139" s="340" t="e">
        <f>#REF!</f>
        <v>#REF!</v>
      </c>
      <c r="P139" s="340" t="e">
        <f>#REF!</f>
        <v>#REF!</v>
      </c>
      <c r="Q139" s="340" t="e">
        <f>#REF!</f>
        <v>#REF!</v>
      </c>
      <c r="S139" s="221">
        <f>DA!B140</f>
        <v>0</v>
      </c>
      <c r="T139" s="340" t="e">
        <f>#REF!</f>
        <v>#REF!</v>
      </c>
      <c r="U139" s="340" t="e">
        <f>#REF!</f>
        <v>#REF!</v>
      </c>
      <c r="V139" s="340" t="e">
        <f>#REF!</f>
        <v>#REF!</v>
      </c>
      <c r="W139" s="340" t="e">
        <f>#REF!</f>
        <v>#REF!</v>
      </c>
      <c r="X139" s="340" t="e">
        <f>#REF!</f>
        <v>#REF!</v>
      </c>
      <c r="Y139" s="340" t="e">
        <f>#REF!</f>
        <v>#REF!</v>
      </c>
      <c r="Z139" s="340" t="e">
        <f>#REF!</f>
        <v>#REF!</v>
      </c>
    </row>
    <row r="140" spans="1:26" x14ac:dyDescent="0.25">
      <c r="A140" t="e">
        <f>#REF!</f>
        <v>#REF!</v>
      </c>
      <c r="B140" s="340" t="e">
        <f>#REF!</f>
        <v>#REF!</v>
      </c>
      <c r="C140" s="340" t="e">
        <f>#REF!</f>
        <v>#REF!</v>
      </c>
      <c r="D140" s="340" t="e">
        <f>#REF!</f>
        <v>#REF!</v>
      </c>
      <c r="E140" s="340" t="e">
        <f>#REF!</f>
        <v>#REF!</v>
      </c>
      <c r="F140" s="340" t="e">
        <f>#REF!</f>
        <v>#REF!</v>
      </c>
      <c r="G140" s="340" t="e">
        <f>#REF!</f>
        <v>#REF!</v>
      </c>
      <c r="H140" s="340" t="e">
        <f>#REF!</f>
        <v>#REF!</v>
      </c>
      <c r="J140" t="e">
        <f>#REF!</f>
        <v>#REF!</v>
      </c>
      <c r="K140" s="340" t="e">
        <f>#REF!</f>
        <v>#REF!</v>
      </c>
      <c r="L140" s="340" t="e">
        <f>#REF!</f>
        <v>#REF!</v>
      </c>
      <c r="M140" s="340" t="e">
        <f>#REF!</f>
        <v>#REF!</v>
      </c>
      <c r="N140" s="340" t="e">
        <f>#REF!</f>
        <v>#REF!</v>
      </c>
      <c r="O140" s="340" t="e">
        <f>#REF!</f>
        <v>#REF!</v>
      </c>
      <c r="P140" s="340" t="e">
        <f>#REF!</f>
        <v>#REF!</v>
      </c>
      <c r="Q140" s="340" t="e">
        <f>#REF!</f>
        <v>#REF!</v>
      </c>
      <c r="S140" s="221">
        <f>DA!B141</f>
        <v>0</v>
      </c>
      <c r="T140" s="340" t="e">
        <f>#REF!</f>
        <v>#REF!</v>
      </c>
      <c r="U140" s="340" t="e">
        <f>#REF!</f>
        <v>#REF!</v>
      </c>
      <c r="V140" s="340" t="e">
        <f>#REF!</f>
        <v>#REF!</v>
      </c>
      <c r="W140" s="340" t="e">
        <f>#REF!</f>
        <v>#REF!</v>
      </c>
      <c r="X140" s="340" t="e">
        <f>#REF!</f>
        <v>#REF!</v>
      </c>
      <c r="Y140" s="340" t="e">
        <f>#REF!</f>
        <v>#REF!</v>
      </c>
      <c r="Z140" s="340" t="e">
        <f>#REF!</f>
        <v>#REF!</v>
      </c>
    </row>
    <row r="141" spans="1:26" x14ac:dyDescent="0.25">
      <c r="A141" t="e">
        <f>#REF!</f>
        <v>#REF!</v>
      </c>
      <c r="B141" s="340" t="e">
        <f>#REF!</f>
        <v>#REF!</v>
      </c>
      <c r="C141" s="340" t="e">
        <f>#REF!</f>
        <v>#REF!</v>
      </c>
      <c r="D141" s="340" t="e">
        <f>#REF!</f>
        <v>#REF!</v>
      </c>
      <c r="E141" s="340" t="e">
        <f>#REF!</f>
        <v>#REF!</v>
      </c>
      <c r="F141" s="340" t="e">
        <f>#REF!</f>
        <v>#REF!</v>
      </c>
      <c r="G141" s="340" t="e">
        <f>#REF!</f>
        <v>#REF!</v>
      </c>
      <c r="H141" s="340" t="e">
        <f>#REF!</f>
        <v>#REF!</v>
      </c>
      <c r="J141" t="e">
        <f>#REF!</f>
        <v>#REF!</v>
      </c>
      <c r="K141" s="340" t="e">
        <f>#REF!</f>
        <v>#REF!</v>
      </c>
      <c r="L141" s="340" t="e">
        <f>#REF!</f>
        <v>#REF!</v>
      </c>
      <c r="M141" s="340" t="e">
        <f>#REF!</f>
        <v>#REF!</v>
      </c>
      <c r="N141" s="340" t="e">
        <f>#REF!</f>
        <v>#REF!</v>
      </c>
      <c r="O141" s="340" t="e">
        <f>#REF!</f>
        <v>#REF!</v>
      </c>
      <c r="P141" s="340" t="e">
        <f>#REF!</f>
        <v>#REF!</v>
      </c>
      <c r="Q141" s="340" t="e">
        <f>#REF!</f>
        <v>#REF!</v>
      </c>
      <c r="S141" s="221">
        <f>DA!B142</f>
        <v>0</v>
      </c>
      <c r="T141" s="340" t="e">
        <f>#REF!</f>
        <v>#REF!</v>
      </c>
      <c r="U141" s="340" t="e">
        <f>#REF!</f>
        <v>#REF!</v>
      </c>
      <c r="V141" s="340" t="e">
        <f>#REF!</f>
        <v>#REF!</v>
      </c>
      <c r="W141" s="340" t="e">
        <f>#REF!</f>
        <v>#REF!</v>
      </c>
      <c r="X141" s="340" t="e">
        <f>#REF!</f>
        <v>#REF!</v>
      </c>
      <c r="Y141" s="340" t="e">
        <f>#REF!</f>
        <v>#REF!</v>
      </c>
      <c r="Z141" s="340" t="e">
        <f>#REF!</f>
        <v>#REF!</v>
      </c>
    </row>
    <row r="142" spans="1:26" x14ac:dyDescent="0.25">
      <c r="A142" t="e">
        <f>#REF!</f>
        <v>#REF!</v>
      </c>
      <c r="B142" s="340" t="e">
        <f>#REF!</f>
        <v>#REF!</v>
      </c>
      <c r="C142" s="340" t="e">
        <f>#REF!</f>
        <v>#REF!</v>
      </c>
      <c r="D142" s="340" t="e">
        <f>#REF!</f>
        <v>#REF!</v>
      </c>
      <c r="E142" s="340" t="e">
        <f>#REF!</f>
        <v>#REF!</v>
      </c>
      <c r="F142" s="340" t="e">
        <f>#REF!</f>
        <v>#REF!</v>
      </c>
      <c r="G142" s="340" t="e">
        <f>#REF!</f>
        <v>#REF!</v>
      </c>
      <c r="H142" s="340" t="e">
        <f>#REF!</f>
        <v>#REF!</v>
      </c>
      <c r="J142" t="e">
        <f>#REF!</f>
        <v>#REF!</v>
      </c>
      <c r="K142" s="340" t="e">
        <f>#REF!</f>
        <v>#REF!</v>
      </c>
      <c r="L142" s="340" t="e">
        <f>#REF!</f>
        <v>#REF!</v>
      </c>
      <c r="M142" s="340" t="e">
        <f>#REF!</f>
        <v>#REF!</v>
      </c>
      <c r="N142" s="340" t="e">
        <f>#REF!</f>
        <v>#REF!</v>
      </c>
      <c r="O142" s="340" t="e">
        <f>#REF!</f>
        <v>#REF!</v>
      </c>
      <c r="P142" s="340" t="e">
        <f>#REF!</f>
        <v>#REF!</v>
      </c>
      <c r="Q142" s="340" t="e">
        <f>#REF!</f>
        <v>#REF!</v>
      </c>
      <c r="S142" s="221">
        <f>DA!B143</f>
        <v>0</v>
      </c>
      <c r="T142" s="340" t="e">
        <f>#REF!</f>
        <v>#REF!</v>
      </c>
      <c r="U142" s="340" t="e">
        <f>#REF!</f>
        <v>#REF!</v>
      </c>
      <c r="V142" s="340" t="e">
        <f>#REF!</f>
        <v>#REF!</v>
      </c>
      <c r="W142" s="340" t="e">
        <f>#REF!</f>
        <v>#REF!</v>
      </c>
      <c r="X142" s="340" t="e">
        <f>#REF!</f>
        <v>#REF!</v>
      </c>
      <c r="Y142" s="340" t="e">
        <f>#REF!</f>
        <v>#REF!</v>
      </c>
      <c r="Z142" s="340" t="e">
        <f>#REF!</f>
        <v>#REF!</v>
      </c>
    </row>
    <row r="143" spans="1:26" x14ac:dyDescent="0.25">
      <c r="A143" t="e">
        <f>#REF!</f>
        <v>#REF!</v>
      </c>
      <c r="B143" s="340" t="e">
        <f>#REF!</f>
        <v>#REF!</v>
      </c>
      <c r="C143" s="340" t="e">
        <f>#REF!</f>
        <v>#REF!</v>
      </c>
      <c r="D143" s="340" t="e">
        <f>#REF!</f>
        <v>#REF!</v>
      </c>
      <c r="E143" s="340" t="e">
        <f>#REF!</f>
        <v>#REF!</v>
      </c>
      <c r="F143" s="340" t="e">
        <f>#REF!</f>
        <v>#REF!</v>
      </c>
      <c r="G143" s="340" t="e">
        <f>#REF!</f>
        <v>#REF!</v>
      </c>
      <c r="H143" s="340" t="e">
        <f>#REF!</f>
        <v>#REF!</v>
      </c>
      <c r="J143" t="e">
        <f>#REF!</f>
        <v>#REF!</v>
      </c>
      <c r="K143" s="340" t="e">
        <f>#REF!</f>
        <v>#REF!</v>
      </c>
      <c r="L143" s="340" t="e">
        <f>#REF!</f>
        <v>#REF!</v>
      </c>
      <c r="M143" s="340" t="e">
        <f>#REF!</f>
        <v>#REF!</v>
      </c>
      <c r="N143" s="340" t="e">
        <f>#REF!</f>
        <v>#REF!</v>
      </c>
      <c r="O143" s="340" t="e">
        <f>#REF!</f>
        <v>#REF!</v>
      </c>
      <c r="P143" s="340" t="e">
        <f>#REF!</f>
        <v>#REF!</v>
      </c>
      <c r="Q143" s="340" t="e">
        <f>#REF!</f>
        <v>#REF!</v>
      </c>
      <c r="S143" s="221">
        <f>DA!B144</f>
        <v>0</v>
      </c>
      <c r="T143" s="340" t="e">
        <f>#REF!</f>
        <v>#REF!</v>
      </c>
      <c r="U143" s="340" t="e">
        <f>#REF!</f>
        <v>#REF!</v>
      </c>
      <c r="V143" s="340" t="e">
        <f>#REF!</f>
        <v>#REF!</v>
      </c>
      <c r="W143" s="340" t="e">
        <f>#REF!</f>
        <v>#REF!</v>
      </c>
      <c r="X143" s="340" t="e">
        <f>#REF!</f>
        <v>#REF!</v>
      </c>
      <c r="Y143" s="340" t="e">
        <f>#REF!</f>
        <v>#REF!</v>
      </c>
      <c r="Z143" s="340" t="e">
        <f>#REF!</f>
        <v>#REF!</v>
      </c>
    </row>
    <row r="144" spans="1:26" x14ac:dyDescent="0.25">
      <c r="A144" t="e">
        <f>#REF!</f>
        <v>#REF!</v>
      </c>
      <c r="B144" s="340" t="e">
        <f>#REF!</f>
        <v>#REF!</v>
      </c>
      <c r="C144" s="340" t="e">
        <f>#REF!</f>
        <v>#REF!</v>
      </c>
      <c r="D144" s="340" t="e">
        <f>#REF!</f>
        <v>#REF!</v>
      </c>
      <c r="E144" s="340" t="e">
        <f>#REF!</f>
        <v>#REF!</v>
      </c>
      <c r="F144" s="340" t="e">
        <f>#REF!</f>
        <v>#REF!</v>
      </c>
      <c r="G144" s="340" t="e">
        <f>#REF!</f>
        <v>#REF!</v>
      </c>
      <c r="H144" s="340" t="e">
        <f>#REF!</f>
        <v>#REF!</v>
      </c>
      <c r="J144" t="e">
        <f>#REF!</f>
        <v>#REF!</v>
      </c>
      <c r="K144" s="340" t="e">
        <f>#REF!</f>
        <v>#REF!</v>
      </c>
      <c r="L144" s="340" t="e">
        <f>#REF!</f>
        <v>#REF!</v>
      </c>
      <c r="M144" s="340" t="e">
        <f>#REF!</f>
        <v>#REF!</v>
      </c>
      <c r="N144" s="340" t="e">
        <f>#REF!</f>
        <v>#REF!</v>
      </c>
      <c r="O144" s="340" t="e">
        <f>#REF!</f>
        <v>#REF!</v>
      </c>
      <c r="P144" s="340" t="e">
        <f>#REF!</f>
        <v>#REF!</v>
      </c>
      <c r="Q144" s="340" t="e">
        <f>#REF!</f>
        <v>#REF!</v>
      </c>
      <c r="S144" s="221">
        <f>DA!B145</f>
        <v>0</v>
      </c>
      <c r="T144" s="340" t="e">
        <f>#REF!</f>
        <v>#REF!</v>
      </c>
      <c r="U144" s="340" t="e">
        <f>#REF!</f>
        <v>#REF!</v>
      </c>
      <c r="V144" s="340" t="e">
        <f>#REF!</f>
        <v>#REF!</v>
      </c>
      <c r="W144" s="340" t="e">
        <f>#REF!</f>
        <v>#REF!</v>
      </c>
      <c r="X144" s="340" t="e">
        <f>#REF!</f>
        <v>#REF!</v>
      </c>
      <c r="Y144" s="340" t="e">
        <f>#REF!</f>
        <v>#REF!</v>
      </c>
      <c r="Z144" s="340" t="e">
        <f>#REF!</f>
        <v>#REF!</v>
      </c>
    </row>
    <row r="145" spans="1:26" x14ac:dyDescent="0.25">
      <c r="A145" t="e">
        <f>#REF!</f>
        <v>#REF!</v>
      </c>
      <c r="B145" s="340" t="e">
        <f>#REF!</f>
        <v>#REF!</v>
      </c>
      <c r="C145" s="340" t="e">
        <f>#REF!</f>
        <v>#REF!</v>
      </c>
      <c r="D145" s="340" t="e">
        <f>#REF!</f>
        <v>#REF!</v>
      </c>
      <c r="E145" s="340" t="e">
        <f>#REF!</f>
        <v>#REF!</v>
      </c>
      <c r="F145" s="340" t="e">
        <f>#REF!</f>
        <v>#REF!</v>
      </c>
      <c r="G145" s="340" t="e">
        <f>#REF!</f>
        <v>#REF!</v>
      </c>
      <c r="H145" s="340" t="e">
        <f>#REF!</f>
        <v>#REF!</v>
      </c>
      <c r="J145" t="e">
        <f>#REF!</f>
        <v>#REF!</v>
      </c>
      <c r="K145" s="340" t="e">
        <f>#REF!</f>
        <v>#REF!</v>
      </c>
      <c r="L145" s="340" t="e">
        <f>#REF!</f>
        <v>#REF!</v>
      </c>
      <c r="M145" s="340" t="e">
        <f>#REF!</f>
        <v>#REF!</v>
      </c>
      <c r="N145" s="340" t="e">
        <f>#REF!</f>
        <v>#REF!</v>
      </c>
      <c r="O145" s="340" t="e">
        <f>#REF!</f>
        <v>#REF!</v>
      </c>
      <c r="P145" s="340" t="e">
        <f>#REF!</f>
        <v>#REF!</v>
      </c>
      <c r="Q145" s="340" t="e">
        <f>#REF!</f>
        <v>#REF!</v>
      </c>
      <c r="S145" s="221">
        <f>DA!B146</f>
        <v>0</v>
      </c>
      <c r="T145" s="340" t="e">
        <f>#REF!</f>
        <v>#REF!</v>
      </c>
      <c r="U145" s="340" t="e">
        <f>#REF!</f>
        <v>#REF!</v>
      </c>
      <c r="V145" s="340" t="e">
        <f>#REF!</f>
        <v>#REF!</v>
      </c>
      <c r="W145" s="340" t="e">
        <f>#REF!</f>
        <v>#REF!</v>
      </c>
      <c r="X145" s="340" t="e">
        <f>#REF!</f>
        <v>#REF!</v>
      </c>
      <c r="Y145" s="340" t="e">
        <f>#REF!</f>
        <v>#REF!</v>
      </c>
      <c r="Z145" s="340" t="e">
        <f>#REF!</f>
        <v>#REF!</v>
      </c>
    </row>
    <row r="146" spans="1:26" x14ac:dyDescent="0.25">
      <c r="A146" t="e">
        <f>#REF!</f>
        <v>#REF!</v>
      </c>
      <c r="B146" s="340" t="e">
        <f>#REF!</f>
        <v>#REF!</v>
      </c>
      <c r="C146" s="340" t="e">
        <f>#REF!</f>
        <v>#REF!</v>
      </c>
      <c r="D146" s="340" t="e">
        <f>#REF!</f>
        <v>#REF!</v>
      </c>
      <c r="E146" s="340" t="e">
        <f>#REF!</f>
        <v>#REF!</v>
      </c>
      <c r="F146" s="340" t="e">
        <f>#REF!</f>
        <v>#REF!</v>
      </c>
      <c r="G146" s="340" t="e">
        <f>#REF!</f>
        <v>#REF!</v>
      </c>
      <c r="H146" s="340" t="e">
        <f>#REF!</f>
        <v>#REF!</v>
      </c>
      <c r="J146" t="e">
        <f>#REF!</f>
        <v>#REF!</v>
      </c>
      <c r="K146" s="340" t="e">
        <f>#REF!</f>
        <v>#REF!</v>
      </c>
      <c r="L146" s="340" t="e">
        <f>#REF!</f>
        <v>#REF!</v>
      </c>
      <c r="M146" s="340" t="e">
        <f>#REF!</f>
        <v>#REF!</v>
      </c>
      <c r="N146" s="340" t="e">
        <f>#REF!</f>
        <v>#REF!</v>
      </c>
      <c r="O146" s="340" t="e">
        <f>#REF!</f>
        <v>#REF!</v>
      </c>
      <c r="P146" s="340" t="e">
        <f>#REF!</f>
        <v>#REF!</v>
      </c>
      <c r="Q146" s="340" t="e">
        <f>#REF!</f>
        <v>#REF!</v>
      </c>
      <c r="S146" s="221">
        <f>DA!B147</f>
        <v>0</v>
      </c>
      <c r="T146" s="340" t="e">
        <f>#REF!</f>
        <v>#REF!</v>
      </c>
      <c r="U146" s="340" t="e">
        <f>#REF!</f>
        <v>#REF!</v>
      </c>
      <c r="V146" s="340" t="e">
        <f>#REF!</f>
        <v>#REF!</v>
      </c>
      <c r="W146" s="340" t="e">
        <f>#REF!</f>
        <v>#REF!</v>
      </c>
      <c r="X146" s="340" t="e">
        <f>#REF!</f>
        <v>#REF!</v>
      </c>
      <c r="Y146" s="340" t="e">
        <f>#REF!</f>
        <v>#REF!</v>
      </c>
      <c r="Z146" s="340" t="e">
        <f>#REF!</f>
        <v>#REF!</v>
      </c>
    </row>
    <row r="147" spans="1:26" x14ac:dyDescent="0.25">
      <c r="A147" t="e">
        <f>#REF!</f>
        <v>#REF!</v>
      </c>
      <c r="B147" s="340" t="e">
        <f>#REF!</f>
        <v>#REF!</v>
      </c>
      <c r="C147" s="340" t="e">
        <f>#REF!</f>
        <v>#REF!</v>
      </c>
      <c r="D147" s="340" t="e">
        <f>#REF!</f>
        <v>#REF!</v>
      </c>
      <c r="E147" s="340" t="e">
        <f>#REF!</f>
        <v>#REF!</v>
      </c>
      <c r="F147" s="340" t="e">
        <f>#REF!</f>
        <v>#REF!</v>
      </c>
      <c r="G147" s="340" t="e">
        <f>#REF!</f>
        <v>#REF!</v>
      </c>
      <c r="H147" s="340" t="e">
        <f>#REF!</f>
        <v>#REF!</v>
      </c>
      <c r="J147" t="e">
        <f>#REF!</f>
        <v>#REF!</v>
      </c>
      <c r="K147" s="340" t="e">
        <f>#REF!</f>
        <v>#REF!</v>
      </c>
      <c r="L147" s="340" t="e">
        <f>#REF!</f>
        <v>#REF!</v>
      </c>
      <c r="M147" s="340" t="e">
        <f>#REF!</f>
        <v>#REF!</v>
      </c>
      <c r="N147" s="340" t="e">
        <f>#REF!</f>
        <v>#REF!</v>
      </c>
      <c r="O147" s="340" t="e">
        <f>#REF!</f>
        <v>#REF!</v>
      </c>
      <c r="P147" s="340" t="e">
        <f>#REF!</f>
        <v>#REF!</v>
      </c>
      <c r="Q147" s="340" t="e">
        <f>#REF!</f>
        <v>#REF!</v>
      </c>
      <c r="S147" s="221">
        <f>DA!B148</f>
        <v>0</v>
      </c>
      <c r="T147" s="340" t="e">
        <f>#REF!</f>
        <v>#REF!</v>
      </c>
      <c r="U147" s="340" t="e">
        <f>#REF!</f>
        <v>#REF!</v>
      </c>
      <c r="V147" s="340" t="e">
        <f>#REF!</f>
        <v>#REF!</v>
      </c>
      <c r="W147" s="340" t="e">
        <f>#REF!</f>
        <v>#REF!</v>
      </c>
      <c r="X147" s="340" t="e">
        <f>#REF!</f>
        <v>#REF!</v>
      </c>
      <c r="Y147" s="340" t="e">
        <f>#REF!</f>
        <v>#REF!</v>
      </c>
      <c r="Z147" s="340" t="e">
        <f>#REF!</f>
        <v>#REF!</v>
      </c>
    </row>
    <row r="148" spans="1:26" x14ac:dyDescent="0.25">
      <c r="A148" t="e">
        <f>#REF!</f>
        <v>#REF!</v>
      </c>
      <c r="B148" s="340" t="e">
        <f>#REF!</f>
        <v>#REF!</v>
      </c>
      <c r="C148" s="340" t="e">
        <f>#REF!</f>
        <v>#REF!</v>
      </c>
      <c r="D148" s="340" t="e">
        <f>#REF!</f>
        <v>#REF!</v>
      </c>
      <c r="E148" s="340" t="e">
        <f>#REF!</f>
        <v>#REF!</v>
      </c>
      <c r="F148" s="340" t="e">
        <f>#REF!</f>
        <v>#REF!</v>
      </c>
      <c r="G148" s="340" t="e">
        <f>#REF!</f>
        <v>#REF!</v>
      </c>
      <c r="H148" s="340" t="e">
        <f>#REF!</f>
        <v>#REF!</v>
      </c>
      <c r="J148" t="e">
        <f>#REF!</f>
        <v>#REF!</v>
      </c>
      <c r="K148" s="340" t="e">
        <f>#REF!</f>
        <v>#REF!</v>
      </c>
      <c r="L148" s="340" t="e">
        <f>#REF!</f>
        <v>#REF!</v>
      </c>
      <c r="M148" s="340" t="e">
        <f>#REF!</f>
        <v>#REF!</v>
      </c>
      <c r="N148" s="340" t="e">
        <f>#REF!</f>
        <v>#REF!</v>
      </c>
      <c r="O148" s="340" t="e">
        <f>#REF!</f>
        <v>#REF!</v>
      </c>
      <c r="P148" s="340" t="e">
        <f>#REF!</f>
        <v>#REF!</v>
      </c>
      <c r="Q148" s="340" t="e">
        <f>#REF!</f>
        <v>#REF!</v>
      </c>
      <c r="S148" s="221">
        <f>DA!B149</f>
        <v>0</v>
      </c>
      <c r="T148" s="340" t="e">
        <f>#REF!</f>
        <v>#REF!</v>
      </c>
      <c r="U148" s="340" t="e">
        <f>#REF!</f>
        <v>#REF!</v>
      </c>
      <c r="V148" s="340" t="e">
        <f>#REF!</f>
        <v>#REF!</v>
      </c>
      <c r="W148" s="340" t="e">
        <f>#REF!</f>
        <v>#REF!</v>
      </c>
      <c r="X148" s="340" t="e">
        <f>#REF!</f>
        <v>#REF!</v>
      </c>
      <c r="Y148" s="340" t="e">
        <f>#REF!</f>
        <v>#REF!</v>
      </c>
      <c r="Z148" s="340" t="e">
        <f>#REF!</f>
        <v>#REF!</v>
      </c>
    </row>
    <row r="149" spans="1:26" x14ac:dyDescent="0.25">
      <c r="A149" t="e">
        <f>#REF!</f>
        <v>#REF!</v>
      </c>
      <c r="B149" s="340" t="e">
        <f>#REF!</f>
        <v>#REF!</v>
      </c>
      <c r="C149" s="340" t="e">
        <f>#REF!</f>
        <v>#REF!</v>
      </c>
      <c r="D149" s="340" t="e">
        <f>#REF!</f>
        <v>#REF!</v>
      </c>
      <c r="E149" s="340" t="e">
        <f>#REF!</f>
        <v>#REF!</v>
      </c>
      <c r="F149" s="340" t="e">
        <f>#REF!</f>
        <v>#REF!</v>
      </c>
      <c r="G149" s="340" t="e">
        <f>#REF!</f>
        <v>#REF!</v>
      </c>
      <c r="H149" s="340" t="e">
        <f>#REF!</f>
        <v>#REF!</v>
      </c>
      <c r="J149" t="e">
        <f>#REF!</f>
        <v>#REF!</v>
      </c>
      <c r="K149" s="340" t="e">
        <f>#REF!</f>
        <v>#REF!</v>
      </c>
      <c r="L149" s="340" t="e">
        <f>#REF!</f>
        <v>#REF!</v>
      </c>
      <c r="M149" s="340" t="e">
        <f>#REF!</f>
        <v>#REF!</v>
      </c>
      <c r="N149" s="340" t="e">
        <f>#REF!</f>
        <v>#REF!</v>
      </c>
      <c r="O149" s="340" t="e">
        <f>#REF!</f>
        <v>#REF!</v>
      </c>
      <c r="P149" s="340" t="e">
        <f>#REF!</f>
        <v>#REF!</v>
      </c>
      <c r="Q149" s="340" t="e">
        <f>#REF!</f>
        <v>#REF!</v>
      </c>
      <c r="S149" s="221">
        <f>DA!B150</f>
        <v>0</v>
      </c>
      <c r="T149" s="340" t="e">
        <f>#REF!</f>
        <v>#REF!</v>
      </c>
      <c r="U149" s="340" t="e">
        <f>#REF!</f>
        <v>#REF!</v>
      </c>
      <c r="V149" s="340" t="e">
        <f>#REF!</f>
        <v>#REF!</v>
      </c>
      <c r="W149" s="340" t="e">
        <f>#REF!</f>
        <v>#REF!</v>
      </c>
      <c r="X149" s="340" t="e">
        <f>#REF!</f>
        <v>#REF!</v>
      </c>
      <c r="Y149" s="340" t="e">
        <f>#REF!</f>
        <v>#REF!</v>
      </c>
      <c r="Z149" s="340" t="e">
        <f>#REF!</f>
        <v>#REF!</v>
      </c>
    </row>
    <row r="150" spans="1:26" x14ac:dyDescent="0.25">
      <c r="A150" t="e">
        <f>#REF!</f>
        <v>#REF!</v>
      </c>
      <c r="B150" s="340" t="e">
        <f>#REF!</f>
        <v>#REF!</v>
      </c>
      <c r="C150" s="340" t="e">
        <f>#REF!</f>
        <v>#REF!</v>
      </c>
      <c r="D150" s="340" t="e">
        <f>#REF!</f>
        <v>#REF!</v>
      </c>
      <c r="E150" s="340" t="e">
        <f>#REF!</f>
        <v>#REF!</v>
      </c>
      <c r="F150" s="340" t="e">
        <f>#REF!</f>
        <v>#REF!</v>
      </c>
      <c r="G150" s="340" t="e">
        <f>#REF!</f>
        <v>#REF!</v>
      </c>
      <c r="H150" s="340" t="e">
        <f>#REF!</f>
        <v>#REF!</v>
      </c>
      <c r="J150" t="e">
        <f>#REF!</f>
        <v>#REF!</v>
      </c>
      <c r="K150" s="340" t="e">
        <f>#REF!</f>
        <v>#REF!</v>
      </c>
      <c r="L150" s="340" t="e">
        <f>#REF!</f>
        <v>#REF!</v>
      </c>
      <c r="M150" s="340" t="e">
        <f>#REF!</f>
        <v>#REF!</v>
      </c>
      <c r="N150" s="340" t="e">
        <f>#REF!</f>
        <v>#REF!</v>
      </c>
      <c r="O150" s="340" t="e">
        <f>#REF!</f>
        <v>#REF!</v>
      </c>
      <c r="P150" s="340" t="e">
        <f>#REF!</f>
        <v>#REF!</v>
      </c>
      <c r="Q150" s="340" t="e">
        <f>#REF!</f>
        <v>#REF!</v>
      </c>
      <c r="S150" s="221">
        <f>DA!B151</f>
        <v>0</v>
      </c>
      <c r="T150" s="340" t="e">
        <f>#REF!</f>
        <v>#REF!</v>
      </c>
      <c r="U150" s="340" t="e">
        <f>#REF!</f>
        <v>#REF!</v>
      </c>
      <c r="V150" s="340" t="e">
        <f>#REF!</f>
        <v>#REF!</v>
      </c>
      <c r="W150" s="340" t="e">
        <f>#REF!</f>
        <v>#REF!</v>
      </c>
      <c r="X150" s="340" t="e">
        <f>#REF!</f>
        <v>#REF!</v>
      </c>
      <c r="Y150" s="340" t="e">
        <f>#REF!</f>
        <v>#REF!</v>
      </c>
      <c r="Z150" s="340" t="e">
        <f>#REF!</f>
        <v>#REF!</v>
      </c>
    </row>
    <row r="151" spans="1:26" x14ac:dyDescent="0.25">
      <c r="A151" t="e">
        <f>#REF!</f>
        <v>#REF!</v>
      </c>
      <c r="B151" s="340" t="e">
        <f>#REF!</f>
        <v>#REF!</v>
      </c>
      <c r="C151" s="340" t="e">
        <f>#REF!</f>
        <v>#REF!</v>
      </c>
      <c r="D151" s="340" t="e">
        <f>#REF!</f>
        <v>#REF!</v>
      </c>
      <c r="E151" s="340" t="e">
        <f>#REF!</f>
        <v>#REF!</v>
      </c>
      <c r="F151" s="340" t="e">
        <f>#REF!</f>
        <v>#REF!</v>
      </c>
      <c r="G151" s="340" t="e">
        <f>#REF!</f>
        <v>#REF!</v>
      </c>
      <c r="H151" s="340" t="e">
        <f>#REF!</f>
        <v>#REF!</v>
      </c>
      <c r="J151" t="e">
        <f>#REF!</f>
        <v>#REF!</v>
      </c>
      <c r="K151" s="340" t="e">
        <f>#REF!</f>
        <v>#REF!</v>
      </c>
      <c r="L151" s="340" t="e">
        <f>#REF!</f>
        <v>#REF!</v>
      </c>
      <c r="M151" s="340" t="e">
        <f>#REF!</f>
        <v>#REF!</v>
      </c>
      <c r="N151" s="340" t="e">
        <f>#REF!</f>
        <v>#REF!</v>
      </c>
      <c r="O151" s="340" t="e">
        <f>#REF!</f>
        <v>#REF!</v>
      </c>
      <c r="P151" s="340" t="e">
        <f>#REF!</f>
        <v>#REF!</v>
      </c>
      <c r="Q151" s="340" t="e">
        <f>#REF!</f>
        <v>#REF!</v>
      </c>
      <c r="S151" s="221">
        <f>DA!B152</f>
        <v>0</v>
      </c>
      <c r="T151" s="340" t="e">
        <f>#REF!</f>
        <v>#REF!</v>
      </c>
      <c r="U151" s="340" t="e">
        <f>#REF!</f>
        <v>#REF!</v>
      </c>
      <c r="V151" s="340" t="e">
        <f>#REF!</f>
        <v>#REF!</v>
      </c>
      <c r="W151" s="340" t="e">
        <f>#REF!</f>
        <v>#REF!</v>
      </c>
      <c r="X151" s="340" t="e">
        <f>#REF!</f>
        <v>#REF!</v>
      </c>
      <c r="Y151" s="340" t="e">
        <f>#REF!</f>
        <v>#REF!</v>
      </c>
      <c r="Z151" s="340" t="e">
        <f>#REF!</f>
        <v>#REF!</v>
      </c>
    </row>
    <row r="152" spans="1:26" x14ac:dyDescent="0.25">
      <c r="A152" t="e">
        <f>#REF!</f>
        <v>#REF!</v>
      </c>
      <c r="B152" s="340" t="e">
        <f>#REF!</f>
        <v>#REF!</v>
      </c>
      <c r="C152" s="340" t="e">
        <f>#REF!</f>
        <v>#REF!</v>
      </c>
      <c r="D152" s="340" t="e">
        <f>#REF!</f>
        <v>#REF!</v>
      </c>
      <c r="E152" s="340" t="e">
        <f>#REF!</f>
        <v>#REF!</v>
      </c>
      <c r="F152" s="340" t="e">
        <f>#REF!</f>
        <v>#REF!</v>
      </c>
      <c r="G152" s="340" t="e">
        <f>#REF!</f>
        <v>#REF!</v>
      </c>
      <c r="H152" s="340" t="e">
        <f>#REF!</f>
        <v>#REF!</v>
      </c>
      <c r="J152" t="e">
        <f>#REF!</f>
        <v>#REF!</v>
      </c>
      <c r="K152" s="340" t="e">
        <f>#REF!</f>
        <v>#REF!</v>
      </c>
      <c r="L152" s="340" t="e">
        <f>#REF!</f>
        <v>#REF!</v>
      </c>
      <c r="M152" s="340" t="e">
        <f>#REF!</f>
        <v>#REF!</v>
      </c>
      <c r="N152" s="340" t="e">
        <f>#REF!</f>
        <v>#REF!</v>
      </c>
      <c r="O152" s="340" t="e">
        <f>#REF!</f>
        <v>#REF!</v>
      </c>
      <c r="P152" s="340" t="e">
        <f>#REF!</f>
        <v>#REF!</v>
      </c>
      <c r="Q152" s="340" t="e">
        <f>#REF!</f>
        <v>#REF!</v>
      </c>
      <c r="S152" s="221">
        <f>DA!B153</f>
        <v>0</v>
      </c>
      <c r="T152" s="340" t="e">
        <f>#REF!</f>
        <v>#REF!</v>
      </c>
      <c r="U152" s="340" t="e">
        <f>#REF!</f>
        <v>#REF!</v>
      </c>
      <c r="V152" s="340" t="e">
        <f>#REF!</f>
        <v>#REF!</v>
      </c>
      <c r="W152" s="340" t="e">
        <f>#REF!</f>
        <v>#REF!</v>
      </c>
      <c r="X152" s="340" t="e">
        <f>#REF!</f>
        <v>#REF!</v>
      </c>
      <c r="Y152" s="340" t="e">
        <f>#REF!</f>
        <v>#REF!</v>
      </c>
      <c r="Z152" s="340" t="e">
        <f>#REF!</f>
        <v>#REF!</v>
      </c>
    </row>
    <row r="153" spans="1:26" x14ac:dyDescent="0.25">
      <c r="A153" t="e">
        <f>#REF!</f>
        <v>#REF!</v>
      </c>
      <c r="B153" s="340" t="e">
        <f>#REF!</f>
        <v>#REF!</v>
      </c>
      <c r="C153" s="340" t="e">
        <f>#REF!</f>
        <v>#REF!</v>
      </c>
      <c r="D153" s="340" t="e">
        <f>#REF!</f>
        <v>#REF!</v>
      </c>
      <c r="E153" s="340" t="e">
        <f>#REF!</f>
        <v>#REF!</v>
      </c>
      <c r="F153" s="340" t="e">
        <f>#REF!</f>
        <v>#REF!</v>
      </c>
      <c r="G153" s="340" t="e">
        <f>#REF!</f>
        <v>#REF!</v>
      </c>
      <c r="H153" s="340" t="e">
        <f>#REF!</f>
        <v>#REF!</v>
      </c>
      <c r="J153" t="e">
        <f>#REF!</f>
        <v>#REF!</v>
      </c>
      <c r="K153" s="340" t="e">
        <f>#REF!</f>
        <v>#REF!</v>
      </c>
      <c r="L153" s="340" t="e">
        <f>#REF!</f>
        <v>#REF!</v>
      </c>
      <c r="M153" s="340" t="e">
        <f>#REF!</f>
        <v>#REF!</v>
      </c>
      <c r="N153" s="340" t="e">
        <f>#REF!</f>
        <v>#REF!</v>
      </c>
      <c r="O153" s="340" t="e">
        <f>#REF!</f>
        <v>#REF!</v>
      </c>
      <c r="P153" s="340" t="e">
        <f>#REF!</f>
        <v>#REF!</v>
      </c>
      <c r="Q153" s="340" t="e">
        <f>#REF!</f>
        <v>#REF!</v>
      </c>
      <c r="S153" s="221">
        <f>DA!B154</f>
        <v>0</v>
      </c>
      <c r="T153" s="340" t="e">
        <f>#REF!</f>
        <v>#REF!</v>
      </c>
      <c r="U153" s="340" t="e">
        <f>#REF!</f>
        <v>#REF!</v>
      </c>
      <c r="V153" s="340" t="e">
        <f>#REF!</f>
        <v>#REF!</v>
      </c>
      <c r="W153" s="340" t="e">
        <f>#REF!</f>
        <v>#REF!</v>
      </c>
      <c r="X153" s="340" t="e">
        <f>#REF!</f>
        <v>#REF!</v>
      </c>
      <c r="Y153" s="340" t="e">
        <f>#REF!</f>
        <v>#REF!</v>
      </c>
      <c r="Z153" s="340" t="e">
        <f>#REF!</f>
        <v>#REF!</v>
      </c>
    </row>
    <row r="154" spans="1:26" x14ac:dyDescent="0.25">
      <c r="A154" t="e">
        <f>#REF!</f>
        <v>#REF!</v>
      </c>
      <c r="B154" s="340" t="e">
        <f>#REF!</f>
        <v>#REF!</v>
      </c>
      <c r="C154" s="340" t="e">
        <f>#REF!</f>
        <v>#REF!</v>
      </c>
      <c r="D154" s="340" t="e">
        <f>#REF!</f>
        <v>#REF!</v>
      </c>
      <c r="E154" s="340" t="e">
        <f>#REF!</f>
        <v>#REF!</v>
      </c>
      <c r="F154" s="340" t="e">
        <f>#REF!</f>
        <v>#REF!</v>
      </c>
      <c r="G154" s="340" t="e">
        <f>#REF!</f>
        <v>#REF!</v>
      </c>
      <c r="H154" s="340" t="e">
        <f>#REF!</f>
        <v>#REF!</v>
      </c>
      <c r="J154" t="e">
        <f>#REF!</f>
        <v>#REF!</v>
      </c>
      <c r="K154" s="340" t="e">
        <f>#REF!</f>
        <v>#REF!</v>
      </c>
      <c r="L154" s="340" t="e">
        <f>#REF!</f>
        <v>#REF!</v>
      </c>
      <c r="M154" s="340" t="e">
        <f>#REF!</f>
        <v>#REF!</v>
      </c>
      <c r="N154" s="340" t="e">
        <f>#REF!</f>
        <v>#REF!</v>
      </c>
      <c r="O154" s="340" t="e">
        <f>#REF!</f>
        <v>#REF!</v>
      </c>
      <c r="P154" s="340" t="e">
        <f>#REF!</f>
        <v>#REF!</v>
      </c>
      <c r="Q154" s="340" t="e">
        <f>#REF!</f>
        <v>#REF!</v>
      </c>
      <c r="S154" s="221">
        <f>DA!B155</f>
        <v>0</v>
      </c>
      <c r="T154" s="340" t="e">
        <f>#REF!</f>
        <v>#REF!</v>
      </c>
      <c r="U154" s="340" t="e">
        <f>#REF!</f>
        <v>#REF!</v>
      </c>
      <c r="V154" s="340" t="e">
        <f>#REF!</f>
        <v>#REF!</v>
      </c>
      <c r="W154" s="340" t="e">
        <f>#REF!</f>
        <v>#REF!</v>
      </c>
      <c r="X154" s="340" t="e">
        <f>#REF!</f>
        <v>#REF!</v>
      </c>
      <c r="Y154" s="340" t="e">
        <f>#REF!</f>
        <v>#REF!</v>
      </c>
      <c r="Z154" s="340" t="e">
        <f>#REF!</f>
        <v>#REF!</v>
      </c>
    </row>
    <row r="155" spans="1:26" x14ac:dyDescent="0.25">
      <c r="A155" t="e">
        <f>#REF!</f>
        <v>#REF!</v>
      </c>
      <c r="B155" s="340" t="e">
        <f>#REF!</f>
        <v>#REF!</v>
      </c>
      <c r="C155" s="340" t="e">
        <f>#REF!</f>
        <v>#REF!</v>
      </c>
      <c r="D155" s="340" t="e">
        <f>#REF!</f>
        <v>#REF!</v>
      </c>
      <c r="E155" s="340" t="e">
        <f>#REF!</f>
        <v>#REF!</v>
      </c>
      <c r="F155" s="340" t="e">
        <f>#REF!</f>
        <v>#REF!</v>
      </c>
      <c r="G155" s="340" t="e">
        <f>#REF!</f>
        <v>#REF!</v>
      </c>
      <c r="H155" s="340" t="e">
        <f>#REF!</f>
        <v>#REF!</v>
      </c>
      <c r="J155" t="e">
        <f>#REF!</f>
        <v>#REF!</v>
      </c>
      <c r="K155" s="340" t="e">
        <f>#REF!</f>
        <v>#REF!</v>
      </c>
      <c r="L155" s="340" t="e">
        <f>#REF!</f>
        <v>#REF!</v>
      </c>
      <c r="M155" s="340" t="e">
        <f>#REF!</f>
        <v>#REF!</v>
      </c>
      <c r="N155" s="340" t="e">
        <f>#REF!</f>
        <v>#REF!</v>
      </c>
      <c r="O155" s="340" t="e">
        <f>#REF!</f>
        <v>#REF!</v>
      </c>
      <c r="P155" s="340" t="e">
        <f>#REF!</f>
        <v>#REF!</v>
      </c>
      <c r="Q155" s="340" t="e">
        <f>#REF!</f>
        <v>#REF!</v>
      </c>
      <c r="S155" s="221">
        <f>DA!B156</f>
        <v>0</v>
      </c>
      <c r="T155" s="340" t="e">
        <f>#REF!</f>
        <v>#REF!</v>
      </c>
      <c r="U155" s="340" t="e">
        <f>#REF!</f>
        <v>#REF!</v>
      </c>
      <c r="V155" s="340" t="e">
        <f>#REF!</f>
        <v>#REF!</v>
      </c>
      <c r="W155" s="340" t="e">
        <f>#REF!</f>
        <v>#REF!</v>
      </c>
      <c r="X155" s="340" t="e">
        <f>#REF!</f>
        <v>#REF!</v>
      </c>
      <c r="Y155" s="340" t="e">
        <f>#REF!</f>
        <v>#REF!</v>
      </c>
      <c r="Z155" s="340" t="e">
        <f>#REF!</f>
        <v>#REF!</v>
      </c>
    </row>
    <row r="156" spans="1:26" x14ac:dyDescent="0.25">
      <c r="A156" t="e">
        <f>#REF!</f>
        <v>#REF!</v>
      </c>
      <c r="B156" s="340" t="e">
        <f>#REF!</f>
        <v>#REF!</v>
      </c>
      <c r="C156" s="340" t="e">
        <f>#REF!</f>
        <v>#REF!</v>
      </c>
      <c r="D156" s="340" t="e">
        <f>#REF!</f>
        <v>#REF!</v>
      </c>
      <c r="E156" s="340" t="e">
        <f>#REF!</f>
        <v>#REF!</v>
      </c>
      <c r="F156" s="340" t="e">
        <f>#REF!</f>
        <v>#REF!</v>
      </c>
      <c r="G156" s="340" t="e">
        <f>#REF!</f>
        <v>#REF!</v>
      </c>
      <c r="H156" s="340" t="e">
        <f>#REF!</f>
        <v>#REF!</v>
      </c>
      <c r="J156" t="e">
        <f>#REF!</f>
        <v>#REF!</v>
      </c>
      <c r="K156" s="340" t="e">
        <f>#REF!</f>
        <v>#REF!</v>
      </c>
      <c r="L156" s="340" t="e">
        <f>#REF!</f>
        <v>#REF!</v>
      </c>
      <c r="M156" s="340" t="e">
        <f>#REF!</f>
        <v>#REF!</v>
      </c>
      <c r="N156" s="340" t="e">
        <f>#REF!</f>
        <v>#REF!</v>
      </c>
      <c r="O156" s="340" t="e">
        <f>#REF!</f>
        <v>#REF!</v>
      </c>
      <c r="P156" s="340" t="e">
        <f>#REF!</f>
        <v>#REF!</v>
      </c>
      <c r="Q156" s="340" t="e">
        <f>#REF!</f>
        <v>#REF!</v>
      </c>
      <c r="S156" s="221">
        <f>DA!B157</f>
        <v>0</v>
      </c>
      <c r="T156" s="340" t="e">
        <f>#REF!</f>
        <v>#REF!</v>
      </c>
      <c r="U156" s="340" t="e">
        <f>#REF!</f>
        <v>#REF!</v>
      </c>
      <c r="V156" s="340" t="e">
        <f>#REF!</f>
        <v>#REF!</v>
      </c>
      <c r="W156" s="340" t="e">
        <f>#REF!</f>
        <v>#REF!</v>
      </c>
      <c r="X156" s="340" t="e">
        <f>#REF!</f>
        <v>#REF!</v>
      </c>
      <c r="Y156" s="340" t="e">
        <f>#REF!</f>
        <v>#REF!</v>
      </c>
      <c r="Z156" s="340" t="e">
        <f>#REF!</f>
        <v>#REF!</v>
      </c>
    </row>
    <row r="157" spans="1:26" x14ac:dyDescent="0.25">
      <c r="A157" t="e">
        <f>#REF!</f>
        <v>#REF!</v>
      </c>
      <c r="B157" s="340" t="e">
        <f>#REF!</f>
        <v>#REF!</v>
      </c>
      <c r="C157" s="340" t="e">
        <f>#REF!</f>
        <v>#REF!</v>
      </c>
      <c r="D157" s="340" t="e">
        <f>#REF!</f>
        <v>#REF!</v>
      </c>
      <c r="E157" s="340" t="e">
        <f>#REF!</f>
        <v>#REF!</v>
      </c>
      <c r="F157" s="340" t="e">
        <f>#REF!</f>
        <v>#REF!</v>
      </c>
      <c r="G157" s="340" t="e">
        <f>#REF!</f>
        <v>#REF!</v>
      </c>
      <c r="H157" s="340" t="e">
        <f>#REF!</f>
        <v>#REF!</v>
      </c>
      <c r="J157" t="e">
        <f>#REF!</f>
        <v>#REF!</v>
      </c>
      <c r="K157" s="340" t="e">
        <f>#REF!</f>
        <v>#REF!</v>
      </c>
      <c r="L157" s="340" t="e">
        <f>#REF!</f>
        <v>#REF!</v>
      </c>
      <c r="M157" s="340" t="e">
        <f>#REF!</f>
        <v>#REF!</v>
      </c>
      <c r="N157" s="340" t="e">
        <f>#REF!</f>
        <v>#REF!</v>
      </c>
      <c r="O157" s="340" t="e">
        <f>#REF!</f>
        <v>#REF!</v>
      </c>
      <c r="P157" s="340" t="e">
        <f>#REF!</f>
        <v>#REF!</v>
      </c>
      <c r="Q157" s="340" t="e">
        <f>#REF!</f>
        <v>#REF!</v>
      </c>
      <c r="S157" s="221">
        <f>DA!B158</f>
        <v>0</v>
      </c>
      <c r="T157" s="340" t="e">
        <f>#REF!</f>
        <v>#REF!</v>
      </c>
      <c r="U157" s="340" t="e">
        <f>#REF!</f>
        <v>#REF!</v>
      </c>
      <c r="V157" s="340" t="e">
        <f>#REF!</f>
        <v>#REF!</v>
      </c>
      <c r="W157" s="340" t="e">
        <f>#REF!</f>
        <v>#REF!</v>
      </c>
      <c r="X157" s="340" t="e">
        <f>#REF!</f>
        <v>#REF!</v>
      </c>
      <c r="Y157" s="340" t="e">
        <f>#REF!</f>
        <v>#REF!</v>
      </c>
      <c r="Z157" s="340" t="e">
        <f>#REF!</f>
        <v>#REF!</v>
      </c>
    </row>
    <row r="158" spans="1:26" x14ac:dyDescent="0.25">
      <c r="A158" t="e">
        <f>#REF!</f>
        <v>#REF!</v>
      </c>
      <c r="B158" s="340" t="e">
        <f>#REF!</f>
        <v>#REF!</v>
      </c>
      <c r="C158" s="340" t="e">
        <f>#REF!</f>
        <v>#REF!</v>
      </c>
      <c r="D158" s="340" t="e">
        <f>#REF!</f>
        <v>#REF!</v>
      </c>
      <c r="E158" s="340" t="e">
        <f>#REF!</f>
        <v>#REF!</v>
      </c>
      <c r="F158" s="340" t="e">
        <f>#REF!</f>
        <v>#REF!</v>
      </c>
      <c r="G158" s="340" t="e">
        <f>#REF!</f>
        <v>#REF!</v>
      </c>
      <c r="H158" s="340" t="e">
        <f>#REF!</f>
        <v>#REF!</v>
      </c>
      <c r="J158" t="e">
        <f>#REF!</f>
        <v>#REF!</v>
      </c>
      <c r="K158" s="340" t="e">
        <f>#REF!</f>
        <v>#REF!</v>
      </c>
      <c r="L158" s="340" t="e">
        <f>#REF!</f>
        <v>#REF!</v>
      </c>
      <c r="M158" s="340" t="e">
        <f>#REF!</f>
        <v>#REF!</v>
      </c>
      <c r="N158" s="340" t="e">
        <f>#REF!</f>
        <v>#REF!</v>
      </c>
      <c r="O158" s="340" t="e">
        <f>#REF!</f>
        <v>#REF!</v>
      </c>
      <c r="P158" s="340" t="e">
        <f>#REF!</f>
        <v>#REF!</v>
      </c>
      <c r="Q158" s="340" t="e">
        <f>#REF!</f>
        <v>#REF!</v>
      </c>
      <c r="S158" s="221">
        <f>DA!B159</f>
        <v>0</v>
      </c>
      <c r="T158" s="340" t="e">
        <f>#REF!</f>
        <v>#REF!</v>
      </c>
      <c r="U158" s="340" t="e">
        <f>#REF!</f>
        <v>#REF!</v>
      </c>
      <c r="V158" s="340" t="e">
        <f>#REF!</f>
        <v>#REF!</v>
      </c>
      <c r="W158" s="340" t="e">
        <f>#REF!</f>
        <v>#REF!</v>
      </c>
      <c r="X158" s="340" t="e">
        <f>#REF!</f>
        <v>#REF!</v>
      </c>
      <c r="Y158" s="340" t="e">
        <f>#REF!</f>
        <v>#REF!</v>
      </c>
      <c r="Z158" s="340" t="e">
        <f>#REF!</f>
        <v>#REF!</v>
      </c>
    </row>
    <row r="159" spans="1:26" x14ac:dyDescent="0.25">
      <c r="A159" t="e">
        <f>#REF!</f>
        <v>#REF!</v>
      </c>
      <c r="B159" s="340" t="e">
        <f>#REF!</f>
        <v>#REF!</v>
      </c>
      <c r="C159" s="340" t="e">
        <f>#REF!</f>
        <v>#REF!</v>
      </c>
      <c r="D159" s="340" t="e">
        <f>#REF!</f>
        <v>#REF!</v>
      </c>
      <c r="E159" s="340" t="e">
        <f>#REF!</f>
        <v>#REF!</v>
      </c>
      <c r="F159" s="340" t="e">
        <f>#REF!</f>
        <v>#REF!</v>
      </c>
      <c r="G159" s="340" t="e">
        <f>#REF!</f>
        <v>#REF!</v>
      </c>
      <c r="H159" s="340" t="e">
        <f>#REF!</f>
        <v>#REF!</v>
      </c>
      <c r="J159" t="e">
        <f>#REF!</f>
        <v>#REF!</v>
      </c>
      <c r="K159" s="340" t="e">
        <f>#REF!</f>
        <v>#REF!</v>
      </c>
      <c r="L159" s="340" t="e">
        <f>#REF!</f>
        <v>#REF!</v>
      </c>
      <c r="M159" s="340" t="e">
        <f>#REF!</f>
        <v>#REF!</v>
      </c>
      <c r="N159" s="340" t="e">
        <f>#REF!</f>
        <v>#REF!</v>
      </c>
      <c r="O159" s="340" t="e">
        <f>#REF!</f>
        <v>#REF!</v>
      </c>
      <c r="P159" s="340" t="e">
        <f>#REF!</f>
        <v>#REF!</v>
      </c>
      <c r="Q159" s="340" t="e">
        <f>#REF!</f>
        <v>#REF!</v>
      </c>
      <c r="S159" s="221">
        <f>DA!B160</f>
        <v>0</v>
      </c>
      <c r="T159" s="340" t="e">
        <f>#REF!</f>
        <v>#REF!</v>
      </c>
      <c r="U159" s="340" t="e">
        <f>#REF!</f>
        <v>#REF!</v>
      </c>
      <c r="V159" s="340" t="e">
        <f>#REF!</f>
        <v>#REF!</v>
      </c>
      <c r="W159" s="340" t="e">
        <f>#REF!</f>
        <v>#REF!</v>
      </c>
      <c r="X159" s="340" t="e">
        <f>#REF!</f>
        <v>#REF!</v>
      </c>
      <c r="Y159" s="340" t="e">
        <f>#REF!</f>
        <v>#REF!</v>
      </c>
      <c r="Z159" s="340" t="e">
        <f>#REF!</f>
        <v>#REF!</v>
      </c>
    </row>
    <row r="160" spans="1:26" x14ac:dyDescent="0.25">
      <c r="A160" t="e">
        <f>#REF!</f>
        <v>#REF!</v>
      </c>
      <c r="B160" s="340" t="e">
        <f>#REF!</f>
        <v>#REF!</v>
      </c>
      <c r="C160" s="340" t="e">
        <f>#REF!</f>
        <v>#REF!</v>
      </c>
      <c r="D160" s="340" t="e">
        <f>#REF!</f>
        <v>#REF!</v>
      </c>
      <c r="E160" s="340" t="e">
        <f>#REF!</f>
        <v>#REF!</v>
      </c>
      <c r="F160" s="340" t="e">
        <f>#REF!</f>
        <v>#REF!</v>
      </c>
      <c r="G160" s="340" t="e">
        <f>#REF!</f>
        <v>#REF!</v>
      </c>
      <c r="H160" s="340" t="e">
        <f>#REF!</f>
        <v>#REF!</v>
      </c>
      <c r="J160" t="e">
        <f>#REF!</f>
        <v>#REF!</v>
      </c>
      <c r="K160" s="340" t="e">
        <f>#REF!</f>
        <v>#REF!</v>
      </c>
      <c r="L160" s="340" t="e">
        <f>#REF!</f>
        <v>#REF!</v>
      </c>
      <c r="M160" s="340" t="e">
        <f>#REF!</f>
        <v>#REF!</v>
      </c>
      <c r="N160" s="340" t="e">
        <f>#REF!</f>
        <v>#REF!</v>
      </c>
      <c r="O160" s="340" t="e">
        <f>#REF!</f>
        <v>#REF!</v>
      </c>
      <c r="P160" s="340" t="e">
        <f>#REF!</f>
        <v>#REF!</v>
      </c>
      <c r="Q160" s="340" t="e">
        <f>#REF!</f>
        <v>#REF!</v>
      </c>
      <c r="S160" s="221">
        <f>DA!B161</f>
        <v>0</v>
      </c>
      <c r="T160" s="340" t="e">
        <f>#REF!</f>
        <v>#REF!</v>
      </c>
      <c r="U160" s="340" t="e">
        <f>#REF!</f>
        <v>#REF!</v>
      </c>
      <c r="V160" s="340" t="e">
        <f>#REF!</f>
        <v>#REF!</v>
      </c>
      <c r="W160" s="340" t="e">
        <f>#REF!</f>
        <v>#REF!</v>
      </c>
      <c r="X160" s="340" t="e">
        <f>#REF!</f>
        <v>#REF!</v>
      </c>
      <c r="Y160" s="340" t="e">
        <f>#REF!</f>
        <v>#REF!</v>
      </c>
      <c r="Z160" s="340" t="e">
        <f>#REF!</f>
        <v>#REF!</v>
      </c>
    </row>
    <row r="161" spans="1:26" x14ac:dyDescent="0.25">
      <c r="A161" t="e">
        <f>#REF!</f>
        <v>#REF!</v>
      </c>
      <c r="B161" s="340" t="e">
        <f>#REF!</f>
        <v>#REF!</v>
      </c>
      <c r="C161" s="340" t="e">
        <f>#REF!</f>
        <v>#REF!</v>
      </c>
      <c r="D161" s="340" t="e">
        <f>#REF!</f>
        <v>#REF!</v>
      </c>
      <c r="E161" s="340" t="e">
        <f>#REF!</f>
        <v>#REF!</v>
      </c>
      <c r="F161" s="340" t="e">
        <f>#REF!</f>
        <v>#REF!</v>
      </c>
      <c r="G161" s="340" t="e">
        <f>#REF!</f>
        <v>#REF!</v>
      </c>
      <c r="H161" s="340" t="e">
        <f>#REF!</f>
        <v>#REF!</v>
      </c>
      <c r="J161" t="e">
        <f>#REF!</f>
        <v>#REF!</v>
      </c>
      <c r="K161" s="340" t="e">
        <f>#REF!</f>
        <v>#REF!</v>
      </c>
      <c r="L161" s="340" t="e">
        <f>#REF!</f>
        <v>#REF!</v>
      </c>
      <c r="M161" s="340" t="e">
        <f>#REF!</f>
        <v>#REF!</v>
      </c>
      <c r="N161" s="340" t="e">
        <f>#REF!</f>
        <v>#REF!</v>
      </c>
      <c r="O161" s="340" t="e">
        <f>#REF!</f>
        <v>#REF!</v>
      </c>
      <c r="P161" s="340" t="e">
        <f>#REF!</f>
        <v>#REF!</v>
      </c>
      <c r="Q161" s="340" t="e">
        <f>#REF!</f>
        <v>#REF!</v>
      </c>
      <c r="S161" s="221">
        <f>DA!B162</f>
        <v>0</v>
      </c>
      <c r="T161" s="340" t="e">
        <f>#REF!</f>
        <v>#REF!</v>
      </c>
      <c r="U161" s="340" t="e">
        <f>#REF!</f>
        <v>#REF!</v>
      </c>
      <c r="V161" s="340" t="e">
        <f>#REF!</f>
        <v>#REF!</v>
      </c>
      <c r="W161" s="340" t="e">
        <f>#REF!</f>
        <v>#REF!</v>
      </c>
      <c r="X161" s="340" t="e">
        <f>#REF!</f>
        <v>#REF!</v>
      </c>
      <c r="Y161" s="340" t="e">
        <f>#REF!</f>
        <v>#REF!</v>
      </c>
      <c r="Z161" s="340" t="e">
        <f>#REF!</f>
        <v>#REF!</v>
      </c>
    </row>
    <row r="162" spans="1:26" x14ac:dyDescent="0.25">
      <c r="A162" t="e">
        <f>#REF!</f>
        <v>#REF!</v>
      </c>
      <c r="B162" s="340" t="e">
        <f>#REF!</f>
        <v>#REF!</v>
      </c>
      <c r="C162" s="340" t="e">
        <f>#REF!</f>
        <v>#REF!</v>
      </c>
      <c r="D162" s="340" t="e">
        <f>#REF!</f>
        <v>#REF!</v>
      </c>
      <c r="E162" s="340" t="e">
        <f>#REF!</f>
        <v>#REF!</v>
      </c>
      <c r="F162" s="340" t="e">
        <f>#REF!</f>
        <v>#REF!</v>
      </c>
      <c r="G162" s="340" t="e">
        <f>#REF!</f>
        <v>#REF!</v>
      </c>
      <c r="H162" s="340" t="e">
        <f>#REF!</f>
        <v>#REF!</v>
      </c>
      <c r="J162" t="e">
        <f>#REF!</f>
        <v>#REF!</v>
      </c>
      <c r="K162" s="340" t="e">
        <f>#REF!</f>
        <v>#REF!</v>
      </c>
      <c r="L162" s="340" t="e">
        <f>#REF!</f>
        <v>#REF!</v>
      </c>
      <c r="M162" s="340" t="e">
        <f>#REF!</f>
        <v>#REF!</v>
      </c>
      <c r="N162" s="340" t="e">
        <f>#REF!</f>
        <v>#REF!</v>
      </c>
      <c r="O162" s="340" t="e">
        <f>#REF!</f>
        <v>#REF!</v>
      </c>
      <c r="P162" s="340" t="e">
        <f>#REF!</f>
        <v>#REF!</v>
      </c>
      <c r="Q162" s="340" t="e">
        <f>#REF!</f>
        <v>#REF!</v>
      </c>
      <c r="S162" s="221">
        <f>DA!B163</f>
        <v>0</v>
      </c>
      <c r="T162" s="340" t="e">
        <f>#REF!</f>
        <v>#REF!</v>
      </c>
      <c r="U162" s="340" t="e">
        <f>#REF!</f>
        <v>#REF!</v>
      </c>
      <c r="V162" s="340" t="e">
        <f>#REF!</f>
        <v>#REF!</v>
      </c>
      <c r="W162" s="340" t="e">
        <f>#REF!</f>
        <v>#REF!</v>
      </c>
      <c r="X162" s="340" t="e">
        <f>#REF!</f>
        <v>#REF!</v>
      </c>
      <c r="Y162" s="340" t="e">
        <f>#REF!</f>
        <v>#REF!</v>
      </c>
      <c r="Z162" s="340" t="e">
        <f>#REF!</f>
        <v>#REF!</v>
      </c>
    </row>
    <row r="163" spans="1:26" x14ac:dyDescent="0.25">
      <c r="A163" t="e">
        <f>#REF!</f>
        <v>#REF!</v>
      </c>
      <c r="B163" s="340" t="e">
        <f>#REF!</f>
        <v>#REF!</v>
      </c>
      <c r="C163" s="340" t="e">
        <f>#REF!</f>
        <v>#REF!</v>
      </c>
      <c r="D163" s="340" t="e">
        <f>#REF!</f>
        <v>#REF!</v>
      </c>
      <c r="E163" s="340" t="e">
        <f>#REF!</f>
        <v>#REF!</v>
      </c>
      <c r="F163" s="340" t="e">
        <f>#REF!</f>
        <v>#REF!</v>
      </c>
      <c r="G163" s="340" t="e">
        <f>#REF!</f>
        <v>#REF!</v>
      </c>
      <c r="H163" s="340" t="e">
        <f>#REF!</f>
        <v>#REF!</v>
      </c>
      <c r="J163" t="e">
        <f>#REF!</f>
        <v>#REF!</v>
      </c>
      <c r="K163" s="340" t="e">
        <f>#REF!</f>
        <v>#REF!</v>
      </c>
      <c r="L163" s="340" t="e">
        <f>#REF!</f>
        <v>#REF!</v>
      </c>
      <c r="M163" s="340" t="e">
        <f>#REF!</f>
        <v>#REF!</v>
      </c>
      <c r="N163" s="340" t="e">
        <f>#REF!</f>
        <v>#REF!</v>
      </c>
      <c r="O163" s="340" t="e">
        <f>#REF!</f>
        <v>#REF!</v>
      </c>
      <c r="P163" s="340" t="e">
        <f>#REF!</f>
        <v>#REF!</v>
      </c>
      <c r="Q163" s="340" t="e">
        <f>#REF!</f>
        <v>#REF!</v>
      </c>
      <c r="S163" s="221">
        <f>DA!B164</f>
        <v>0</v>
      </c>
      <c r="T163" s="340" t="e">
        <f>#REF!</f>
        <v>#REF!</v>
      </c>
      <c r="U163" s="340" t="e">
        <f>#REF!</f>
        <v>#REF!</v>
      </c>
      <c r="V163" s="340" t="e">
        <f>#REF!</f>
        <v>#REF!</v>
      </c>
      <c r="W163" s="340" t="e">
        <f>#REF!</f>
        <v>#REF!</v>
      </c>
      <c r="X163" s="340" t="e">
        <f>#REF!</f>
        <v>#REF!</v>
      </c>
      <c r="Y163" s="340" t="e">
        <f>#REF!</f>
        <v>#REF!</v>
      </c>
      <c r="Z163" s="340" t="e">
        <f>#REF!</f>
        <v>#REF!</v>
      </c>
    </row>
    <row r="164" spans="1:26" x14ac:dyDescent="0.25">
      <c r="A164" t="e">
        <f>#REF!</f>
        <v>#REF!</v>
      </c>
      <c r="B164" s="340" t="e">
        <f>#REF!</f>
        <v>#REF!</v>
      </c>
      <c r="C164" s="340" t="e">
        <f>#REF!</f>
        <v>#REF!</v>
      </c>
      <c r="D164" s="340" t="e">
        <f>#REF!</f>
        <v>#REF!</v>
      </c>
      <c r="E164" s="340" t="e">
        <f>#REF!</f>
        <v>#REF!</v>
      </c>
      <c r="F164" s="340" t="e">
        <f>#REF!</f>
        <v>#REF!</v>
      </c>
      <c r="G164" s="340" t="e">
        <f>#REF!</f>
        <v>#REF!</v>
      </c>
      <c r="H164" s="340" t="e">
        <f>#REF!</f>
        <v>#REF!</v>
      </c>
      <c r="J164" t="e">
        <f>#REF!</f>
        <v>#REF!</v>
      </c>
      <c r="K164" s="340" t="e">
        <f>#REF!</f>
        <v>#REF!</v>
      </c>
      <c r="L164" s="340" t="e">
        <f>#REF!</f>
        <v>#REF!</v>
      </c>
      <c r="M164" s="340" t="e">
        <f>#REF!</f>
        <v>#REF!</v>
      </c>
      <c r="N164" s="340" t="e">
        <f>#REF!</f>
        <v>#REF!</v>
      </c>
      <c r="O164" s="340" t="e">
        <f>#REF!</f>
        <v>#REF!</v>
      </c>
      <c r="P164" s="340" t="e">
        <f>#REF!</f>
        <v>#REF!</v>
      </c>
      <c r="Q164" s="340" t="e">
        <f>#REF!</f>
        <v>#REF!</v>
      </c>
      <c r="S164" s="221">
        <f>DA!B165</f>
        <v>0</v>
      </c>
      <c r="T164" s="340" t="e">
        <f>#REF!</f>
        <v>#REF!</v>
      </c>
      <c r="U164" s="340" t="e">
        <f>#REF!</f>
        <v>#REF!</v>
      </c>
      <c r="V164" s="340" t="e">
        <f>#REF!</f>
        <v>#REF!</v>
      </c>
      <c r="W164" s="340" t="e">
        <f>#REF!</f>
        <v>#REF!</v>
      </c>
      <c r="X164" s="340" t="e">
        <f>#REF!</f>
        <v>#REF!</v>
      </c>
      <c r="Y164" s="340" t="e">
        <f>#REF!</f>
        <v>#REF!</v>
      </c>
      <c r="Z164" s="340" t="e">
        <f>#REF!</f>
        <v>#REF!</v>
      </c>
    </row>
    <row r="165" spans="1:26" x14ac:dyDescent="0.25">
      <c r="A165" t="e">
        <f>#REF!</f>
        <v>#REF!</v>
      </c>
      <c r="B165" s="340" t="e">
        <f>#REF!</f>
        <v>#REF!</v>
      </c>
      <c r="C165" s="340" t="e">
        <f>#REF!</f>
        <v>#REF!</v>
      </c>
      <c r="D165" s="340" t="e">
        <f>#REF!</f>
        <v>#REF!</v>
      </c>
      <c r="E165" s="340" t="e">
        <f>#REF!</f>
        <v>#REF!</v>
      </c>
      <c r="F165" s="340" t="e">
        <f>#REF!</f>
        <v>#REF!</v>
      </c>
      <c r="G165" s="340" t="e">
        <f>#REF!</f>
        <v>#REF!</v>
      </c>
      <c r="H165" s="340" t="e">
        <f>#REF!</f>
        <v>#REF!</v>
      </c>
      <c r="J165" t="e">
        <f>#REF!</f>
        <v>#REF!</v>
      </c>
      <c r="K165" s="340" t="e">
        <f>#REF!</f>
        <v>#REF!</v>
      </c>
      <c r="L165" s="340" t="e">
        <f>#REF!</f>
        <v>#REF!</v>
      </c>
      <c r="M165" s="340" t="e">
        <f>#REF!</f>
        <v>#REF!</v>
      </c>
      <c r="N165" s="340" t="e">
        <f>#REF!</f>
        <v>#REF!</v>
      </c>
      <c r="O165" s="340" t="e">
        <f>#REF!</f>
        <v>#REF!</v>
      </c>
      <c r="P165" s="340" t="e">
        <f>#REF!</f>
        <v>#REF!</v>
      </c>
      <c r="Q165" s="340" t="e">
        <f>#REF!</f>
        <v>#REF!</v>
      </c>
      <c r="S165" s="221">
        <f>DA!B166</f>
        <v>0</v>
      </c>
      <c r="T165" s="340" t="e">
        <f>#REF!</f>
        <v>#REF!</v>
      </c>
      <c r="U165" s="340" t="e">
        <f>#REF!</f>
        <v>#REF!</v>
      </c>
      <c r="V165" s="340" t="e">
        <f>#REF!</f>
        <v>#REF!</v>
      </c>
      <c r="W165" s="340" t="e">
        <f>#REF!</f>
        <v>#REF!</v>
      </c>
      <c r="X165" s="340" t="e">
        <f>#REF!</f>
        <v>#REF!</v>
      </c>
      <c r="Y165" s="340" t="e">
        <f>#REF!</f>
        <v>#REF!</v>
      </c>
      <c r="Z165" s="340" t="e">
        <f>#REF!</f>
        <v>#REF!</v>
      </c>
    </row>
    <row r="166" spans="1:26" x14ac:dyDescent="0.25">
      <c r="A166" t="e">
        <f>#REF!</f>
        <v>#REF!</v>
      </c>
      <c r="B166" s="340" t="e">
        <f>#REF!</f>
        <v>#REF!</v>
      </c>
      <c r="C166" s="340" t="e">
        <f>#REF!</f>
        <v>#REF!</v>
      </c>
      <c r="D166" s="340" t="e">
        <f>#REF!</f>
        <v>#REF!</v>
      </c>
      <c r="E166" s="340" t="e">
        <f>#REF!</f>
        <v>#REF!</v>
      </c>
      <c r="F166" s="340" t="e">
        <f>#REF!</f>
        <v>#REF!</v>
      </c>
      <c r="G166" s="340" t="e">
        <f>#REF!</f>
        <v>#REF!</v>
      </c>
      <c r="H166" s="340" t="e">
        <f>#REF!</f>
        <v>#REF!</v>
      </c>
      <c r="J166" t="e">
        <f>#REF!</f>
        <v>#REF!</v>
      </c>
      <c r="K166" s="340" t="e">
        <f>#REF!</f>
        <v>#REF!</v>
      </c>
      <c r="L166" s="340" t="e">
        <f>#REF!</f>
        <v>#REF!</v>
      </c>
      <c r="M166" s="340" t="e">
        <f>#REF!</f>
        <v>#REF!</v>
      </c>
      <c r="N166" s="340" t="e">
        <f>#REF!</f>
        <v>#REF!</v>
      </c>
      <c r="O166" s="340" t="e">
        <f>#REF!</f>
        <v>#REF!</v>
      </c>
      <c r="P166" s="340" t="e">
        <f>#REF!</f>
        <v>#REF!</v>
      </c>
      <c r="Q166" s="340" t="e">
        <f>#REF!</f>
        <v>#REF!</v>
      </c>
      <c r="S166" s="221">
        <f>DA!B167</f>
        <v>0</v>
      </c>
      <c r="T166" s="340" t="e">
        <f>#REF!</f>
        <v>#REF!</v>
      </c>
      <c r="U166" s="340" t="e">
        <f>#REF!</f>
        <v>#REF!</v>
      </c>
      <c r="V166" s="340" t="e">
        <f>#REF!</f>
        <v>#REF!</v>
      </c>
      <c r="W166" s="340" t="e">
        <f>#REF!</f>
        <v>#REF!</v>
      </c>
      <c r="X166" s="340" t="e">
        <f>#REF!</f>
        <v>#REF!</v>
      </c>
      <c r="Y166" s="340" t="e">
        <f>#REF!</f>
        <v>#REF!</v>
      </c>
      <c r="Z166" s="340" t="e">
        <f>#REF!</f>
        <v>#REF!</v>
      </c>
    </row>
    <row r="167" spans="1:26" x14ac:dyDescent="0.25">
      <c r="A167" t="e">
        <f>#REF!</f>
        <v>#REF!</v>
      </c>
      <c r="B167" s="340" t="e">
        <f>#REF!</f>
        <v>#REF!</v>
      </c>
      <c r="C167" s="340" t="e">
        <f>#REF!</f>
        <v>#REF!</v>
      </c>
      <c r="D167" s="340" t="e">
        <f>#REF!</f>
        <v>#REF!</v>
      </c>
      <c r="E167" s="340" t="e">
        <f>#REF!</f>
        <v>#REF!</v>
      </c>
      <c r="F167" s="340" t="e">
        <f>#REF!</f>
        <v>#REF!</v>
      </c>
      <c r="G167" s="340" t="e">
        <f>#REF!</f>
        <v>#REF!</v>
      </c>
      <c r="H167" s="340" t="e">
        <f>#REF!</f>
        <v>#REF!</v>
      </c>
      <c r="J167" t="e">
        <f>#REF!</f>
        <v>#REF!</v>
      </c>
      <c r="K167" s="340" t="e">
        <f>#REF!</f>
        <v>#REF!</v>
      </c>
      <c r="L167" s="340" t="e">
        <f>#REF!</f>
        <v>#REF!</v>
      </c>
      <c r="M167" s="340" t="e">
        <f>#REF!</f>
        <v>#REF!</v>
      </c>
      <c r="N167" s="340" t="e">
        <f>#REF!</f>
        <v>#REF!</v>
      </c>
      <c r="O167" s="340" t="e">
        <f>#REF!</f>
        <v>#REF!</v>
      </c>
      <c r="P167" s="340" t="e">
        <f>#REF!</f>
        <v>#REF!</v>
      </c>
      <c r="Q167" s="340" t="e">
        <f>#REF!</f>
        <v>#REF!</v>
      </c>
      <c r="S167" s="221">
        <f>DA!B168</f>
        <v>0</v>
      </c>
      <c r="T167" s="340" t="e">
        <f>#REF!</f>
        <v>#REF!</v>
      </c>
      <c r="U167" s="340" t="e">
        <f>#REF!</f>
        <v>#REF!</v>
      </c>
      <c r="V167" s="340" t="e">
        <f>#REF!</f>
        <v>#REF!</v>
      </c>
      <c r="W167" s="340" t="e">
        <f>#REF!</f>
        <v>#REF!</v>
      </c>
      <c r="X167" s="340" t="e">
        <f>#REF!</f>
        <v>#REF!</v>
      </c>
      <c r="Y167" s="340" t="e">
        <f>#REF!</f>
        <v>#REF!</v>
      </c>
      <c r="Z167" s="340" t="e">
        <f>#REF!</f>
        <v>#REF!</v>
      </c>
    </row>
    <row r="168" spans="1:26" x14ac:dyDescent="0.25">
      <c r="A168" t="e">
        <f>#REF!</f>
        <v>#REF!</v>
      </c>
      <c r="B168" s="340" t="e">
        <f>#REF!</f>
        <v>#REF!</v>
      </c>
      <c r="C168" s="340" t="e">
        <f>#REF!</f>
        <v>#REF!</v>
      </c>
      <c r="D168" s="340" t="e">
        <f>#REF!</f>
        <v>#REF!</v>
      </c>
      <c r="E168" s="340" t="e">
        <f>#REF!</f>
        <v>#REF!</v>
      </c>
      <c r="F168" s="340" t="e">
        <f>#REF!</f>
        <v>#REF!</v>
      </c>
      <c r="G168" s="340" t="e">
        <f>#REF!</f>
        <v>#REF!</v>
      </c>
      <c r="H168" s="340" t="e">
        <f>#REF!</f>
        <v>#REF!</v>
      </c>
      <c r="J168" t="e">
        <f>#REF!</f>
        <v>#REF!</v>
      </c>
      <c r="K168" s="340" t="e">
        <f>#REF!</f>
        <v>#REF!</v>
      </c>
      <c r="L168" s="340" t="e">
        <f>#REF!</f>
        <v>#REF!</v>
      </c>
      <c r="M168" s="340" t="e">
        <f>#REF!</f>
        <v>#REF!</v>
      </c>
      <c r="N168" s="340" t="e">
        <f>#REF!</f>
        <v>#REF!</v>
      </c>
      <c r="O168" s="340" t="e">
        <f>#REF!</f>
        <v>#REF!</v>
      </c>
      <c r="P168" s="340" t="e">
        <f>#REF!</f>
        <v>#REF!</v>
      </c>
      <c r="Q168" s="340" t="e">
        <f>#REF!</f>
        <v>#REF!</v>
      </c>
      <c r="S168" s="221">
        <f>DA!B169</f>
        <v>0</v>
      </c>
      <c r="T168" s="340" t="e">
        <f>#REF!</f>
        <v>#REF!</v>
      </c>
      <c r="U168" s="340" t="e">
        <f>#REF!</f>
        <v>#REF!</v>
      </c>
      <c r="V168" s="340" t="e">
        <f>#REF!</f>
        <v>#REF!</v>
      </c>
      <c r="W168" s="340" t="e">
        <f>#REF!</f>
        <v>#REF!</v>
      </c>
      <c r="X168" s="340" t="e">
        <f>#REF!</f>
        <v>#REF!</v>
      </c>
      <c r="Y168" s="340" t="e">
        <f>#REF!</f>
        <v>#REF!</v>
      </c>
      <c r="Z168" s="340" t="e">
        <f>#REF!</f>
        <v>#REF!</v>
      </c>
    </row>
    <row r="169" spans="1:26" x14ac:dyDescent="0.25">
      <c r="A169" t="e">
        <f>#REF!</f>
        <v>#REF!</v>
      </c>
      <c r="B169" s="340" t="e">
        <f>#REF!</f>
        <v>#REF!</v>
      </c>
      <c r="C169" s="340" t="e">
        <f>#REF!</f>
        <v>#REF!</v>
      </c>
      <c r="D169" s="340" t="e">
        <f>#REF!</f>
        <v>#REF!</v>
      </c>
      <c r="E169" s="340" t="e">
        <f>#REF!</f>
        <v>#REF!</v>
      </c>
      <c r="F169" s="340" t="e">
        <f>#REF!</f>
        <v>#REF!</v>
      </c>
      <c r="G169" s="340" t="e">
        <f>#REF!</f>
        <v>#REF!</v>
      </c>
      <c r="H169" s="340" t="e">
        <f>#REF!</f>
        <v>#REF!</v>
      </c>
      <c r="J169" t="e">
        <f>#REF!</f>
        <v>#REF!</v>
      </c>
      <c r="K169" s="340" t="e">
        <f>#REF!</f>
        <v>#REF!</v>
      </c>
      <c r="L169" s="340" t="e">
        <f>#REF!</f>
        <v>#REF!</v>
      </c>
      <c r="M169" s="340" t="e">
        <f>#REF!</f>
        <v>#REF!</v>
      </c>
      <c r="N169" s="340" t="e">
        <f>#REF!</f>
        <v>#REF!</v>
      </c>
      <c r="O169" s="340" t="e">
        <f>#REF!</f>
        <v>#REF!</v>
      </c>
      <c r="P169" s="340" t="e">
        <f>#REF!</f>
        <v>#REF!</v>
      </c>
      <c r="Q169" s="340" t="e">
        <f>#REF!</f>
        <v>#REF!</v>
      </c>
      <c r="S169" s="221">
        <f>DA!B170</f>
        <v>0</v>
      </c>
      <c r="T169" s="340" t="e">
        <f>#REF!</f>
        <v>#REF!</v>
      </c>
      <c r="U169" s="340" t="e">
        <f>#REF!</f>
        <v>#REF!</v>
      </c>
      <c r="V169" s="340" t="e">
        <f>#REF!</f>
        <v>#REF!</v>
      </c>
      <c r="W169" s="340" t="e">
        <f>#REF!</f>
        <v>#REF!</v>
      </c>
      <c r="X169" s="340" t="e">
        <f>#REF!</f>
        <v>#REF!</v>
      </c>
      <c r="Y169" s="340" t="e">
        <f>#REF!</f>
        <v>#REF!</v>
      </c>
      <c r="Z169" s="340" t="e">
        <f>#REF!</f>
        <v>#REF!</v>
      </c>
    </row>
    <row r="170" spans="1:26" x14ac:dyDescent="0.25">
      <c r="A170" t="e">
        <f>#REF!</f>
        <v>#REF!</v>
      </c>
      <c r="B170" s="340" t="e">
        <f>#REF!</f>
        <v>#REF!</v>
      </c>
      <c r="C170" s="340" t="e">
        <f>#REF!</f>
        <v>#REF!</v>
      </c>
      <c r="D170" s="340" t="e">
        <f>#REF!</f>
        <v>#REF!</v>
      </c>
      <c r="E170" s="340" t="e">
        <f>#REF!</f>
        <v>#REF!</v>
      </c>
      <c r="F170" s="340" t="e">
        <f>#REF!</f>
        <v>#REF!</v>
      </c>
      <c r="G170" s="340" t="e">
        <f>#REF!</f>
        <v>#REF!</v>
      </c>
      <c r="H170" s="340" t="e">
        <f>#REF!</f>
        <v>#REF!</v>
      </c>
      <c r="J170" t="e">
        <f>#REF!</f>
        <v>#REF!</v>
      </c>
      <c r="K170" s="340" t="e">
        <f>#REF!</f>
        <v>#REF!</v>
      </c>
      <c r="L170" s="340" t="e">
        <f>#REF!</f>
        <v>#REF!</v>
      </c>
      <c r="M170" s="340" t="e">
        <f>#REF!</f>
        <v>#REF!</v>
      </c>
      <c r="N170" s="340" t="e">
        <f>#REF!</f>
        <v>#REF!</v>
      </c>
      <c r="O170" s="340" t="e">
        <f>#REF!</f>
        <v>#REF!</v>
      </c>
      <c r="P170" s="340" t="e">
        <f>#REF!</f>
        <v>#REF!</v>
      </c>
      <c r="Q170" s="340" t="e">
        <f>#REF!</f>
        <v>#REF!</v>
      </c>
      <c r="S170" s="221">
        <f>DA!B171</f>
        <v>0</v>
      </c>
      <c r="T170" s="340" t="e">
        <f>#REF!</f>
        <v>#REF!</v>
      </c>
      <c r="U170" s="340" t="e">
        <f>#REF!</f>
        <v>#REF!</v>
      </c>
      <c r="V170" s="340" t="e">
        <f>#REF!</f>
        <v>#REF!</v>
      </c>
      <c r="W170" s="340" t="e">
        <f>#REF!</f>
        <v>#REF!</v>
      </c>
      <c r="X170" s="340" t="e">
        <f>#REF!</f>
        <v>#REF!</v>
      </c>
      <c r="Y170" s="340" t="e">
        <f>#REF!</f>
        <v>#REF!</v>
      </c>
      <c r="Z170" s="340" t="e">
        <f>#REF!</f>
        <v>#REF!</v>
      </c>
    </row>
    <row r="171" spans="1:26" x14ac:dyDescent="0.25">
      <c r="A171" t="e">
        <f>#REF!</f>
        <v>#REF!</v>
      </c>
      <c r="B171" s="340" t="e">
        <f>#REF!</f>
        <v>#REF!</v>
      </c>
      <c r="C171" s="340" t="e">
        <f>#REF!</f>
        <v>#REF!</v>
      </c>
      <c r="D171" s="340" t="e">
        <f>#REF!</f>
        <v>#REF!</v>
      </c>
      <c r="E171" s="340" t="e">
        <f>#REF!</f>
        <v>#REF!</v>
      </c>
      <c r="F171" s="340" t="e">
        <f>#REF!</f>
        <v>#REF!</v>
      </c>
      <c r="G171" s="340" t="e">
        <f>#REF!</f>
        <v>#REF!</v>
      </c>
      <c r="H171" s="340" t="e">
        <f>#REF!</f>
        <v>#REF!</v>
      </c>
      <c r="J171" t="e">
        <f>#REF!</f>
        <v>#REF!</v>
      </c>
      <c r="K171" s="340" t="e">
        <f>#REF!</f>
        <v>#REF!</v>
      </c>
      <c r="L171" s="340" t="e">
        <f>#REF!</f>
        <v>#REF!</v>
      </c>
      <c r="M171" s="340" t="e">
        <f>#REF!</f>
        <v>#REF!</v>
      </c>
      <c r="N171" s="340" t="e">
        <f>#REF!</f>
        <v>#REF!</v>
      </c>
      <c r="O171" s="340" t="e">
        <f>#REF!</f>
        <v>#REF!</v>
      </c>
      <c r="P171" s="340" t="e">
        <f>#REF!</f>
        <v>#REF!</v>
      </c>
      <c r="Q171" s="340" t="e">
        <f>#REF!</f>
        <v>#REF!</v>
      </c>
      <c r="S171" s="221">
        <f>DA!B172</f>
        <v>0</v>
      </c>
      <c r="T171" s="340" t="e">
        <f>#REF!</f>
        <v>#REF!</v>
      </c>
      <c r="U171" s="340" t="e">
        <f>#REF!</f>
        <v>#REF!</v>
      </c>
      <c r="V171" s="340" t="e">
        <f>#REF!</f>
        <v>#REF!</v>
      </c>
      <c r="W171" s="340" t="e">
        <f>#REF!</f>
        <v>#REF!</v>
      </c>
      <c r="X171" s="340" t="e">
        <f>#REF!</f>
        <v>#REF!</v>
      </c>
      <c r="Y171" s="340" t="e">
        <f>#REF!</f>
        <v>#REF!</v>
      </c>
      <c r="Z171" s="340" t="e">
        <f>#REF!</f>
        <v>#REF!</v>
      </c>
    </row>
    <row r="172" spans="1:26" x14ac:dyDescent="0.25">
      <c r="A172" t="e">
        <f>#REF!</f>
        <v>#REF!</v>
      </c>
      <c r="B172" s="340" t="e">
        <f>#REF!</f>
        <v>#REF!</v>
      </c>
      <c r="C172" s="340" t="e">
        <f>#REF!</f>
        <v>#REF!</v>
      </c>
      <c r="D172" s="340" t="e">
        <f>#REF!</f>
        <v>#REF!</v>
      </c>
      <c r="E172" s="340" t="e">
        <f>#REF!</f>
        <v>#REF!</v>
      </c>
      <c r="F172" s="340" t="e">
        <f>#REF!</f>
        <v>#REF!</v>
      </c>
      <c r="G172" s="340" t="e">
        <f>#REF!</f>
        <v>#REF!</v>
      </c>
      <c r="H172" s="340" t="e">
        <f>#REF!</f>
        <v>#REF!</v>
      </c>
      <c r="J172" t="e">
        <f>#REF!</f>
        <v>#REF!</v>
      </c>
      <c r="K172" s="340" t="e">
        <f>#REF!</f>
        <v>#REF!</v>
      </c>
      <c r="L172" s="340" t="e">
        <f>#REF!</f>
        <v>#REF!</v>
      </c>
      <c r="M172" s="340" t="e">
        <f>#REF!</f>
        <v>#REF!</v>
      </c>
      <c r="N172" s="340" t="e">
        <f>#REF!</f>
        <v>#REF!</v>
      </c>
      <c r="O172" s="340" t="e">
        <f>#REF!</f>
        <v>#REF!</v>
      </c>
      <c r="P172" s="340" t="e">
        <f>#REF!</f>
        <v>#REF!</v>
      </c>
      <c r="Q172" s="340" t="e">
        <f>#REF!</f>
        <v>#REF!</v>
      </c>
      <c r="S172" s="221">
        <f>DA!B173</f>
        <v>0</v>
      </c>
      <c r="T172" s="340" t="e">
        <f>#REF!</f>
        <v>#REF!</v>
      </c>
      <c r="U172" s="340" t="e">
        <f>#REF!</f>
        <v>#REF!</v>
      </c>
      <c r="V172" s="340" t="e">
        <f>#REF!</f>
        <v>#REF!</v>
      </c>
      <c r="W172" s="340" t="e">
        <f>#REF!</f>
        <v>#REF!</v>
      </c>
      <c r="X172" s="340" t="e">
        <f>#REF!</f>
        <v>#REF!</v>
      </c>
      <c r="Y172" s="340" t="e">
        <f>#REF!</f>
        <v>#REF!</v>
      </c>
      <c r="Z172" s="340" t="e">
        <f>#REF!</f>
        <v>#REF!</v>
      </c>
    </row>
    <row r="173" spans="1:26" x14ac:dyDescent="0.25">
      <c r="A173" t="e">
        <f>#REF!</f>
        <v>#REF!</v>
      </c>
      <c r="B173" s="340" t="e">
        <f>#REF!</f>
        <v>#REF!</v>
      </c>
      <c r="C173" s="340" t="e">
        <f>#REF!</f>
        <v>#REF!</v>
      </c>
      <c r="D173" s="340" t="e">
        <f>#REF!</f>
        <v>#REF!</v>
      </c>
      <c r="E173" s="340" t="e">
        <f>#REF!</f>
        <v>#REF!</v>
      </c>
      <c r="F173" s="340" t="e">
        <f>#REF!</f>
        <v>#REF!</v>
      </c>
      <c r="G173" s="340" t="e">
        <f>#REF!</f>
        <v>#REF!</v>
      </c>
      <c r="H173" s="340" t="e">
        <f>#REF!</f>
        <v>#REF!</v>
      </c>
      <c r="J173" t="e">
        <f>#REF!</f>
        <v>#REF!</v>
      </c>
      <c r="K173" s="340" t="e">
        <f>#REF!</f>
        <v>#REF!</v>
      </c>
      <c r="L173" s="340" t="e">
        <f>#REF!</f>
        <v>#REF!</v>
      </c>
      <c r="M173" s="340" t="e">
        <f>#REF!</f>
        <v>#REF!</v>
      </c>
      <c r="N173" s="340" t="e">
        <f>#REF!</f>
        <v>#REF!</v>
      </c>
      <c r="O173" s="340" t="e">
        <f>#REF!</f>
        <v>#REF!</v>
      </c>
      <c r="P173" s="340" t="e">
        <f>#REF!</f>
        <v>#REF!</v>
      </c>
      <c r="Q173" s="340" t="e">
        <f>#REF!</f>
        <v>#REF!</v>
      </c>
      <c r="S173" s="221">
        <f>DA!B174</f>
        <v>0</v>
      </c>
      <c r="T173" s="340" t="e">
        <f>#REF!</f>
        <v>#REF!</v>
      </c>
      <c r="U173" s="340" t="e">
        <f>#REF!</f>
        <v>#REF!</v>
      </c>
      <c r="V173" s="340" t="e">
        <f>#REF!</f>
        <v>#REF!</v>
      </c>
      <c r="W173" s="340" t="e">
        <f>#REF!</f>
        <v>#REF!</v>
      </c>
      <c r="X173" s="340" t="e">
        <f>#REF!</f>
        <v>#REF!</v>
      </c>
      <c r="Y173" s="340" t="e">
        <f>#REF!</f>
        <v>#REF!</v>
      </c>
      <c r="Z173" s="340" t="e">
        <f>#REF!</f>
        <v>#REF!</v>
      </c>
    </row>
    <row r="174" spans="1:26" x14ac:dyDescent="0.25">
      <c r="A174" t="e">
        <f>#REF!</f>
        <v>#REF!</v>
      </c>
      <c r="B174" s="340" t="e">
        <f>#REF!</f>
        <v>#REF!</v>
      </c>
      <c r="C174" s="340" t="e">
        <f>#REF!</f>
        <v>#REF!</v>
      </c>
      <c r="D174" s="340" t="e">
        <f>#REF!</f>
        <v>#REF!</v>
      </c>
      <c r="E174" s="340" t="e">
        <f>#REF!</f>
        <v>#REF!</v>
      </c>
      <c r="F174" s="340" t="e">
        <f>#REF!</f>
        <v>#REF!</v>
      </c>
      <c r="G174" s="340" t="e">
        <f>#REF!</f>
        <v>#REF!</v>
      </c>
      <c r="H174" s="340" t="e">
        <f>#REF!</f>
        <v>#REF!</v>
      </c>
      <c r="J174" t="e">
        <f>#REF!</f>
        <v>#REF!</v>
      </c>
      <c r="K174" s="340" t="e">
        <f>#REF!</f>
        <v>#REF!</v>
      </c>
      <c r="L174" s="340" t="e">
        <f>#REF!</f>
        <v>#REF!</v>
      </c>
      <c r="M174" s="340" t="e">
        <f>#REF!</f>
        <v>#REF!</v>
      </c>
      <c r="N174" s="340" t="e">
        <f>#REF!</f>
        <v>#REF!</v>
      </c>
      <c r="O174" s="340" t="e">
        <f>#REF!</f>
        <v>#REF!</v>
      </c>
      <c r="P174" s="340" t="e">
        <f>#REF!</f>
        <v>#REF!</v>
      </c>
      <c r="Q174" s="340" t="e">
        <f>#REF!</f>
        <v>#REF!</v>
      </c>
      <c r="S174" s="221">
        <f>DA!B175</f>
        <v>0</v>
      </c>
      <c r="T174" s="340" t="e">
        <f>#REF!</f>
        <v>#REF!</v>
      </c>
      <c r="U174" s="340" t="e">
        <f>#REF!</f>
        <v>#REF!</v>
      </c>
      <c r="V174" s="340" t="e">
        <f>#REF!</f>
        <v>#REF!</v>
      </c>
      <c r="W174" s="340" t="e">
        <f>#REF!</f>
        <v>#REF!</v>
      </c>
      <c r="X174" s="340" t="e">
        <f>#REF!</f>
        <v>#REF!</v>
      </c>
      <c r="Y174" s="340" t="e">
        <f>#REF!</f>
        <v>#REF!</v>
      </c>
      <c r="Z174" s="340" t="e">
        <f>#REF!</f>
        <v>#REF!</v>
      </c>
    </row>
    <row r="175" spans="1:26" x14ac:dyDescent="0.25">
      <c r="A175" t="e">
        <f>#REF!</f>
        <v>#REF!</v>
      </c>
      <c r="B175" s="340" t="e">
        <f>#REF!</f>
        <v>#REF!</v>
      </c>
      <c r="C175" s="340" t="e">
        <f>#REF!</f>
        <v>#REF!</v>
      </c>
      <c r="D175" s="340" t="e">
        <f>#REF!</f>
        <v>#REF!</v>
      </c>
      <c r="E175" s="340" t="e">
        <f>#REF!</f>
        <v>#REF!</v>
      </c>
      <c r="F175" s="340" t="e">
        <f>#REF!</f>
        <v>#REF!</v>
      </c>
      <c r="G175" s="340" t="e">
        <f>#REF!</f>
        <v>#REF!</v>
      </c>
      <c r="H175" s="340" t="e">
        <f>#REF!</f>
        <v>#REF!</v>
      </c>
      <c r="J175" t="e">
        <f>#REF!</f>
        <v>#REF!</v>
      </c>
      <c r="K175" s="340" t="e">
        <f>#REF!</f>
        <v>#REF!</v>
      </c>
      <c r="L175" s="340" t="e">
        <f>#REF!</f>
        <v>#REF!</v>
      </c>
      <c r="M175" s="340" t="e">
        <f>#REF!</f>
        <v>#REF!</v>
      </c>
      <c r="N175" s="340" t="e">
        <f>#REF!</f>
        <v>#REF!</v>
      </c>
      <c r="O175" s="340" t="e">
        <f>#REF!</f>
        <v>#REF!</v>
      </c>
      <c r="P175" s="340" t="e">
        <f>#REF!</f>
        <v>#REF!</v>
      </c>
      <c r="Q175" s="340" t="e">
        <f>#REF!</f>
        <v>#REF!</v>
      </c>
      <c r="S175" s="221">
        <f>DA!B176</f>
        <v>0</v>
      </c>
      <c r="T175" s="340" t="e">
        <f>#REF!</f>
        <v>#REF!</v>
      </c>
      <c r="U175" s="340" t="e">
        <f>#REF!</f>
        <v>#REF!</v>
      </c>
      <c r="V175" s="340" t="e">
        <f>#REF!</f>
        <v>#REF!</v>
      </c>
      <c r="W175" s="340" t="e">
        <f>#REF!</f>
        <v>#REF!</v>
      </c>
      <c r="X175" s="340" t="e">
        <f>#REF!</f>
        <v>#REF!</v>
      </c>
      <c r="Y175" s="340" t="e">
        <f>#REF!</f>
        <v>#REF!</v>
      </c>
      <c r="Z175" s="340" t="e">
        <f>#REF!</f>
        <v>#REF!</v>
      </c>
    </row>
    <row r="176" spans="1:26" x14ac:dyDescent="0.25">
      <c r="A176" t="e">
        <f>#REF!</f>
        <v>#REF!</v>
      </c>
      <c r="B176" s="340" t="e">
        <f>#REF!</f>
        <v>#REF!</v>
      </c>
      <c r="C176" s="340" t="e">
        <f>#REF!</f>
        <v>#REF!</v>
      </c>
      <c r="D176" s="340" t="e">
        <f>#REF!</f>
        <v>#REF!</v>
      </c>
      <c r="E176" s="340" t="e">
        <f>#REF!</f>
        <v>#REF!</v>
      </c>
      <c r="F176" s="340" t="e">
        <f>#REF!</f>
        <v>#REF!</v>
      </c>
      <c r="G176" s="340" t="e">
        <f>#REF!</f>
        <v>#REF!</v>
      </c>
      <c r="H176" s="340" t="e">
        <f>#REF!</f>
        <v>#REF!</v>
      </c>
      <c r="J176" t="e">
        <f>#REF!</f>
        <v>#REF!</v>
      </c>
      <c r="K176" s="340" t="e">
        <f>#REF!</f>
        <v>#REF!</v>
      </c>
      <c r="L176" s="340" t="e">
        <f>#REF!</f>
        <v>#REF!</v>
      </c>
      <c r="M176" s="340" t="e">
        <f>#REF!</f>
        <v>#REF!</v>
      </c>
      <c r="N176" s="340" t="e">
        <f>#REF!</f>
        <v>#REF!</v>
      </c>
      <c r="O176" s="340" t="e">
        <f>#REF!</f>
        <v>#REF!</v>
      </c>
      <c r="P176" s="340" t="e">
        <f>#REF!</f>
        <v>#REF!</v>
      </c>
      <c r="Q176" s="340" t="e">
        <f>#REF!</f>
        <v>#REF!</v>
      </c>
      <c r="S176" s="221">
        <f>DA!B177</f>
        <v>0</v>
      </c>
      <c r="T176" s="340" t="e">
        <f>#REF!</f>
        <v>#REF!</v>
      </c>
      <c r="U176" s="340" t="e">
        <f>#REF!</f>
        <v>#REF!</v>
      </c>
      <c r="V176" s="340" t="e">
        <f>#REF!</f>
        <v>#REF!</v>
      </c>
      <c r="W176" s="340" t="e">
        <f>#REF!</f>
        <v>#REF!</v>
      </c>
      <c r="X176" s="340" t="e">
        <f>#REF!</f>
        <v>#REF!</v>
      </c>
      <c r="Y176" s="340" t="e">
        <f>#REF!</f>
        <v>#REF!</v>
      </c>
      <c r="Z176" s="340" t="e">
        <f>#REF!</f>
        <v>#REF!</v>
      </c>
    </row>
    <row r="177" spans="1:26" x14ac:dyDescent="0.25">
      <c r="A177" t="e">
        <f>#REF!</f>
        <v>#REF!</v>
      </c>
      <c r="B177" s="340" t="e">
        <f>#REF!</f>
        <v>#REF!</v>
      </c>
      <c r="C177" s="340" t="e">
        <f>#REF!</f>
        <v>#REF!</v>
      </c>
      <c r="D177" s="340" t="e">
        <f>#REF!</f>
        <v>#REF!</v>
      </c>
      <c r="E177" s="340" t="e">
        <f>#REF!</f>
        <v>#REF!</v>
      </c>
      <c r="F177" s="340" t="e">
        <f>#REF!</f>
        <v>#REF!</v>
      </c>
      <c r="G177" s="340" t="e">
        <f>#REF!</f>
        <v>#REF!</v>
      </c>
      <c r="H177" s="340" t="e">
        <f>#REF!</f>
        <v>#REF!</v>
      </c>
      <c r="J177" t="e">
        <f>#REF!</f>
        <v>#REF!</v>
      </c>
      <c r="K177" s="340" t="e">
        <f>#REF!</f>
        <v>#REF!</v>
      </c>
      <c r="L177" s="340" t="e">
        <f>#REF!</f>
        <v>#REF!</v>
      </c>
      <c r="M177" s="340" t="e">
        <f>#REF!</f>
        <v>#REF!</v>
      </c>
      <c r="N177" s="340" t="e">
        <f>#REF!</f>
        <v>#REF!</v>
      </c>
      <c r="O177" s="340" t="e">
        <f>#REF!</f>
        <v>#REF!</v>
      </c>
      <c r="P177" s="340" t="e">
        <f>#REF!</f>
        <v>#REF!</v>
      </c>
      <c r="Q177" s="340" t="e">
        <f>#REF!</f>
        <v>#REF!</v>
      </c>
      <c r="S177" s="221">
        <f>DA!B178</f>
        <v>0</v>
      </c>
      <c r="T177" s="340" t="e">
        <f>#REF!</f>
        <v>#REF!</v>
      </c>
      <c r="U177" s="340" t="e">
        <f>#REF!</f>
        <v>#REF!</v>
      </c>
      <c r="V177" s="340" t="e">
        <f>#REF!</f>
        <v>#REF!</v>
      </c>
      <c r="W177" s="340" t="e">
        <f>#REF!</f>
        <v>#REF!</v>
      </c>
      <c r="X177" s="340" t="e">
        <f>#REF!</f>
        <v>#REF!</v>
      </c>
      <c r="Y177" s="340" t="e">
        <f>#REF!</f>
        <v>#REF!</v>
      </c>
      <c r="Z177" s="340" t="e">
        <f>#REF!</f>
        <v>#REF!</v>
      </c>
    </row>
  </sheetData>
  <phoneticPr fontId="17" type="noConversion"/>
  <conditionalFormatting sqref="A1:XFD1048576">
    <cfRule type="cellIs" dxfId="2" priority="1" operator="equal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S&amp;E</vt:lpstr>
      <vt:lpstr>At_Réu</vt:lpstr>
      <vt:lpstr>AE</vt:lpstr>
      <vt:lpstr>DA</vt:lpstr>
      <vt:lpstr>BO</vt:lpstr>
      <vt:lpstr>CBC </vt:lpstr>
      <vt:lpstr>ENEO_PADESCE</vt:lpstr>
      <vt:lpstr>BUCREP</vt:lpstr>
      <vt:lpstr>AS_OCM</vt:lpstr>
      <vt:lpstr>UPOWA</vt:lpstr>
      <vt:lpstr>PAM</vt:lpstr>
      <vt:lpstr>VERICAM</vt:lpstr>
      <vt:lpstr>F(x)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Pierrette NOUTAKDIE</dc:creator>
  <cp:lastModifiedBy>DXVD0696</cp:lastModifiedBy>
  <dcterms:created xsi:type="dcterms:W3CDTF">2021-11-19T13:55:43Z</dcterms:created>
  <dcterms:modified xsi:type="dcterms:W3CDTF">2026-05-13T09:16:52Z</dcterms:modified>
</cp:coreProperties>
</file>